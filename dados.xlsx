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EstaPastaDeTrabalho"/>
  <bookViews>
    <workbookView visibility="visible" minimized="0" showHorizontalScroll="1" showVerticalScroll="1" showSheetTabs="1" xWindow="-120" yWindow="-120" windowWidth="20730" windowHeight="11040" tabRatio="600" firstSheet="2" activeTab="3" autoFilterDateGrouping="1"/>
  </bookViews>
  <sheets>
    <sheet xmlns:r="http://schemas.openxmlformats.org/officeDocument/2006/relationships" name="Abate de Femeas MT" sheetId="1" state="visible" r:id="rId1"/>
    <sheet xmlns:r="http://schemas.openxmlformats.org/officeDocument/2006/relationships" name="S.H AÇÚCAR" sheetId="2" state="visible" r:id="rId2"/>
    <sheet xmlns:r="http://schemas.openxmlformats.org/officeDocument/2006/relationships" name="S.H ETANOL" sheetId="3" state="visible" r:id="rId3"/>
    <sheet xmlns:r="http://schemas.openxmlformats.org/officeDocument/2006/relationships" name="S.H BOI GORDO" sheetId="4" state="visible" r:id="rId4"/>
    <sheet xmlns:r="http://schemas.openxmlformats.org/officeDocument/2006/relationships" name="S.H MILHO CEPEA" sheetId="5" state="visible" r:id="rId5"/>
    <sheet xmlns:r="http://schemas.openxmlformats.org/officeDocument/2006/relationships" name="BEZERRO" sheetId="6" state="visible" r:id="rId6"/>
    <sheet xmlns:r="http://schemas.openxmlformats.org/officeDocument/2006/relationships" name="SOJA - PARANAGUÁ" sheetId="7" state="visible" r:id="rId7"/>
    <sheet xmlns:r="http://schemas.openxmlformats.org/officeDocument/2006/relationships" name="MILHO - CEPEA" sheetId="8" state="visible" r:id="rId8"/>
    <sheet xmlns:r="http://schemas.openxmlformats.org/officeDocument/2006/relationships" name="BOI GORDO" sheetId="9" state="visible" r:id="rId9"/>
    <sheet xmlns:r="http://schemas.openxmlformats.org/officeDocument/2006/relationships" name="AÇÚCAR" sheetId="10" state="visible" r:id="rId10"/>
    <sheet xmlns:r="http://schemas.openxmlformats.org/officeDocument/2006/relationships" name="ETANOL" sheetId="11" state="visible" r:id="rId11"/>
    <sheet xmlns:r="http://schemas.openxmlformats.org/officeDocument/2006/relationships" name="BGIH26" sheetId="12" state="hidden" r:id="rId12"/>
    <sheet xmlns:r="http://schemas.openxmlformats.org/officeDocument/2006/relationships" name="BGIJ26" sheetId="13" state="hidden" r:id="rId13"/>
    <sheet xmlns:r="http://schemas.openxmlformats.org/officeDocument/2006/relationships" name="BGIK26" sheetId="14" state="hidden" r:id="rId14"/>
    <sheet xmlns:r="http://schemas.openxmlformats.org/officeDocument/2006/relationships" name="BGIM26" sheetId="15" state="visible" r:id="rId15"/>
    <sheet xmlns:r="http://schemas.openxmlformats.org/officeDocument/2006/relationships" name="BGIN26" sheetId="16" state="visible" r:id="rId16"/>
    <sheet xmlns:r="http://schemas.openxmlformats.org/officeDocument/2006/relationships" name="BGIQ26" sheetId="17" state="visible" r:id="rId17"/>
    <sheet xmlns:r="http://schemas.openxmlformats.org/officeDocument/2006/relationships" name="BGIU26" sheetId="18" state="visible" r:id="rId18"/>
    <sheet xmlns:r="http://schemas.openxmlformats.org/officeDocument/2006/relationships" name="BGIV26" sheetId="19" state="visible" r:id="rId19"/>
    <sheet xmlns:r="http://schemas.openxmlformats.org/officeDocument/2006/relationships" name="BGIX26" sheetId="20" state="visible" r:id="rId20"/>
    <sheet xmlns:r="http://schemas.openxmlformats.org/officeDocument/2006/relationships" name="BGIZ26" sheetId="21" state="visible" r:id="rId21"/>
    <sheet xmlns:r="http://schemas.openxmlformats.org/officeDocument/2006/relationships" name="BGIF27" sheetId="22" state="visible" r:id="rId22"/>
    <sheet xmlns:r="http://schemas.openxmlformats.org/officeDocument/2006/relationships" name="BGIG27" sheetId="23" state="visible" r:id="rId23"/>
    <sheet xmlns:r="http://schemas.openxmlformats.org/officeDocument/2006/relationships" name="BGIH27" sheetId="24" state="visible" r:id="rId24"/>
    <sheet xmlns:r="http://schemas.openxmlformats.org/officeDocument/2006/relationships" name="ETHM26" sheetId="25" state="visible" r:id="rId25"/>
    <sheet xmlns:r="http://schemas.openxmlformats.org/officeDocument/2006/relationships" name="ETHN26" sheetId="26" state="visible" r:id="rId26"/>
    <sheet xmlns:r="http://schemas.openxmlformats.org/officeDocument/2006/relationships" name="ETHQ26" sheetId="27" state="visible" r:id="rId27"/>
    <sheet xmlns:r="http://schemas.openxmlformats.org/officeDocument/2006/relationships" name="ETHU26" sheetId="28" state="visible" r:id="rId28"/>
    <sheet xmlns:r="http://schemas.openxmlformats.org/officeDocument/2006/relationships" name="ETHV26" sheetId="29" state="visible" r:id="rId29"/>
    <sheet xmlns:r="http://schemas.openxmlformats.org/officeDocument/2006/relationships" name="ETHX26" sheetId="30" state="visible" r:id="rId30"/>
    <sheet xmlns:r="http://schemas.openxmlformats.org/officeDocument/2006/relationships" name="ETHZ26" sheetId="31" state="visible" r:id="rId31"/>
    <sheet xmlns:r="http://schemas.openxmlformats.org/officeDocument/2006/relationships" name="ETHF27" sheetId="32" state="visible" r:id="rId32"/>
    <sheet xmlns:r="http://schemas.openxmlformats.org/officeDocument/2006/relationships" name="ETHG27" sheetId="33" state="visible" r:id="rId33"/>
    <sheet xmlns:r="http://schemas.openxmlformats.org/officeDocument/2006/relationships" name="ETHH27" sheetId="34" state="visible" r:id="rId34"/>
    <sheet xmlns:r="http://schemas.openxmlformats.org/officeDocument/2006/relationships" name="ETHJ27" sheetId="35" state="visible" r:id="rId35"/>
    <sheet xmlns:r="http://schemas.openxmlformats.org/officeDocument/2006/relationships" name="ETHK27" sheetId="36" state="visible" r:id="rId36"/>
    <sheet xmlns:r="http://schemas.openxmlformats.org/officeDocument/2006/relationships" name="ETHZ27" sheetId="37" state="visible" r:id="rId37"/>
    <sheet xmlns:r="http://schemas.openxmlformats.org/officeDocument/2006/relationships" name="ETHF28" sheetId="38" state="visible" r:id="rId38"/>
    <sheet xmlns:r="http://schemas.openxmlformats.org/officeDocument/2006/relationships" name="BGIK27" sheetId="39" state="visible" r:id="rId39"/>
    <sheet xmlns:r="http://schemas.openxmlformats.org/officeDocument/2006/relationships" name="CCMH26" sheetId="40" state="hidden" r:id="rId40"/>
    <sheet xmlns:r="http://schemas.openxmlformats.org/officeDocument/2006/relationships" name="CCMK26" sheetId="41" state="hidden" r:id="rId41"/>
    <sheet xmlns:r="http://schemas.openxmlformats.org/officeDocument/2006/relationships" name="CCMN26" sheetId="42" state="visible" r:id="rId42"/>
    <sheet xmlns:r="http://schemas.openxmlformats.org/officeDocument/2006/relationships" name="CCMU26" sheetId="43" state="visible" r:id="rId43"/>
    <sheet xmlns:r="http://schemas.openxmlformats.org/officeDocument/2006/relationships" name="CCMX26" sheetId="44" state="visible" r:id="rId44"/>
    <sheet xmlns:r="http://schemas.openxmlformats.org/officeDocument/2006/relationships" name="CCMF27" sheetId="45" state="visible" r:id="rId45"/>
    <sheet xmlns:r="http://schemas.openxmlformats.org/officeDocument/2006/relationships" name="CCMH27" sheetId="46" state="visible" r:id="rId46"/>
    <sheet xmlns:r="http://schemas.openxmlformats.org/officeDocument/2006/relationships" name="CCMK27" sheetId="47" state="visible" r:id="rId47"/>
    <sheet xmlns:r="http://schemas.openxmlformats.org/officeDocument/2006/relationships" name="CCMN27" sheetId="48" state="visible" r:id="rId48"/>
    <sheet xmlns:r="http://schemas.openxmlformats.org/officeDocument/2006/relationships" name="CCMU27" sheetId="49" state="visible" r:id="rId49"/>
    <sheet xmlns:r="http://schemas.openxmlformats.org/officeDocument/2006/relationships" name="CCMX27" sheetId="50" state="visible" r:id="rId50"/>
    <sheet xmlns:r="http://schemas.openxmlformats.org/officeDocument/2006/relationships" name="SJCH26" sheetId="51" state="hidden" r:id="rId51"/>
    <sheet xmlns:r="http://schemas.openxmlformats.org/officeDocument/2006/relationships" name="SJCK26" sheetId="52" state="hidden" r:id="rId52"/>
    <sheet xmlns:r="http://schemas.openxmlformats.org/officeDocument/2006/relationships" name="SJCN26" sheetId="53" state="visible" r:id="rId53"/>
    <sheet xmlns:r="http://schemas.openxmlformats.org/officeDocument/2006/relationships" name="SJCQ26" sheetId="54" state="visible" r:id="rId54"/>
    <sheet xmlns:r="http://schemas.openxmlformats.org/officeDocument/2006/relationships" name="SJCU26" sheetId="55" state="visible" r:id="rId55"/>
    <sheet xmlns:r="http://schemas.openxmlformats.org/officeDocument/2006/relationships" name="SJCX26" sheetId="56" state="visible" r:id="rId56"/>
    <sheet xmlns:r="http://schemas.openxmlformats.org/officeDocument/2006/relationships" name="SJCF27" sheetId="57" state="visible" r:id="rId57"/>
    <sheet xmlns:r="http://schemas.openxmlformats.org/officeDocument/2006/relationships" name="SJCH27" sheetId="58" state="visible" r:id="rId58"/>
    <sheet xmlns:r="http://schemas.openxmlformats.org/officeDocument/2006/relationships" name="SJCK27" sheetId="59" state="visible" r:id="rId59"/>
    <sheet xmlns:r="http://schemas.openxmlformats.org/officeDocument/2006/relationships" name="SJCN27" sheetId="60" state="visible" r:id="rId60"/>
    <sheet xmlns:r="http://schemas.openxmlformats.org/officeDocument/2006/relationships" name="DOLN26" sheetId="61" state="visible" r:id="rId61"/>
    <sheet xmlns:r="http://schemas.openxmlformats.org/officeDocument/2006/relationships" name="DOLQ26" sheetId="62" state="visible" r:id="rId62"/>
    <sheet xmlns:r="http://schemas.openxmlformats.org/officeDocument/2006/relationships" name="DOLU26" sheetId="63" state="visible" r:id="rId63"/>
    <sheet xmlns:r="http://schemas.openxmlformats.org/officeDocument/2006/relationships" name="DOLV26" sheetId="64" state="visible" r:id="rId64"/>
    <sheet xmlns:r="http://schemas.openxmlformats.org/officeDocument/2006/relationships" name="DOLX26" sheetId="65" state="visible" r:id="rId65"/>
    <sheet xmlns:r="http://schemas.openxmlformats.org/officeDocument/2006/relationships" name="DOLZ26" sheetId="66" state="visible" r:id="rId66"/>
    <sheet xmlns:r="http://schemas.openxmlformats.org/officeDocument/2006/relationships" name="DOLF27" sheetId="67" state="visible" r:id="rId67"/>
    <sheet xmlns:r="http://schemas.openxmlformats.org/officeDocument/2006/relationships" name="DOLG27" sheetId="68" state="visible" r:id="rId68"/>
    <sheet xmlns:r="http://schemas.openxmlformats.org/officeDocument/2006/relationships" name="DOLH27" sheetId="69" state="visible" r:id="rId69"/>
    <sheet xmlns:r="http://schemas.openxmlformats.org/officeDocument/2006/relationships" name="DOLJ27" sheetId="70" state="visible" r:id="rId70"/>
    <sheet xmlns:r="http://schemas.openxmlformats.org/officeDocument/2006/relationships" name="DOLK27" sheetId="71" state="visible" r:id="rId71"/>
    <sheet xmlns:r="http://schemas.openxmlformats.org/officeDocument/2006/relationships" name="DOLM27" sheetId="72" state="visible" r:id="rId72"/>
    <sheet xmlns:r="http://schemas.openxmlformats.org/officeDocument/2006/relationships" name="DOLN27" sheetId="73" state="visible" r:id="rId73"/>
    <sheet xmlns:r="http://schemas.openxmlformats.org/officeDocument/2006/relationships" name="DOLQ27" sheetId="74" state="visible" r:id="rId74"/>
    <sheet xmlns:r="http://schemas.openxmlformats.org/officeDocument/2006/relationships" name="DOLV27" sheetId="75" state="visible" r:id="rId75"/>
    <sheet xmlns:r="http://schemas.openxmlformats.org/officeDocument/2006/relationships" name="DOLF28" sheetId="76" state="visible" r:id="rId76"/>
    <sheet xmlns:r="http://schemas.openxmlformats.org/officeDocument/2006/relationships" name="DOLJ28" sheetId="77" state="visible" r:id="rId77"/>
    <sheet xmlns:r="http://schemas.openxmlformats.org/officeDocument/2006/relationships" name="DOLN28" sheetId="78" state="visible" r:id="rId78"/>
    <sheet xmlns:r="http://schemas.openxmlformats.org/officeDocument/2006/relationships" name="DOLV28" sheetId="79" state="visible" r:id="rId79"/>
    <sheet xmlns:r="http://schemas.openxmlformats.org/officeDocument/2006/relationships" name="DOLF29" sheetId="80" state="visible" r:id="rId80"/>
    <sheet xmlns:r="http://schemas.openxmlformats.org/officeDocument/2006/relationships" name="DOLJ29" sheetId="81" state="visible" r:id="rId81"/>
    <sheet xmlns:r="http://schemas.openxmlformats.org/officeDocument/2006/relationships" name="DOLN29" sheetId="82" state="visible" r:id="rId82"/>
    <sheet xmlns:r="http://schemas.openxmlformats.org/officeDocument/2006/relationships" name="DOLV29" sheetId="83" state="visible" r:id="rId83"/>
    <sheet xmlns:r="http://schemas.openxmlformats.org/officeDocument/2006/relationships" name="DOLF30" sheetId="84" state="visible" r:id="rId84"/>
    <sheet xmlns:r="http://schemas.openxmlformats.org/officeDocument/2006/relationships" name="DOLN30" sheetId="85" state="visible" r:id="rId85"/>
    <sheet xmlns:r="http://schemas.openxmlformats.org/officeDocument/2006/relationships" name="DOLF31" sheetId="86" state="visible" r:id="rId86"/>
    <sheet xmlns:r="http://schemas.openxmlformats.org/officeDocument/2006/relationships" name="IGP-M Referência" sheetId="87" state="visible" r:id="rId87"/>
    <sheet xmlns:r="http://schemas.openxmlformats.org/officeDocument/2006/relationships" name="REPOSIÇÃO SCOT" sheetId="88" state="visible" r:id="rId88"/>
  </sheets>
  <externalReferences>
    <externalReference xmlns:r="http://schemas.openxmlformats.org/officeDocument/2006/relationships" r:id="rId89"/>
  </externalReferences>
  <definedNames/>
  <calcPr fullCalcOnLoad="1" calcId="191029" iterateDelta="0.0001"/>
</workbook>
</file>

<file path=xl/styles.xml><?xml version="1.0" encoding="utf-8"?>
<styleSheet xmlns="http://schemas.openxmlformats.org/spreadsheetml/2006/main">
  <numFmts count="7"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  <numFmt numFmtId="170" formatCode="yyyy-mm-dd h:mm:ss"/>
  </numFmts>
  <fonts count="8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scheme val="minor"/>
    </font>
    <font>
      <name val="Calibri"/>
      <color indexed="8"/>
      <sz val="11"/>
    </font>
    <font>
      <name val="Aptos Narrow"/>
      <family val="2"/>
      <b val="1"/>
      <color theme="1"/>
      <sz val="12"/>
      <scheme val="minor"/>
    </font>
    <font>
      <name val="Aptos Narrow"/>
      <family val="2"/>
      <b val="1"/>
      <color rgb="FFFFFFFF"/>
      <sz val="11"/>
      <scheme val="minor"/>
    </font>
    <font>
      <name val="Aptos Narrow"/>
      <family val="2"/>
      <i val="1"/>
      <color rgb="FF595959"/>
      <sz val="11"/>
      <scheme val="minor"/>
    </font>
    <font>
      <name val="Aptos Narrow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2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8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4" fontId="0" fillId="0" borderId="0" pivotButton="0" quotePrefix="0" xfId="0"/>
    <xf numFmtId="16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0" fontId="0" fillId="0" borderId="0" applyAlignment="1" pivotButton="0" quotePrefix="0" xfId="2">
      <alignment horizontal="center" vertical="center"/>
    </xf>
    <xf numFmtId="165" fontId="0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6" fontId="0" fillId="0" borderId="0" applyAlignment="1" pivotButton="0" quotePrefix="0" xfId="0">
      <alignment horizontal="center" vertical="center"/>
    </xf>
    <xf numFmtId="3" fontId="0" fillId="0" borderId="0" applyAlignment="1" pivotButton="0" quotePrefix="0" xfId="1">
      <alignment horizontal="center" vertical="center"/>
    </xf>
    <xf numFmtId="3" fontId="0" fillId="0" borderId="0" applyAlignment="1" pivotButton="0" quotePrefix="0" xfId="1">
      <alignment horizontal="center"/>
    </xf>
    <xf numFmtId="10" fontId="0" fillId="0" borderId="0" pivotButton="0" quotePrefix="0" xfId="2"/>
    <xf numFmtId="17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2" fontId="2" fillId="0" borderId="0" applyAlignment="1" pivotButton="0" quotePrefix="0" xfId="0">
      <alignment horizontal="center" vertical="center"/>
    </xf>
    <xf numFmtId="14" fontId="2" fillId="0" borderId="0" applyAlignment="1" pivotButton="0" quotePrefix="0" xfId="0">
      <alignment horizontal="center"/>
    </xf>
    <xf numFmtId="167" fontId="0" fillId="0" borderId="0" pivotButton="0" quotePrefix="0" xfId="0"/>
    <xf numFmtId="14" fontId="2" fillId="0" borderId="0" pivotButton="0" quotePrefix="0" xfId="0"/>
    <xf numFmtId="0" fontId="3" fillId="0" borderId="0" applyAlignment="1" pivotButton="0" quotePrefix="0" xfId="4">
      <alignment horizontal="right"/>
    </xf>
    <xf numFmtId="0" fontId="3" fillId="0" borderId="0" pivotButton="0" quotePrefix="0" xfId="4"/>
    <xf numFmtId="2" fontId="0" fillId="0" borderId="0" applyAlignment="1" pivotButton="0" quotePrefix="0" xfId="0">
      <alignment horizontal="right"/>
    </xf>
    <xf numFmtId="0" fontId="4" fillId="0" borderId="0" pivotButton="0" quotePrefix="0" xfId="0"/>
    <xf numFmtId="0" fontId="5" fillId="2" borderId="0" applyAlignment="1" pivotButton="0" quotePrefix="0" xfId="0">
      <alignment horizontal="center"/>
    </xf>
    <xf numFmtId="10" fontId="0" fillId="0" borderId="0" pivotButton="0" quotePrefix="0" xfId="0"/>
    <xf numFmtId="10" fontId="0" fillId="3" borderId="0" pivotButton="0" quotePrefix="0" xfId="0"/>
    <xf numFmtId="0" fontId="6" fillId="0" borderId="0" pivotButton="0" quotePrefix="0" xfId="0"/>
    <xf numFmtId="2" fontId="0" fillId="0" borderId="0" pivotButton="0" quotePrefix="0" xfId="0"/>
    <xf numFmtId="0" fontId="7" fillId="4" borderId="0" applyAlignment="1" pivotButton="0" quotePrefix="0" xfId="0">
      <alignment horizontal="center"/>
    </xf>
    <xf numFmtId="10" fontId="5" fillId="2" borderId="0" applyAlignment="1" pivotButton="0" quotePrefix="0" xfId="0">
      <alignment horizontal="center"/>
    </xf>
    <xf numFmtId="1" fontId="0" fillId="3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 vertical="center"/>
    </xf>
    <xf numFmtId="166" fontId="0" fillId="0" borderId="2" applyAlignment="1" pivotButton="0" quotePrefix="0" xfId="0">
      <alignment horizontal="center" vertical="center"/>
    </xf>
    <xf numFmtId="2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8" fontId="0" fillId="5" borderId="2" applyAlignment="1" pivotButton="0" quotePrefix="0" xfId="0">
      <alignment horizontal="center" vertical="center"/>
    </xf>
    <xf numFmtId="164" fontId="0" fillId="5" borderId="2" applyAlignment="1" pivotButton="0" quotePrefix="0" xfId="0">
      <alignment horizontal="center" vertical="center"/>
    </xf>
    <xf numFmtId="169" fontId="0" fillId="5" borderId="2" applyAlignment="1" pivotButton="0" quotePrefix="0" xfId="0">
      <alignment horizontal="center" vertical="center"/>
    </xf>
    <xf numFmtId="2" fontId="0" fillId="5" borderId="2" applyAlignment="1" pivotButton="0" quotePrefix="0" xfId="0">
      <alignment horizontal="center" vertical="center"/>
    </xf>
    <xf numFmtId="2" fontId="2" fillId="0" borderId="0" applyAlignment="1" pivotButton="0" quotePrefix="0" xfId="0">
      <alignment horizontal="right"/>
    </xf>
    <xf numFmtId="166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9" fontId="2" fillId="5" borderId="2" applyAlignment="1" pivotButton="0" quotePrefix="0" xfId="0">
      <alignment horizontal="center" vertical="center"/>
    </xf>
    <xf numFmtId="2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2" fontId="2" fillId="0" borderId="0" applyAlignment="1" pivotButton="0" quotePrefix="0" xfId="0">
      <alignment horizontal="center"/>
    </xf>
    <xf numFmtId="2" fontId="2" fillId="0" borderId="3" applyAlignment="1" pivotButton="0" quotePrefix="0" xfId="0">
      <alignment horizontal="center" vertical="center"/>
    </xf>
    <xf numFmtId="2" fontId="0" fillId="0" borderId="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165" fontId="1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166" fontId="1" fillId="0" borderId="0" applyAlignment="1" pivotButton="0" quotePrefix="0" xfId="0">
      <alignment horizontal="center" vertical="center"/>
    </xf>
    <xf numFmtId="49" fontId="0" fillId="0" borderId="0" applyAlignment="1" pivotButton="0" quotePrefix="0" xfId="0">
      <alignment horizontal="center" vertical="center"/>
    </xf>
    <xf numFmtId="49" fontId="0" fillId="0" borderId="0" pivotButton="0" quotePrefix="0" xfId="0"/>
    <xf numFmtId="170" fontId="0" fillId="0" borderId="0" pivotButton="0" quotePrefix="0" xfId="0"/>
  </cellXfs>
  <cellStyles count="5">
    <cellStyle name="Normal" xfId="0" builtinId="0"/>
    <cellStyle name="Vírgula" xfId="1" builtinId="3"/>
    <cellStyle name="Porcentagem" xfId="2" builtinId="5"/>
    <cellStyle name="Normal 2" xfId="3"/>
    <cellStyle name="Normal 3" xfId="4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worksheet" Target="/xl/worksheets/sheet88.xml" Id="rId88"/><Relationship Type="http://schemas.openxmlformats.org/officeDocument/2006/relationships/externalLink" Target="/xl/externalLinks/externalLink1.xml" Id="rId89"/><Relationship Type="http://schemas.openxmlformats.org/officeDocument/2006/relationships/styles" Target="styles.xml" Id="rId90"/><Relationship Type="http://schemas.openxmlformats.org/officeDocument/2006/relationships/theme" Target="theme/theme1.xml" Id="rId91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nkExternoRecuperado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Planilha1">
    <outlinePr summaryBelow="1" summaryRight="1"/>
    <pageSetUpPr/>
  </sheetPr>
  <dimension ref="A2:K54"/>
  <sheetViews>
    <sheetView workbookViewId="0">
      <selection activeCell="H56" sqref="H56"/>
    </sheetView>
  </sheetViews>
  <sheetFormatPr baseColWidth="8" defaultRowHeight="15" outlineLevelCol="0"/>
  <cols>
    <col width="9.140625" customWidth="1" style="7" min="1" max="1"/>
    <col width="18.5703125" bestFit="1" customWidth="1" style="7" min="2" max="2"/>
    <col width="14.7109375" bestFit="1" customWidth="1" style="3" min="3" max="3"/>
    <col width="11.85546875" bestFit="1" customWidth="1" min="4" max="4"/>
    <col width="17.28515625" bestFit="1" customWidth="1" style="14" min="5" max="5"/>
    <col width="17" bestFit="1" customWidth="1" style="15" min="6" max="6"/>
    <col width="10.42578125" bestFit="1" customWidth="1" min="7" max="7"/>
    <col width="15" bestFit="1" customWidth="1" min="10" max="10"/>
    <col width="20.140625" bestFit="1" customWidth="1" min="11" max="11"/>
    <col width="12.42578125" customWidth="1" min="12" max="12"/>
  </cols>
  <sheetData>
    <row r="2">
      <c r="A2" s="17" t="n">
        <v>44562</v>
      </c>
      <c r="B2" s="8">
        <f>'[1]Cepea Mensal'!B296</f>
        <v/>
      </c>
      <c r="E2" s="14" t="n">
        <v>250230</v>
      </c>
      <c r="F2" s="15" t="n">
        <v>180298</v>
      </c>
      <c r="G2" s="18">
        <f>E2+F2</f>
        <v/>
      </c>
      <c r="H2" s="16">
        <f>E2/$G2</f>
        <v/>
      </c>
      <c r="I2" s="16">
        <f>F2/$G2</f>
        <v/>
      </c>
      <c r="J2" s="16" t="n">
        <v>0.4</v>
      </c>
    </row>
    <row r="3">
      <c r="A3" s="17" t="n">
        <v>44593</v>
      </c>
      <c r="B3" s="8">
        <f>'[1]Cepea Mensal'!B297</f>
        <v/>
      </c>
      <c r="E3" s="14" t="n">
        <v>183618</v>
      </c>
      <c r="F3" s="15" t="n">
        <v>164702</v>
      </c>
      <c r="G3" s="18">
        <f>E3+F3</f>
        <v/>
      </c>
      <c r="H3" s="16">
        <f>E3/$G3</f>
        <v/>
      </c>
      <c r="I3" s="16">
        <f>F3/$G3</f>
        <v/>
      </c>
      <c r="J3" s="16" t="n">
        <v>0.4</v>
      </c>
    </row>
    <row r="4">
      <c r="A4" s="17" t="n">
        <v>44621</v>
      </c>
      <c r="B4" s="8">
        <f>'[1]Cepea Mensal'!B298</f>
        <v/>
      </c>
      <c r="E4" s="14" t="n">
        <v>178361</v>
      </c>
      <c r="F4" s="15" t="n">
        <v>179156</v>
      </c>
      <c r="G4" s="18">
        <f>E4+F4</f>
        <v/>
      </c>
      <c r="H4" s="16">
        <f>E4/$G4</f>
        <v/>
      </c>
      <c r="I4" s="16">
        <f>F4/$G4</f>
        <v/>
      </c>
      <c r="J4" s="16" t="n">
        <v>0.4</v>
      </c>
    </row>
    <row r="5">
      <c r="A5" s="17" t="n">
        <v>44652</v>
      </c>
      <c r="B5" s="8">
        <f>'[1]Cepea Mensal'!B299</f>
        <v/>
      </c>
      <c r="E5" s="14" t="n">
        <v>179876</v>
      </c>
      <c r="F5" s="15" t="n">
        <v>150966</v>
      </c>
      <c r="G5" s="18">
        <f>E5+F5</f>
        <v/>
      </c>
      <c r="H5" s="16">
        <f>E5/$G5</f>
        <v/>
      </c>
      <c r="I5" s="16">
        <f>F5/$G5</f>
        <v/>
      </c>
      <c r="J5" s="16" t="n">
        <v>0.4</v>
      </c>
    </row>
    <row r="6">
      <c r="A6" s="17" t="n">
        <v>44682</v>
      </c>
      <c r="B6" s="8">
        <f>'[1]Cepea Mensal'!B300</f>
        <v/>
      </c>
      <c r="E6" s="14" t="n">
        <v>232298</v>
      </c>
      <c r="F6" s="15" t="n">
        <v>193704</v>
      </c>
      <c r="G6" s="18">
        <f>E6+F6</f>
        <v/>
      </c>
      <c r="H6" s="16">
        <f>E6/$G6</f>
        <v/>
      </c>
      <c r="I6" s="16">
        <f>F6/$G6</f>
        <v/>
      </c>
      <c r="J6" s="16" t="n">
        <v>0.4</v>
      </c>
    </row>
    <row r="7">
      <c r="A7" s="17" t="n">
        <v>44713</v>
      </c>
      <c r="B7" s="8">
        <f>'[1]Cepea Mensal'!B301</f>
        <v/>
      </c>
      <c r="E7" s="14" t="n">
        <v>248562</v>
      </c>
      <c r="F7" s="15" t="n">
        <v>196949</v>
      </c>
      <c r="G7" s="18">
        <f>E7+F7</f>
        <v/>
      </c>
      <c r="H7" s="16">
        <f>E7/$G7</f>
        <v/>
      </c>
      <c r="I7" s="16">
        <f>F7/$G7</f>
        <v/>
      </c>
      <c r="J7" s="16" t="n">
        <v>0.4</v>
      </c>
    </row>
    <row r="8">
      <c r="A8" s="17" t="n">
        <v>44743</v>
      </c>
      <c r="B8" s="8">
        <f>'[1]Cepea Mensal'!B302</f>
        <v/>
      </c>
      <c r="E8" s="14" t="n">
        <v>275019</v>
      </c>
      <c r="F8" s="15" t="n">
        <v>187150</v>
      </c>
      <c r="G8" s="18">
        <f>E8+F8</f>
        <v/>
      </c>
      <c r="H8" s="16">
        <f>E8/$G8</f>
        <v/>
      </c>
      <c r="I8" s="16">
        <f>F8/$G8</f>
        <v/>
      </c>
      <c r="J8" s="16" t="n">
        <v>0.4</v>
      </c>
    </row>
    <row r="9">
      <c r="A9" s="17" t="n">
        <v>44774</v>
      </c>
      <c r="B9" s="8">
        <f>'[1]Cepea Mensal'!B303</f>
        <v/>
      </c>
      <c r="E9" s="14" t="n">
        <v>290741</v>
      </c>
      <c r="F9" s="15" t="n">
        <v>170800</v>
      </c>
      <c r="G9" s="18">
        <f>E9+F9</f>
        <v/>
      </c>
      <c r="H9" s="16">
        <f>E9/$G9</f>
        <v/>
      </c>
      <c r="I9" s="16">
        <f>F9/$G9</f>
        <v/>
      </c>
      <c r="J9" s="16" t="n">
        <v>0.4</v>
      </c>
    </row>
    <row r="10">
      <c r="A10" s="17" t="n">
        <v>44805</v>
      </c>
      <c r="B10" s="8">
        <f>'[1]Cepea Mensal'!B304</f>
        <v/>
      </c>
      <c r="E10" s="14" t="n">
        <v>313834</v>
      </c>
      <c r="F10" s="15" t="n">
        <v>139174</v>
      </c>
      <c r="G10" s="18">
        <f>E10+F10</f>
        <v/>
      </c>
      <c r="H10" s="16">
        <f>E10/$G10</f>
        <v/>
      </c>
      <c r="I10" s="16">
        <f>F10/$G10</f>
        <v/>
      </c>
      <c r="J10" s="16" t="n">
        <v>0.4</v>
      </c>
    </row>
    <row r="11">
      <c r="A11" s="17" t="n">
        <v>44835</v>
      </c>
      <c r="B11" s="8">
        <f>'[1]Cepea Mensal'!B305</f>
        <v/>
      </c>
      <c r="E11" s="14" t="n">
        <v>276429</v>
      </c>
      <c r="F11" s="15" t="n">
        <v>123879</v>
      </c>
      <c r="G11" s="18">
        <f>E11+F11</f>
        <v/>
      </c>
      <c r="H11" s="16">
        <f>E11/$G11</f>
        <v/>
      </c>
      <c r="I11" s="16">
        <f>F11/$G11</f>
        <v/>
      </c>
      <c r="J11" s="16" t="n">
        <v>0.4</v>
      </c>
    </row>
    <row r="12">
      <c r="A12" s="17" t="n">
        <v>44866</v>
      </c>
      <c r="B12" s="8">
        <f>'[1]Cepea Mensal'!B306</f>
        <v/>
      </c>
      <c r="E12" s="14" t="n">
        <v>291794</v>
      </c>
      <c r="F12" s="15" t="n">
        <v>143733</v>
      </c>
      <c r="G12" s="18">
        <f>E12+F12</f>
        <v/>
      </c>
      <c r="H12" s="16">
        <f>E12/$G12</f>
        <v/>
      </c>
      <c r="I12" s="16">
        <f>F12/$G12</f>
        <v/>
      </c>
      <c r="J12" s="16" t="n">
        <v>0.4</v>
      </c>
    </row>
    <row r="13">
      <c r="A13" s="17" t="n">
        <v>44896</v>
      </c>
      <c r="B13" s="8">
        <f>'[1]Cepea Mensal'!B307</f>
        <v/>
      </c>
      <c r="E13" s="14" t="n">
        <v>271623</v>
      </c>
      <c r="F13" s="15" t="n">
        <v>166625</v>
      </c>
      <c r="G13" s="18">
        <f>E13+F13</f>
        <v/>
      </c>
      <c r="H13" s="16">
        <f>E13/$G13</f>
        <v/>
      </c>
      <c r="I13" s="16">
        <f>F13/$G13</f>
        <v/>
      </c>
      <c r="J13" s="16" t="n">
        <v>0.4</v>
      </c>
    </row>
    <row r="14">
      <c r="A14" s="17" t="n">
        <v>44927</v>
      </c>
      <c r="B14" s="8">
        <f>'[1]Cepea Mensal'!B308</f>
        <v/>
      </c>
      <c r="C14" s="3" t="n">
        <v>2395.324090909091</v>
      </c>
      <c r="E14" s="15" t="n">
        <v>279332</v>
      </c>
      <c r="F14" s="15" t="n">
        <v>194910</v>
      </c>
      <c r="G14" s="18">
        <f>E14+F14</f>
        <v/>
      </c>
      <c r="H14" s="16">
        <f>E14/$G14</f>
        <v/>
      </c>
      <c r="I14" s="16">
        <f>F14/$G14</f>
        <v/>
      </c>
      <c r="J14" s="16" t="n">
        <v>0.4</v>
      </c>
      <c r="K14" s="19">
        <f>I2</f>
        <v/>
      </c>
    </row>
    <row r="15">
      <c r="A15" s="17" t="n">
        <v>44958</v>
      </c>
      <c r="B15" s="8">
        <f>'[1]Cepea Mensal'!B309</f>
        <v/>
      </c>
      <c r="C15" s="3" t="n">
        <v>2377.47</v>
      </c>
      <c r="E15" s="15" t="n">
        <v>197336</v>
      </c>
      <c r="F15" s="15" t="n">
        <v>207772</v>
      </c>
      <c r="G15" s="18">
        <f>E15+F15</f>
        <v/>
      </c>
      <c r="H15" s="16">
        <f>E15/$G15</f>
        <v/>
      </c>
      <c r="I15" s="16">
        <f>F15/$G15</f>
        <v/>
      </c>
      <c r="J15" s="16" t="n">
        <v>0.4</v>
      </c>
      <c r="K15" s="19">
        <f>I3</f>
        <v/>
      </c>
    </row>
    <row r="16">
      <c r="A16" s="17" t="n">
        <v>44986</v>
      </c>
      <c r="B16" s="8">
        <f>'[1]Cepea Mensal'!B310</f>
        <v/>
      </c>
      <c r="C16" s="3" t="n">
        <v>2372.334782608696</v>
      </c>
      <c r="E16" s="15" t="n">
        <v>217210</v>
      </c>
      <c r="F16" s="15" t="n">
        <v>255275</v>
      </c>
      <c r="G16" s="18">
        <f>E16+F16</f>
        <v/>
      </c>
      <c r="H16" s="16">
        <f>E16/$G16</f>
        <v/>
      </c>
      <c r="I16" s="16">
        <f>F16/$G16</f>
        <v/>
      </c>
      <c r="J16" s="16" t="n">
        <v>0.4</v>
      </c>
      <c r="K16" s="19">
        <f>I4</f>
        <v/>
      </c>
    </row>
    <row r="17">
      <c r="A17" s="17" t="n">
        <v>45017</v>
      </c>
      <c r="B17" s="8">
        <f>'[1]Cepea Mensal'!B311</f>
        <v/>
      </c>
      <c r="C17" s="3" t="n">
        <v>2429.538333333333</v>
      </c>
      <c r="E17" s="15" t="n">
        <v>221359</v>
      </c>
      <c r="F17" s="15" t="n">
        <v>228207</v>
      </c>
      <c r="G17" s="18">
        <f>E17+F17</f>
        <v/>
      </c>
      <c r="H17" s="16">
        <f>E17/$G17</f>
        <v/>
      </c>
      <c r="I17" s="16">
        <f>F17/$G17</f>
        <v/>
      </c>
      <c r="J17" s="16" t="n">
        <v>0.4</v>
      </c>
      <c r="K17" s="19">
        <f>I5</f>
        <v/>
      </c>
    </row>
    <row r="18">
      <c r="A18" s="17" t="n">
        <v>45047</v>
      </c>
      <c r="B18" s="8">
        <f>'[1]Cepea Mensal'!B312</f>
        <v/>
      </c>
      <c r="C18" s="3" t="n">
        <v>2280.334090909091</v>
      </c>
      <c r="E18" s="15" t="n">
        <v>261595</v>
      </c>
      <c r="F18" s="15" t="n">
        <v>290617</v>
      </c>
      <c r="G18" s="18">
        <f>E18+F18</f>
        <v/>
      </c>
      <c r="H18" s="16">
        <f>E18/$G18</f>
        <v/>
      </c>
      <c r="I18" s="16">
        <f>F18/$G18</f>
        <v/>
      </c>
      <c r="J18" s="16" t="n">
        <v>0.4</v>
      </c>
      <c r="K18" s="19">
        <f>I6</f>
        <v/>
      </c>
    </row>
    <row r="19">
      <c r="A19" s="17" t="n">
        <v>45078</v>
      </c>
      <c r="B19" s="8">
        <f>'[1]Cepea Mensal'!B313</f>
        <v/>
      </c>
      <c r="C19" s="3" t="n">
        <v>2186.696666666666</v>
      </c>
      <c r="E19" s="15" t="n">
        <v>252112</v>
      </c>
      <c r="F19" s="15" t="n">
        <v>267688</v>
      </c>
      <c r="G19" s="18">
        <f>E19+F19</f>
        <v/>
      </c>
      <c r="H19" s="16">
        <f>E19/$G19</f>
        <v/>
      </c>
      <c r="I19" s="16">
        <f>F19/$G19</f>
        <v/>
      </c>
      <c r="J19" s="16" t="n">
        <v>0.4</v>
      </c>
      <c r="K19" s="19">
        <f>I7</f>
        <v/>
      </c>
    </row>
    <row r="20">
      <c r="A20" s="17" t="n">
        <v>45108</v>
      </c>
      <c r="B20" s="8">
        <f>'[1]Cepea Mensal'!B314</f>
        <v/>
      </c>
      <c r="C20" s="3" t="n">
        <v>2176.604285714286</v>
      </c>
      <c r="E20" s="15" t="n">
        <v>280943</v>
      </c>
      <c r="F20" s="15" t="n">
        <v>245647</v>
      </c>
      <c r="G20" s="18">
        <f>E20+F20</f>
        <v/>
      </c>
      <c r="H20" s="16">
        <f>E20/$G20</f>
        <v/>
      </c>
      <c r="I20" s="16">
        <f>F20/$G20</f>
        <v/>
      </c>
      <c r="J20" s="16" t="n">
        <v>0.4</v>
      </c>
      <c r="K20" s="19">
        <f>I8</f>
        <v/>
      </c>
    </row>
    <row r="21">
      <c r="A21" s="17" t="n">
        <v>45139</v>
      </c>
      <c r="B21" s="8">
        <f>'[1]Cepea Mensal'!B315</f>
        <v/>
      </c>
      <c r="C21" s="3" t="n">
        <v>2070.354782608695</v>
      </c>
      <c r="E21" s="15" t="n">
        <v>342069</v>
      </c>
      <c r="F21" s="15" t="n">
        <v>239442</v>
      </c>
      <c r="G21" s="18">
        <f>E21+F21</f>
        <v/>
      </c>
      <c r="H21" s="16">
        <f>E21/$G21</f>
        <v/>
      </c>
      <c r="I21" s="16">
        <f>F21/$G21</f>
        <v/>
      </c>
      <c r="J21" s="16" t="n">
        <v>0.4</v>
      </c>
      <c r="K21" s="19">
        <f>I9</f>
        <v/>
      </c>
    </row>
    <row r="22">
      <c r="A22" s="17" t="n">
        <v>45170</v>
      </c>
      <c r="B22" s="8">
        <f>'[1]Cepea Mensal'!B316</f>
        <v/>
      </c>
      <c r="C22" s="3" t="n">
        <v>2005.3475</v>
      </c>
      <c r="E22" s="15" t="n">
        <v>346752</v>
      </c>
      <c r="F22" s="15" t="n">
        <v>210619</v>
      </c>
      <c r="G22" s="18">
        <f>E22+F22</f>
        <v/>
      </c>
      <c r="H22" s="16">
        <f>E22/$G22</f>
        <v/>
      </c>
      <c r="I22" s="16">
        <f>F22/$G22</f>
        <v/>
      </c>
      <c r="J22" s="16" t="n">
        <v>0.4</v>
      </c>
      <c r="K22" s="19">
        <f>I10</f>
        <v/>
      </c>
    </row>
    <row r="23">
      <c r="A23" s="17" t="n">
        <v>45200</v>
      </c>
      <c r="B23" s="8">
        <f>'[1]Cepea Mensal'!B317</f>
        <v/>
      </c>
      <c r="C23" s="3" t="n">
        <v>2058.338095238095</v>
      </c>
      <c r="E23" s="15" t="n">
        <v>343212</v>
      </c>
      <c r="F23" s="15" t="n">
        <v>209644</v>
      </c>
      <c r="G23" s="18">
        <f>E23+F23</f>
        <v/>
      </c>
      <c r="H23" s="16">
        <f>E23/$G23</f>
        <v/>
      </c>
      <c r="I23" s="16">
        <f>F23/$G23</f>
        <v/>
      </c>
      <c r="J23" s="16" t="n">
        <v>0.4</v>
      </c>
      <c r="K23" s="19">
        <f>I11</f>
        <v/>
      </c>
    </row>
    <row r="24">
      <c r="A24" s="17" t="n">
        <v>45231</v>
      </c>
      <c r="B24" s="8">
        <f>'[1]Cepea Mensal'!B318</f>
        <v/>
      </c>
      <c r="C24" s="3" t="n">
        <v>2059.0095</v>
      </c>
      <c r="E24" s="15" t="n">
        <v>329816</v>
      </c>
      <c r="F24" s="15" t="n">
        <v>226974</v>
      </c>
      <c r="G24" s="18">
        <f>E24+F24</f>
        <v/>
      </c>
      <c r="H24" s="16">
        <f>E24/$G24</f>
        <v/>
      </c>
      <c r="I24" s="16">
        <f>F24/$G24</f>
        <v/>
      </c>
      <c r="J24" s="16" t="n">
        <v>0.4</v>
      </c>
      <c r="K24" s="19">
        <f>I12</f>
        <v/>
      </c>
    </row>
    <row r="25">
      <c r="A25" s="17" t="n">
        <v>45261</v>
      </c>
      <c r="B25" s="8">
        <f>'[1]Cepea Mensal'!B319</f>
        <v/>
      </c>
      <c r="C25" s="3" t="n">
        <v>2109.326315789474</v>
      </c>
      <c r="E25" s="15" t="n">
        <v>285793</v>
      </c>
      <c r="F25" s="15" t="n">
        <v>229377</v>
      </c>
      <c r="G25" s="18">
        <f>E25+F25</f>
        <v/>
      </c>
      <c r="H25" s="16">
        <f>E25/$G25</f>
        <v/>
      </c>
      <c r="I25" s="16">
        <f>F25/$G25</f>
        <v/>
      </c>
      <c r="J25" s="16" t="n">
        <v>0.4</v>
      </c>
      <c r="K25" s="19">
        <f>I13</f>
        <v/>
      </c>
    </row>
    <row r="26">
      <c r="A26" s="17" t="n">
        <v>45292</v>
      </c>
      <c r="B26" s="8">
        <f>'[1]Cepea Mensal'!B320</f>
        <v/>
      </c>
      <c r="C26" s="3" t="n">
        <v>2085.746818181819</v>
      </c>
      <c r="E26" s="15" t="n">
        <v>306660</v>
      </c>
      <c r="F26" s="15" t="n">
        <v>308478</v>
      </c>
      <c r="G26" s="18">
        <f>E26+F26</f>
        <v/>
      </c>
      <c r="H26" s="16">
        <f>E26/$G26</f>
        <v/>
      </c>
      <c r="I26" s="16">
        <f>F26/$G26</f>
        <v/>
      </c>
      <c r="J26" s="16" t="n">
        <v>0.4</v>
      </c>
      <c r="K26" s="19">
        <f>I14</f>
        <v/>
      </c>
    </row>
    <row r="27">
      <c r="A27" s="17" t="n">
        <v>45323</v>
      </c>
      <c r="B27" s="8">
        <f>'[1]Cepea Mensal'!B321</f>
        <v/>
      </c>
      <c r="C27" s="3" t="n">
        <v>2053.885263157895</v>
      </c>
      <c r="E27" s="15" t="n">
        <v>254525</v>
      </c>
      <c r="F27" s="15" t="n">
        <v>324998</v>
      </c>
      <c r="G27" s="18">
        <f>E27+F27</f>
        <v/>
      </c>
      <c r="H27" s="16">
        <f>E27/$G27</f>
        <v/>
      </c>
      <c r="I27" s="16">
        <f>F27/$G27</f>
        <v/>
      </c>
      <c r="J27" s="16" t="n">
        <v>0.4</v>
      </c>
      <c r="K27" s="19">
        <f>I15</f>
        <v/>
      </c>
    </row>
    <row r="28">
      <c r="A28" s="17" t="n">
        <v>45352</v>
      </c>
      <c r="B28" s="8">
        <f>'[1]Cepea Mensal'!B322</f>
        <v/>
      </c>
      <c r="C28" s="3" t="n">
        <v>2058.8905</v>
      </c>
      <c r="E28" s="15" t="n">
        <v>256928</v>
      </c>
      <c r="F28" s="15" t="n">
        <v>317676</v>
      </c>
      <c r="G28" s="18">
        <f>E28+F28</f>
        <v/>
      </c>
      <c r="H28" s="16">
        <f>E28/$G28</f>
        <v/>
      </c>
      <c r="I28" s="16">
        <f>F28/$G28</f>
        <v/>
      </c>
      <c r="J28" s="16" t="n">
        <v>0.4</v>
      </c>
      <c r="K28" s="19">
        <f>I16</f>
        <v/>
      </c>
    </row>
    <row r="29">
      <c r="A29" s="17" t="n">
        <v>45383</v>
      </c>
      <c r="B29" s="8">
        <f>'[1]Cepea Mensal'!B323</f>
        <v/>
      </c>
      <c r="C29" s="3" t="n">
        <v>2086.955</v>
      </c>
      <c r="E29" s="15" t="n">
        <v>275847</v>
      </c>
      <c r="F29" s="15" t="n">
        <v>343834</v>
      </c>
      <c r="G29" s="18">
        <f>E29+F29</f>
        <v/>
      </c>
      <c r="H29" s="16">
        <f>E29/$G29</f>
        <v/>
      </c>
      <c r="I29" s="16">
        <f>F29/$G29</f>
        <v/>
      </c>
      <c r="J29" s="16" t="n">
        <v>0.4</v>
      </c>
      <c r="K29" s="19">
        <f>I17</f>
        <v/>
      </c>
    </row>
    <row r="30">
      <c r="A30" s="17" t="n">
        <v>45413</v>
      </c>
      <c r="B30" s="8">
        <f>'[1]Cepea Mensal'!B324</f>
        <v/>
      </c>
      <c r="C30" s="3" t="n">
        <v>2091.288571428572</v>
      </c>
      <c r="E30" s="15" t="n">
        <v>304395</v>
      </c>
      <c r="F30" s="15" t="n">
        <v>323099</v>
      </c>
      <c r="G30" s="18">
        <f>E30+F30</f>
        <v/>
      </c>
      <c r="H30" s="16">
        <f>E30/$G30</f>
        <v/>
      </c>
      <c r="I30" s="16">
        <f>F30/$G30</f>
        <v/>
      </c>
      <c r="J30" s="16" t="n">
        <v>0.4</v>
      </c>
      <c r="K30" s="19">
        <f>I18</f>
        <v/>
      </c>
    </row>
    <row r="31">
      <c r="A31" s="17" t="n">
        <v>45444</v>
      </c>
      <c r="B31" s="8">
        <f>'[1]Cepea Mensal'!B325</f>
        <v/>
      </c>
      <c r="C31" s="3" t="n">
        <v>2063.0195</v>
      </c>
      <c r="E31" s="15" t="n">
        <v>302085</v>
      </c>
      <c r="F31" s="15" t="n">
        <v>298663</v>
      </c>
      <c r="G31" s="18">
        <f>E31+F31</f>
        <v/>
      </c>
      <c r="H31" s="16">
        <f>E31/$G31</f>
        <v/>
      </c>
      <c r="I31" s="16">
        <f>F31/$G31</f>
        <v/>
      </c>
      <c r="J31" s="16" t="n">
        <v>0.4</v>
      </c>
      <c r="K31" s="19">
        <f>I19</f>
        <v/>
      </c>
    </row>
    <row r="32">
      <c r="A32" s="17" t="n">
        <v>45474</v>
      </c>
      <c r="B32" s="8">
        <f>'[1]Cepea Mensal'!B326</f>
        <v/>
      </c>
      <c r="C32" s="3" t="n">
        <v>2020.665217391304</v>
      </c>
      <c r="E32" s="15" t="n">
        <v>360962</v>
      </c>
      <c r="F32" s="15" t="n">
        <v>328204</v>
      </c>
      <c r="G32" s="18">
        <f>E32+F32</f>
        <v/>
      </c>
      <c r="H32" s="16">
        <f>E32/$G32</f>
        <v/>
      </c>
      <c r="I32" s="16">
        <f>F32/$G32</f>
        <v/>
      </c>
      <c r="J32" s="16" t="n">
        <v>0.4</v>
      </c>
      <c r="K32" s="19">
        <f>I20</f>
        <v/>
      </c>
    </row>
    <row r="33">
      <c r="A33" s="17" t="n">
        <v>45505</v>
      </c>
      <c r="B33" s="8">
        <f>'[1]Cepea Mensal'!B327</f>
        <v/>
      </c>
      <c r="C33" s="3" t="n">
        <v>2063.221818181818</v>
      </c>
      <c r="E33" s="15" t="n">
        <v>384283</v>
      </c>
      <c r="F33" s="15" t="n">
        <v>282699</v>
      </c>
      <c r="G33" s="18">
        <f>E33+F33</f>
        <v/>
      </c>
      <c r="H33" s="16">
        <f>E33/$G33</f>
        <v/>
      </c>
      <c r="I33" s="16">
        <f>F33/$G33</f>
        <v/>
      </c>
      <c r="J33" s="16" t="n">
        <v>0.4</v>
      </c>
      <c r="K33" s="19">
        <f>I21</f>
        <v/>
      </c>
    </row>
    <row r="34">
      <c r="A34" s="17" t="n">
        <v>45536</v>
      </c>
      <c r="B34" s="8">
        <f>'[1]Cepea Mensal'!B328</f>
        <v/>
      </c>
      <c r="C34" s="3" t="n">
        <v>2096.122380952381</v>
      </c>
      <c r="E34" s="15" t="n">
        <v>406246</v>
      </c>
      <c r="F34" s="15" t="n">
        <v>240801</v>
      </c>
      <c r="G34" s="18">
        <f>E34+F34</f>
        <v/>
      </c>
      <c r="H34" s="16">
        <f>E34/$G34</f>
        <v/>
      </c>
      <c r="I34" s="16">
        <f>F34/$G34</f>
        <v/>
      </c>
      <c r="J34" s="16" t="n">
        <v>0.4</v>
      </c>
      <c r="K34" s="19">
        <f>I22</f>
        <v/>
      </c>
    </row>
    <row r="35">
      <c r="A35" s="17" t="n">
        <v>45566</v>
      </c>
      <c r="B35" s="8">
        <f>'[1]Cepea Mensal'!B329</f>
        <v/>
      </c>
      <c r="C35" s="3" t="n">
        <v>2205.462173913043</v>
      </c>
      <c r="E35" s="15" t="n">
        <v>402814</v>
      </c>
      <c r="F35" s="15" t="n">
        <v>224375</v>
      </c>
      <c r="G35" s="18">
        <f>E35+F35</f>
        <v/>
      </c>
      <c r="H35" s="16">
        <f>E35/$G35</f>
        <v/>
      </c>
      <c r="I35" s="16">
        <f>F35/$G35</f>
        <v/>
      </c>
      <c r="J35" s="16" t="n">
        <v>0.4</v>
      </c>
      <c r="K35" s="19">
        <f>I23</f>
        <v/>
      </c>
    </row>
    <row r="36">
      <c r="A36" s="17" t="n">
        <v>45597</v>
      </c>
      <c r="B36" s="8">
        <f>'[1]Cepea Mensal'!B330</f>
        <v/>
      </c>
      <c r="C36" s="3" t="n">
        <v>2575.596315789473</v>
      </c>
      <c r="E36" s="15" t="n">
        <v>351910</v>
      </c>
      <c r="F36" s="15" t="n">
        <v>237024</v>
      </c>
      <c r="G36" s="18">
        <f>E36+F36</f>
        <v/>
      </c>
      <c r="H36" s="16">
        <f>E36/$G36</f>
        <v/>
      </c>
      <c r="I36" s="16">
        <f>F36/$G36</f>
        <v/>
      </c>
      <c r="J36" s="16" t="n">
        <v>0.4</v>
      </c>
      <c r="K36" s="19">
        <f>I24</f>
        <v/>
      </c>
    </row>
    <row r="37">
      <c r="A37" s="17" t="n">
        <v>45627</v>
      </c>
      <c r="B37" s="8">
        <f>'[1]Cepea Mensal'!B331</f>
        <v/>
      </c>
      <c r="C37" s="3" t="n">
        <v>2672.611578947368</v>
      </c>
      <c r="E37" s="15" t="n">
        <v>281650</v>
      </c>
      <c r="F37" s="15" t="n">
        <v>239004</v>
      </c>
      <c r="G37" s="18">
        <f>E37+F37</f>
        <v/>
      </c>
      <c r="H37" s="16">
        <f>E37/$G37</f>
        <v/>
      </c>
      <c r="I37" s="16">
        <f>F37/$G37</f>
        <v/>
      </c>
      <c r="J37" s="16" t="n">
        <v>0.4</v>
      </c>
      <c r="K37" s="19">
        <f>I25</f>
        <v/>
      </c>
    </row>
    <row r="38">
      <c r="A38" s="17" t="n">
        <v>45658</v>
      </c>
      <c r="B38" s="8">
        <f>'[1]Cepea Mensal'!B332</f>
        <v/>
      </c>
      <c r="C38" s="3" t="n">
        <v>2633.844545454545</v>
      </c>
      <c r="E38" s="15" t="n">
        <v>284753</v>
      </c>
      <c r="F38" s="15" t="n">
        <v>329872</v>
      </c>
      <c r="G38" s="18">
        <f>E38+F38</f>
        <v/>
      </c>
      <c r="H38" s="16">
        <f>E38/$G38</f>
        <v/>
      </c>
      <c r="I38" s="16">
        <f>F38/$G38</f>
        <v/>
      </c>
      <c r="J38" s="16" t="n">
        <v>0.4</v>
      </c>
      <c r="K38" s="19">
        <f>I26</f>
        <v/>
      </c>
    </row>
    <row r="39">
      <c r="A39" s="17" t="n">
        <v>45689</v>
      </c>
      <c r="B39" s="8">
        <f>'[1]Cepea Mensal'!B333</f>
        <v/>
      </c>
      <c r="C39" s="3" t="n">
        <v>2667.645</v>
      </c>
      <c r="E39" s="15" t="n">
        <v>245851</v>
      </c>
      <c r="F39" s="15" t="n">
        <v>311843</v>
      </c>
      <c r="G39" s="18">
        <f>E39+F39</f>
        <v/>
      </c>
      <c r="H39" s="16">
        <f>E39/$G39</f>
        <v/>
      </c>
      <c r="I39" s="16">
        <f>F39/$G39</f>
        <v/>
      </c>
      <c r="J39" s="16" t="n">
        <v>0.4</v>
      </c>
      <c r="K39" s="19">
        <f>I27</f>
        <v/>
      </c>
    </row>
    <row r="40">
      <c r="A40" s="17" t="n">
        <v>45717</v>
      </c>
      <c r="B40" s="8">
        <f>'[1]Cepea Mensal'!B334</f>
        <v/>
      </c>
      <c r="C40" s="3" t="n">
        <v>2682.98</v>
      </c>
      <c r="E40" s="15" t="n">
        <v>246940</v>
      </c>
      <c r="F40" s="15" t="n">
        <v>300139</v>
      </c>
      <c r="G40" s="18">
        <f>E40+F40</f>
        <v/>
      </c>
      <c r="H40" s="16">
        <f>E40/$G40</f>
        <v/>
      </c>
      <c r="I40" s="16">
        <f>F40/$G40</f>
        <v/>
      </c>
      <c r="J40" s="16" t="n">
        <v>0.4</v>
      </c>
      <c r="K40" s="19">
        <f>I28</f>
        <v/>
      </c>
    </row>
    <row r="41">
      <c r="A41" s="17" t="n">
        <v>45748</v>
      </c>
      <c r="B41" s="8">
        <f>'[1]Cepea Mensal'!B335</f>
        <v/>
      </c>
      <c r="C41" s="3" t="n">
        <v>2821.728</v>
      </c>
      <c r="E41" s="15" t="n">
        <v>251116</v>
      </c>
      <c r="F41" s="15" t="n">
        <v>330365</v>
      </c>
      <c r="G41" s="18">
        <f>E41+F41</f>
        <v/>
      </c>
      <c r="H41" s="16">
        <f>E41/$G41</f>
        <v/>
      </c>
      <c r="I41" s="16">
        <f>F41/$G41</f>
        <v/>
      </c>
      <c r="J41" s="16" t="n">
        <v>0.4</v>
      </c>
      <c r="K41" s="19">
        <f>I29</f>
        <v/>
      </c>
    </row>
    <row r="42">
      <c r="A42" s="17" t="n">
        <v>45778</v>
      </c>
      <c r="B42" s="8">
        <f>'[1]Cepea Mensal'!B336</f>
        <v/>
      </c>
      <c r="C42" s="3" t="n">
        <v>2921.02238095238</v>
      </c>
      <c r="E42" s="15" t="n">
        <v>279092</v>
      </c>
      <c r="F42" s="15" t="n">
        <v>332857</v>
      </c>
      <c r="G42" s="18">
        <f>E42+F42</f>
        <v/>
      </c>
      <c r="H42" s="16">
        <f>E42/$G42</f>
        <v/>
      </c>
      <c r="I42" s="16">
        <f>F42/$G42</f>
        <v/>
      </c>
      <c r="J42" s="16" t="n">
        <v>0.4</v>
      </c>
      <c r="K42" s="19">
        <f>I30</f>
        <v/>
      </c>
    </row>
    <row r="43">
      <c r="A43" s="17" t="n">
        <v>45809</v>
      </c>
      <c r="B43" s="8">
        <f>'[1]Cepea Mensal'!B337</f>
        <v/>
      </c>
      <c r="C43" s="3" t="n">
        <v>2919.716</v>
      </c>
      <c r="E43" s="15" t="n">
        <v>290288</v>
      </c>
      <c r="F43" s="15" t="n">
        <v>322870</v>
      </c>
      <c r="G43" s="18">
        <f>E43+F43</f>
        <v/>
      </c>
      <c r="H43" s="16">
        <f>E43/$G43</f>
        <v/>
      </c>
      <c r="I43" s="16">
        <f>F43/$G43</f>
        <v/>
      </c>
      <c r="J43" s="16" t="n">
        <v>0.4</v>
      </c>
      <c r="K43" s="19">
        <f>I31</f>
        <v/>
      </c>
    </row>
    <row r="44">
      <c r="A44" s="17" t="n">
        <v>45839</v>
      </c>
      <c r="B44" s="8">
        <f>'[1]Cepea Mensal'!B338</f>
        <v/>
      </c>
      <c r="C44" s="3" t="n">
        <v>2860.389565217391</v>
      </c>
      <c r="E44" s="15" t="n">
        <v>339047</v>
      </c>
      <c r="F44" s="15" t="n">
        <v>317447</v>
      </c>
      <c r="G44" s="18">
        <f>E44+F44</f>
        <v/>
      </c>
      <c r="H44" s="16">
        <f>E44/$G44</f>
        <v/>
      </c>
      <c r="I44" s="16">
        <f>F44/$G44</f>
        <v/>
      </c>
      <c r="J44" s="16" t="n">
        <v>0.4</v>
      </c>
      <c r="K44" s="19">
        <f>I32</f>
        <v/>
      </c>
    </row>
    <row r="45">
      <c r="A45" s="17" t="n">
        <v>45870</v>
      </c>
      <c r="B45" s="8">
        <f>'[1]Cepea Mensal'!B339</f>
        <v/>
      </c>
      <c r="C45" s="3" t="n">
        <v>2854.039047619048</v>
      </c>
      <c r="E45" s="15" t="n">
        <v>359320</v>
      </c>
      <c r="F45" s="15" t="n">
        <v>301422</v>
      </c>
      <c r="G45" s="18">
        <f>E45+F45</f>
        <v/>
      </c>
      <c r="H45" s="16">
        <f>E45/$G45</f>
        <v/>
      </c>
      <c r="I45" s="16">
        <f>F45/$G45</f>
        <v/>
      </c>
      <c r="J45" s="16" t="n">
        <v>0.4</v>
      </c>
      <c r="K45" s="19">
        <f>I33</f>
        <v/>
      </c>
    </row>
    <row r="46">
      <c r="A46" s="17" t="n">
        <v>45901</v>
      </c>
      <c r="B46" s="8">
        <f>'[1]Cepea Mensal'!B340</f>
        <v/>
      </c>
      <c r="C46" s="3" t="n">
        <v>2926.949999999999</v>
      </c>
      <c r="E46" s="15" t="n">
        <v>367368</v>
      </c>
      <c r="F46" s="15" t="n">
        <v>288944</v>
      </c>
      <c r="G46" s="18">
        <f>E46+F46</f>
        <v/>
      </c>
      <c r="H46" s="16">
        <f>E46/$G46</f>
        <v/>
      </c>
      <c r="I46" s="16">
        <f>F46/$G46</f>
        <v/>
      </c>
      <c r="J46" s="16" t="n">
        <v>0.4</v>
      </c>
      <c r="K46" s="19">
        <f>I34</f>
        <v/>
      </c>
    </row>
    <row r="47">
      <c r="A47" s="17" t="n">
        <v>45931</v>
      </c>
      <c r="B47" s="8">
        <f>'[1]Cepea Mensal'!B341</f>
        <v/>
      </c>
      <c r="C47" s="3" t="n">
        <v>2929.970869565217</v>
      </c>
      <c r="E47" s="15" t="n">
        <v>433965</v>
      </c>
      <c r="F47" s="15" t="n">
        <v>281349</v>
      </c>
      <c r="G47" s="18">
        <f>E47+F47</f>
        <v/>
      </c>
      <c r="H47" s="16">
        <f>E47/$G47</f>
        <v/>
      </c>
      <c r="I47" s="16">
        <f>F47/$G47</f>
        <v/>
      </c>
      <c r="J47" s="16" t="n">
        <v>0.4</v>
      </c>
      <c r="K47" s="19">
        <f>I35</f>
        <v/>
      </c>
    </row>
    <row r="48">
      <c r="A48" s="17" t="n">
        <v>45962</v>
      </c>
      <c r="B48" s="8">
        <f>'[1]Cepea Mensal'!B342</f>
        <v/>
      </c>
      <c r="C48" s="3" t="n">
        <v>2989.501578947368</v>
      </c>
      <c r="E48" s="15" t="n">
        <v>395007</v>
      </c>
      <c r="F48" s="15" t="n">
        <v>245034</v>
      </c>
      <c r="G48" s="18">
        <f>E48+F48</f>
        <v/>
      </c>
      <c r="H48" s="16">
        <f>E48/$G48</f>
        <v/>
      </c>
      <c r="I48" s="16">
        <f>F48/$G48</f>
        <v/>
      </c>
      <c r="J48" s="16" t="n">
        <v>0.4</v>
      </c>
      <c r="K48" s="19">
        <f>I36</f>
        <v/>
      </c>
    </row>
    <row r="49">
      <c r="A49" s="17" t="n">
        <v>45992</v>
      </c>
      <c r="B49" s="8">
        <f>AVERAGE('S.H BOI GORDO'!B7058:B7077)</f>
        <v/>
      </c>
      <c r="C49" s="3">
        <f>AVERAGE(BEZERRO!#REF!)</f>
        <v/>
      </c>
      <c r="E49" s="14" t="n">
        <v>352051</v>
      </c>
      <c r="F49" s="15" t="n">
        <v>255884</v>
      </c>
      <c r="G49" s="18">
        <f>E49+F49</f>
        <v/>
      </c>
      <c r="H49" s="16">
        <f>E49/$G49</f>
        <v/>
      </c>
      <c r="I49" s="16">
        <f>F49/$G49</f>
        <v/>
      </c>
      <c r="J49" s="16" t="n">
        <v>0.4</v>
      </c>
      <c r="K49" s="19">
        <f>I37</f>
        <v/>
      </c>
    </row>
    <row r="50">
      <c r="A50" s="17" t="n">
        <v>46023</v>
      </c>
      <c r="E50" s="14" t="n">
        <v>330486</v>
      </c>
      <c r="F50" s="15" t="n">
        <v>310553</v>
      </c>
      <c r="G50" s="18">
        <f>E50+F50</f>
        <v/>
      </c>
      <c r="H50" s="16">
        <f>E50/$G50</f>
        <v/>
      </c>
      <c r="I50" s="16">
        <f>F50/$G50</f>
        <v/>
      </c>
      <c r="J50" s="16" t="n">
        <v>0.4</v>
      </c>
      <c r="K50" s="19">
        <f>I38</f>
        <v/>
      </c>
    </row>
    <row r="51">
      <c r="A51" s="17" t="n">
        <v>46054</v>
      </c>
      <c r="E51" s="14" t="n">
        <v>266921</v>
      </c>
      <c r="F51" s="15" t="n">
        <v>299663</v>
      </c>
      <c r="G51" s="18">
        <f>E51+F51</f>
        <v/>
      </c>
      <c r="H51" s="16">
        <f>E51/$G51</f>
        <v/>
      </c>
      <c r="I51" s="16">
        <f>F51/$G51</f>
        <v/>
      </c>
      <c r="J51" s="16" t="n">
        <v>0.4</v>
      </c>
      <c r="K51" s="19">
        <f>I39</f>
        <v/>
      </c>
    </row>
    <row r="52">
      <c r="A52" s="17" t="n">
        <v>46082</v>
      </c>
      <c r="E52" s="14" t="n">
        <v>301883</v>
      </c>
      <c r="F52" s="15" t="n">
        <v>325030</v>
      </c>
      <c r="G52" s="18">
        <f>E52+F52</f>
        <v/>
      </c>
      <c r="H52" s="16">
        <f>E52/$G52</f>
        <v/>
      </c>
      <c r="I52" s="16">
        <f>F52/$G52</f>
        <v/>
      </c>
      <c r="J52" s="16" t="n">
        <v>0.4</v>
      </c>
      <c r="K52" s="19">
        <f>I40</f>
        <v/>
      </c>
    </row>
    <row r="53">
      <c r="A53" s="17" t="n">
        <v>46113</v>
      </c>
      <c r="E53" s="14" t="n">
        <v>281578</v>
      </c>
      <c r="F53" s="15" t="n">
        <v>305287</v>
      </c>
      <c r="G53" s="18">
        <f>E53+F53</f>
        <v/>
      </c>
      <c r="H53" s="16">
        <f>E53/$G53</f>
        <v/>
      </c>
      <c r="I53" s="16">
        <f>F53/$G53</f>
        <v/>
      </c>
      <c r="J53" s="16" t="n">
        <v>0.4</v>
      </c>
      <c r="K53" s="19">
        <f>I41</f>
        <v/>
      </c>
    </row>
    <row r="54">
      <c r="A54" s="17" t="n">
        <v>46143</v>
      </c>
      <c r="E54" s="14" t="n">
        <v>307272</v>
      </c>
      <c r="F54" s="15" t="n">
        <v>303530</v>
      </c>
      <c r="G54" s="18">
        <f>E54+F54</f>
        <v/>
      </c>
      <c r="H54" s="16">
        <f>E54/$G54</f>
        <v/>
      </c>
      <c r="I54" s="16">
        <f>F54/$G54</f>
        <v/>
      </c>
      <c r="J54" s="16" t="n">
        <v>0.4</v>
      </c>
      <c r="K54" s="19">
        <f>I42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 codeName="Planilha2">
    <outlinePr summaryBelow="1" summaryRight="1"/>
    <pageSetUpPr/>
  </sheetPr>
  <dimension ref="A1:V5729"/>
  <sheetViews>
    <sheetView topLeftCell="A91" workbookViewId="0">
      <selection activeCell="C105" sqref="C105"/>
    </sheetView>
  </sheetViews>
  <sheetFormatPr baseColWidth="8" defaultRowHeight="15" outlineLevelCol="0"/>
  <cols>
    <col width="12.5703125" bestFit="1" customWidth="1" style="2" min="1" max="1"/>
    <col width="9.140625" customWidth="1" style="1" min="2" max="2"/>
    <col width="12.5703125" bestFit="1" customWidth="1" style="1" min="3" max="3"/>
    <col width="15.28515625" bestFit="1" customWidth="1" style="1" min="4" max="4"/>
    <col width="9.140625" customWidth="1" style="1" min="5" max="14"/>
    <col width="9.140625" customWidth="1" style="1" min="15" max="16384"/>
  </cols>
  <sheetData>
    <row r="1">
      <c r="A1" s="60" t="inlineStr">
        <is>
          <t>Data</t>
        </is>
      </c>
      <c r="B1" s="59" t="inlineStr">
        <is>
          <t>Cotação</t>
        </is>
      </c>
      <c r="C1" s="59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61" t="str">
        <f>"M.B 100 - "&amp;YEAR(TODAY())</f>
        <v>M.B 100 - 2026</v>
      </c>
      <c r="N1" s="61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21/05/2003</t>
        </is>
      </c>
      <c r="B2" s="8" t="n">
        <v>119.739434</v>
      </c>
      <c r="C2" s="13" t="n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/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IFERROR(_xlfn.STDEV.P(_xlfn._xlws.FILTER($E$2:$E$6000,(IFERROR(MONTH($C$2:$C$6000),0)=1)*ISNUMBER($D$2:$D$6000))),0)</f>
        <v/>
      </c>
      <c r="M2" s="41" t="n">
        <v>100</v>
      </c>
      <c r="N2" s="41">
        <f t="array" ref="N2">IFERROR(AVERAGE(_xlfn._xlws.FILTER($D$2:$D$6000,(IFERROR(MONTH($C$2:$C$6000),0)=1)*(IFERROR(YEAR($C$2:$C$6000),0)=YEAR(TODAY())))),"")</f>
        <v/>
      </c>
      <c r="O2" s="41">
        <f t="array" ref="O2">IFERROR(AVERAGE(_xlfn._xlws.FILTER($D$2:$D$6000,(IFERROR(MONTH($C$2:$C$6000),0)=1)*ISNUMBER($D$2:$D$6000))),"")</f>
        <v/>
      </c>
      <c r="P2" s="41">
        <f t="array" ref="P2">IFERROR(_xlfn.STDEV.P(_xlfn._xlws.FILTER($D$2:$D$6000,(IFERROR(MONTH($C$2:$C$6000),0)=1)*ISNUMBER($D$2:$D$6000))),"")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</row>
    <row r="3">
      <c r="A3" s="65" t="inlineStr">
        <is>
          <t>22/05/2003</t>
        </is>
      </c>
      <c r="B3" s="8" t="n">
        <v>117.897918</v>
      </c>
      <c r="C3" s="13" t="n">
        <v>37773</v>
      </c>
      <c r="D3" s="3">
        <f t="array" ref="D3">IF(C3="","",IFERROR(AVERAGE(_xlfn._xlws.FILTER($B$2:$B$6000,(IFERROR(VALUE(MID($A$2:$A$6000,4,2)),0)=MONTH(C3))*(IFERROR(VALUE(RIGHT($A$2:$A$6000,4)),0)=YEAR(C3)))),""))</f>
        <v/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IFERROR(_xlfn.STDEV.P(_xlfn._xlws.FILTER($E$2:$E$6000,(IFERROR(MONTH($C$2:$C$6000),0)=2)*ISNUMBER($D$2:$D$6000))),0)</f>
        <v/>
      </c>
      <c r="M3" s="51">
        <f>IFERROR($M$2*N3/$N$2,"")</f>
        <v/>
      </c>
      <c r="N3" s="51">
        <f t="array" ref="N3">IFERROR(AVERAGE(_xlfn._xlws.FILTER($D$2:$D$6000,(IFERROR(MONTH($C$2:$C$6000),0)=2)*(IFERROR(YEAR($C$2:$C$6000),0)=YEAR(TODAY())))),"")</f>
        <v/>
      </c>
      <c r="O3" s="51">
        <f t="array" ref="O3">IFERROR(AVERAGE(_xlfn._xlws.FILTER($D$2:$D$6000,(IFERROR(MONTH($C$2:$C$6000),0)=2)*ISNUMBER($D$2:$D$6000))),"")</f>
        <v/>
      </c>
      <c r="P3" s="51">
        <f t="array" ref="P3">IFERROR(_xlfn.STDEV.P(_xlfn._xlws.FILTER($D$2:$D$6000,(IFERROR(MONTH($C$2:$C$6000),0)=2)*ISNUMBER($D$2:$D$6000))),"")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</row>
    <row r="4">
      <c r="A4" s="65" t="inlineStr">
        <is>
          <t>23/05/2003</t>
        </is>
      </c>
      <c r="B4" s="8" t="n">
        <v>116.01548</v>
      </c>
      <c r="C4" s="13" t="n">
        <v>37803</v>
      </c>
      <c r="D4" s="3">
        <f t="array" ref="D4">IF(C4="","",IFERROR(AVERAGE(_xlfn._xlws.FILTER($B$2:$B$6000,(IFERROR(VALUE(MID($A$2:$A$6000,4,2)),0)=MONTH(C4))*(IFERROR(VALUE(RIGHT($A$2:$A$6000,4)),0)=YEAR(C4)))),""))</f>
        <v/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IFERROR(_xlfn.STDEV.P(_xlfn._xlws.FILTER($E$2:$E$6000,(IFERROR(MONTH($C$2:$C$6000),0)=3)*ISNUMBER($D$2:$D$6000))),0)</f>
        <v/>
      </c>
      <c r="M4" s="51">
        <f>IFERROR($M$2*N4/$N$2,"")</f>
        <v/>
      </c>
      <c r="N4" s="51">
        <f t="array" ref="N4">IFERROR(AVERAGE(_xlfn._xlws.FILTER($D$2:$D$6000,(IFERROR(MONTH($C$2:$C$6000),0)=3)*(IFERROR(YEAR($C$2:$C$6000),0)=YEAR(TODAY())))),"")</f>
        <v/>
      </c>
      <c r="O4" s="51">
        <f t="array" ref="O4">IFERROR(AVERAGE(_xlfn._xlws.FILTER($D$2:$D$6000,(IFERROR(MONTH($C$2:$C$6000),0)=3)*ISNUMBER($D$2:$D$6000))),"")</f>
        <v/>
      </c>
      <c r="P4" s="51">
        <f t="array" ref="P4">IFERROR(_xlfn.STDEV.P(_xlfn._xlws.FILTER($D$2:$D$6000,(IFERROR(MONTH($C$2:$C$6000),0)=3)*ISNUMBER($D$2:$D$6000))),"")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</row>
    <row r="5">
      <c r="A5" s="65" t="inlineStr">
        <is>
          <t>26/05/2003</t>
        </is>
      </c>
      <c r="B5" s="8" t="n">
        <v>113.887507</v>
      </c>
      <c r="C5" s="13" t="n">
        <v>37834</v>
      </c>
      <c r="D5" s="3">
        <f t="array" ref="D5">IF(C5="","",IFERROR(AVERAGE(_xlfn._xlws.FILTER($B$2:$B$6000,(IFERROR(VALUE(MID($A$2:$A$6000,4,2)),0)=MONTH(C5))*(IFERROR(VALUE(RIGHT($A$2:$A$6000,4)),0)=YEAR(C5)))),""))</f>
        <v/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IFERROR(_xlfn.STDEV.P(_xlfn._xlws.FILTER($E$2:$E$6000,(IFERROR(MONTH($C$2:$C$6000),0)=4)*ISNUMBER($D$2:$D$6000))),0)</f>
        <v/>
      </c>
      <c r="M5" s="51">
        <f>IFERROR($M$2*N5/$N$2,"")</f>
        <v/>
      </c>
      <c r="N5" s="51">
        <f t="array" ref="N5">IFERROR(AVERAGE(_xlfn._xlws.FILTER($D$2:$D$6000,(IFERROR(MONTH($C$2:$C$6000),0)=4)*(IFERROR(YEAR($C$2:$C$6000),0)=YEAR(TODAY())))),"")</f>
        <v/>
      </c>
      <c r="O5" s="51">
        <f t="array" ref="O5">IFERROR(AVERAGE(_xlfn._xlws.FILTER($D$2:$D$6000,(IFERROR(MONTH($C$2:$C$6000),0)=4)*ISNUMBER($D$2:$D$6000))),"")</f>
        <v/>
      </c>
      <c r="P5" s="51">
        <f t="array" ref="P5">IFERROR(_xlfn.STDEV.P(_xlfn._xlws.FILTER($D$2:$D$6000,(IFERROR(MONTH($C$2:$C$6000),0)=4)*ISNUMBER($D$2:$D$6000))),"")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</row>
    <row r="6">
      <c r="A6" s="65" t="inlineStr">
        <is>
          <t>27/05/2003</t>
        </is>
      </c>
      <c r="B6" s="8" t="n">
        <v>113.601049</v>
      </c>
      <c r="C6" s="13" t="n">
        <v>37865</v>
      </c>
      <c r="D6" s="3">
        <f t="array" ref="D6">IF(C6="","",IFERROR(AVERAGE(_xlfn._xlws.FILTER($B$2:$B$6000,(IFERROR(VALUE(MID($A$2:$A$6000,4,2)),0)=MONTH(C6))*(IFERROR(VALUE(RIGHT($A$2:$A$6000,4)),0)=YEAR(C6)))),""))</f>
        <v/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IFERROR(_xlfn.STDEV.P(_xlfn._xlws.FILTER($E$2:$E$6000,(IFERROR(MONTH($C$2:$C$6000),0)=5)*ISNUMBER($D$2:$D$6000))),0)</f>
        <v/>
      </c>
      <c r="M6" s="51">
        <f>IFERROR($M$2*N6/$N$2,"")</f>
        <v/>
      </c>
      <c r="N6" s="51">
        <f t="array" ref="N6">IFERROR(AVERAGE(_xlfn._xlws.FILTER($D$2:$D$6000,(IFERROR(MONTH($C$2:$C$6000),0)=5)*(IFERROR(YEAR($C$2:$C$6000),0)=YEAR(TODAY())))),"")</f>
        <v/>
      </c>
      <c r="O6" s="51">
        <f t="array" ref="O6">IFERROR(AVERAGE(_xlfn._xlws.FILTER($D$2:$D$6000,(IFERROR(MONTH($C$2:$C$6000),0)=5)*ISNUMBER($D$2:$D$6000))),"")</f>
        <v/>
      </c>
      <c r="P6" s="51">
        <f t="array" ref="P6">IFERROR(_xlfn.STDEV.P(_xlfn._xlws.FILTER($D$2:$D$6000,(IFERROR(MONTH($C$2:$C$6000),0)=5)*ISNUMBER($D$2:$D$6000))),"")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</row>
    <row r="7">
      <c r="A7" s="65" t="inlineStr">
        <is>
          <t>28/05/2003</t>
        </is>
      </c>
      <c r="B7" s="8" t="n">
        <v>112.455217</v>
      </c>
      <c r="C7" s="13" t="n">
        <v>37895</v>
      </c>
      <c r="D7" s="3">
        <f t="array" ref="D7">IF(C7="","",IFERROR(AVERAGE(_xlfn._xlws.FILTER($B$2:$B$6000,(IFERROR(VALUE(MID($A$2:$A$6000,4,2)),0)=MONTH(C7))*(IFERROR(VALUE(RIGHT($A$2:$A$6000,4)),0)=YEAR(C7)))),""))</f>
        <v/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IFERROR(_xlfn.STDEV.P(_xlfn._xlws.FILTER($E$2:$E$6000,(IFERROR(MONTH($C$2:$C$6000),0)=6)*ISNUMBER($D$2:$D$6000))),0)</f>
        <v/>
      </c>
      <c r="M7" s="51">
        <f>IFERROR($M$2*N7/$N$2,"")</f>
        <v/>
      </c>
      <c r="N7" s="51">
        <f t="array" ref="N7">IFERROR(AVERAGE(_xlfn._xlws.FILTER($D$2:$D$6000,(IFERROR(MONTH($C$2:$C$6000),0)=6)*(IFERROR(YEAR($C$2:$C$6000),0)=YEAR(TODAY())))),"")</f>
        <v/>
      </c>
      <c r="O7" s="51">
        <f t="array" ref="O7">IFERROR(AVERAGE(_xlfn._xlws.FILTER($D$2:$D$6000,(IFERROR(MONTH($C$2:$C$6000),0)=6)*ISNUMBER($D$2:$D$6000))),"")</f>
        <v/>
      </c>
      <c r="P7" s="51">
        <f t="array" ref="P7">IFERROR(_xlfn.STDEV.P(_xlfn._xlws.FILTER($D$2:$D$6000,(IFERROR(MONTH($C$2:$C$6000),0)=6)*ISNUMBER($D$2:$D$6000))),"")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</row>
    <row r="8">
      <c r="A8" s="65" t="inlineStr">
        <is>
          <t>29/05/2003</t>
        </is>
      </c>
      <c r="B8" s="8" t="n">
        <v>111.432153</v>
      </c>
      <c r="C8" s="13" t="n">
        <v>37926</v>
      </c>
      <c r="D8" s="3">
        <f t="array" ref="D8">IF(C8="","",IFERROR(AVERAGE(_xlfn._xlws.FILTER($B$2:$B$6000,(IFERROR(VALUE(MID($A$2:$A$6000,4,2)),0)=MONTH(C8))*(IFERROR(VALUE(RIGHT($A$2:$A$6000,4)),0)=YEAR(C8)))),""))</f>
        <v/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IFERROR(_xlfn.STDEV.P(_xlfn._xlws.FILTER($E$2:$E$6000,(IFERROR(MONTH($C$2:$C$6000),0)=7)*ISNUMBER($D$2:$D$6000))),0)</f>
        <v/>
      </c>
      <c r="M8" s="51">
        <f>IFERROR($M$2*N8/$N$2,"")</f>
        <v/>
      </c>
      <c r="N8" s="51">
        <f t="array" ref="N8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/>
      </c>
      <c r="P8" s="51">
        <f t="array" ref="P8">IFERROR(_xlfn.STDEV.P(_xlfn._xlws.FILTER($D$2:$D$6000,(IFERROR(MONTH($C$2:$C$6000),0)=7)*ISNUMBER($D$2:$D$6000))),"")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</row>
    <row r="9">
      <c r="A9" s="65" t="inlineStr">
        <is>
          <t>30/05/2003</t>
        </is>
      </c>
      <c r="B9" s="8" t="n">
        <v>110.654624</v>
      </c>
      <c r="C9" s="13" t="n">
        <v>37956</v>
      </c>
      <c r="D9" s="3">
        <f t="array" ref="D9">IF(C9="","",IFERROR(AVERAGE(_xlfn._xlws.FILTER($B$2:$B$6000,(IFERROR(VALUE(MID($A$2:$A$6000,4,2)),0)=MONTH(C9))*(IFERROR(VALUE(RIGHT($A$2:$A$6000,4)),0)=YEAR(C9)))),""))</f>
        <v/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IFERROR(_xlfn.STDEV.P(_xlfn._xlws.FILTER($E$2:$E$6000,(IFERROR(MONTH($C$2:$C$6000),0)=8)*ISNUMBER($D$2:$D$6000))),0)</f>
        <v/>
      </c>
      <c r="M9" s="51">
        <f>IFERROR($M$2*N9/$N$2,"")</f>
        <v/>
      </c>
      <c r="N9" s="51">
        <f t="array" ref="N9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/>
      </c>
      <c r="P9" s="51">
        <f t="array" ref="P9">IFERROR(_xlfn.STDEV.P(_xlfn._xlws.FILTER($D$2:$D$6000,(IFERROR(MONTH($C$2:$C$6000),0)=8)*ISNUMBER($D$2:$D$6000))),"")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</row>
    <row r="10">
      <c r="A10" s="65" t="inlineStr">
        <is>
          <t>02/06/2003</t>
        </is>
      </c>
      <c r="B10" s="8" t="n">
        <v>110.53227</v>
      </c>
      <c r="C10" s="13" t="n">
        <v>37987</v>
      </c>
      <c r="D10" s="3">
        <f t="array" ref="D10">IF(C10="","",IFERROR(AVERAGE(_xlfn._xlws.FILTER($B$2:$B$6000,(IFERROR(VALUE(MID($A$2:$A$6000,4,2)),0)=MONTH(C10))*(IFERROR(VALUE(RIGHT($A$2:$A$6000,4)),0)=YEAR(C10)))),""))</f>
        <v/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IFERROR(_xlfn.STDEV.P(_xlfn._xlws.FILTER($E$2:$E$6000,(IFERROR(MONTH($C$2:$C$6000),0)=9)*ISNUMBER($D$2:$D$6000))),0)</f>
        <v/>
      </c>
      <c r="M10" s="51">
        <f>IFERROR($M$2*N10/$N$2,"")</f>
        <v/>
      </c>
      <c r="N10" s="51">
        <f t="array" ref="N10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/>
      </c>
      <c r="P10" s="51">
        <f t="array" ref="P10">IFERROR(_xlfn.STDEV.P(_xlfn._xlws.FILTER($D$2:$D$6000,(IFERROR(MONTH($C$2:$C$6000),0)=9)*ISNUMBER($D$2:$D$6000))),"")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</row>
    <row r="11">
      <c r="A11" s="65" t="inlineStr">
        <is>
          <t>03/06/2003</t>
        </is>
      </c>
      <c r="B11" s="8" t="n">
        <v>110.201582</v>
      </c>
      <c r="C11" s="13" t="n">
        <v>38018</v>
      </c>
      <c r="D11" s="3">
        <f t="array" ref="D11">IF(C11="","",IFERROR(AVERAGE(_xlfn._xlws.FILTER($B$2:$B$6000,(IFERROR(VALUE(MID($A$2:$A$6000,4,2)),0)=MONTH(C11))*(IFERROR(VALUE(RIGHT($A$2:$A$6000,4)),0)=YEAR(C11)))),""))</f>
        <v/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IFERROR(_xlfn.STDEV.P(_xlfn._xlws.FILTER($E$2:$E$6000,(IFERROR(MONTH($C$2:$C$6000),0)=10)*ISNUMBER($D$2:$D$6000))),0)</f>
        <v/>
      </c>
      <c r="M11" s="51">
        <f>IFERROR($M$2*N11/$N$2,"")</f>
        <v/>
      </c>
      <c r="N11" s="51">
        <f t="array" ref="N1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/>
      </c>
      <c r="P11" s="51">
        <f t="array" ref="P11">IFERROR(_xlfn.STDEV.P(_xlfn._xlws.FILTER($D$2:$D$6000,(IFERROR(MONTH($C$2:$C$6000),0)=10)*ISNUMBER($D$2:$D$6000))),"")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</row>
    <row r="12">
      <c r="A12" s="65" t="inlineStr">
        <is>
          <t>04/06/2003</t>
        </is>
      </c>
      <c r="B12" s="8" t="n">
        <v>110.077574</v>
      </c>
      <c r="C12" s="13" t="n">
        <v>38047</v>
      </c>
      <c r="D12" s="3">
        <f t="array" ref="D12">IF(C12="","",IFERROR(AVERAGE(_xlfn._xlws.FILTER($B$2:$B$6000,(IFERROR(VALUE(MID($A$2:$A$6000,4,2)),0)=MONTH(C12))*(IFERROR(VALUE(RIGHT($A$2:$A$6000,4)),0)=YEAR(C12)))),""))</f>
        <v/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IFERROR(_xlfn.STDEV.P(_xlfn._xlws.FILTER($E$2:$E$6000,(IFERROR(MONTH($C$2:$C$6000),0)=11)*ISNUMBER($D$2:$D$6000))),0)</f>
        <v/>
      </c>
      <c r="M12" s="51">
        <f>IFERROR($M$2*N12/$N$2,"")</f>
        <v/>
      </c>
      <c r="N12" s="51">
        <f t="array" ref="N12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/>
      </c>
      <c r="P12" s="51">
        <f t="array" ref="P12">IFERROR(_xlfn.STDEV.P(_xlfn._xlws.FILTER($D$2:$D$6000,(IFERROR(MONTH($C$2:$C$6000),0)=11)*ISNUMBER($D$2:$D$6000))),"")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</row>
    <row r="13">
      <c r="A13" s="65" t="inlineStr">
        <is>
          <t>05/06/2003</t>
        </is>
      </c>
      <c r="B13" s="8" t="n">
        <v>109.746887</v>
      </c>
      <c r="C13" s="13" t="n">
        <v>38078</v>
      </c>
      <c r="D13" s="3">
        <f t="array" ref="D13">IF(C13="","",IFERROR(AVERAGE(_xlfn._xlws.FILTER($B$2:$B$6000,(IFERROR(VALUE(MID($A$2:$A$6000,4,2)),0)=MONTH(C13))*(IFERROR(VALUE(RIGHT($A$2:$A$6000,4)),0)=YEAR(C13)))),""))</f>
        <v/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6">
        <f>G$2*O13/O$2</f>
        <v/>
      </c>
      <c r="H13" s="56">
        <f>$G13+(1*$L13)</f>
        <v/>
      </c>
      <c r="I13" s="56">
        <f>$G13+(2*$L13)</f>
        <v/>
      </c>
      <c r="J13" s="56">
        <f>$G13+(-1*$L13)</f>
        <v/>
      </c>
      <c r="K13" s="56">
        <f>$G13+(-2*$L13)</f>
        <v/>
      </c>
      <c r="L13" s="56">
        <f t="array" ref="L13">IFERROR(_xlfn.STDEV.P(_xlfn._xlws.FILTER($E$2:$E$6000,(IFERROR(MONTH($C$2:$C$6000),0)=12)*ISNUMBER($D$2:$D$6000))),0)</f>
        <v/>
      </c>
      <c r="M13" s="56">
        <f>IFERROR($M$2*N13/$N$2,"")</f>
        <v/>
      </c>
      <c r="N13" s="56">
        <f t="array" ref="N13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/>
      </c>
      <c r="P13" s="56">
        <f t="array" ref="P13">IFERROR(_xlfn.STDEV.P(_xlfn._xlws.FILTER($D$2:$D$6000,(IFERROR(MONTH($C$2:$C$6000),0)=12)*ISNUMBER($D$2:$D$6000))),"")</f>
        <v/>
      </c>
      <c r="Q13" s="56">
        <f>O13+(1*P13)</f>
        <v/>
      </c>
      <c r="R13" s="56">
        <f>O13+(2*P13)</f>
        <v/>
      </c>
      <c r="S13" s="56">
        <f>O13+(-1*P13)</f>
        <v/>
      </c>
      <c r="T13" s="56">
        <f>O13+(-2*P13)</f>
        <v/>
      </c>
      <c r="V13" s="20">
        <f>1</f>
        <v/>
      </c>
    </row>
    <row r="14">
      <c r="A14" s="65" t="inlineStr">
        <is>
          <t>06/06/2003</t>
        </is>
      </c>
      <c r="B14" s="8" t="n">
        <v>109.250856</v>
      </c>
      <c r="C14" s="13" t="n">
        <v>38108</v>
      </c>
      <c r="D14" s="3">
        <f t="array" ref="D14">IF(C14="","",IFERROR(AVERAGE(_xlfn._xlws.FILTER($B$2:$B$6000,(IFERROR(VALUE(MID($A$2:$A$6000,4,2)),0)=MONTH(C14))*(IFERROR(VALUE(RIGHT($A$2:$A$6000,4)),0)=YEAR(C14)))),""))</f>
        <v/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4" s="20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V14" s="20">
        <f>1</f>
        <v/>
      </c>
    </row>
    <row r="15">
      <c r="A15" s="65" t="inlineStr">
        <is>
          <t>09/06/2003</t>
        </is>
      </c>
      <c r="B15" s="8" t="n">
        <v>109.168184</v>
      </c>
      <c r="C15" s="13" t="n">
        <v>38139</v>
      </c>
      <c r="D15" s="3">
        <f t="array" ref="D15">IF(C15="","",IFERROR(AVERAGE(_xlfn._xlws.FILTER($B$2:$B$6000,(IFERROR(VALUE(MID($A$2:$A$6000,4,2)),0)=MONTH(C15))*(IFERROR(VALUE(RIGHT($A$2:$A$6000,4)),0)=YEAR(C15)))),""))</f>
        <v/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5" s="20" t="n"/>
      <c r="G15" s="22" t="n"/>
      <c r="H15" s="22" t="n"/>
      <c r="I15" s="22" t="n"/>
      <c r="J15" s="22" t="n"/>
      <c r="K15" s="22" t="n"/>
      <c r="L15" s="22" t="n"/>
      <c r="M15" s="22" t="n"/>
      <c r="N15" s="22" t="n"/>
      <c r="O15" s="22" t="n"/>
      <c r="P15" s="22" t="n"/>
      <c r="Q15" s="22" t="n"/>
      <c r="R15" s="22" t="n"/>
      <c r="S15" s="22" t="n"/>
      <c r="T15" s="22" t="n"/>
      <c r="V15" s="20">
        <f>1</f>
        <v/>
      </c>
    </row>
    <row r="16">
      <c r="A16" s="65" t="inlineStr">
        <is>
          <t>10/06/2003</t>
        </is>
      </c>
      <c r="B16" s="8" t="n">
        <v>108.30013</v>
      </c>
      <c r="C16" s="13" t="n">
        <v>38169</v>
      </c>
      <c r="D16" s="3">
        <f t="array" ref="D16">IF(C16="","",IFERROR(AVERAGE(_xlfn._xlws.FILTER($B$2:$B$6000,(IFERROR(VALUE(MID($A$2:$A$6000,4,2)),0)=MONTH(C16))*(IFERROR(VALUE(RIGHT($A$2:$A$6000,4)),0)=YEAR(C16)))),""))</f>
        <v/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6" s="20" t="n"/>
      <c r="G16" s="22" t="n"/>
      <c r="H16" s="22" t="n"/>
      <c r="I16" s="22" t="n"/>
      <c r="J16" s="22" t="n"/>
      <c r="K16" s="22" t="n"/>
      <c r="L16" s="22" t="n"/>
      <c r="M16" s="22" t="n"/>
      <c r="N16" s="22" t="n"/>
      <c r="O16" s="22" t="n"/>
      <c r="P16" s="22" t="n"/>
      <c r="Q16" s="22" t="n"/>
      <c r="R16" s="22" t="n"/>
      <c r="S16" s="22" t="n"/>
      <c r="T16" s="22" t="n"/>
      <c r="V16" s="20">
        <f>1</f>
        <v/>
      </c>
    </row>
    <row r="17">
      <c r="A17" s="65" t="inlineStr">
        <is>
          <t>11/06/2003</t>
        </is>
      </c>
      <c r="B17" s="8" t="n">
        <v>107.225395</v>
      </c>
      <c r="C17" s="13" t="n">
        <v>38200</v>
      </c>
      <c r="D17" s="3">
        <f t="array" ref="D17">IF(C17="","",IFERROR(AVERAGE(_xlfn._xlws.FILTER($B$2:$B$6000,(IFERROR(VALUE(MID($A$2:$A$6000,4,2)),0)=MONTH(C17))*(IFERROR(VALUE(RIGHT($A$2:$A$6000,4)),0)=YEAR(C17)))),""))</f>
        <v/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7" s="20" t="n"/>
      <c r="G17" s="22" t="n"/>
      <c r="H17" s="22" t="n"/>
      <c r="I17" s="22" t="n"/>
      <c r="J17" s="22" t="n"/>
      <c r="K17" s="22" t="n"/>
      <c r="L17" s="22" t="n"/>
      <c r="M17" s="22" t="n"/>
      <c r="N17" s="22" t="n"/>
      <c r="O17" s="22" t="n"/>
      <c r="P17" s="22" t="n"/>
      <c r="Q17" s="22" t="n"/>
      <c r="R17" s="22" t="n"/>
      <c r="S17" s="22" t="n"/>
      <c r="T17" s="22" t="n"/>
      <c r="V17" s="20">
        <f>1</f>
        <v/>
      </c>
    </row>
    <row r="18">
      <c r="A18" s="65" t="inlineStr">
        <is>
          <t>12/06/2003</t>
        </is>
      </c>
      <c r="B18" s="8" t="n">
        <v>106.274669</v>
      </c>
      <c r="C18" s="13" t="n">
        <v>38231</v>
      </c>
      <c r="D18" s="3">
        <f t="array" ref="D18">IF(C18="","",IFERROR(AVERAGE(_xlfn._xlws.FILTER($B$2:$B$6000,(IFERROR(VALUE(MID($A$2:$A$6000,4,2)),0)=MONTH(C18))*(IFERROR(VALUE(RIGHT($A$2:$A$6000,4)),0)=YEAR(C18)))),""))</f>
        <v/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F18" s="20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V18" s="20">
        <f>1</f>
        <v/>
      </c>
    </row>
    <row r="19">
      <c r="A19" s="65" t="inlineStr">
        <is>
          <t>13/06/2003</t>
        </is>
      </c>
      <c r="B19" s="8" t="n">
        <v>105.985318</v>
      </c>
      <c r="C19" s="13" t="n">
        <v>38261</v>
      </c>
      <c r="D19" s="3">
        <f t="array" ref="D19">IF(C19="","",IFERROR(AVERAGE(_xlfn._xlws.FILTER($B$2:$B$6000,(IFERROR(VALUE(MID($A$2:$A$6000,4,2)),0)=MONTH(C19))*(IFERROR(VALUE(RIGHT($A$2:$A$6000,4)),0)=YEAR(C19)))),""))</f>
        <v/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/>
      </c>
    </row>
    <row r="20">
      <c r="A20" s="65" t="inlineStr">
        <is>
          <t>16/06/2003</t>
        </is>
      </c>
      <c r="B20" s="8" t="n">
        <v>105.737302</v>
      </c>
      <c r="C20" s="13" t="n">
        <v>38292</v>
      </c>
      <c r="D20" s="3">
        <f t="array" ref="D20">IF(C20="","",IFERROR(AVERAGE(_xlfn._xlws.FILTER($B$2:$B$6000,(IFERROR(VALUE(MID($A$2:$A$6000,4,2)),0)=MONTH(C20))*(IFERROR(VALUE(RIGHT($A$2:$A$6000,4)),0)=YEAR(C20)))),""))</f>
        <v/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/>
      </c>
    </row>
    <row r="21">
      <c r="A21" s="65" t="inlineStr">
        <is>
          <t>17/06/2003</t>
        </is>
      </c>
      <c r="B21" s="8" t="n">
        <v>103.133139</v>
      </c>
      <c r="C21" s="13" t="n">
        <v>38322</v>
      </c>
      <c r="D21" s="3">
        <f t="array" ref="D21">IF(C21="","",IFERROR(AVERAGE(_xlfn._xlws.FILTER($B$2:$B$6000,(IFERROR(VALUE(MID($A$2:$A$6000,4,2)),0)=MONTH(C21))*(IFERROR(VALUE(RIGHT($A$2:$A$6000,4)),0)=YEAR(C21)))),""))</f>
        <v/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/>
      </c>
    </row>
    <row r="22">
      <c r="A22" s="65" t="inlineStr">
        <is>
          <t>18/06/2003</t>
        </is>
      </c>
      <c r="B22" s="8" t="n">
        <v>100.98367</v>
      </c>
      <c r="C22" s="13" t="n">
        <v>38353</v>
      </c>
      <c r="D22" s="3">
        <f t="array" ref="D22">IF(C22="","",IFERROR(AVERAGE(_xlfn._xlws.FILTER($B$2:$B$6000,(IFERROR(VALUE(MID($A$2:$A$6000,4,2)),0)=MONTH(C22))*(IFERROR(VALUE(RIGHT($A$2:$A$6000,4)),0)=YEAR(C22)))),""))</f>
        <v/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/>
      </c>
    </row>
    <row r="23">
      <c r="A23" s="65" t="inlineStr">
        <is>
          <t>20/06/2003</t>
        </is>
      </c>
      <c r="B23" s="8" t="n">
        <v>99.536913</v>
      </c>
      <c r="C23" s="13" t="n">
        <v>38384</v>
      </c>
      <c r="D23" s="3">
        <f t="array" ref="D23">IF(C23="","",IFERROR(AVERAGE(_xlfn._xlws.FILTER($B$2:$B$6000,(IFERROR(VALUE(MID($A$2:$A$6000,4,2)),0)=MONTH(C23))*(IFERROR(VALUE(RIGHT($A$2:$A$6000,4)),0)=YEAR(C23)))),""))</f>
        <v/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/>
      </c>
    </row>
    <row r="24">
      <c r="A24" s="65" t="inlineStr">
        <is>
          <t>23/06/2003</t>
        </is>
      </c>
      <c r="B24" s="8" t="n">
        <v>98.04882000000001</v>
      </c>
      <c r="C24" s="13" t="n">
        <v>38412</v>
      </c>
      <c r="D24" s="3">
        <f t="array" ref="D24">IF(C24="","",IFERROR(AVERAGE(_xlfn._xlws.FILTER($B$2:$B$6000,(IFERROR(VALUE(MID($A$2:$A$6000,4,2)),0)=MONTH(C24))*(IFERROR(VALUE(RIGHT($A$2:$A$6000,4)),0)=YEAR(C24)))),""))</f>
        <v/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/>
      </c>
    </row>
    <row r="25">
      <c r="A25" s="65" t="inlineStr">
        <is>
          <t>24/06/2003</t>
        </is>
      </c>
      <c r="B25" s="8" t="n">
        <v>96.230039</v>
      </c>
      <c r="C25" s="13" t="n">
        <v>38443</v>
      </c>
      <c r="D25" s="3">
        <f t="array" ref="D25">IF(C25="","",IFERROR(AVERAGE(_xlfn._xlws.FILTER($B$2:$B$6000,(IFERROR(VALUE(MID($A$2:$A$6000,4,2)),0)=MONTH(C25))*(IFERROR(VALUE(RIGHT($A$2:$A$6000,4)),0)=YEAR(C25)))),""))</f>
        <v/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/>
      </c>
    </row>
    <row r="26">
      <c r="A26" s="65" t="inlineStr">
        <is>
          <t>25/06/2003</t>
        </is>
      </c>
      <c r="B26" s="8" t="n">
        <v>95.940687</v>
      </c>
      <c r="C26" s="13" t="n">
        <v>38473</v>
      </c>
      <c r="D26" s="3">
        <f t="array" ref="D26">IF(C26="","",IFERROR(AVERAGE(_xlfn._xlws.FILTER($B$2:$B$6000,(IFERROR(VALUE(MID($A$2:$A$6000,4,2)),0)=MONTH(C26))*(IFERROR(VALUE(RIGHT($A$2:$A$6000,4)),0)=YEAR(C26)))),""))</f>
        <v/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/>
      </c>
    </row>
    <row r="27">
      <c r="A27" s="65" t="inlineStr">
        <is>
          <t>26/06/2003</t>
        </is>
      </c>
      <c r="B27" s="8" t="n">
        <v>96.106031</v>
      </c>
      <c r="C27" s="13" t="n">
        <v>38504</v>
      </c>
      <c r="D27" s="3">
        <f t="array" ref="D27">IF(C27="","",IFERROR(AVERAGE(_xlfn._xlws.FILTER($B$2:$B$6000,(IFERROR(VALUE(MID($A$2:$A$6000,4,2)),0)=MONTH(C27))*(IFERROR(VALUE(RIGHT($A$2:$A$6000,4)),0)=YEAR(C27)))),""))</f>
        <v/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/>
      </c>
    </row>
    <row r="28">
      <c r="A28" s="65" t="inlineStr">
        <is>
          <t>27/06/2003</t>
        </is>
      </c>
      <c r="B28" s="8" t="n">
        <v>96.35404699999999</v>
      </c>
      <c r="C28" s="13" t="n">
        <v>38534</v>
      </c>
      <c r="D28" s="3">
        <f t="array" ref="D28">IF(C28="","",IFERROR(AVERAGE(_xlfn._xlws.FILTER($B$2:$B$6000,(IFERROR(VALUE(MID($A$2:$A$6000,4,2)),0)=MONTH(C28))*(IFERROR(VALUE(RIGHT($A$2:$A$6000,4)),0)=YEAR(C28)))),""))</f>
        <v/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8" s="3" t="n"/>
      <c r="H28" s="3" t="n"/>
      <c r="I28" s="3" t="n"/>
      <c r="J28" s="3" t="n"/>
      <c r="K28" s="3" t="n"/>
      <c r="L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/>
      </c>
    </row>
    <row r="29">
      <c r="A29" s="65" t="inlineStr">
        <is>
          <t>30/06/2003</t>
        </is>
      </c>
      <c r="B29" s="8" t="n">
        <v>95.568664</v>
      </c>
      <c r="C29" s="13" t="n">
        <v>38565</v>
      </c>
      <c r="D29" s="3">
        <f t="array" ref="D29">IF(C29="","",IFERROR(AVERAGE(_xlfn._xlws.FILTER($B$2:$B$6000,(IFERROR(VALUE(MID($A$2:$A$6000,4,2)),0)=MONTH(C29))*(IFERROR(VALUE(RIGHT($A$2:$A$6000,4)),0)=YEAR(C29)))),""))</f>
        <v/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9" s="3" t="n"/>
      <c r="H29" s="3" t="n"/>
      <c r="I29" s="3" t="n"/>
      <c r="J29" s="3" t="n"/>
      <c r="K29" s="3" t="n"/>
      <c r="L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/>
      </c>
    </row>
    <row r="30">
      <c r="A30" s="65" t="inlineStr">
        <is>
          <t>01/07/2003</t>
        </is>
      </c>
      <c r="B30" s="8" t="n">
        <v>96.386848</v>
      </c>
      <c r="C30" s="13" t="n">
        <v>38596</v>
      </c>
      <c r="D30" s="3">
        <f t="array" ref="D30">IF(C30="","",IFERROR(AVERAGE(_xlfn._xlws.FILTER($B$2:$B$6000,(IFERROR(VALUE(MID($A$2:$A$6000,4,2)),0)=MONTH(C30))*(IFERROR(VALUE(RIGHT($A$2:$A$6000,4)),0)=YEAR(C30)))),""))</f>
        <v/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">
      <c r="A31" s="65" t="inlineStr">
        <is>
          <t>02/07/2003</t>
        </is>
      </c>
      <c r="B31" s="8" t="n">
        <v>96.096276</v>
      </c>
      <c r="C31" s="13" t="n">
        <v>38626</v>
      </c>
      <c r="D31" s="3">
        <f t="array" ref="D31">IF(C31="","",IFERROR(AVERAGE(_xlfn._xlws.FILTER($B$2:$B$6000,(IFERROR(VALUE(MID($A$2:$A$6000,4,2)),0)=MONTH(C31))*(IFERROR(VALUE(RIGHT($A$2:$A$6000,4)),0)=YEAR(C31)))),""))</f>
        <v/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03/07/2003</t>
        </is>
      </c>
      <c r="B32" s="8" t="n">
        <v>95.764194</v>
      </c>
      <c r="C32" s="13" t="n">
        <v>38657</v>
      </c>
      <c r="D32" s="3">
        <f t="array" ref="D32">IF(C32="","",IFERROR(AVERAGE(_xlfn._xlws.FILTER($B$2:$B$6000,(IFERROR(VALUE(MID($A$2:$A$6000,4,2)),0)=MONTH(C32))*(IFERROR(VALUE(RIGHT($A$2:$A$6000,4)),0)=YEAR(C32)))),""))</f>
        <v/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04/07/2003</t>
        </is>
      </c>
      <c r="B33" s="8" t="n">
        <v>95.681173</v>
      </c>
      <c r="C33" s="13" t="n">
        <v>38687</v>
      </c>
      <c r="D33" s="3">
        <f t="array" ref="D33">IF(C33="","",IFERROR(AVERAGE(_xlfn._xlws.FILTER($B$2:$B$6000,(IFERROR(VALUE(MID($A$2:$A$6000,4,2)),0)=MONTH(C33))*(IFERROR(VALUE(RIGHT($A$2:$A$6000,4)),0)=YEAR(C33)))),""))</f>
        <v/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07/07/2003</t>
        </is>
      </c>
      <c r="B34" s="8" t="n">
        <v>95.47362200000001</v>
      </c>
      <c r="C34" s="13" t="n">
        <v>38718</v>
      </c>
      <c r="D34" s="3">
        <f t="array" ref="D34">IF(C34="","",IFERROR(AVERAGE(_xlfn._xlws.FILTER($B$2:$B$6000,(IFERROR(VALUE(MID($A$2:$A$6000,4,2)),0)=MONTH(C34))*(IFERROR(VALUE(RIGHT($A$2:$A$6000,4)),0)=YEAR(C34)))),""))</f>
        <v/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08/07/2003</t>
        </is>
      </c>
      <c r="B35" s="8" t="n">
        <v>95.764194</v>
      </c>
      <c r="C35" s="13" t="n">
        <v>38749</v>
      </c>
      <c r="D35" s="3">
        <f t="array" ref="D35">IF(C35="","",IFERROR(AVERAGE(_xlfn._xlws.FILTER($B$2:$B$6000,(IFERROR(VALUE(MID($A$2:$A$6000,4,2)),0)=MONTH(C35))*(IFERROR(VALUE(RIGHT($A$2:$A$6000,4)),0)=YEAR(C35)))),""))</f>
        <v/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10/07/2003</t>
        </is>
      </c>
      <c r="B36" s="8" t="n">
        <v>95.930235</v>
      </c>
      <c r="C36" s="13" t="n">
        <v>38777</v>
      </c>
      <c r="D36" s="3">
        <f t="array" ref="D36">IF(C36="","",IFERROR(AVERAGE(_xlfn._xlws.FILTER($B$2:$B$6000,(IFERROR(VALUE(MID($A$2:$A$6000,4,2)),0)=MONTH(C36))*(IFERROR(VALUE(RIGHT($A$2:$A$6000,4)),0)=YEAR(C36)))),""))</f>
        <v/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11/07/2003</t>
        </is>
      </c>
      <c r="B37" s="8" t="n">
        <v>95.84721399999999</v>
      </c>
      <c r="C37" s="13" t="n">
        <v>38808</v>
      </c>
      <c r="D37" s="3">
        <f t="array" ref="D37">IF(C37="","",IFERROR(AVERAGE(_xlfn._xlws.FILTER($B$2:$B$6000,(IFERROR(VALUE(MID($A$2:$A$6000,4,2)),0)=MONTH(C37))*(IFERROR(VALUE(RIGHT($A$2:$A$6000,4)),0)=YEAR(C37)))),""))</f>
        <v/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14/07/2003</t>
        </is>
      </c>
      <c r="B38" s="8" t="n">
        <v>95.84721399999999</v>
      </c>
      <c r="C38" s="13" t="n">
        <v>38838</v>
      </c>
      <c r="D38" s="3">
        <f t="array" ref="D38">IF(C38="","",IFERROR(AVERAGE(_xlfn._xlws.FILTER($B$2:$B$6000,(IFERROR(VALUE(MID($A$2:$A$6000,4,2)),0)=MONTH(C38))*(IFERROR(VALUE(RIGHT($A$2:$A$6000,4)),0)=YEAR(C38)))),""))</f>
        <v/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15/07/2003</t>
        </is>
      </c>
      <c r="B39" s="8" t="n">
        <v>95.80570400000001</v>
      </c>
      <c r="C39" s="13" t="n">
        <v>38869</v>
      </c>
      <c r="D39" s="3">
        <f t="array" ref="D39">IF(C39="","",IFERROR(AVERAGE(_xlfn._xlws.FILTER($B$2:$B$6000,(IFERROR(VALUE(MID($A$2:$A$6000,4,2)),0)=MONTH(C39))*(IFERROR(VALUE(RIGHT($A$2:$A$6000,4)),0)=YEAR(C39)))),""))</f>
        <v/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16/07/2003</t>
        </is>
      </c>
      <c r="B40" s="8" t="n">
        <v>95.88872499999999</v>
      </c>
      <c r="C40" s="13" t="n">
        <v>38899</v>
      </c>
      <c r="D40" s="3">
        <f t="array" ref="D40">IF(C40="","",IFERROR(AVERAGE(_xlfn._xlws.FILTER($B$2:$B$6000,(IFERROR(VALUE(MID($A$2:$A$6000,4,2)),0)=MONTH(C40))*(IFERROR(VALUE(RIGHT($A$2:$A$6000,4)),0)=YEAR(C40)))),""))</f>
        <v/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17/07/2003</t>
        </is>
      </c>
      <c r="B41" s="8" t="n">
        <v>96.096276</v>
      </c>
      <c r="C41" s="13" t="n">
        <v>38930</v>
      </c>
      <c r="D41" s="3">
        <f t="array" ref="D41">IF(C41="","",IFERROR(AVERAGE(_xlfn._xlws.FILTER($B$2:$B$6000,(IFERROR(VALUE(MID($A$2:$A$6000,4,2)),0)=MONTH(C41))*(IFERROR(VALUE(RIGHT($A$2:$A$6000,4)),0)=YEAR(C41)))),""))</f>
        <v/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18/07/2003</t>
        </is>
      </c>
      <c r="B42" s="8" t="n">
        <v>97.051012</v>
      </c>
      <c r="C42" s="13" t="n">
        <v>38961</v>
      </c>
      <c r="D42" s="3">
        <f t="array" ref="D42">IF(C42="","",IFERROR(AVERAGE(_xlfn._xlws.FILTER($B$2:$B$6000,(IFERROR(VALUE(MID($A$2:$A$6000,4,2)),0)=MONTH(C42))*(IFERROR(VALUE(RIGHT($A$2:$A$6000,4)),0)=YEAR(C42)))),""))</f>
        <v/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21/07/2003</t>
        </is>
      </c>
      <c r="B43" s="8" t="n">
        <v>98.25481000000001</v>
      </c>
      <c r="C43" s="13" t="n">
        <v>38991</v>
      </c>
      <c r="D43" s="3">
        <f t="array" ref="D43">IF(C43="","",IFERROR(AVERAGE(_xlfn._xlws.FILTER($B$2:$B$6000,(IFERROR(VALUE(MID($A$2:$A$6000,4,2)),0)=MONTH(C43))*(IFERROR(VALUE(RIGHT($A$2:$A$6000,4)),0)=YEAR(C43)))),""))</f>
        <v/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22/07/2003</t>
        </is>
      </c>
      <c r="B44" s="8" t="n">
        <v>98.877464</v>
      </c>
      <c r="C44" s="13" t="n">
        <v>39022</v>
      </c>
      <c r="D44" s="3">
        <f t="array" ref="D44">IF(C44="","",IFERROR(AVERAGE(_xlfn._xlws.FILTER($B$2:$B$6000,(IFERROR(VALUE(MID($A$2:$A$6000,4,2)),0)=MONTH(C44))*(IFERROR(VALUE(RIGHT($A$2:$A$6000,4)),0)=YEAR(C44)))),""))</f>
        <v/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23/07/2003</t>
        </is>
      </c>
      <c r="B45" s="8" t="n">
        <v>99.873711</v>
      </c>
      <c r="C45" s="13" t="n">
        <v>39052</v>
      </c>
      <c r="D45" s="3">
        <f t="array" ref="D45">IF(C45="","",IFERROR(AVERAGE(_xlfn._xlws.FILTER($B$2:$B$6000,(IFERROR(VALUE(MID($A$2:$A$6000,4,2)),0)=MONTH(C45))*(IFERROR(VALUE(RIGHT($A$2:$A$6000,4)),0)=YEAR(C45)))),""))</f>
        <v/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24/07/2003</t>
        </is>
      </c>
      <c r="B46" s="8" t="n">
        <v>101.783183</v>
      </c>
      <c r="C46" s="13" t="n">
        <v>39083</v>
      </c>
      <c r="D46" s="3">
        <f t="array" ref="D46">IF(C46="","",IFERROR(AVERAGE(_xlfn._xlws.FILTER($B$2:$B$6000,(IFERROR(VALUE(MID($A$2:$A$6000,4,2)),0)=MONTH(C46))*(IFERROR(VALUE(RIGHT($A$2:$A$6000,4)),0)=YEAR(C46)))),""))</f>
        <v/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25/07/2003</t>
        </is>
      </c>
      <c r="B47" s="8" t="n">
        <v>103.194532</v>
      </c>
      <c r="C47" s="13" t="n">
        <v>39114</v>
      </c>
      <c r="D47" s="3">
        <f t="array" ref="D47">IF(C47="","",IFERROR(AVERAGE(_xlfn._xlws.FILTER($B$2:$B$6000,(IFERROR(VALUE(MID($A$2:$A$6000,4,2)),0)=MONTH(C47))*(IFERROR(VALUE(RIGHT($A$2:$A$6000,4)),0)=YEAR(C47)))),""))</f>
        <v/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28/07/2003</t>
        </is>
      </c>
      <c r="B48" s="8" t="n">
        <v>105.477597</v>
      </c>
      <c r="C48" s="13" t="n">
        <v>39142</v>
      </c>
      <c r="D48" s="3">
        <f t="array" ref="D48">IF(C48="","",IFERROR(AVERAGE(_xlfn._xlws.FILTER($B$2:$B$6000,(IFERROR(VALUE(MID($A$2:$A$6000,4,2)),0)=MONTH(C48))*(IFERROR(VALUE(RIGHT($A$2:$A$6000,4)),0)=YEAR(C48)))),""))</f>
        <v/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29/07/2003</t>
        </is>
      </c>
      <c r="B49" s="8" t="n">
        <v>107.096498</v>
      </c>
      <c r="C49" s="13" t="n">
        <v>39173</v>
      </c>
      <c r="D49" s="3">
        <f t="array" ref="D49">IF(C49="","",IFERROR(AVERAGE(_xlfn._xlws.FILTER($B$2:$B$6000,(IFERROR(VALUE(MID($A$2:$A$6000,4,2)),0)=MONTH(C49))*(IFERROR(VALUE(RIGHT($A$2:$A$6000,4)),0)=YEAR(C49)))),""))</f>
        <v/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30/07/2003</t>
        </is>
      </c>
      <c r="B50" s="8" t="n">
        <v>109.960706</v>
      </c>
      <c r="C50" s="13" t="n">
        <v>39203</v>
      </c>
      <c r="D50" s="3">
        <f t="array" ref="D50">IF(C50="","",IFERROR(AVERAGE(_xlfn._xlws.FILTER($B$2:$B$6000,(IFERROR(VALUE(MID($A$2:$A$6000,4,2)),0)=MONTH(C50))*(IFERROR(VALUE(RIGHT($A$2:$A$6000,4)),0)=YEAR(C50)))),""))</f>
        <v/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31/07/2003</t>
        </is>
      </c>
      <c r="B51" s="8" t="n">
        <v>113.073977</v>
      </c>
      <c r="C51" s="13" t="n">
        <v>39234</v>
      </c>
      <c r="D51" s="3">
        <f t="array" ref="D51">IF(C51="","",IFERROR(AVERAGE(_xlfn._xlws.FILTER($B$2:$B$6000,(IFERROR(VALUE(MID($A$2:$A$6000,4,2)),0)=MONTH(C51))*(IFERROR(VALUE(RIGHT($A$2:$A$6000,4)),0)=YEAR(C51)))),""))</f>
        <v/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01/08/2003</t>
        </is>
      </c>
      <c r="B52" s="8" t="n">
        <v>115.085757</v>
      </c>
      <c r="C52" s="13" t="n">
        <v>39264</v>
      </c>
      <c r="D52" s="3">
        <f t="array" ref="D52">IF(C52="","",IFERROR(AVERAGE(_xlfn._xlws.FILTER($B$2:$B$6000,(IFERROR(VALUE(MID($A$2:$A$6000,4,2)),0)=MONTH(C52))*(IFERROR(VALUE(RIGHT($A$2:$A$6000,4)),0)=YEAR(C52)))),""))</f>
        <v/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04/08/2003</t>
        </is>
      </c>
      <c r="B53" s="8" t="n">
        <v>117.401532</v>
      </c>
      <c r="C53" s="13" t="n">
        <v>39295</v>
      </c>
      <c r="D53" s="3">
        <f t="array" ref="D53">IF(C53="","",IFERROR(AVERAGE(_xlfn._xlws.FILTER($B$2:$B$6000,(IFERROR(VALUE(MID($A$2:$A$6000,4,2)),0)=MONTH(C53))*(IFERROR(VALUE(RIGHT($A$2:$A$6000,4)),0)=YEAR(C53)))),""))</f>
        <v/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05/08/2003</t>
        </is>
      </c>
      <c r="B54" s="8" t="n">
        <v>119.965426</v>
      </c>
      <c r="C54" s="13" t="n">
        <v>39326</v>
      </c>
      <c r="D54" s="3">
        <f t="array" ref="D54">IF(C54="","",IFERROR(AVERAGE(_xlfn._xlws.FILTER($B$2:$B$6000,(IFERROR(VALUE(MID($A$2:$A$6000,4,2)),0)=MONTH(C54))*(IFERROR(VALUE(RIGHT($A$2:$A$6000,4)),0)=YEAR(C54)))),""))</f>
        <v/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06/08/2003</t>
        </is>
      </c>
      <c r="B55" s="8" t="n">
        <v>122.653379</v>
      </c>
      <c r="C55" s="13" t="n">
        <v>39356</v>
      </c>
      <c r="D55" s="3">
        <f t="array" ref="D55">IF(C55="","",IFERROR(AVERAGE(_xlfn._xlws.FILTER($B$2:$B$6000,(IFERROR(VALUE(MID($A$2:$A$6000,4,2)),0)=MONTH(C55))*(IFERROR(VALUE(RIGHT($A$2:$A$6000,4)),0)=YEAR(C55)))),""))</f>
        <v/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07/08/2003</t>
        </is>
      </c>
      <c r="B56" s="8" t="n">
        <v>124.721036</v>
      </c>
      <c r="C56" s="13" t="n">
        <v>39387</v>
      </c>
      <c r="D56" s="3">
        <f t="array" ref="D56">IF(C56="","",IFERROR(AVERAGE(_xlfn._xlws.FILTER($B$2:$B$6000,(IFERROR(VALUE(MID($A$2:$A$6000,4,2)),0)=MONTH(C56))*(IFERROR(VALUE(RIGHT($A$2:$A$6000,4)),0)=YEAR(C56)))),""))</f>
        <v/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08/08/2003</t>
        </is>
      </c>
      <c r="B57" s="8" t="n">
        <v>124.845095</v>
      </c>
      <c r="C57" s="13" t="n">
        <v>39417</v>
      </c>
      <c r="D57" s="3">
        <f t="array" ref="D57">IF(C57="","",IFERROR(AVERAGE(_xlfn._xlws.FILTER($B$2:$B$6000,(IFERROR(VALUE(MID($A$2:$A$6000,4,2)),0)=MONTH(C57))*(IFERROR(VALUE(RIGHT($A$2:$A$6000,4)),0)=YEAR(C57)))),""))</f>
        <v/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11/08/2003</t>
        </is>
      </c>
      <c r="B58" s="8" t="n">
        <v>124.638329</v>
      </c>
      <c r="C58" s="13" t="n">
        <v>39448</v>
      </c>
      <c r="D58" s="3">
        <f t="array" ref="D58">IF(C58="","",IFERROR(AVERAGE(_xlfn._xlws.FILTER($B$2:$B$6000,(IFERROR(VALUE(MID($A$2:$A$6000,4,2)),0)=MONTH(C58))*(IFERROR(VALUE(RIGHT($A$2:$A$6000,4)),0)=YEAR(C58)))),""))</f>
        <v/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12/08/2003</t>
        </is>
      </c>
      <c r="B59" s="8" t="n">
        <v>125.010508</v>
      </c>
      <c r="C59" s="13" t="n">
        <v>39479</v>
      </c>
      <c r="D59" s="3">
        <f t="array" ref="D59">IF(C59="","",IFERROR(AVERAGE(_xlfn._xlws.FILTER($B$2:$B$6000,(IFERROR(VALUE(MID($A$2:$A$6000,4,2)),0)=MONTH(C59))*(IFERROR(VALUE(RIGHT($A$2:$A$6000,4)),0)=YEAR(C59)))),""))</f>
        <v/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13/08/2003</t>
        </is>
      </c>
      <c r="B60" s="8" t="n">
        <v>124.969154</v>
      </c>
      <c r="C60" s="13" t="n">
        <v>39508</v>
      </c>
      <c r="D60" s="3">
        <f t="array" ref="D60">IF(C60="","",IFERROR(AVERAGE(_xlfn._xlws.FILTER($B$2:$B$6000,(IFERROR(VALUE(MID($A$2:$A$6000,4,2)),0)=MONTH(C60))*(IFERROR(VALUE(RIGHT($A$2:$A$6000,4)),0)=YEAR(C60)))),""))</f>
        <v/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14/08/2003</t>
        </is>
      </c>
      <c r="B61" s="8" t="n">
        <v>125.424039</v>
      </c>
      <c r="C61" s="13" t="n">
        <v>39539</v>
      </c>
      <c r="D61" s="3">
        <f t="array" ref="D61">IF(C61="","",IFERROR(AVERAGE(_xlfn._xlws.FILTER($B$2:$B$6000,(IFERROR(VALUE(MID($A$2:$A$6000,4,2)),0)=MONTH(C61))*(IFERROR(VALUE(RIGHT($A$2:$A$6000,4)),0)=YEAR(C61)))),""))</f>
        <v/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15/08/2003</t>
        </is>
      </c>
      <c r="B62" s="8" t="n">
        <v>123.769914</v>
      </c>
      <c r="C62" s="13" t="n">
        <v>39569</v>
      </c>
      <c r="D62" s="3">
        <f t="array" ref="D62">IF(C62="","",IFERROR(AVERAGE(_xlfn._xlws.FILTER($B$2:$B$6000,(IFERROR(VALUE(MID($A$2:$A$6000,4,2)),0)=MONTH(C62))*(IFERROR(VALUE(RIGHT($A$2:$A$6000,4)),0)=YEAR(C62)))),""))</f>
        <v/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18/08/2003</t>
        </is>
      </c>
      <c r="B63" s="8" t="n">
        <v>123.066911</v>
      </c>
      <c r="C63" s="13" t="n">
        <v>39600</v>
      </c>
      <c r="D63" s="3">
        <f t="array" ref="D63">IF(C63="","",IFERROR(AVERAGE(_xlfn._xlws.FILTER($B$2:$B$6000,(IFERROR(VALUE(MID($A$2:$A$6000,4,2)),0)=MONTH(C63))*(IFERROR(VALUE(RIGHT($A$2:$A$6000,4)),0)=YEAR(C63)))),""))</f>
        <v/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19/08/2003</t>
        </is>
      </c>
      <c r="B64" s="8" t="n">
        <v>124.100739</v>
      </c>
      <c r="C64" s="13" t="n">
        <v>39630</v>
      </c>
      <c r="D64" s="3">
        <f t="array" ref="D64">IF(C64="","",IFERROR(AVERAGE(_xlfn._xlws.FILTER($B$2:$B$6000,(IFERROR(VALUE(MID($A$2:$A$6000,4,2)),0)=MONTH(C64))*(IFERROR(VALUE(RIGHT($A$2:$A$6000,4)),0)=YEAR(C64)))),""))</f>
        <v/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20/08/2003</t>
        </is>
      </c>
      <c r="B65" s="8" t="n">
        <v>123.976679</v>
      </c>
      <c r="C65" s="13" t="n">
        <v>39661</v>
      </c>
      <c r="D65" s="3">
        <f t="array" ref="D65">IF(C65="","",IFERROR(AVERAGE(_xlfn._xlws.FILTER($B$2:$B$6000,(IFERROR(VALUE(MID($A$2:$A$6000,4,2)),0)=MONTH(C65))*(IFERROR(VALUE(RIGHT($A$2:$A$6000,4)),0)=YEAR(C65)))),""))</f>
        <v/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21/08/2003</t>
        </is>
      </c>
      <c r="B66" s="8" t="n">
        <v>123.232323</v>
      </c>
      <c r="C66" s="13" t="n">
        <v>39692</v>
      </c>
      <c r="D66" s="3">
        <f t="array" ref="D66">IF(C66="","",IFERROR(AVERAGE(_xlfn._xlws.FILTER($B$2:$B$6000,(IFERROR(VALUE(MID($A$2:$A$6000,4,2)),0)=MONTH(C66))*(IFERROR(VALUE(RIGHT($A$2:$A$6000,4)),0)=YEAR(C66)))),""))</f>
        <v/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22/08/2003</t>
        </is>
      </c>
      <c r="B67" s="8" t="n">
        <v>123.149617</v>
      </c>
      <c r="C67" s="13" t="n">
        <v>39722</v>
      </c>
      <c r="D67" s="3">
        <f t="array" ref="D67">IF(C67="","",IFERROR(AVERAGE(_xlfn._xlws.FILTER($B$2:$B$6000,(IFERROR(VALUE(MID($A$2:$A$6000,4,2)),0)=MONTH(C67))*(IFERROR(VALUE(RIGHT($A$2:$A$6000,4)),0)=YEAR(C67)))),""))</f>
        <v/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25/08/2003</t>
        </is>
      </c>
      <c r="B68" s="8" t="n">
        <v>120.337604</v>
      </c>
      <c r="C68" s="13" t="n">
        <v>39753</v>
      </c>
      <c r="D68" s="3">
        <f t="array" ref="D68">IF(C68="","",IFERROR(AVERAGE(_xlfn._xlws.FILTER($B$2:$B$6000,(IFERROR(VALUE(MID($A$2:$A$6000,4,2)),0)=MONTH(C68))*(IFERROR(VALUE(RIGHT($A$2:$A$6000,4)),0)=YEAR(C68)))),""))</f>
        <v/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26/08/2003</t>
        </is>
      </c>
      <c r="B69" s="8" t="n">
        <v>118.600773</v>
      </c>
      <c r="C69" s="13" t="n">
        <v>39783</v>
      </c>
      <c r="D69" s="3">
        <f t="array" ref="D69">IF(C69="","",IFERROR(AVERAGE(_xlfn._xlws.FILTER($B$2:$B$6000,(IFERROR(VALUE(MID($A$2:$A$6000,4,2)),0)=MONTH(C69))*(IFERROR(VALUE(RIGHT($A$2:$A$6000,4)),0)=YEAR(C69)))),""))</f>
        <v/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27/08/2003</t>
        </is>
      </c>
      <c r="B70" s="8" t="n">
        <v>117.815063</v>
      </c>
      <c r="C70" s="13" t="n">
        <v>39814</v>
      </c>
      <c r="D70" s="3">
        <f t="array" ref="D70">IF(C70="","",IFERROR(AVERAGE(_xlfn._xlws.FILTER($B$2:$B$6000,(IFERROR(VALUE(MID($A$2:$A$6000,4,2)),0)=MONTH(C70))*(IFERROR(VALUE(RIGHT($A$2:$A$6000,4)),0)=YEAR(C70)))),""))</f>
        <v/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28/08/2003</t>
        </is>
      </c>
      <c r="B71" s="8" t="n">
        <v>116.946648</v>
      </c>
      <c r="C71" s="13" t="n">
        <v>39845</v>
      </c>
      <c r="D71" s="3">
        <f t="array" ref="D71">IF(C71="","",IFERROR(AVERAGE(_xlfn._xlws.FILTER($B$2:$B$6000,(IFERROR(VALUE(MID($A$2:$A$6000,4,2)),0)=MONTH(C71))*(IFERROR(VALUE(RIGHT($A$2:$A$6000,4)),0)=YEAR(C71)))),""))</f>
        <v/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29/08/2003</t>
        </is>
      </c>
      <c r="B72" s="8" t="n">
        <v>114.300047</v>
      </c>
      <c r="C72" s="13" t="n">
        <v>39873</v>
      </c>
      <c r="D72" s="3">
        <f t="array" ref="D72">IF(C72="","",IFERROR(AVERAGE(_xlfn._xlws.FILTER($B$2:$B$6000,(IFERROR(VALUE(MID($A$2:$A$6000,4,2)),0)=MONTH(C72))*(IFERROR(VALUE(RIGHT($A$2:$A$6000,4)),0)=YEAR(C72)))),""))</f>
        <v/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01/09/2003</t>
        </is>
      </c>
      <c r="B73" s="8" t="n">
        <v>112.435715</v>
      </c>
      <c r="C73" s="13" t="n">
        <v>39904</v>
      </c>
      <c r="D73" s="3">
        <f t="array" ref="D73">IF(C73="","",IFERROR(AVERAGE(_xlfn._xlws.FILTER($B$2:$B$6000,(IFERROR(VALUE(MID($A$2:$A$6000,4,2)),0)=MONTH(C73))*(IFERROR(VALUE(RIGHT($A$2:$A$6000,4)),0)=YEAR(C73)))),""))</f>
        <v/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02/09/2003</t>
        </is>
      </c>
      <c r="B74" s="8" t="n">
        <v>111.822652</v>
      </c>
      <c r="C74" s="13" t="n">
        <v>39934</v>
      </c>
      <c r="D74" s="3">
        <f t="array" ref="D74">IF(C74="","",IFERROR(AVERAGE(_xlfn._xlws.FILTER($B$2:$B$6000,(IFERROR(VALUE(MID($A$2:$A$6000,4,2)),0)=MONTH(C74))*(IFERROR(VALUE(RIGHT($A$2:$A$6000,4)),0)=YEAR(C74)))),""))</f>
        <v/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03/09/2003</t>
        </is>
      </c>
      <c r="B75" s="8" t="n">
        <v>110.678269</v>
      </c>
      <c r="C75" s="13" t="n">
        <v>39965</v>
      </c>
      <c r="D75" s="3">
        <f t="array" ref="D75">IF(C75="","",IFERROR(AVERAGE(_xlfn._xlws.FILTER($B$2:$B$6000,(IFERROR(VALUE(MID($A$2:$A$6000,4,2)),0)=MONTH(C75))*(IFERROR(VALUE(RIGHT($A$2:$A$6000,4)),0)=YEAR(C75)))),""))</f>
        <v/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04/09/2003</t>
        </is>
      </c>
      <c r="B76" s="8" t="n">
        <v>108.798209</v>
      </c>
      <c r="C76" s="13" t="n">
        <v>39995</v>
      </c>
      <c r="D76" s="3">
        <f t="array" ref="D76">IF(C76="","",IFERROR(AVERAGE(_xlfn._xlws.FILTER($B$2:$B$6000,(IFERROR(VALUE(MID($A$2:$A$6000,4,2)),0)=MONTH(C76))*(IFERROR(VALUE(RIGHT($A$2:$A$6000,4)),0)=YEAR(C76)))),""))</f>
        <v/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05/09/2003</t>
        </is>
      </c>
      <c r="B77" s="8" t="n">
        <v>105.814637</v>
      </c>
      <c r="C77" s="13" t="n">
        <v>40026</v>
      </c>
      <c r="D77" s="3">
        <f t="array" ref="D77">IF(C77="","",IFERROR(AVERAGE(_xlfn._xlws.FILTER($B$2:$B$6000,(IFERROR(VALUE(MID($A$2:$A$6000,4,2)),0)=MONTH(C77))*(IFERROR(VALUE(RIGHT($A$2:$A$6000,4)),0)=YEAR(C77)))),""))</f>
        <v/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08/09/2003</t>
        </is>
      </c>
      <c r="B78" s="8" t="n">
        <v>106.059862</v>
      </c>
      <c r="C78" s="13" t="n">
        <v>40057</v>
      </c>
      <c r="D78" s="3">
        <f t="array" ref="D78">IF(C78="","",IFERROR(AVERAGE(_xlfn._xlws.FILTER($B$2:$B$6000,(IFERROR(VALUE(MID($A$2:$A$6000,4,2)),0)=MONTH(C78))*(IFERROR(VALUE(RIGHT($A$2:$A$6000,4)),0)=YEAR(C78)))),""))</f>
        <v/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09/09/2003</t>
        </is>
      </c>
      <c r="B79" s="8" t="n">
        <v>104.05719</v>
      </c>
      <c r="C79" s="13" t="n">
        <v>40087</v>
      </c>
      <c r="D79" s="3">
        <f t="array" ref="D79">IF(C79="","",IFERROR(AVERAGE(_xlfn._xlws.FILTER($B$2:$B$6000,(IFERROR(VALUE(MID($A$2:$A$6000,4,2)),0)=MONTH(C79))*(IFERROR(VALUE(RIGHT($A$2:$A$6000,4)),0)=YEAR(C79)))),""))</f>
        <v/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10/09/2003</t>
        </is>
      </c>
      <c r="B80" s="8" t="n">
        <v>103.444128</v>
      </c>
      <c r="C80" s="13" t="n">
        <v>40118</v>
      </c>
      <c r="D80" s="3">
        <f t="array" ref="D80">IF(C80="","",IFERROR(AVERAGE(_xlfn._xlws.FILTER($B$2:$B$6000,(IFERROR(VALUE(MID($A$2:$A$6000,4,2)),0)=MONTH(C80))*(IFERROR(VALUE(RIGHT($A$2:$A$6000,4)),0)=YEAR(C80)))),""))</f>
        <v/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11/09/2003</t>
        </is>
      </c>
      <c r="B81" s="8" t="n">
        <v>100.991877</v>
      </c>
      <c r="C81" s="13" t="n">
        <v>40148</v>
      </c>
      <c r="D81" s="3">
        <f t="array" ref="D81">IF(C81="","",IFERROR(AVERAGE(_xlfn._xlws.FILTER($B$2:$B$6000,(IFERROR(VALUE(MID($A$2:$A$6000,4,2)),0)=MONTH(C81))*(IFERROR(VALUE(RIGHT($A$2:$A$6000,4)),0)=YEAR(C81)))),""))</f>
        <v/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12/09/2003</t>
        </is>
      </c>
      <c r="B82" s="8" t="n">
        <v>100.133589</v>
      </c>
      <c r="C82" s="13" t="n">
        <v>40179</v>
      </c>
      <c r="D82" s="3">
        <f t="array" ref="D82">IF(C82="","",IFERROR(AVERAGE(_xlfn._xlws.FILTER($B$2:$B$6000,(IFERROR(VALUE(MID($A$2:$A$6000,4,2)),0)=MONTH(C82))*(IFERROR(VALUE(RIGHT($A$2:$A$6000,4)),0)=YEAR(C82)))),""))</f>
        <v/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15/09/2003</t>
        </is>
      </c>
      <c r="B83" s="8" t="n">
        <v>99.76575099999999</v>
      </c>
      <c r="C83" s="13" t="n">
        <v>40210</v>
      </c>
      <c r="D83" s="3">
        <f t="array" ref="D83">IF(C83="","",IFERROR(AVERAGE(_xlfn._xlws.FILTER($B$2:$B$6000,(IFERROR(VALUE(MID($A$2:$A$6000,4,2)),0)=MONTH(C83))*(IFERROR(VALUE(RIGHT($A$2:$A$6000,4)),0)=YEAR(C83)))),""))</f>
        <v/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16/09/2003</t>
        </is>
      </c>
      <c r="B84" s="8" t="n">
        <v>99.438784</v>
      </c>
      <c r="C84" s="13" t="n">
        <v>40238</v>
      </c>
      <c r="D84" s="3">
        <f t="array" ref="D84">IF(C84="","",IFERROR(AVERAGE(_xlfn._xlws.FILTER($B$2:$B$6000,(IFERROR(VALUE(MID($A$2:$A$6000,4,2)),0)=MONTH(C84))*(IFERROR(VALUE(RIGHT($A$2:$A$6000,4)),0)=YEAR(C84)))),""))</f>
        <v/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17/09/2003</t>
        </is>
      </c>
      <c r="B85" s="8" t="n">
        <v>99.23443</v>
      </c>
      <c r="C85" s="13" t="n">
        <v>40269</v>
      </c>
      <c r="D85" s="3">
        <f t="array" ref="D85">IF(C85="","",IFERROR(AVERAGE(_xlfn._xlws.FILTER($B$2:$B$6000,(IFERROR(VALUE(MID($A$2:$A$6000,4,2)),0)=MONTH(C85))*(IFERROR(VALUE(RIGHT($A$2:$A$6000,4)),0)=YEAR(C85)))),""))</f>
        <v/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18/09/2003</t>
        </is>
      </c>
      <c r="B86" s="8" t="n">
        <v>97.640467</v>
      </c>
      <c r="C86" s="13" t="n">
        <v>40299</v>
      </c>
      <c r="D86" s="3">
        <f t="array" ref="D86">IF(C86="","",IFERROR(AVERAGE(_xlfn._xlws.FILTER($B$2:$B$6000,(IFERROR(VALUE(MID($A$2:$A$6000,4,2)),0)=MONTH(C86))*(IFERROR(VALUE(RIGHT($A$2:$A$6000,4)),0)=YEAR(C86)))),""))</f>
        <v/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19/09/2003</t>
        </is>
      </c>
      <c r="B87" s="8" t="n">
        <v>94.49341099999999</v>
      </c>
      <c r="C87" s="13" t="n">
        <v>40330</v>
      </c>
      <c r="D87" s="3">
        <f t="array" ref="D87">IF(C87="","",IFERROR(AVERAGE(_xlfn._xlws.FILTER($B$2:$B$6000,(IFERROR(VALUE(MID($A$2:$A$6000,4,2)),0)=MONTH(C87))*(IFERROR(VALUE(RIGHT($A$2:$A$6000,4)),0)=YEAR(C87)))),""))</f>
        <v/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22/09/2003</t>
        </is>
      </c>
      <c r="B88" s="8" t="n">
        <v>93.47163999999999</v>
      </c>
      <c r="C88" s="13" t="n">
        <v>40360</v>
      </c>
      <c r="D88" s="3">
        <f t="array" ref="D88">IF(C88="","",IFERROR(AVERAGE(_xlfn._xlws.FILTER($B$2:$B$6000,(IFERROR(VALUE(MID($A$2:$A$6000,4,2)),0)=MONTH(C88))*(IFERROR(VALUE(RIGHT($A$2:$A$6000,4)),0)=YEAR(C88)))),""))</f>
        <v/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23/09/2003</t>
        </is>
      </c>
      <c r="B89" s="8" t="n">
        <v>91.55071</v>
      </c>
      <c r="C89" s="13" t="n">
        <v>40391</v>
      </c>
      <c r="D89" s="3">
        <f t="array" ref="D89">IF(C89="","",IFERROR(AVERAGE(_xlfn._xlws.FILTER($B$2:$B$6000,(IFERROR(VALUE(MID($A$2:$A$6000,4,2)),0)=MONTH(C89))*(IFERROR(VALUE(RIGHT($A$2:$A$6000,4)),0)=YEAR(C89)))),""))</f>
        <v/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24/09/2003</t>
        </is>
      </c>
      <c r="B90" s="8" t="n">
        <v>91.060259</v>
      </c>
      <c r="C90" s="13" t="n">
        <v>40422</v>
      </c>
      <c r="D90" s="3">
        <f t="array" ref="D90">IF(C90="","",IFERROR(AVERAGE(_xlfn._xlws.FILTER($B$2:$B$6000,(IFERROR(VALUE(MID($A$2:$A$6000,4,2)),0)=MONTH(C90))*(IFERROR(VALUE(RIGHT($A$2:$A$6000,4)),0)=YEAR(C90)))),""))</f>
        <v/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25/09/2003</t>
        </is>
      </c>
      <c r="B91" s="8" t="n">
        <v>90.56980900000001</v>
      </c>
      <c r="C91" s="13" t="n">
        <v>40452</v>
      </c>
      <c r="D91" s="3">
        <f t="array" ref="D91">IF(C91="","",IFERROR(AVERAGE(_xlfn._xlws.FILTER($B$2:$B$6000,(IFERROR(VALUE(MID($A$2:$A$6000,4,2)),0)=MONTH(C91))*(IFERROR(VALUE(RIGHT($A$2:$A$6000,4)),0)=YEAR(C91)))),""))</f>
        <v/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26/09/2003</t>
        </is>
      </c>
      <c r="B92" s="8" t="n">
        <v>89.016717</v>
      </c>
      <c r="C92" s="13" t="n">
        <v>40483</v>
      </c>
      <c r="D92" s="3">
        <f t="array" ref="D92">IF(C92="","",IFERROR(AVERAGE(_xlfn._xlws.FILTER($B$2:$B$6000,(IFERROR(VALUE(MID($A$2:$A$6000,4,2)),0)=MONTH(C92))*(IFERROR(VALUE(RIGHT($A$2:$A$6000,4)),0)=YEAR(C92)))),""))</f>
        <v/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29/09/2003</t>
        </is>
      </c>
      <c r="B93" s="8" t="n">
        <v>88.444525</v>
      </c>
      <c r="C93" s="13" t="n">
        <v>40513</v>
      </c>
      <c r="D93" s="3">
        <f t="array" ref="D93">IF(C93="","",IFERROR(AVERAGE(_xlfn._xlws.FILTER($B$2:$B$6000,(IFERROR(VALUE(MID($A$2:$A$6000,4,2)),0)=MONTH(C93))*(IFERROR(VALUE(RIGHT($A$2:$A$6000,4)),0)=YEAR(C93)))),""))</f>
        <v/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30/09/2003</t>
        </is>
      </c>
      <c r="B94" s="8" t="n">
        <v>87.25927</v>
      </c>
      <c r="C94" s="13" t="n">
        <v>40544</v>
      </c>
      <c r="D94" s="3">
        <f t="array" ref="D94">IF(C94="","",IFERROR(AVERAGE(_xlfn._xlws.FILTER($B$2:$B$6000,(IFERROR(VALUE(MID($A$2:$A$6000,4,2)),0)=MONTH(C94))*(IFERROR(VALUE(RIGHT($A$2:$A$6000,4)),0)=YEAR(C94)))),""))</f>
        <v/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01/10/2003</t>
        </is>
      </c>
      <c r="B95" s="8" t="n">
        <v>86.68464299999999</v>
      </c>
      <c r="C95" s="13" t="n">
        <v>40575</v>
      </c>
      <c r="D95" s="3">
        <f t="array" ref="D95">IF(C95="","",IFERROR(AVERAGE(_xlfn._xlws.FILTER($B$2:$B$6000,(IFERROR(VALUE(MID($A$2:$A$6000,4,2)),0)=MONTH(C95))*(IFERROR(VALUE(RIGHT($A$2:$A$6000,4)),0)=YEAR(C95)))),""))</f>
        <v/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02/10/2003</t>
        </is>
      </c>
      <c r="B96" s="8" t="n">
        <v>87.173237</v>
      </c>
      <c r="C96" s="13" t="n">
        <v>40603</v>
      </c>
      <c r="D96" s="3">
        <f t="array" ref="D96">IF(C96="","",IFERROR(AVERAGE(_xlfn._xlws.FILTER($B$2:$B$6000,(IFERROR(VALUE(MID($A$2:$A$6000,4,2)),0)=MONTH(C96))*(IFERROR(VALUE(RIGHT($A$2:$A$6000,4)),0)=YEAR(C96)))),""))</f>
        <v/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03/10/2003</t>
        </is>
      </c>
      <c r="B97" s="8" t="n">
        <v>87.539682</v>
      </c>
      <c r="C97" s="13" t="n">
        <v>40634</v>
      </c>
      <c r="D97" s="3">
        <f t="array" ref="D97">IF(C97="","",IFERROR(AVERAGE(_xlfn._xlws.FILTER($B$2:$B$6000,(IFERROR(VALUE(MID($A$2:$A$6000,4,2)),0)=MONTH(C97))*(IFERROR(VALUE(RIGHT($A$2:$A$6000,4)),0)=YEAR(C97)))),""))</f>
        <v/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06/10/2003</t>
        </is>
      </c>
      <c r="B98" s="8" t="n">
        <v>88.761166</v>
      </c>
      <c r="C98" s="13" t="n">
        <v>40664</v>
      </c>
      <c r="D98" s="3">
        <f t="array" ref="D98">IF(C98="","",IFERROR(AVERAGE(_xlfn._xlws.FILTER($B$2:$B$6000,(IFERROR(VALUE(MID($A$2:$A$6000,4,2)),0)=MONTH(C98))*(IFERROR(VALUE(RIGHT($A$2:$A$6000,4)),0)=YEAR(C98)))),""))</f>
        <v/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07/10/2003</t>
        </is>
      </c>
      <c r="B99" s="8" t="n">
        <v>89.127611</v>
      </c>
      <c r="C99" s="13" t="n">
        <v>40695</v>
      </c>
      <c r="D99" s="3">
        <f t="array" ref="D99">IF(C99="","",IFERROR(AVERAGE(_xlfn._xlws.FILTER($B$2:$B$6000,(IFERROR(VALUE(MID($A$2:$A$6000,4,2)),0)=MONTH(C99))*(IFERROR(VALUE(RIGHT($A$2:$A$6000,4)),0)=YEAR(C99)))),""))</f>
        <v/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08/10/2003</t>
        </is>
      </c>
      <c r="B100" s="8" t="n">
        <v>89.534772</v>
      </c>
      <c r="C100" s="13" t="n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/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09/10/2003</t>
        </is>
      </c>
      <c r="B101" s="8" t="n">
        <v>89.20904299999999</v>
      </c>
      <c r="C101" s="13" t="n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/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10/10/2003</t>
        </is>
      </c>
      <c r="B102" s="8" t="n">
        <v>88.842598</v>
      </c>
      <c r="C102" s="13" t="n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/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13/10/2003</t>
        </is>
      </c>
      <c r="B103" s="8" t="n">
        <v>88.59830100000001</v>
      </c>
      <c r="C103" s="13" t="n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/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14/10/2003</t>
        </is>
      </c>
      <c r="B104" s="8" t="n">
        <v>88.394721</v>
      </c>
      <c r="C104" s="13" t="n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/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15/10/2003</t>
        </is>
      </c>
      <c r="B105" s="8" t="n">
        <v>88.06899199999999</v>
      </c>
      <c r="C105" s="13" t="n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/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16/10/2003</t>
        </is>
      </c>
      <c r="B106" s="8" t="n">
        <v>87.906127</v>
      </c>
      <c r="C106" s="13" t="n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/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17/10/2003</t>
        </is>
      </c>
      <c r="B107" s="8" t="n">
        <v>86.88822399999999</v>
      </c>
      <c r="C107" s="13" t="n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/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20/10/2003</t>
        </is>
      </c>
      <c r="B108" s="8" t="n">
        <v>85.91103699999999</v>
      </c>
      <c r="C108" s="13" t="n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/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21/10/2003</t>
        </is>
      </c>
      <c r="B109" s="8" t="n">
        <v>85.585308</v>
      </c>
      <c r="C109" s="13" t="n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/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22/10/2003</t>
        </is>
      </c>
      <c r="B110" s="8" t="n">
        <v>85.34101099999999</v>
      </c>
      <c r="C110" s="13" t="n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/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23/10/2003</t>
        </is>
      </c>
      <c r="B111" s="8" t="n">
        <v>84.40454</v>
      </c>
      <c r="C111" s="13" t="n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/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24/10/2003</t>
        </is>
      </c>
      <c r="B112" s="8" t="n">
        <v>83.345921</v>
      </c>
      <c r="C112" s="13" t="n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/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27/10/2003</t>
        </is>
      </c>
      <c r="B113" s="8" t="n">
        <v>83.223772</v>
      </c>
      <c r="C113" s="13" t="n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/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28/10/2003</t>
        </is>
      </c>
      <c r="B114" s="8" t="n">
        <v>81.676559</v>
      </c>
      <c r="C114" s="13" t="n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/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29/10/2003</t>
        </is>
      </c>
      <c r="B115" s="8" t="n">
        <v>81.63584299999999</v>
      </c>
      <c r="C115" s="13" t="n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/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30/10/2003</t>
        </is>
      </c>
      <c r="B116" s="8" t="n">
        <v>81.513695</v>
      </c>
      <c r="C116" s="13" t="n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/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31/10/2003</t>
        </is>
      </c>
      <c r="B117" s="8" t="n">
        <v>80.373643</v>
      </c>
      <c r="C117" s="13" t="n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/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03/11/2003</t>
        </is>
      </c>
      <c r="B118" s="8" t="n">
        <v>79.90069699999999</v>
      </c>
      <c r="C118" s="13" t="n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/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04/11/2003</t>
        </is>
      </c>
      <c r="B119" s="8" t="n">
        <v>79.90069699999999</v>
      </c>
      <c r="C119" s="13" t="n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/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05/11/2003</t>
        </is>
      </c>
      <c r="B120" s="8" t="n">
        <v>79.73862699999999</v>
      </c>
      <c r="C120" s="13" t="n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/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06/11/2003</t>
        </is>
      </c>
      <c r="B121" s="8" t="n">
        <v>80.18432</v>
      </c>
      <c r="C121" s="13" t="n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/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07/11/2003</t>
        </is>
      </c>
      <c r="B122" s="8" t="n">
        <v>81.602436</v>
      </c>
      <c r="C122" s="13" t="n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/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10/11/2003</t>
        </is>
      </c>
      <c r="B123" s="8" t="n">
        <v>81.723989</v>
      </c>
      <c r="C123" s="13" t="n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/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11/11/2003</t>
        </is>
      </c>
      <c r="B124" s="8" t="n">
        <v>82.16968300000001</v>
      </c>
      <c r="C124" s="13" t="n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/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12/11/2003</t>
        </is>
      </c>
      <c r="B125" s="8" t="n">
        <v>82.2102</v>
      </c>
      <c r="C125" s="13" t="n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/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13/11/2003</t>
        </is>
      </c>
      <c r="B126" s="8" t="n">
        <v>81.602436</v>
      </c>
      <c r="C126" s="13" t="n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/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14/11/2003</t>
        </is>
      </c>
      <c r="B127" s="8" t="n">
        <v>82.16968300000001</v>
      </c>
      <c r="C127" s="13" t="n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/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17/11/2003</t>
        </is>
      </c>
      <c r="B128" s="8" t="n">
        <v>82.41278800000001</v>
      </c>
      <c r="C128" s="13" t="n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/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18/11/2003</t>
        </is>
      </c>
      <c r="B129" s="8" t="n">
        <v>82.655894</v>
      </c>
      <c r="C129" s="13" t="n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/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19/11/2003</t>
        </is>
      </c>
      <c r="B130" s="8" t="n">
        <v>82.939517</v>
      </c>
      <c r="C130" s="13" t="n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/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20/11/2003</t>
        </is>
      </c>
      <c r="B131" s="8" t="n">
        <v>83.26365800000001</v>
      </c>
      <c r="C131" s="13" t="n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/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21/11/2003</t>
        </is>
      </c>
      <c r="B132" s="8" t="n">
        <v>83.709351</v>
      </c>
      <c r="C132" s="13" t="n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/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24/11/2003</t>
        </is>
      </c>
      <c r="B133" s="8" t="n">
        <v>84.39815</v>
      </c>
      <c r="C133" s="13" t="n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/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25/11/2003</t>
        </is>
      </c>
      <c r="B134" s="8" t="n">
        <v>85.086949</v>
      </c>
      <c r="C134" s="13" t="n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/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26/11/2003</t>
        </is>
      </c>
      <c r="B135" s="8" t="n">
        <v>85.208502</v>
      </c>
      <c r="C135" s="13" t="n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/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27/11/2003</t>
        </is>
      </c>
      <c r="B136" s="8" t="n">
        <v>85.127467</v>
      </c>
      <c r="C136" s="13" t="n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/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28/11/2003</t>
        </is>
      </c>
      <c r="B137" s="8" t="n">
        <v>85.127467</v>
      </c>
      <c r="C137" s="13" t="n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/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01/12/2003</t>
        </is>
      </c>
      <c r="B138" s="8" t="n">
        <v>84.73215399999999</v>
      </c>
      <c r="C138" s="13" t="n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/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02/12/2003</t>
        </is>
      </c>
      <c r="B139" s="8" t="n">
        <v>85.90004</v>
      </c>
      <c r="C139" s="13" t="n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/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03/12/2003</t>
        </is>
      </c>
      <c r="B140" s="8" t="n">
        <v>85.416777</v>
      </c>
      <c r="C140" s="13" t="n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/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04/12/2003</t>
        </is>
      </c>
      <c r="B141" s="8" t="n">
        <v>85.859768</v>
      </c>
      <c r="C141" s="13" t="n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/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05/12/2003</t>
        </is>
      </c>
      <c r="B142" s="8" t="n">
        <v>85.94031200000001</v>
      </c>
      <c r="C142" s="13" t="n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/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08/12/2003</t>
        </is>
      </c>
      <c r="B143" s="8" t="n">
        <v>87.188742</v>
      </c>
      <c r="C143" s="13" t="n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/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09/12/2003</t>
        </is>
      </c>
      <c r="B144" s="8" t="n">
        <v>87.188742</v>
      </c>
      <c r="C144" s="13" t="n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/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10/12/2003</t>
        </is>
      </c>
      <c r="B145" s="8" t="n">
        <v>87.027654</v>
      </c>
      <c r="C145" s="13" t="n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/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11/12/2003</t>
        </is>
      </c>
      <c r="B146" s="8" t="n">
        <v>86.94711</v>
      </c>
      <c r="C146" s="13" t="n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/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12/12/2003</t>
        </is>
      </c>
      <c r="B147" s="8" t="n">
        <v>86.62493499999999</v>
      </c>
      <c r="C147" s="13" t="n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/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15/12/2003</t>
        </is>
      </c>
      <c r="B148" s="8" t="n">
        <v>86.987382</v>
      </c>
      <c r="C148" s="13" t="n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/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16/12/2003</t>
        </is>
      </c>
      <c r="B149" s="8" t="n">
        <v>86.463847</v>
      </c>
      <c r="C149" s="13" t="n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/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17/12/2003</t>
        </is>
      </c>
      <c r="B150" s="8" t="n">
        <v>86.705479</v>
      </c>
      <c r="C150" s="13" t="n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/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18/12/2003</t>
        </is>
      </c>
      <c r="B151" s="8" t="n">
        <v>87.188742</v>
      </c>
      <c r="C151" s="13" t="n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/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19/12/2003</t>
        </is>
      </c>
      <c r="B152" s="8" t="n">
        <v>86.141671</v>
      </c>
      <c r="C152" s="13" t="n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/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22/12/2003</t>
        </is>
      </c>
      <c r="B153" s="8" t="n">
        <v>86.181943</v>
      </c>
      <c r="C153" s="13" t="n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/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23/12/2003</t>
        </is>
      </c>
      <c r="B154" s="8" t="n">
        <v>86.826294</v>
      </c>
      <c r="C154" s="13" t="n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/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26/12/2003</t>
        </is>
      </c>
      <c r="B155" s="8" t="n">
        <v>85.65840799999999</v>
      </c>
      <c r="C155" s="13" t="n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/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29/12/2003</t>
        </is>
      </c>
      <c r="B156" s="8" t="n">
        <v>85.37650499999999</v>
      </c>
      <c r="C156" s="13" t="n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/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30/12/2003</t>
        </is>
      </c>
      <c r="B157" s="8" t="n">
        <v>85.255689</v>
      </c>
      <c r="C157" s="13" t="n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/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02/01/2004</t>
        </is>
      </c>
      <c r="B158" s="8" t="n">
        <v>83.633729</v>
      </c>
      <c r="C158" s="13" t="n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/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05/01/2004</t>
        </is>
      </c>
      <c r="B159" s="8" t="n">
        <v>83.314364</v>
      </c>
      <c r="C159" s="13" t="n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/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06/01/2004</t>
        </is>
      </c>
      <c r="B160" s="8" t="n">
        <v>83.833333</v>
      </c>
      <c r="C160" s="13" t="n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/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07/01/2004</t>
        </is>
      </c>
      <c r="B161" s="8" t="n">
        <v>83.67364999999999</v>
      </c>
      <c r="C161" s="13" t="n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/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08/01/2004</t>
        </is>
      </c>
      <c r="B162" s="8" t="n">
        <v>83.394206</v>
      </c>
      <c r="C162" s="13" t="n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/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09/01/2004</t>
        </is>
      </c>
      <c r="B163" s="8" t="n">
        <v>83.59380899999999</v>
      </c>
      <c r="C163" s="13" t="n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/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12/01/2004</t>
        </is>
      </c>
      <c r="B164" s="8" t="n">
        <v>83.114761</v>
      </c>
      <c r="C164" s="13" t="n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/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13/01/2004</t>
        </is>
      </c>
      <c r="B165" s="8" t="n">
        <v>82.515952</v>
      </c>
      <c r="C165" s="13" t="n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/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14/01/2004</t>
        </is>
      </c>
      <c r="B166" s="8" t="n">
        <v>81.877222</v>
      </c>
      <c r="C166" s="13" t="n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/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15/01/2004</t>
        </is>
      </c>
      <c r="B167" s="8" t="n">
        <v>81.118729</v>
      </c>
      <c r="C167" s="13" t="n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/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16/01/2004</t>
        </is>
      </c>
      <c r="B168" s="8" t="n">
        <v>78.843253</v>
      </c>
      <c r="C168" s="13" t="n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/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19/01/2004</t>
        </is>
      </c>
      <c r="B169" s="8" t="n">
        <v>77.126666</v>
      </c>
      <c r="C169" s="13" t="n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/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20/01/2004</t>
        </is>
      </c>
      <c r="B170" s="8" t="n">
        <v>76.887142</v>
      </c>
      <c r="C170" s="13" t="n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/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21/01/2004</t>
        </is>
      </c>
      <c r="B171" s="8" t="n">
        <v>75.769364</v>
      </c>
      <c r="C171" s="13" t="n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/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22/01/2004</t>
        </is>
      </c>
      <c r="B172" s="8" t="n">
        <v>74.85119</v>
      </c>
      <c r="C172" s="13" t="n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/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23/01/2004</t>
        </is>
      </c>
      <c r="B173" s="8" t="n">
        <v>74.13261799999999</v>
      </c>
      <c r="C173" s="13" t="n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/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26/01/2004</t>
        </is>
      </c>
      <c r="B174" s="8" t="n">
        <v>73.77333299999999</v>
      </c>
      <c r="C174" s="13" t="n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/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27/01/2004</t>
        </is>
      </c>
      <c r="B175" s="8" t="n">
        <v>72.416031</v>
      </c>
      <c r="C175" s="13" t="n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/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28/01/2004</t>
        </is>
      </c>
      <c r="B176" s="8" t="n">
        <v>71.69746000000001</v>
      </c>
      <c r="C176" s="13" t="n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/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29/01/2004</t>
        </is>
      </c>
      <c r="B177" s="8" t="n">
        <v>71.497857</v>
      </c>
      <c r="C177" s="13" t="n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/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30/01/2004</t>
        </is>
      </c>
      <c r="B178" s="8" t="n">
        <v>71.05873</v>
      </c>
      <c r="C178" s="13" t="n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/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02/02/2004</t>
        </is>
      </c>
      <c r="B179" s="8" t="n">
        <v>72.19731400000001</v>
      </c>
      <c r="C179" s="13" t="n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/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03/02/2004</t>
        </is>
      </c>
      <c r="B180" s="8" t="n">
        <v>72.435197</v>
      </c>
      <c r="C180" s="13" t="n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/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04/02/2004</t>
        </is>
      </c>
      <c r="B181" s="8" t="n">
        <v>72.11802</v>
      </c>
      <c r="C181" s="13" t="n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/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05/02/2004</t>
        </is>
      </c>
      <c r="B182" s="8" t="n">
        <v>72.316255</v>
      </c>
      <c r="C182" s="13" t="n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/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06/02/2004</t>
        </is>
      </c>
      <c r="B183" s="8" t="n">
        <v>72.355902</v>
      </c>
      <c r="C183" s="13" t="n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/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09/02/2004</t>
        </is>
      </c>
      <c r="B184" s="8" t="n">
        <v>72.79201999999999</v>
      </c>
      <c r="C184" s="13" t="n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/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10/02/2004</t>
        </is>
      </c>
      <c r="B185" s="8" t="n">
        <v>72.673079</v>
      </c>
      <c r="C185" s="13" t="n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/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11/02/2004</t>
        </is>
      </c>
      <c r="B186" s="8" t="n">
        <v>72.673079</v>
      </c>
      <c r="C186" s="13" t="n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/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12/02/2004</t>
        </is>
      </c>
      <c r="B187" s="8" t="n">
        <v>72.19731400000001</v>
      </c>
      <c r="C187" s="13" t="n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/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13/02/2004</t>
        </is>
      </c>
      <c r="B188" s="8" t="n">
        <v>72.157667</v>
      </c>
      <c r="C188" s="13" t="n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/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16/02/2004</t>
        </is>
      </c>
      <c r="B189" s="8" t="n">
        <v>72.19731400000001</v>
      </c>
      <c r="C189" s="13" t="n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/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17/02/2004</t>
        </is>
      </c>
      <c r="B190" s="8" t="n">
        <v>71.721549</v>
      </c>
      <c r="C190" s="13" t="n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/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18/02/2004</t>
        </is>
      </c>
      <c r="B191" s="8" t="n">
        <v>71.64225500000001</v>
      </c>
      <c r="C191" s="13" t="n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/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19/02/2004</t>
        </is>
      </c>
      <c r="B192" s="8" t="n">
        <v>71.12684299999999</v>
      </c>
      <c r="C192" s="13" t="n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/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20/02/2004</t>
        </is>
      </c>
      <c r="B193" s="8" t="n">
        <v>70.809667</v>
      </c>
      <c r="C193" s="13" t="n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/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25/02/2004</t>
        </is>
      </c>
      <c r="B194" s="8" t="n">
        <v>71.44401999999999</v>
      </c>
      <c r="C194" s="13" t="n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/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26/02/2004</t>
        </is>
      </c>
      <c r="B195" s="8" t="n">
        <v>72.157667</v>
      </c>
      <c r="C195" s="13" t="n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/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27/02/2004</t>
        </is>
      </c>
      <c r="B196" s="8" t="n">
        <v>72.11802</v>
      </c>
      <c r="C196" s="13" t="n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/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01/03/2004</t>
        </is>
      </c>
      <c r="B197" s="8" t="n">
        <v>71.547417</v>
      </c>
      <c r="C197" s="13" t="n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/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02/03/2004</t>
        </is>
      </c>
      <c r="B198" s="8" t="n">
        <v>71.821845</v>
      </c>
      <c r="C198" s="13" t="n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/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03/03/2004</t>
        </is>
      </c>
      <c r="B199" s="8" t="n">
        <v>71.821845</v>
      </c>
      <c r="C199" s="13" t="n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/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04/03/2004</t>
        </is>
      </c>
      <c r="B200" s="8" t="n">
        <v>71.86104899999999</v>
      </c>
      <c r="C200" s="13" t="n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/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05/03/2004</t>
        </is>
      </c>
      <c r="B201" s="8" t="n">
        <v>73.15478299999999</v>
      </c>
      <c r="C201" s="13" t="n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/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08/03/2004</t>
        </is>
      </c>
      <c r="B202" s="8" t="n">
        <v>74.017273</v>
      </c>
      <c r="C202" s="13" t="n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/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09/03/2004</t>
        </is>
      </c>
      <c r="B203" s="8" t="n">
        <v>76.408721</v>
      </c>
      <c r="C203" s="13" t="n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/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10/03/2004</t>
        </is>
      </c>
      <c r="B204" s="8" t="n">
        <v>76.251904</v>
      </c>
      <c r="C204" s="13" t="n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/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11/03/2004</t>
        </is>
      </c>
      <c r="B205" s="8" t="n">
        <v>77.702455</v>
      </c>
      <c r="C205" s="13" t="n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/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12/03/2004</t>
        </is>
      </c>
      <c r="B206" s="8" t="n">
        <v>78.87857700000001</v>
      </c>
      <c r="C206" s="13" t="n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/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15/03/2004</t>
        </is>
      </c>
      <c r="B207" s="8" t="n">
        <v>80.72116800000001</v>
      </c>
      <c r="C207" s="13" t="n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/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16/03/2004</t>
        </is>
      </c>
      <c r="B208" s="8" t="n">
        <v>82.642167</v>
      </c>
      <c r="C208" s="13" t="n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/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17/03/2004</t>
        </is>
      </c>
      <c r="B209" s="8" t="n">
        <v>84.79839</v>
      </c>
      <c r="C209" s="13" t="n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/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18/03/2004</t>
        </is>
      </c>
      <c r="B210" s="8" t="n">
        <v>85.700084</v>
      </c>
      <c r="C210" s="13" t="n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/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19/03/2004</t>
        </is>
      </c>
      <c r="B211" s="8" t="n">
        <v>86.40575699999999</v>
      </c>
      <c r="C211" s="13" t="n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/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22/03/2004</t>
        </is>
      </c>
      <c r="B212" s="8" t="n">
        <v>89.267653</v>
      </c>
      <c r="C212" s="13" t="n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/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23/03/2004</t>
        </is>
      </c>
      <c r="B213" s="8" t="n">
        <v>92.247162</v>
      </c>
      <c r="C213" s="13" t="n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/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24/03/2004</t>
        </is>
      </c>
      <c r="B214" s="8" t="n">
        <v>94.560202</v>
      </c>
      <c r="C214" s="13" t="n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/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25/03/2004</t>
        </is>
      </c>
      <c r="B215" s="8" t="n">
        <v>98.990261</v>
      </c>
      <c r="C215" s="13" t="n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/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26/03/2004</t>
        </is>
      </c>
      <c r="B216" s="8" t="n">
        <v>100.676036</v>
      </c>
      <c r="C216" s="13" t="n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/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29/03/2004</t>
        </is>
      </c>
      <c r="B217" s="8" t="n">
        <v>101.812954</v>
      </c>
      <c r="C217" s="13" t="n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/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30/03/2004</t>
        </is>
      </c>
      <c r="B218" s="8" t="n">
        <v>102.83226</v>
      </c>
      <c r="C218" s="13" t="n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/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31/03/2004</t>
        </is>
      </c>
      <c r="B219" s="8" t="n">
        <v>105.34132</v>
      </c>
      <c r="C219" s="13" t="n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/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01/04/2004</t>
        </is>
      </c>
      <c r="B220" s="8" t="n">
        <v>105.670078</v>
      </c>
      <c r="C220" s="13" t="n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/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02/04/2004</t>
        </is>
      </c>
      <c r="B221" s="8" t="n">
        <v>109.58235</v>
      </c>
      <c r="C221" s="13" t="n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/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05/04/2004</t>
        </is>
      </c>
      <c r="B222" s="8" t="n">
        <v>111.441648</v>
      </c>
      <c r="C222" s="13" t="n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/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06/04/2004</t>
        </is>
      </c>
      <c r="B223" s="8" t="n">
        <v>112.487503</v>
      </c>
      <c r="C223" s="13" t="n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/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07/04/2004</t>
        </is>
      </c>
      <c r="B224" s="8" t="n">
        <v>112.564973</v>
      </c>
      <c r="C224" s="13" t="n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/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08/04/2004</t>
        </is>
      </c>
      <c r="B225" s="8" t="n">
        <v>112.293826034</v>
      </c>
      <c r="C225" s="13" t="n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/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12/04/2004</t>
        </is>
      </c>
      <c r="B226" s="8" t="n">
        <v>113.184739452</v>
      </c>
      <c r="C226" s="13" t="n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/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13/04/2004</t>
        </is>
      </c>
      <c r="B227" s="8" t="n">
        <v>114.036917504</v>
      </c>
      <c r="C227" s="13" t="n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/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14/04/2004</t>
        </is>
      </c>
      <c r="B228" s="8" t="n">
        <v>114.036917504</v>
      </c>
      <c r="C228" s="13" t="n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/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15/04/2004</t>
        </is>
      </c>
      <c r="B229" s="8" t="n">
        <v>113.610828478</v>
      </c>
      <c r="C229" s="13" t="n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/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16/04/2004</t>
        </is>
      </c>
      <c r="B230" s="8" t="n">
        <v>111.131765054</v>
      </c>
      <c r="C230" s="13" t="n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/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19/04/2004</t>
        </is>
      </c>
      <c r="B231" s="8" t="n">
        <v>110.163380904</v>
      </c>
      <c r="C231" s="13" t="n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/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20/04/2004</t>
        </is>
      </c>
      <c r="B232" s="8" t="n">
        <v>111.247971152</v>
      </c>
      <c r="C232" s="13" t="n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/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22/04/2004</t>
        </is>
      </c>
      <c r="B233" s="8" t="n">
        <v>108.149141872</v>
      </c>
      <c r="C233" s="13" t="n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/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23/04/2004</t>
        </is>
      </c>
      <c r="B234" s="8" t="n">
        <v>107.916729676</v>
      </c>
      <c r="C234" s="13" t="n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/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26/04/2004</t>
        </is>
      </c>
      <c r="B235" s="8" t="n">
        <v>106.289844304</v>
      </c>
      <c r="C235" s="13" t="n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/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27/04/2004</t>
        </is>
      </c>
      <c r="B236" s="8" t="n">
        <v>103.965722344</v>
      </c>
      <c r="C236" s="13" t="n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/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28/04/2004</t>
        </is>
      </c>
      <c r="B237" s="8" t="n">
        <v>99.511155254</v>
      </c>
      <c r="C237" s="13" t="n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/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29/04/2004</t>
        </is>
      </c>
      <c r="B238" s="8" t="n">
        <v>97.72932841800001</v>
      </c>
      <c r="C238" s="13" t="n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/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30/04/2004</t>
        </is>
      </c>
      <c r="B239" s="8" t="n">
        <v>94.16567474599999</v>
      </c>
      <c r="C239" s="13" t="n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/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03/05/2004</t>
        </is>
      </c>
      <c r="B240" s="8" t="n">
        <v>91.6098478636</v>
      </c>
      <c r="C240" s="13" t="n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/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04/05/2004</t>
        </is>
      </c>
      <c r="B241" s="8" t="n">
        <v>91.11279944029999</v>
      </c>
      <c r="C241" s="13" t="n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/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05/05/2004</t>
        </is>
      </c>
      <c r="B242" s="8" t="n">
        <v>89.9657646173</v>
      </c>
      <c r="C242" s="13" t="n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/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06/05/2004</t>
        </is>
      </c>
      <c r="B243" s="8" t="n">
        <v>88.47461934739999</v>
      </c>
      <c r="C243" s="13" t="n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/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07/05/2004</t>
        </is>
      </c>
      <c r="B244" s="8" t="n">
        <v>87.74816395949999</v>
      </c>
      <c r="C244" s="13" t="n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/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10/05/2004</t>
        </is>
      </c>
      <c r="B245" s="8" t="n">
        <v>87.6334604772</v>
      </c>
      <c r="C245" s="13" t="n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/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11/05/2004</t>
        </is>
      </c>
      <c r="B246" s="8" t="n">
        <v>85.95114273679999</v>
      </c>
      <c r="C246" s="13" t="n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/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12/05/2004</t>
        </is>
      </c>
      <c r="B247" s="8" t="n">
        <v>85.03351487839998</v>
      </c>
      <c r="C247" s="13" t="n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/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13/05/2004</t>
        </is>
      </c>
      <c r="B248" s="8" t="n">
        <v>83.8864800554</v>
      </c>
      <c r="C248" s="13" t="n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/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14/05/2004</t>
        </is>
      </c>
      <c r="B249" s="8" t="n">
        <v>83.69530758489999</v>
      </c>
      <c r="C249" s="13" t="n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/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17/05/2004</t>
        </is>
      </c>
      <c r="B250" s="8" t="n">
        <v>82.8541487147</v>
      </c>
      <c r="C250" s="13" t="n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/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18/05/2004</t>
        </is>
      </c>
      <c r="B251" s="8" t="n">
        <v>81.21006546839999</v>
      </c>
      <c r="C251" s="13" t="n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/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19/05/2004</t>
        </is>
      </c>
      <c r="B252" s="8" t="n">
        <v>80.6365480569</v>
      </c>
      <c r="C252" s="13" t="n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/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20/05/2004</t>
        </is>
      </c>
      <c r="B253" s="8" t="n">
        <v>81.47770692709999</v>
      </c>
      <c r="C253" s="13" t="n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/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21/05/2004</t>
        </is>
      </c>
      <c r="B254" s="8" t="n">
        <v>81.93652085629999</v>
      </c>
      <c r="C254" s="13" t="n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/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24/05/2004</t>
        </is>
      </c>
      <c r="B255" s="8" t="n">
        <v>82.6247417501</v>
      </c>
      <c r="C255" s="13" t="n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/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25/05/2004</t>
        </is>
      </c>
      <c r="B256" s="8" t="n">
        <v>84.84234240790001</v>
      </c>
      <c r="C256" s="13" t="n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/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26/05/2004</t>
        </is>
      </c>
      <c r="B257" s="8" t="n">
        <v>85.98937723089999</v>
      </c>
      <c r="C257" s="13" t="n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/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27/05/2004</t>
        </is>
      </c>
      <c r="B258" s="8" t="n">
        <v>87.3275845244</v>
      </c>
      <c r="C258" s="13" t="n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/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28/05/2004</t>
        </is>
      </c>
      <c r="B259" s="8" t="n">
        <v>87.8246329477</v>
      </c>
      <c r="C259" s="13" t="n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/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31/05/2004</t>
        </is>
      </c>
      <c r="B260" s="8" t="n">
        <v>88.58932282970001</v>
      </c>
      <c r="C260" s="13" t="n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/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01/06/2004</t>
        </is>
      </c>
      <c r="B261" s="8" t="n">
        <v>88.81656490649999</v>
      </c>
      <c r="C261" s="13" t="n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/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02/06/2004</t>
        </is>
      </c>
      <c r="B262" s="8" t="n">
        <v>92.0976864126</v>
      </c>
      <c r="C262" s="13" t="n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/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03/06/2004</t>
        </is>
      </c>
      <c r="B263" s="8" t="n">
        <v>94.0965305485</v>
      </c>
      <c r="C263" s="13" t="n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/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04/06/2004</t>
        </is>
      </c>
      <c r="B264" s="8" t="n">
        <v>96.0576606441</v>
      </c>
      <c r="C264" s="13" t="n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/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07/06/2004</t>
        </is>
      </c>
      <c r="B265" s="8" t="n">
        <v>97.98107669939999</v>
      </c>
      <c r="C265" s="13" t="n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/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08/06/2004</t>
        </is>
      </c>
      <c r="B266" s="8" t="n">
        <v>100.0930629562</v>
      </c>
      <c r="C266" s="13" t="n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/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09/06/2004</t>
        </is>
      </c>
      <c r="B267" s="8" t="n">
        <v>101.2621982055</v>
      </c>
      <c r="C267" s="13" t="n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/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11/06/2004</t>
        </is>
      </c>
      <c r="B268" s="8" t="n">
        <v>101.7901947697</v>
      </c>
      <c r="C268" s="13" t="n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/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14/06/2004</t>
        </is>
      </c>
      <c r="B269" s="8" t="n">
        <v>102.4690474951</v>
      </c>
      <c r="C269" s="13" t="n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/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15/06/2004</t>
        </is>
      </c>
      <c r="B270" s="8" t="n">
        <v>102.9970440593</v>
      </c>
      <c r="C270" s="13" t="n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/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16/06/2004</t>
        </is>
      </c>
      <c r="B271" s="8" t="n">
        <v>103.0347580996</v>
      </c>
      <c r="C271" s="13" t="n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/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17/06/2004</t>
        </is>
      </c>
      <c r="B272" s="8" t="n">
        <v>103.1101861802</v>
      </c>
      <c r="C272" s="13" t="n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/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18/06/2004</t>
        </is>
      </c>
      <c r="B273" s="8" t="n">
        <v>102.8084738578</v>
      </c>
      <c r="C273" s="13" t="n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/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21/06/2004</t>
        </is>
      </c>
      <c r="B274" s="8" t="n">
        <v>103.1101861802</v>
      </c>
      <c r="C274" s="13" t="n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/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22/06/2004</t>
        </is>
      </c>
      <c r="B275" s="8" t="n">
        <v>103.1479002205</v>
      </c>
      <c r="C275" s="13" t="n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/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23/06/2004</t>
        </is>
      </c>
      <c r="B276" s="8" t="n">
        <v>103.4873265832</v>
      </c>
      <c r="C276" s="13" t="n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/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24/06/2004</t>
        </is>
      </c>
      <c r="B277" s="8" t="n">
        <v>102.2804772936</v>
      </c>
      <c r="C277" s="13" t="n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/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25/06/2004</t>
        </is>
      </c>
      <c r="B278" s="8" t="n">
        <v>101.8656228503</v>
      </c>
      <c r="C278" s="13" t="n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/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28/06/2004</t>
        </is>
      </c>
      <c r="B279" s="8" t="n">
        <v>101.2999122458</v>
      </c>
      <c r="C279" s="13" t="n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/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29/06/2004</t>
        </is>
      </c>
      <c r="B280" s="8" t="n">
        <v>101.450768407</v>
      </c>
      <c r="C280" s="13" t="n"/>
      <c r="D280" s="3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30/06/2004</t>
        </is>
      </c>
      <c r="B281" s="8" t="n">
        <v>101.073628004</v>
      </c>
      <c r="C281" s="13" t="n"/>
      <c r="D281" s="3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01/07/2004</t>
        </is>
      </c>
      <c r="B282" s="8" t="n">
        <v>99.022156968</v>
      </c>
      <c r="C282" s="13" t="n"/>
      <c r="D282" s="3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02/07/2004</t>
        </is>
      </c>
      <c r="B283" s="8" t="n">
        <v>98.5009877208</v>
      </c>
      <c r="C283" s="13" t="n"/>
      <c r="D283" s="3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05/07/2004</t>
        </is>
      </c>
      <c r="B284" s="8" t="n">
        <v>98.1287239728</v>
      </c>
      <c r="C284" s="13" t="n"/>
      <c r="D284" s="3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06/07/2004</t>
        </is>
      </c>
      <c r="B285" s="8" t="n">
        <v>99.72945808919999</v>
      </c>
      <c r="C285" s="13" t="n"/>
      <c r="D285" s="3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07/07/2004</t>
        </is>
      </c>
      <c r="B286" s="8" t="n">
        <v>100.1017218372</v>
      </c>
      <c r="C286" s="13" t="n"/>
      <c r="D286" s="3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08/07/2004</t>
        </is>
      </c>
      <c r="B287" s="8" t="n">
        <v>100.5484383348</v>
      </c>
      <c r="C287" s="13" t="n"/>
      <c r="D287" s="3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12/07/2004</t>
        </is>
      </c>
      <c r="B288" s="8" t="n">
        <v>100.6601174592</v>
      </c>
      <c r="C288" s="13" t="n"/>
      <c r="D288" s="3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13/07/2004</t>
        </is>
      </c>
      <c r="B289" s="8" t="n">
        <v>101.7024559536</v>
      </c>
      <c r="C289" s="13" t="n"/>
      <c r="D289" s="3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14/07/2004</t>
        </is>
      </c>
      <c r="B290" s="8" t="n">
        <v>102.2236252008</v>
      </c>
      <c r="C290" s="13" t="n"/>
      <c r="D290" s="3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15/07/2004</t>
        </is>
      </c>
      <c r="B291" s="8" t="n">
        <v>102.8564735724</v>
      </c>
      <c r="C291" s="13" t="n"/>
      <c r="D291" s="3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16/07/2004</t>
        </is>
      </c>
      <c r="B292" s="8" t="n">
        <v>103.5637746936</v>
      </c>
      <c r="C292" s="13" t="n"/>
      <c r="D292" s="3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19/07/2004</t>
        </is>
      </c>
      <c r="B293" s="8" t="n">
        <v>104.6433395628</v>
      </c>
      <c r="C293" s="13" t="n"/>
      <c r="D293" s="3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20/07/2004</t>
        </is>
      </c>
      <c r="B294" s="8" t="n">
        <v>104.6805659376</v>
      </c>
      <c r="C294" s="13" t="n"/>
      <c r="D294" s="3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21/07/2004</t>
        </is>
      </c>
      <c r="B295" s="8" t="n">
        <v>105.4995461832</v>
      </c>
      <c r="C295" s="13" t="n"/>
      <c r="D295" s="3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22/07/2004</t>
        </is>
      </c>
      <c r="B296" s="8" t="n">
        <v>105.909036306</v>
      </c>
      <c r="C296" s="13" t="n"/>
      <c r="D296" s="3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23/07/2004</t>
        </is>
      </c>
      <c r="B297" s="8" t="n">
        <v>106.5791110524</v>
      </c>
      <c r="C297" s="13" t="n"/>
      <c r="D297" s="3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26/07/2004</t>
        </is>
      </c>
      <c r="B298" s="8" t="n">
        <v>107.3608649232</v>
      </c>
      <c r="C298" s="13" t="n"/>
      <c r="D298" s="3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27/07/2004</t>
        </is>
      </c>
      <c r="B299" s="8" t="n">
        <v>107.8448077956</v>
      </c>
      <c r="C299" s="13" t="n"/>
      <c r="D299" s="3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28/07/2004</t>
        </is>
      </c>
      <c r="B300" s="8" t="n">
        <v>108.8499199152</v>
      </c>
      <c r="C300" s="13" t="n"/>
      <c r="D300" s="3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29/07/2004</t>
        </is>
      </c>
      <c r="B301" s="8" t="n">
        <v>109.2221836632</v>
      </c>
      <c r="C301" s="13" t="n"/>
      <c r="D301" s="3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30/07/2004</t>
        </is>
      </c>
      <c r="B302" s="8" t="n">
        <v>109.3338627876</v>
      </c>
      <c r="C302" s="13" t="n"/>
      <c r="D302" s="3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02/08/2004</t>
        </is>
      </c>
      <c r="B303" s="8" t="n">
        <v>108.347065902</v>
      </c>
      <c r="C303" s="13" t="n"/>
      <c r="D303" s="3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03/08/2004</t>
        </is>
      </c>
      <c r="B304" s="8" t="n">
        <v>109.009064268</v>
      </c>
      <c r="C304" s="13" t="n"/>
      <c r="D304" s="3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04/08/2004</t>
        </is>
      </c>
      <c r="B305" s="8" t="n">
        <v>109.560729573</v>
      </c>
      <c r="C305" s="13" t="n"/>
      <c r="D305" s="3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05/08/2004</t>
        </is>
      </c>
      <c r="B306" s="8" t="n">
        <v>110.259505626</v>
      </c>
      <c r="C306" s="13" t="n"/>
      <c r="D306" s="3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06/08/2004</t>
        </is>
      </c>
      <c r="B307" s="8" t="n">
        <v>110.369838687</v>
      </c>
      <c r="C307" s="13" t="n"/>
      <c r="D307" s="3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09/08/2004</t>
        </is>
      </c>
      <c r="B308" s="8" t="n">
        <v>110.958281679</v>
      </c>
      <c r="C308" s="13" t="n"/>
      <c r="D308" s="3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10/08/2004</t>
        </is>
      </c>
      <c r="B309" s="8" t="n">
        <v>110.921503992</v>
      </c>
      <c r="C309" s="13" t="n"/>
      <c r="D309" s="3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11/08/2004</t>
        </is>
      </c>
      <c r="B310" s="8" t="n">
        <v>110.958281679</v>
      </c>
      <c r="C310" s="13" t="n"/>
      <c r="D310" s="3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12/08/2004</t>
        </is>
      </c>
      <c r="B311" s="8" t="n">
        <v>110.847948618</v>
      </c>
      <c r="C311" s="13" t="n"/>
      <c r="D311" s="3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13/08/2004</t>
        </is>
      </c>
      <c r="B312" s="8" t="n">
        <v>111.43639161</v>
      </c>
      <c r="C312" s="13" t="n"/>
      <c r="D312" s="3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16/08/2004</t>
        </is>
      </c>
      <c r="B313" s="8" t="n">
        <v>110.995059366</v>
      </c>
      <c r="C313" s="13" t="n"/>
      <c r="D313" s="3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17/08/2004</t>
        </is>
      </c>
      <c r="B314" s="8" t="n">
        <v>111.215725488</v>
      </c>
      <c r="C314" s="13" t="n"/>
      <c r="D314" s="3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18/08/2004</t>
        </is>
      </c>
      <c r="B315" s="8" t="n">
        <v>110.995059366</v>
      </c>
      <c r="C315" s="13" t="n"/>
      <c r="D315" s="3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19/08/2004</t>
        </is>
      </c>
      <c r="B316" s="8" t="n">
        <v>111.252503175</v>
      </c>
      <c r="C316" s="13" t="n"/>
      <c r="D316" s="3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20/08/2004</t>
        </is>
      </c>
      <c r="B317" s="8" t="n">
        <v>111.142170114</v>
      </c>
      <c r="C317" s="13" t="n"/>
      <c r="D317" s="3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23/08/2004</t>
        </is>
      </c>
      <c r="B318" s="8" t="n">
        <v>111.252503175</v>
      </c>
      <c r="C318" s="13" t="n"/>
      <c r="D318" s="3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24/08/2004</t>
        </is>
      </c>
      <c r="B319" s="8" t="n">
        <v>110.70083787</v>
      </c>
      <c r="C319" s="13" t="n"/>
      <c r="D319" s="3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25/08/2004</t>
        </is>
      </c>
      <c r="B320" s="8" t="n">
        <v>109.96528413</v>
      </c>
      <c r="C320" s="13" t="n"/>
      <c r="D320" s="3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26/08/2004</t>
        </is>
      </c>
      <c r="B321" s="8" t="n">
        <v>110.664060183</v>
      </c>
      <c r="C321" s="13" t="n"/>
      <c r="D321" s="3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27/08/2004</t>
        </is>
      </c>
      <c r="B322" s="8" t="n">
        <v>109.413618825</v>
      </c>
      <c r="C322" s="13" t="n"/>
      <c r="D322" s="3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30/08/2004</t>
        </is>
      </c>
      <c r="B323" s="8" t="n">
        <v>108.935508894</v>
      </c>
      <c r="C323" s="13" t="n"/>
      <c r="D323" s="3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31/08/2004</t>
        </is>
      </c>
      <c r="B324" s="8" t="n">
        <v>108.457398963</v>
      </c>
      <c r="C324" s="13" t="n"/>
      <c r="D324" s="3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01/09/2004</t>
        </is>
      </c>
      <c r="B325" s="8" t="n">
        <v>107.9333253</v>
      </c>
      <c r="C325" s="13" t="n"/>
      <c r="D325" s="3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02/09/2004</t>
        </is>
      </c>
      <c r="B326" s="8" t="n">
        <v>108.4812102</v>
      </c>
      <c r="C326" s="13" t="n"/>
      <c r="D326" s="3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03/09/2004</t>
        </is>
      </c>
      <c r="B327" s="8" t="n">
        <v>108.70036416</v>
      </c>
      <c r="C327" s="13" t="n"/>
      <c r="D327" s="3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06/09/2004</t>
        </is>
      </c>
      <c r="B328" s="8" t="n">
        <v>108.55426152</v>
      </c>
      <c r="C328" s="13" t="n"/>
      <c r="D328" s="3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08/09/2004</t>
        </is>
      </c>
      <c r="B329" s="8" t="n">
        <v>108.59078718</v>
      </c>
      <c r="C329" s="13" t="n"/>
      <c r="D329" s="3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09/09/2004</t>
        </is>
      </c>
      <c r="B330" s="8" t="n">
        <v>108.37163322</v>
      </c>
      <c r="C330" s="13" t="n"/>
      <c r="D330" s="3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10/09/2004</t>
        </is>
      </c>
      <c r="B331" s="8" t="n">
        <v>107.86027398</v>
      </c>
      <c r="C331" s="13" t="n"/>
      <c r="D331" s="3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13/09/2004</t>
        </is>
      </c>
      <c r="B332" s="8" t="n">
        <v>107.82374832</v>
      </c>
      <c r="C332" s="13" t="n"/>
      <c r="D332" s="3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14/09/2004</t>
        </is>
      </c>
      <c r="B333" s="8" t="n">
        <v>106.6549272</v>
      </c>
      <c r="C333" s="13" t="n"/>
      <c r="D333" s="3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15/09/2004</t>
        </is>
      </c>
      <c r="B334" s="8" t="n">
        <v>106.25314494</v>
      </c>
      <c r="C334" s="13" t="n"/>
      <c r="D334" s="3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16/09/2004</t>
        </is>
      </c>
      <c r="B335" s="8" t="n">
        <v>104.90169552</v>
      </c>
      <c r="C335" s="13" t="n"/>
      <c r="D335" s="3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17/09/2004</t>
        </is>
      </c>
      <c r="B336" s="8" t="n">
        <v>104.42686194</v>
      </c>
      <c r="C336" s="13" t="n"/>
      <c r="D336" s="3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20/09/2004</t>
        </is>
      </c>
      <c r="B337" s="8" t="n">
        <v>104.31728496</v>
      </c>
      <c r="C337" s="13" t="n"/>
      <c r="D337" s="3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21/09/2004</t>
        </is>
      </c>
      <c r="B338" s="8" t="n">
        <v>103.58677176</v>
      </c>
      <c r="C338" s="13" t="n"/>
      <c r="D338" s="3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22/09/2004</t>
        </is>
      </c>
      <c r="B339" s="8" t="n">
        <v>102.8197329</v>
      </c>
      <c r="C339" s="13" t="n"/>
      <c r="D339" s="3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23/09/2004</t>
        </is>
      </c>
      <c r="B340" s="8" t="n">
        <v>102.01616838</v>
      </c>
      <c r="C340" s="13" t="n"/>
      <c r="D340" s="3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24/09/2004</t>
        </is>
      </c>
      <c r="B341" s="8" t="n">
        <v>102.05269404</v>
      </c>
      <c r="C341" s="13" t="n"/>
      <c r="D341" s="3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27/09/2004</t>
        </is>
      </c>
      <c r="B342" s="8" t="n">
        <v>100.59166764</v>
      </c>
      <c r="C342" s="13" t="n"/>
      <c r="D342" s="3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28/09/2004</t>
        </is>
      </c>
      <c r="B343" s="8" t="n">
        <v>100.37251368</v>
      </c>
      <c r="C343" s="13" t="n"/>
      <c r="D343" s="3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29/09/2004</t>
        </is>
      </c>
      <c r="B344" s="8" t="n">
        <v>99.64200048000001</v>
      </c>
      <c r="C344" s="13" t="n"/>
      <c r="D344" s="3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30/09/2004</t>
        </is>
      </c>
      <c r="B345" s="8" t="n">
        <v>99.56894916000002</v>
      </c>
      <c r="C345" s="13" t="n"/>
      <c r="D345" s="3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01/10/2004</t>
        </is>
      </c>
      <c r="B346" s="8" t="n">
        <v>99.2549062824</v>
      </c>
      <c r="C346" s="13" t="n"/>
      <c r="D346" s="3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04/10/2004</t>
        </is>
      </c>
      <c r="B347" s="8" t="n">
        <v>99.5459763888</v>
      </c>
      <c r="C347" s="13" t="n"/>
      <c r="D347" s="3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05/10/2004</t>
        </is>
      </c>
      <c r="B348" s="8" t="n">
        <v>99.7278952053</v>
      </c>
      <c r="C348" s="13" t="n"/>
      <c r="D348" s="3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06/10/2004</t>
        </is>
      </c>
      <c r="B349" s="8" t="n">
        <v>99.69151144199999</v>
      </c>
      <c r="C349" s="13" t="n"/>
      <c r="D349" s="3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07/10/2004</t>
        </is>
      </c>
      <c r="B350" s="8" t="n">
        <v>99.40044133559999</v>
      </c>
      <c r="C350" s="13" t="n"/>
      <c r="D350" s="3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08/10/2004</t>
        </is>
      </c>
      <c r="B351" s="8" t="n">
        <v>99.2549062824</v>
      </c>
      <c r="C351" s="13" t="n"/>
      <c r="D351" s="3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11/10/2004</t>
        </is>
      </c>
      <c r="B352" s="8" t="n">
        <v>99.1821387558</v>
      </c>
      <c r="C352" s="13" t="n"/>
      <c r="D352" s="3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13/10/2004</t>
        </is>
      </c>
      <c r="B353" s="8" t="n">
        <v>99.43682509889999</v>
      </c>
      <c r="C353" s="13" t="n"/>
      <c r="D353" s="3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14/10/2004</t>
        </is>
      </c>
      <c r="B354" s="8" t="n">
        <v>99.8370464952</v>
      </c>
      <c r="C354" s="13" t="n"/>
      <c r="D354" s="3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15/10/2004</t>
        </is>
      </c>
      <c r="B355" s="8" t="n">
        <v>100.0917328383</v>
      </c>
      <c r="C355" s="13" t="n"/>
      <c r="D355" s="3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18/10/2004</t>
        </is>
      </c>
      <c r="B356" s="8" t="n">
        <v>100.1281166016</v>
      </c>
      <c r="C356" s="13" t="n"/>
      <c r="D356" s="3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19/10/2004</t>
        </is>
      </c>
      <c r="B357" s="8" t="n">
        <v>99.8370464952</v>
      </c>
      <c r="C357" s="13" t="n"/>
      <c r="D357" s="3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20/10/2004</t>
        </is>
      </c>
      <c r="B358" s="8" t="n">
        <v>99.7642789686</v>
      </c>
      <c r="C358" s="13" t="n"/>
      <c r="D358" s="3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21/10/2004</t>
        </is>
      </c>
      <c r="B359" s="8" t="n">
        <v>100.8921756309</v>
      </c>
      <c r="C359" s="13" t="n"/>
      <c r="D359" s="3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22/10/2004</t>
        </is>
      </c>
      <c r="B360" s="8" t="n">
        <v>101.0377106841</v>
      </c>
      <c r="C360" s="13" t="n"/>
      <c r="D360" s="3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25/10/2004</t>
        </is>
      </c>
      <c r="B361" s="8" t="n">
        <v>101.8381534767</v>
      </c>
      <c r="C361" s="13" t="n"/>
      <c r="D361" s="3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26/10/2004</t>
        </is>
      </c>
      <c r="B362" s="8" t="n">
        <v>102.2019911097</v>
      </c>
      <c r="C362" s="13" t="n"/>
      <c r="D362" s="3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27/10/2004</t>
        </is>
      </c>
      <c r="B363" s="8" t="n">
        <v>102.5294449794</v>
      </c>
      <c r="C363" s="13" t="n"/>
      <c r="D363" s="3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28/10/2004</t>
        </is>
      </c>
      <c r="B364" s="8" t="n">
        <v>102.8568988491</v>
      </c>
      <c r="C364" s="13" t="n"/>
      <c r="D364" s="3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29/10/2004</t>
        </is>
      </c>
      <c r="B365" s="8" t="n">
        <v>103.2935040087</v>
      </c>
      <c r="C365" s="13" t="n"/>
      <c r="D365" s="3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01/11/2004</t>
        </is>
      </c>
      <c r="B366" s="8" t="n">
        <v>102.272947062</v>
      </c>
      <c r="C366" s="13" t="n"/>
      <c r="D366" s="3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03/11/2004</t>
        </is>
      </c>
      <c r="B367" s="8" t="n">
        <v>102.453386277</v>
      </c>
      <c r="C367" s="13" t="n"/>
      <c r="D367" s="3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04/11/2004</t>
        </is>
      </c>
      <c r="B368" s="8" t="n">
        <v>102.597737649</v>
      </c>
      <c r="C368" s="13" t="n"/>
      <c r="D368" s="3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05/11/2004</t>
        </is>
      </c>
      <c r="B369" s="8" t="n">
        <v>102.814264707</v>
      </c>
      <c r="C369" s="13" t="n"/>
      <c r="D369" s="3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08/11/2004</t>
        </is>
      </c>
      <c r="B370" s="8" t="n">
        <v>103.319494509</v>
      </c>
      <c r="C370" s="13" t="n"/>
      <c r="D370" s="3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09/11/2004</t>
        </is>
      </c>
      <c r="B371" s="8" t="n">
        <v>103.536021567</v>
      </c>
      <c r="C371" s="13" t="n"/>
      <c r="D371" s="3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10/11/2004</t>
        </is>
      </c>
      <c r="B372" s="8" t="n">
        <v>104.113427055</v>
      </c>
      <c r="C372" s="13" t="n"/>
      <c r="D372" s="3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11/11/2004</t>
        </is>
      </c>
      <c r="B373" s="8" t="n">
        <v>105.412589403</v>
      </c>
      <c r="C373" s="13" t="n"/>
      <c r="D373" s="3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12/11/2004</t>
        </is>
      </c>
      <c r="B374" s="8" t="n">
        <v>106.567400379</v>
      </c>
      <c r="C374" s="13" t="n"/>
      <c r="D374" s="3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16/11/2004</t>
        </is>
      </c>
      <c r="B375" s="8" t="n">
        <v>107.036542338</v>
      </c>
      <c r="C375" s="13" t="n"/>
      <c r="D375" s="3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17/11/2004</t>
        </is>
      </c>
      <c r="B376" s="8" t="n">
        <v>107.794387041</v>
      </c>
      <c r="C376" s="13" t="n"/>
      <c r="D376" s="3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18/11/2004</t>
        </is>
      </c>
      <c r="B377" s="8" t="n">
        <v>108.335704686</v>
      </c>
      <c r="C377" s="13" t="n"/>
      <c r="D377" s="3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19/11/2004</t>
        </is>
      </c>
      <c r="B378" s="8" t="n">
        <v>109.598779191</v>
      </c>
      <c r="C378" s="13" t="n"/>
      <c r="D378" s="3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22/11/2004</t>
        </is>
      </c>
      <c r="B379" s="8" t="n">
        <v>110.645326638</v>
      </c>
      <c r="C379" s="13" t="n"/>
      <c r="D379" s="3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23/11/2004</t>
        </is>
      </c>
      <c r="B380" s="8" t="n">
        <v>111.944488986</v>
      </c>
      <c r="C380" s="13" t="n"/>
      <c r="D380" s="3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24/11/2004</t>
        </is>
      </c>
      <c r="B381" s="8" t="n">
        <v>112.557982317</v>
      </c>
      <c r="C381" s="13" t="n"/>
      <c r="D381" s="3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25/11/2004</t>
        </is>
      </c>
      <c r="B382" s="8" t="n">
        <v>113.821056822</v>
      </c>
      <c r="C382" s="13" t="n"/>
      <c r="D382" s="3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26/11/2004</t>
        </is>
      </c>
      <c r="B383" s="8" t="n">
        <v>113.929320351</v>
      </c>
      <c r="C383" s="13" t="n"/>
      <c r="D383" s="3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29/11/2004</t>
        </is>
      </c>
      <c r="B384" s="8" t="n">
        <v>114.470637996</v>
      </c>
      <c r="C384" s="13" t="n"/>
      <c r="D384" s="3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30/11/2004</t>
        </is>
      </c>
      <c r="B385" s="8" t="n">
        <v>115.156307013</v>
      </c>
      <c r="C385" s="13" t="n"/>
      <c r="D385" s="3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01/12/2004</t>
        </is>
      </c>
      <c r="B386" s="8" t="n">
        <v>114.3104099286</v>
      </c>
      <c r="C386" s="13" t="n"/>
      <c r="D386" s="3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02/12/2004</t>
        </is>
      </c>
      <c r="B387" s="8" t="n">
        <v>114.0596506464</v>
      </c>
      <c r="C387" s="13" t="n"/>
      <c r="D387" s="3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03/12/2004</t>
        </is>
      </c>
      <c r="B388" s="8" t="n">
        <v>115.0268650206</v>
      </c>
      <c r="C388" s="13" t="n"/>
      <c r="D388" s="3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06/12/2004</t>
        </is>
      </c>
      <c r="B389" s="8" t="n">
        <v>115.7433201126</v>
      </c>
      <c r="C389" s="13" t="n"/>
      <c r="D389" s="3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07/12/2004</t>
        </is>
      </c>
      <c r="B390" s="8" t="n">
        <v>115.6000290942</v>
      </c>
      <c r="C390" s="13" t="n"/>
      <c r="D390" s="3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08/12/2004</t>
        </is>
      </c>
      <c r="B391" s="8" t="n">
        <v>114.6686374746</v>
      </c>
      <c r="C391" s="13" t="n"/>
      <c r="D391" s="3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09/12/2004</t>
        </is>
      </c>
      <c r="B392" s="8" t="n">
        <v>114.991042266</v>
      </c>
      <c r="C392" s="13" t="n"/>
      <c r="D392" s="3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10/12/2004</t>
        </is>
      </c>
      <c r="B393" s="8" t="n">
        <v>115.170156039</v>
      </c>
      <c r="C393" s="13" t="n"/>
      <c r="D393" s="3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13/12/2004</t>
        </is>
      </c>
      <c r="B394" s="8" t="n">
        <v>115.8507883764</v>
      </c>
      <c r="C394" s="13" t="n"/>
      <c r="D394" s="3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14/12/2004</t>
        </is>
      </c>
      <c r="B395" s="8" t="n">
        <v>115.2776243028</v>
      </c>
      <c r="C395" s="13" t="n"/>
      <c r="D395" s="3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15/12/2004</t>
        </is>
      </c>
      <c r="B396" s="8" t="n">
        <v>114.63281472</v>
      </c>
      <c r="C396" s="13" t="n"/>
      <c r="D396" s="3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16/12/2004</t>
        </is>
      </c>
      <c r="B397" s="8" t="n">
        <v>111.9102853704</v>
      </c>
      <c r="C397" s="13" t="n"/>
      <c r="D397" s="3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17/12/2004</t>
        </is>
      </c>
      <c r="B398" s="8" t="n">
        <v>112.0535763888</v>
      </c>
      <c r="C398" s="13" t="n"/>
      <c r="D398" s="3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20/12/2004</t>
        </is>
      </c>
      <c r="B399" s="8" t="n">
        <v>111.8744626158</v>
      </c>
      <c r="C399" s="13" t="n"/>
      <c r="D399" s="3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21/12/2004</t>
        </is>
      </c>
      <c r="B400" s="8" t="n">
        <v>110.513197941</v>
      </c>
      <c r="C400" s="13" t="n"/>
      <c r="D400" s="3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22/12/2004</t>
        </is>
      </c>
      <c r="B401" s="8" t="n">
        <v>110.7281344686</v>
      </c>
      <c r="C401" s="13" t="n"/>
      <c r="D401" s="3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23/12/2004</t>
        </is>
      </c>
      <c r="B402" s="8" t="n">
        <v>109.2235787754</v>
      </c>
      <c r="C402" s="13" t="n"/>
      <c r="D402" s="3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27/12/2004</t>
        </is>
      </c>
      <c r="B403" s="8" t="n">
        <v>108.901173984</v>
      </c>
      <c r="C403" s="13" t="n"/>
      <c r="D403" s="3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28/12/2004</t>
        </is>
      </c>
      <c r="B404" s="8" t="n">
        <v>108.4354781742</v>
      </c>
      <c r="C404" s="13" t="n"/>
      <c r="D404" s="3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29/12/2004</t>
        </is>
      </c>
      <c r="B405" s="8" t="n">
        <v>108.363832665</v>
      </c>
      <c r="C405" s="13" t="n"/>
      <c r="D405" s="3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30/12/2004</t>
        </is>
      </c>
      <c r="B406" s="8" t="n">
        <v>107.110036254</v>
      </c>
      <c r="C406" s="13" t="n"/>
      <c r="D406" s="3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03/01/2005</t>
        </is>
      </c>
      <c r="B407" s="8" t="n">
        <v>107.229183743</v>
      </c>
      <c r="C407" s="13" t="n"/>
      <c r="D407" s="3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04/01/2005</t>
        </is>
      </c>
      <c r="B408" s="8" t="n">
        <v>107.2648673316</v>
      </c>
      <c r="C408" s="13" t="n"/>
      <c r="D408" s="3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05/01/2005</t>
        </is>
      </c>
      <c r="B409" s="8" t="n">
        <v>106.9793986228</v>
      </c>
      <c r="C409" s="13" t="n"/>
      <c r="D409" s="3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06/01/2005</t>
        </is>
      </c>
      <c r="B410" s="8" t="n">
        <v>106.9793986228</v>
      </c>
      <c r="C410" s="13" t="n"/>
      <c r="D410" s="3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07/01/2005</t>
        </is>
      </c>
      <c r="B411" s="8" t="n">
        <v>106.515511971</v>
      </c>
      <c r="C411" s="13" t="n"/>
      <c r="D411" s="3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10/01/2005</t>
        </is>
      </c>
      <c r="B412" s="8" t="n">
        <v>106.4084612052</v>
      </c>
      <c r="C412" s="13" t="n"/>
      <c r="D412" s="3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11/01/2005</t>
        </is>
      </c>
      <c r="B413" s="8" t="n">
        <v>106.9080314456</v>
      </c>
      <c r="C413" s="13" t="n"/>
      <c r="D413" s="3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12/01/2005</t>
        </is>
      </c>
      <c r="B414" s="8" t="n">
        <v>106.3727776166</v>
      </c>
      <c r="C414" s="13" t="n"/>
      <c r="D414" s="3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13/01/2005</t>
        </is>
      </c>
      <c r="B415" s="8" t="n">
        <v>105.5163714902</v>
      </c>
      <c r="C415" s="13" t="n"/>
      <c r="D415" s="3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14/01/2005</t>
        </is>
      </c>
      <c r="B416" s="8" t="n">
        <v>105.3379535472</v>
      </c>
      <c r="C416" s="13" t="n"/>
      <c r="D416" s="3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17/01/2005</t>
        </is>
      </c>
      <c r="B417" s="8" t="n">
        <v>105.6591058446</v>
      </c>
      <c r="C417" s="13" t="n"/>
      <c r="D417" s="3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18/01/2005</t>
        </is>
      </c>
      <c r="B418" s="8" t="n">
        <v>105.4093207244</v>
      </c>
      <c r="C418" s="13" t="n"/>
      <c r="D418" s="3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19/01/2005</t>
        </is>
      </c>
      <c r="B419" s="8" t="n">
        <v>105.1595356042</v>
      </c>
      <c r="C419" s="13" t="n"/>
      <c r="D419" s="3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20/01/2005</t>
        </is>
      </c>
      <c r="B420" s="8" t="n">
        <v>104.3388130664</v>
      </c>
      <c r="C420" s="13" t="n"/>
      <c r="D420" s="3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21/01/2005</t>
        </is>
      </c>
      <c r="B421" s="8" t="n">
        <v>103.839242826</v>
      </c>
      <c r="C421" s="13" t="n"/>
      <c r="D421" s="3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24/01/2005</t>
        </is>
      </c>
      <c r="B422" s="8" t="n">
        <v>103.7678756488</v>
      </c>
      <c r="C422" s="13" t="n"/>
      <c r="D422" s="3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25/01/2005</t>
        </is>
      </c>
      <c r="B423" s="8" t="n">
        <v>102.055063396</v>
      </c>
      <c r="C423" s="13" t="n"/>
      <c r="D423" s="3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26/01/2005</t>
        </is>
      </c>
      <c r="B424" s="8" t="n">
        <v>101.4127588012</v>
      </c>
      <c r="C424" s="13" t="n"/>
      <c r="D424" s="3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27/01/2005</t>
        </is>
      </c>
      <c r="B425" s="8" t="n">
        <v>101.4127588012</v>
      </c>
      <c r="C425" s="13" t="n"/>
      <c r="D425" s="3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28/01/2005</t>
        </is>
      </c>
      <c r="B426" s="8" t="n">
        <v>102.0193798074</v>
      </c>
      <c r="C426" s="13" t="n"/>
      <c r="D426" s="3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31/01/2005</t>
        </is>
      </c>
      <c r="B427" s="8" t="n">
        <v>102.3048485162</v>
      </c>
      <c r="C427" s="13" t="n"/>
      <c r="D427" s="3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01/02/2005</t>
        </is>
      </c>
      <c r="B428" s="8" t="n">
        <v>102.034428744</v>
      </c>
      <c r="C428" s="13" t="n"/>
      <c r="D428" s="3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02/02/2005</t>
        </is>
      </c>
      <c r="B429" s="8" t="n">
        <v>101.322891584</v>
      </c>
      <c r="C429" s="13" t="n"/>
      <c r="D429" s="3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03/02/2005</t>
        </is>
      </c>
      <c r="B430" s="8" t="n">
        <v>102.28346675</v>
      </c>
      <c r="C430" s="13" t="n"/>
      <c r="D430" s="3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04/02/2005</t>
        </is>
      </c>
      <c r="B431" s="8" t="n">
        <v>102.319043608</v>
      </c>
      <c r="C431" s="13" t="n"/>
      <c r="D431" s="3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09/02/2005</t>
        </is>
      </c>
      <c r="B432" s="8" t="n">
        <v>103.101734484</v>
      </c>
      <c r="C432" s="13" t="n"/>
      <c r="D432" s="3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10/02/2005</t>
        </is>
      </c>
      <c r="B433" s="8" t="n">
        <v>101.785390738</v>
      </c>
      <c r="C433" s="13" t="n"/>
      <c r="D433" s="3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11/02/2005</t>
        </is>
      </c>
      <c r="B434" s="8" t="n">
        <v>102.247889892</v>
      </c>
      <c r="C434" s="13" t="n"/>
      <c r="D434" s="3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14/02/2005</t>
        </is>
      </c>
      <c r="B435" s="8" t="n">
        <v>101.963275028</v>
      </c>
      <c r="C435" s="13" t="n"/>
      <c r="D435" s="3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15/02/2005</t>
        </is>
      </c>
      <c r="B436" s="8" t="n">
        <v>102.070005602</v>
      </c>
      <c r="C436" s="13" t="n"/>
      <c r="D436" s="3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16/02/2005</t>
        </is>
      </c>
      <c r="B437" s="8" t="n">
        <v>102.10558246</v>
      </c>
      <c r="C437" s="13" t="n"/>
      <c r="D437" s="3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17/02/2005</t>
        </is>
      </c>
      <c r="B438" s="8" t="n">
        <v>101.92769817</v>
      </c>
      <c r="C438" s="13" t="n"/>
      <c r="D438" s="3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18/02/2005</t>
        </is>
      </c>
      <c r="B439" s="8" t="n">
        <v>101.998851886</v>
      </c>
      <c r="C439" s="13" t="n"/>
      <c r="D439" s="3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21/02/2005</t>
        </is>
      </c>
      <c r="B440" s="8" t="n">
        <v>101.892121312</v>
      </c>
      <c r="C440" s="13" t="n"/>
      <c r="D440" s="3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22/02/2005</t>
        </is>
      </c>
      <c r="B441" s="8" t="n">
        <v>102.28346675</v>
      </c>
      <c r="C441" s="13" t="n"/>
      <c r="D441" s="3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23/02/2005</t>
        </is>
      </c>
      <c r="B442" s="8" t="n">
        <v>102.99500391</v>
      </c>
      <c r="C442" s="13" t="n"/>
      <c r="D442" s="3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24/02/2005</t>
        </is>
      </c>
      <c r="B443" s="8" t="n">
        <v>103.208465058</v>
      </c>
      <c r="C443" s="13" t="n"/>
      <c r="D443" s="3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25/02/2005</t>
        </is>
      </c>
      <c r="B444" s="8" t="n">
        <v>103.457503064</v>
      </c>
      <c r="C444" s="13" t="n"/>
      <c r="D444" s="3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28/02/2005</t>
        </is>
      </c>
      <c r="B445" s="8" t="n">
        <v>103.848848502</v>
      </c>
      <c r="C445" s="13" t="n"/>
      <c r="D445" s="3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01/03/2005</t>
        </is>
      </c>
      <c r="B446" s="8" t="n">
        <v>103.149958234</v>
      </c>
      <c r="C446" s="13" t="n"/>
      <c r="D446" s="3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02/03/2005</t>
        </is>
      </c>
      <c r="B447" s="8" t="n">
        <v>103.4674512655</v>
      </c>
      <c r="C447" s="13" t="n"/>
      <c r="D447" s="3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03/03/2005</t>
        </is>
      </c>
      <c r="B448" s="8" t="n">
        <v>103.9613293145</v>
      </c>
      <c r="C448" s="13" t="n"/>
      <c r="D448" s="3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04/03/2005</t>
        </is>
      </c>
      <c r="B449" s="8" t="n">
        <v>104.1024373285</v>
      </c>
      <c r="C449" s="13" t="n"/>
      <c r="D449" s="3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07/03/2005</t>
        </is>
      </c>
      <c r="B450" s="8" t="n">
        <v>105.0901934265</v>
      </c>
      <c r="C450" s="13" t="n"/>
      <c r="D450" s="3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08/03/2005</t>
        </is>
      </c>
      <c r="B451" s="8" t="n">
        <v>106.395442556</v>
      </c>
      <c r="C451" s="13" t="n"/>
      <c r="D451" s="3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09/03/2005</t>
        </is>
      </c>
      <c r="B452" s="8" t="n">
        <v>107.3479216505</v>
      </c>
      <c r="C452" s="13" t="n"/>
      <c r="D452" s="3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10/03/2005</t>
        </is>
      </c>
      <c r="B453" s="8" t="n">
        <v>107.94763071</v>
      </c>
      <c r="C453" s="13" t="n"/>
      <c r="D453" s="3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11/03/2005</t>
        </is>
      </c>
      <c r="B454" s="8" t="n">
        <v>109.8878659025</v>
      </c>
      <c r="C454" s="13" t="n"/>
      <c r="D454" s="3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14/03/2005</t>
        </is>
      </c>
      <c r="B455" s="8" t="n">
        <v>112.18087113</v>
      </c>
      <c r="C455" s="13" t="n"/>
      <c r="D455" s="3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15/03/2005</t>
        </is>
      </c>
      <c r="B456" s="8" t="n">
        <v>115.496909459</v>
      </c>
      <c r="C456" s="13" t="n"/>
      <c r="D456" s="3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16/03/2005</t>
        </is>
      </c>
      <c r="B457" s="8" t="n">
        <v>118.601285767</v>
      </c>
      <c r="C457" s="13" t="n"/>
      <c r="D457" s="3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17/03/2005</t>
        </is>
      </c>
      <c r="B458" s="8" t="n">
        <v>121.1059530155</v>
      </c>
      <c r="C458" s="13" t="n"/>
      <c r="D458" s="3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18/03/2005</t>
        </is>
      </c>
      <c r="B459" s="8" t="n">
        <v>123.046188208</v>
      </c>
      <c r="C459" s="13" t="n"/>
      <c r="D459" s="3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21/03/2005</t>
        </is>
      </c>
      <c r="B460" s="8" t="n">
        <v>124.5630993585</v>
      </c>
      <c r="C460" s="13" t="n"/>
      <c r="D460" s="3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22/03/2005</t>
        </is>
      </c>
      <c r="B461" s="8" t="n">
        <v>127.067766607</v>
      </c>
      <c r="C461" s="13" t="n"/>
      <c r="D461" s="3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23/03/2005</t>
        </is>
      </c>
      <c r="B462" s="8" t="n">
        <v>128.267184726</v>
      </c>
      <c r="C462" s="13" t="n"/>
      <c r="D462" s="3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24/03/2005</t>
        </is>
      </c>
      <c r="B463" s="8" t="n">
        <v>130.948236992</v>
      </c>
      <c r="C463" s="13" t="n"/>
      <c r="D463" s="3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28/03/2005</t>
        </is>
      </c>
      <c r="B464" s="8" t="n">
        <v>131.6185000585</v>
      </c>
      <c r="C464" s="13" t="n"/>
      <c r="D464" s="3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29/03/2005</t>
        </is>
      </c>
      <c r="B465" s="8" t="n">
        <v>131.6890540655</v>
      </c>
      <c r="C465" s="13" t="n"/>
      <c r="D465" s="3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30/03/2005</t>
        </is>
      </c>
      <c r="B466" s="8" t="n">
        <v>131.9712700935</v>
      </c>
      <c r="C466" s="13" t="n"/>
      <c r="D466" s="3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31/03/2005</t>
        </is>
      </c>
      <c r="B467" s="8" t="n">
        <v>132.147655111</v>
      </c>
      <c r="C467" s="13" t="n"/>
      <c r="D467" s="3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01/04/2005</t>
        </is>
      </c>
      <c r="B468" s="8" t="n">
        <v>131.7553759127</v>
      </c>
      <c r="C468" s="13" t="n"/>
      <c r="D468" s="3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04/04/2005</t>
        </is>
      </c>
      <c r="B469" s="8" t="n">
        <v>132.4549000747</v>
      </c>
      <c r="C469" s="13" t="n"/>
      <c r="D469" s="3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05/04/2005</t>
        </is>
      </c>
      <c r="B470" s="8" t="n">
        <v>132.559828699</v>
      </c>
      <c r="C470" s="13" t="n"/>
      <c r="D470" s="3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06/04/2005</t>
        </is>
      </c>
      <c r="B471" s="8" t="n">
        <v>132.2800190342</v>
      </c>
      <c r="C471" s="13" t="n"/>
      <c r="D471" s="3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07/04/2005</t>
        </is>
      </c>
      <c r="B472" s="8" t="n">
        <v>131.5804948722</v>
      </c>
      <c r="C472" s="13" t="n"/>
      <c r="D472" s="3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08/04/2005</t>
        </is>
      </c>
      <c r="B473" s="8" t="n">
        <v>130.6361372535</v>
      </c>
      <c r="C473" s="13" t="n"/>
      <c r="D473" s="3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11/04/2005</t>
        </is>
      </c>
      <c r="B474" s="8" t="n">
        <v>128.8173744323</v>
      </c>
      <c r="C474" s="13" t="n"/>
      <c r="D474" s="3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12/04/2005</t>
        </is>
      </c>
      <c r="B475" s="8" t="n">
        <v>126.0542539924</v>
      </c>
      <c r="C475" s="13" t="n"/>
      <c r="D475" s="3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13/04/2005</t>
        </is>
      </c>
      <c r="B476" s="8" t="n">
        <v>123.1862049282</v>
      </c>
      <c r="C476" s="13" t="n"/>
      <c r="D476" s="3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14/04/2005</t>
        </is>
      </c>
      <c r="B477" s="8" t="n">
        <v>120.9477276098</v>
      </c>
      <c r="C477" s="13" t="n"/>
      <c r="D477" s="3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15/04/2005</t>
        </is>
      </c>
      <c r="B478" s="8" t="n">
        <v>118.3944644185</v>
      </c>
      <c r="C478" s="13" t="n"/>
      <c r="D478" s="3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18/04/2005</t>
        </is>
      </c>
      <c r="B479" s="8" t="n">
        <v>114.6869863599</v>
      </c>
      <c r="C479" s="13" t="n"/>
      <c r="D479" s="3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19/04/2005</t>
        </is>
      </c>
      <c r="B480" s="8" t="n">
        <v>113.2529618278</v>
      </c>
      <c r="C480" s="13" t="n"/>
      <c r="D480" s="3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20/04/2005</t>
        </is>
      </c>
      <c r="B481" s="8" t="n">
        <v>110.2799841393</v>
      </c>
      <c r="C481" s="13" t="n"/>
      <c r="D481" s="3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22/04/2005</t>
        </is>
      </c>
      <c r="B482" s="8" t="n">
        <v>108.3912689019</v>
      </c>
      <c r="C482" s="13" t="n"/>
      <c r="D482" s="3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25/04/2005</t>
        </is>
      </c>
      <c r="B483" s="8" t="n">
        <v>104.7537432595</v>
      </c>
      <c r="C483" s="13" t="n"/>
      <c r="D483" s="3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26/04/2005</t>
        </is>
      </c>
      <c r="B484" s="8" t="n">
        <v>101.6058845305</v>
      </c>
      <c r="C484" s="13" t="n"/>
      <c r="D484" s="3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27/04/2005</t>
        </is>
      </c>
      <c r="B485" s="8" t="n">
        <v>98.3530971772</v>
      </c>
      <c r="C485" s="13" t="n"/>
      <c r="D485" s="3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28/04/2005</t>
        </is>
      </c>
      <c r="B486" s="8" t="n">
        <v>96.9890250613</v>
      </c>
      <c r="C486" s="13" t="n"/>
      <c r="D486" s="3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29/04/2005</t>
        </is>
      </c>
      <c r="B487" s="8" t="n">
        <v>95.69490536159999</v>
      </c>
      <c r="C487" s="13" t="n"/>
      <c r="D487" s="3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02/05/2005</t>
        </is>
      </c>
      <c r="B488" s="8" t="n">
        <v>95.23988511180001</v>
      </c>
      <c r="C488" s="13" t="n"/>
      <c r="D488" s="3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03/05/2005</t>
        </is>
      </c>
      <c r="B489" s="8" t="n">
        <v>95.06461848480001</v>
      </c>
      <c r="C489" s="13" t="n"/>
      <c r="D489" s="3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04/05/2005</t>
        </is>
      </c>
      <c r="B490" s="8" t="n">
        <v>94.71408523079999</v>
      </c>
      <c r="C490" s="13" t="n"/>
      <c r="D490" s="3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05/05/2005</t>
        </is>
      </c>
      <c r="B491" s="8" t="n">
        <v>95.20483178639999</v>
      </c>
      <c r="C491" s="13" t="n"/>
      <c r="D491" s="3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06/05/2005</t>
        </is>
      </c>
      <c r="B492" s="8" t="n">
        <v>94.85429853239999</v>
      </c>
      <c r="C492" s="13" t="n"/>
      <c r="D492" s="3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09/05/2005</t>
        </is>
      </c>
      <c r="B493" s="8" t="n">
        <v>94.67903190540001</v>
      </c>
      <c r="C493" s="13" t="n"/>
      <c r="D493" s="3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10/05/2005</t>
        </is>
      </c>
      <c r="B494" s="8" t="n">
        <v>94.2583920006</v>
      </c>
      <c r="C494" s="13" t="n"/>
      <c r="D494" s="3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11/05/2005</t>
        </is>
      </c>
      <c r="B495" s="8" t="n">
        <v>93.592378818</v>
      </c>
      <c r="C495" s="13" t="n"/>
      <c r="D495" s="3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12/05/2005</t>
        </is>
      </c>
      <c r="B496" s="8" t="n">
        <v>93.2067922386</v>
      </c>
      <c r="C496" s="13" t="n"/>
      <c r="D496" s="3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13/05/2005</t>
        </is>
      </c>
      <c r="B497" s="8" t="n">
        <v>92.47067240519999</v>
      </c>
      <c r="C497" s="13" t="n"/>
      <c r="D497" s="3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16/05/2005</t>
        </is>
      </c>
      <c r="B498" s="8" t="n">
        <v>92.33045910359999</v>
      </c>
      <c r="C498" s="13" t="n"/>
      <c r="D498" s="3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17/05/2005</t>
        </is>
      </c>
      <c r="B499" s="8" t="n">
        <v>91.3840193178</v>
      </c>
      <c r="C499" s="13" t="n"/>
      <c r="D499" s="3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18/05/2005</t>
        </is>
      </c>
      <c r="B500" s="8" t="n">
        <v>90.6829528098</v>
      </c>
      <c r="C500" s="13" t="n"/>
      <c r="D500" s="3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19/05/2005</t>
        </is>
      </c>
      <c r="B501" s="8" t="n">
        <v>90.087046278</v>
      </c>
      <c r="C501" s="13" t="n"/>
      <c r="D501" s="3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20/05/2005</t>
        </is>
      </c>
      <c r="B502" s="8" t="n">
        <v>89.56124639700001</v>
      </c>
      <c r="C502" s="13" t="n"/>
      <c r="D502" s="3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23/05/2005</t>
        </is>
      </c>
      <c r="B503" s="8" t="n">
        <v>89.10555316680001</v>
      </c>
      <c r="C503" s="13" t="n"/>
      <c r="D503" s="3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24/05/2005</t>
        </is>
      </c>
      <c r="B504" s="8" t="n">
        <v>88.82512656359999</v>
      </c>
      <c r="C504" s="13" t="n"/>
      <c r="D504" s="3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25/05/2005</t>
        </is>
      </c>
      <c r="B505" s="8" t="n">
        <v>89.03544651599999</v>
      </c>
      <c r="C505" s="13" t="n"/>
      <c r="D505" s="3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27/05/2005</t>
        </is>
      </c>
      <c r="B506" s="8" t="n">
        <v>89.00039319059999</v>
      </c>
      <c r="C506" s="13" t="n"/>
      <c r="D506" s="3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30/05/2005</t>
        </is>
      </c>
      <c r="B507" s="8" t="n">
        <v>89.03544651599999</v>
      </c>
      <c r="C507" s="13" t="n"/>
      <c r="D507" s="3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31/05/2005</t>
        </is>
      </c>
      <c r="B508" s="8" t="n">
        <v>89.31587311920001</v>
      </c>
      <c r="C508" s="13" t="n"/>
      <c r="D508" s="3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01/06/2005</t>
        </is>
      </c>
      <c r="B509" s="8" t="n">
        <v>90.41476468560001</v>
      </c>
      <c r="C509" s="13" t="n"/>
      <c r="D509" s="3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02/06/2005</t>
        </is>
      </c>
      <c r="B510" s="8" t="n">
        <v>90.485181169</v>
      </c>
      <c r="C510" s="13" t="n"/>
      <c r="D510" s="3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03/06/2005</t>
        </is>
      </c>
      <c r="B511" s="8" t="n">
        <v>90.3443482022</v>
      </c>
      <c r="C511" s="13" t="n"/>
      <c r="D511" s="3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06/06/2005</t>
        </is>
      </c>
      <c r="B512" s="8" t="n">
        <v>90.3443482022</v>
      </c>
      <c r="C512" s="13" t="n"/>
      <c r="D512" s="3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07/06/2005</t>
        </is>
      </c>
      <c r="B513" s="8" t="n">
        <v>91.1189295196</v>
      </c>
      <c r="C513" s="13" t="n"/>
      <c r="D513" s="3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08/06/2005</t>
        </is>
      </c>
      <c r="B514" s="8" t="n">
        <v>91.15413776130001</v>
      </c>
      <c r="C514" s="13" t="n"/>
      <c r="D514" s="3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09/06/2005</t>
        </is>
      </c>
      <c r="B515" s="8" t="n">
        <v>91.0133047945</v>
      </c>
      <c r="C515" s="13" t="n"/>
      <c r="D515" s="3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10/06/2005</t>
        </is>
      </c>
      <c r="B516" s="8" t="n">
        <v>90.9780965528</v>
      </c>
      <c r="C516" s="13" t="n"/>
      <c r="D516" s="3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13/06/2005</t>
        </is>
      </c>
      <c r="B517" s="8" t="n">
        <v>90.8020553443</v>
      </c>
      <c r="C517" s="13" t="n"/>
      <c r="D517" s="3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14/06/2005</t>
        </is>
      </c>
      <c r="B518" s="8" t="n">
        <v>91.47101193660001</v>
      </c>
      <c r="C518" s="13" t="n"/>
      <c r="D518" s="3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15/06/2005</t>
        </is>
      </c>
      <c r="B519" s="8" t="n">
        <v>91.2949707281</v>
      </c>
      <c r="C519" s="13" t="n"/>
      <c r="D519" s="3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16/06/2005</t>
        </is>
      </c>
      <c r="B520" s="8" t="n">
        <v>91.36538721149999</v>
      </c>
      <c r="C520" s="13" t="n"/>
      <c r="D520" s="3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17/06/2005</t>
        </is>
      </c>
      <c r="B521" s="8" t="n">
        <v>91.15413776130001</v>
      </c>
      <c r="C521" s="13" t="n"/>
      <c r="D521" s="3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20/06/2005</t>
        </is>
      </c>
      <c r="B522" s="8" t="n">
        <v>91.189346003</v>
      </c>
      <c r="C522" s="13" t="n"/>
      <c r="D522" s="3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21/06/2005</t>
        </is>
      </c>
      <c r="B523" s="8" t="n">
        <v>91.15413776130001</v>
      </c>
      <c r="C523" s="13" t="n"/>
      <c r="D523" s="3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22/06/2005</t>
        </is>
      </c>
      <c r="B524" s="8" t="n">
        <v>91.99913556209999</v>
      </c>
      <c r="C524" s="13" t="n"/>
      <c r="D524" s="3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23/06/2005</t>
        </is>
      </c>
      <c r="B525" s="8" t="n">
        <v>92.597675671</v>
      </c>
      <c r="C525" s="13" t="n"/>
      <c r="D525" s="3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24/06/2005</t>
        </is>
      </c>
      <c r="B526" s="8" t="n">
        <v>93.54829819690001</v>
      </c>
      <c r="C526" s="13" t="n"/>
      <c r="D526" s="3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27/06/2005</t>
        </is>
      </c>
      <c r="B527" s="8" t="n">
        <v>93.86517237220001</v>
      </c>
      <c r="C527" s="13" t="n"/>
      <c r="D527" s="3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28/06/2005</t>
        </is>
      </c>
      <c r="B528" s="8" t="n">
        <v>94.8862113815</v>
      </c>
      <c r="C528" s="13" t="n"/>
      <c r="D528" s="3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29/06/2005</t>
        </is>
      </c>
      <c r="B529" s="8" t="n">
        <v>95.83683390739999</v>
      </c>
      <c r="C529" s="13" t="n"/>
      <c r="D529" s="3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30/06/2005</t>
        </is>
      </c>
      <c r="B530" s="8" t="n">
        <v>97.10433060859999</v>
      </c>
      <c r="C530" s="13" t="n"/>
      <c r="D530" s="3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01/07/2005</t>
        </is>
      </c>
      <c r="B531" s="8" t="n">
        <v>98.6721041733</v>
      </c>
      <c r="C531" s="13" t="n"/>
      <c r="D531" s="3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04/07/2005</t>
        </is>
      </c>
      <c r="B532" s="8" t="n">
        <v>99.87326834869999</v>
      </c>
      <c r="C532" s="13" t="n"/>
      <c r="D532" s="3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05/07/2005</t>
        </is>
      </c>
      <c r="B533" s="8" t="n">
        <v>100.2618802878</v>
      </c>
      <c r="C533" s="13" t="n"/>
      <c r="D533" s="3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06/07/2005</t>
        </is>
      </c>
      <c r="B534" s="8" t="n">
        <v>100.7564773012</v>
      </c>
      <c r="C534" s="13" t="n"/>
      <c r="D534" s="3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07/07/2005</t>
        </is>
      </c>
      <c r="B535" s="8" t="n">
        <v>100.9331190917</v>
      </c>
      <c r="C535" s="13" t="n"/>
      <c r="D535" s="3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08/07/2005</t>
        </is>
      </c>
      <c r="B536" s="8" t="n">
        <v>101.2864026727</v>
      </c>
      <c r="C536" s="13" t="n"/>
      <c r="D536" s="3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11/07/2005</t>
        </is>
      </c>
      <c r="B537" s="8" t="n">
        <v>101.6750146118</v>
      </c>
      <c r="C537" s="13" t="n"/>
      <c r="D537" s="3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12/07/2005</t>
        </is>
      </c>
      <c r="B538" s="8" t="n">
        <v>102.805522071</v>
      </c>
      <c r="C538" s="13" t="n"/>
      <c r="D538" s="3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13/07/2005</t>
        </is>
      </c>
      <c r="B539" s="8" t="n">
        <v>103.4767608749</v>
      </c>
      <c r="C539" s="13" t="n"/>
      <c r="D539" s="3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14/07/2005</t>
        </is>
      </c>
      <c r="B540" s="8" t="n">
        <v>103.7947160978</v>
      </c>
      <c r="C540" s="13" t="n"/>
      <c r="D540" s="3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15/07/2005</t>
        </is>
      </c>
      <c r="B541" s="8" t="n">
        <v>103.9713578883</v>
      </c>
      <c r="C541" s="13" t="n"/>
      <c r="D541" s="3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18/07/2005</t>
        </is>
      </c>
      <c r="B542" s="8" t="n">
        <v>104.7485817665</v>
      </c>
      <c r="C542" s="13" t="n"/>
      <c r="D542" s="3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19/07/2005</t>
        </is>
      </c>
      <c r="B543" s="8" t="n">
        <v>104.6072683341</v>
      </c>
      <c r="C543" s="13" t="n"/>
      <c r="D543" s="3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20/07/2005</t>
        </is>
      </c>
      <c r="B544" s="8" t="n">
        <v>104.571939976</v>
      </c>
      <c r="C544" s="13" t="n"/>
      <c r="D544" s="3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21/07/2005</t>
        </is>
      </c>
      <c r="B545" s="8" t="n">
        <v>104.6779250503</v>
      </c>
      <c r="C545" s="13" t="n"/>
      <c r="D545" s="3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22/07/2005</t>
        </is>
      </c>
      <c r="B546" s="8" t="n">
        <v>104.2893131112</v>
      </c>
      <c r="C546" s="13" t="n"/>
      <c r="D546" s="3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25/07/2005</t>
        </is>
      </c>
      <c r="B547" s="8" t="n">
        <v>104.4306265436</v>
      </c>
      <c r="C547" s="13" t="n"/>
      <c r="D547" s="3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26/07/2005</t>
        </is>
      </c>
      <c r="B548" s="8" t="n">
        <v>104.4659549017</v>
      </c>
      <c r="C548" s="13" t="n"/>
      <c r="D548" s="3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27/07/2005</t>
        </is>
      </c>
      <c r="B549" s="8" t="n">
        <v>104.8545668408</v>
      </c>
      <c r="C549" s="13" t="n"/>
      <c r="D549" s="3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28/07/2005</t>
        </is>
      </c>
      <c r="B550" s="8" t="n">
        <v>105.5964623609</v>
      </c>
      <c r="C550" s="13" t="n"/>
      <c r="D550" s="3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29/07/2005</t>
        </is>
      </c>
      <c r="B551" s="8" t="n">
        <v>105.7377757933</v>
      </c>
      <c r="C551" s="13" t="n"/>
      <c r="D551" s="3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01/08/2005</t>
        </is>
      </c>
      <c r="B552" s="8" t="n">
        <v>106.8918413688</v>
      </c>
      <c r="C552" s="13" t="n"/>
      <c r="D552" s="3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02/08/2005</t>
        </is>
      </c>
      <c r="B553" s="8" t="n">
        <v>107.211876822</v>
      </c>
      <c r="C553" s="13" t="n"/>
      <c r="D553" s="3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03/08/2005</t>
        </is>
      </c>
      <c r="B554" s="8" t="n">
        <v>106.8918413688</v>
      </c>
      <c r="C554" s="13" t="n"/>
      <c r="D554" s="3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04/08/2005</t>
        </is>
      </c>
      <c r="B555" s="8" t="n">
        <v>106.7496033896</v>
      </c>
      <c r="C555" s="13" t="n"/>
      <c r="D555" s="3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05/08/2005</t>
        </is>
      </c>
      <c r="B556" s="8" t="n">
        <v>107.211876822</v>
      </c>
      <c r="C556" s="13" t="n"/>
      <c r="D556" s="3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08/08/2005</t>
        </is>
      </c>
      <c r="B557" s="8" t="n">
        <v>107.5319122752</v>
      </c>
      <c r="C557" s="13" t="n"/>
      <c r="D557" s="3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09/08/2005</t>
        </is>
      </c>
      <c r="B558" s="8" t="n">
        <v>108.4920186348</v>
      </c>
      <c r="C558" s="13" t="n"/>
      <c r="D558" s="3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10/08/2005</t>
        </is>
      </c>
      <c r="B559" s="8" t="n">
        <v>108.5275781296</v>
      </c>
      <c r="C559" s="13" t="n"/>
      <c r="D559" s="3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11/08/2005</t>
        </is>
      </c>
      <c r="B560" s="8" t="n">
        <v>109.0609705516</v>
      </c>
      <c r="C560" s="13" t="n"/>
      <c r="D560" s="3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12/08/2005</t>
        </is>
      </c>
      <c r="B561" s="8" t="n">
        <v>109.4165654996</v>
      </c>
      <c r="C561" s="13" t="n"/>
      <c r="D561" s="3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15/08/2005</t>
        </is>
      </c>
      <c r="B562" s="8" t="n">
        <v>109.523243984</v>
      </c>
      <c r="C562" s="13" t="n"/>
      <c r="D562" s="3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16/08/2005</t>
        </is>
      </c>
      <c r="B563" s="8" t="n">
        <v>109.5588034788</v>
      </c>
      <c r="C563" s="13" t="n"/>
      <c r="D563" s="3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17/08/2005</t>
        </is>
      </c>
      <c r="B564" s="8" t="n">
        <v>108.5986971192</v>
      </c>
      <c r="C564" s="13" t="n"/>
      <c r="D564" s="3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18/08/2005</t>
        </is>
      </c>
      <c r="B565" s="8" t="n">
        <v>108.8831730776</v>
      </c>
      <c r="C565" s="13" t="n"/>
      <c r="D565" s="3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19/08/2005</t>
        </is>
      </c>
      <c r="B566" s="8" t="n">
        <v>109.3098870152</v>
      </c>
      <c r="C566" s="13" t="n"/>
      <c r="D566" s="3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22/08/2005</t>
        </is>
      </c>
      <c r="B567" s="8" t="n">
        <v>109.2387680256</v>
      </c>
      <c r="C567" s="13" t="n"/>
      <c r="D567" s="3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23/08/2005</t>
        </is>
      </c>
      <c r="B568" s="8" t="n">
        <v>108.8831730776</v>
      </c>
      <c r="C568" s="13" t="n"/>
      <c r="D568" s="3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24/08/2005</t>
        </is>
      </c>
      <c r="B569" s="8" t="n">
        <v>109.2032085308</v>
      </c>
      <c r="C569" s="13" t="n"/>
      <c r="D569" s="3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25/08/2005</t>
        </is>
      </c>
      <c r="B570" s="8" t="n">
        <v>109.0609705516</v>
      </c>
      <c r="C570" s="13" t="n"/>
      <c r="D570" s="3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26/08/2005</t>
        </is>
      </c>
      <c r="B571" s="8" t="n">
        <v>109.0254110568</v>
      </c>
      <c r="C571" s="13" t="n"/>
      <c r="D571" s="3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29/08/2005</t>
        </is>
      </c>
      <c r="B572" s="8" t="n">
        <v>109.1320895412</v>
      </c>
      <c r="C572" s="13" t="n"/>
      <c r="D572" s="3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30/08/2005</t>
        </is>
      </c>
      <c r="B573" s="8" t="n">
        <v>108.5986971192</v>
      </c>
      <c r="C573" s="13" t="n"/>
      <c r="D573" s="3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31/08/2005</t>
        </is>
      </c>
      <c r="B574" s="8" t="n">
        <v>108.7053756036</v>
      </c>
      <c r="C574" s="13" t="n"/>
      <c r="D574" s="3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01/09/2005</t>
        </is>
      </c>
      <c r="B575" s="8" t="n">
        <v>109.6063245438</v>
      </c>
      <c r="C575" s="13" t="n"/>
      <c r="D575" s="3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02/09/2005</t>
        </is>
      </c>
      <c r="B576" s="8" t="n">
        <v>110.2855548655</v>
      </c>
      <c r="C576" s="13" t="n"/>
      <c r="D576" s="3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05/09/2005</t>
        </is>
      </c>
      <c r="B577" s="8" t="n">
        <v>110.7860403657</v>
      </c>
      <c r="C577" s="13" t="n"/>
      <c r="D577" s="3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06/09/2005</t>
        </is>
      </c>
      <c r="B578" s="8" t="n">
        <v>111.4295217231</v>
      </c>
      <c r="C578" s="13" t="n"/>
      <c r="D578" s="3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08/09/2005</t>
        </is>
      </c>
      <c r="B579" s="8" t="n">
        <v>111.536768616</v>
      </c>
      <c r="C579" s="13" t="n"/>
      <c r="D579" s="3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09/09/2005</t>
        </is>
      </c>
      <c r="B580" s="8" t="n">
        <v>111.6797644732</v>
      </c>
      <c r="C580" s="13" t="n"/>
      <c r="D580" s="3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12/09/2005</t>
        </is>
      </c>
      <c r="B581" s="8" t="n">
        <v>112.1802499734</v>
      </c>
      <c r="C581" s="13" t="n"/>
      <c r="D581" s="3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13/09/2005</t>
        </is>
      </c>
      <c r="B582" s="8" t="n">
        <v>112.4662416878</v>
      </c>
      <c r="C582" s="13" t="n"/>
      <c r="D582" s="3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14/09/2005</t>
        </is>
      </c>
      <c r="B583" s="8" t="n">
        <v>113.0024761523</v>
      </c>
      <c r="C583" s="13" t="n"/>
      <c r="D583" s="3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15/09/2005</t>
        </is>
      </c>
      <c r="B584" s="8" t="n">
        <v>113.0382251166</v>
      </c>
      <c r="C584" s="13" t="n"/>
      <c r="D584" s="3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16/09/2005</t>
        </is>
      </c>
      <c r="B585" s="8" t="n">
        <v>113.2527189024</v>
      </c>
      <c r="C585" s="13" t="n"/>
      <c r="D585" s="3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19/09/2005</t>
        </is>
      </c>
      <c r="B586" s="8" t="n">
        <v>114.2536899028</v>
      </c>
      <c r="C586" s="13" t="n"/>
      <c r="D586" s="3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20/09/2005</t>
        </is>
      </c>
      <c r="B587" s="8" t="n">
        <v>115.2904098675</v>
      </c>
      <c r="C587" s="13" t="n"/>
      <c r="D587" s="3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21/09/2005</t>
        </is>
      </c>
      <c r="B588" s="8" t="n">
        <v>114.8256733316</v>
      </c>
      <c r="C588" s="13" t="n"/>
      <c r="D588" s="3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22/09/2005</t>
        </is>
      </c>
      <c r="B589" s="8" t="n">
        <v>115.7908953677</v>
      </c>
      <c r="C589" s="13" t="n"/>
      <c r="D589" s="3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23/09/2005</t>
        </is>
      </c>
      <c r="B590" s="8" t="n">
        <v>115.9338912249</v>
      </c>
      <c r="C590" s="13" t="n"/>
      <c r="D590" s="3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26/09/2005</t>
        </is>
      </c>
      <c r="B591" s="8" t="n">
        <v>115.826644332</v>
      </c>
      <c r="C591" s="13" t="n"/>
      <c r="D591" s="3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27/09/2005</t>
        </is>
      </c>
      <c r="B592" s="8" t="n">
        <v>116.0411381178</v>
      </c>
      <c r="C592" s="13" t="n"/>
      <c r="D592" s="3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28/09/2005</t>
        </is>
      </c>
      <c r="B593" s="8" t="n">
        <v>116.3628787965</v>
      </c>
      <c r="C593" s="13" t="n"/>
      <c r="D593" s="3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29/09/2005</t>
        </is>
      </c>
      <c r="B594" s="8" t="n">
        <v>116.7561174038</v>
      </c>
      <c r="C594" s="13" t="n"/>
      <c r="D594" s="3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30/09/2005</t>
        </is>
      </c>
      <c r="B595" s="8" t="n">
        <v>116.6846194752</v>
      </c>
      <c r="C595" s="13" t="n"/>
      <c r="D595" s="3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03/10/2005</t>
        </is>
      </c>
      <c r="B596" s="8" t="n">
        <v>116.2729733456</v>
      </c>
      <c r="C596" s="13" t="n"/>
      <c r="D596" s="3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04/10/2005</t>
        </is>
      </c>
      <c r="B597" s="8" t="n">
        <v>116.8415453424</v>
      </c>
      <c r="C597" s="13" t="n"/>
      <c r="D597" s="3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05/10/2005</t>
        </is>
      </c>
      <c r="B598" s="8" t="n">
        <v>116.8060095926</v>
      </c>
      <c r="C598" s="13" t="n"/>
      <c r="D598" s="3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06/10/2005</t>
        </is>
      </c>
      <c r="B599" s="8" t="n">
        <v>117.1969028404</v>
      </c>
      <c r="C599" s="13" t="n"/>
      <c r="D599" s="3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07/10/2005</t>
        </is>
      </c>
      <c r="B600" s="8" t="n">
        <v>117.801010587</v>
      </c>
      <c r="C600" s="13" t="n"/>
      <c r="D600" s="3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10/10/2005</t>
        </is>
      </c>
      <c r="B601" s="8" t="n">
        <v>118.2629753344</v>
      </c>
      <c r="C601" s="13" t="n"/>
      <c r="D601" s="3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11/10/2005</t>
        </is>
      </c>
      <c r="B602" s="8" t="n">
        <v>119.04476183</v>
      </c>
      <c r="C602" s="13" t="n"/>
      <c r="D602" s="3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13/10/2005</t>
        </is>
      </c>
      <c r="B603" s="8" t="n">
        <v>119.6488695766</v>
      </c>
      <c r="C603" s="13" t="n"/>
      <c r="D603" s="3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14/10/2005</t>
        </is>
      </c>
      <c r="B604" s="8" t="n">
        <v>119.8620840754</v>
      </c>
      <c r="C604" s="13" t="n"/>
      <c r="D604" s="3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17/10/2005</t>
        </is>
      </c>
      <c r="B605" s="8" t="n">
        <v>120.2174415734</v>
      </c>
      <c r="C605" s="13" t="n"/>
      <c r="D605" s="3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18/10/2005</t>
        </is>
      </c>
      <c r="B606" s="8" t="n">
        <v>119.8976198252</v>
      </c>
      <c r="C606" s="13" t="n"/>
      <c r="D606" s="3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19/10/2005</t>
        </is>
      </c>
      <c r="B607" s="8" t="n">
        <v>120.110834324</v>
      </c>
      <c r="C607" s="13" t="n"/>
      <c r="D607" s="3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20/10/2005</t>
        </is>
      </c>
      <c r="B608" s="8" t="n">
        <v>120.5372633216</v>
      </c>
      <c r="C608" s="13" t="n"/>
      <c r="D608" s="3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21/10/2005</t>
        </is>
      </c>
      <c r="B609" s="8" t="n">
        <v>121.176906818</v>
      </c>
      <c r="C609" s="13" t="n"/>
      <c r="D609" s="3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24/10/2005</t>
        </is>
      </c>
      <c r="B610" s="8" t="n">
        <v>121.6033358156</v>
      </c>
      <c r="C610" s="13" t="n"/>
      <c r="D610" s="3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25/10/2005</t>
        </is>
      </c>
      <c r="B611" s="8" t="n">
        <v>121.532264316</v>
      </c>
      <c r="C611" s="13" t="n"/>
      <c r="D611" s="3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26/10/2005</t>
        </is>
      </c>
      <c r="B612" s="8" t="n">
        <v>121.5678000658</v>
      </c>
      <c r="C612" s="13" t="n"/>
      <c r="D612" s="3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27/10/2005</t>
        </is>
      </c>
      <c r="B613" s="8" t="n">
        <v>121.709943065</v>
      </c>
      <c r="C613" s="13" t="n"/>
      <c r="D613" s="3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28/10/2005</t>
        </is>
      </c>
      <c r="B614" s="8" t="n">
        <v>121.8520860642</v>
      </c>
      <c r="C614" s="13" t="n"/>
      <c r="D614" s="3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31/10/2005</t>
        </is>
      </c>
      <c r="B615" s="8" t="n">
        <v>122.5272653104</v>
      </c>
      <c r="C615" s="13" t="n"/>
      <c r="D615" s="3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01/11/2005</t>
        </is>
      </c>
      <c r="B616" s="8" t="n">
        <v>121.8975321564</v>
      </c>
      <c r="C616" s="13" t="n"/>
      <c r="D616" s="3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03/11/2005</t>
        </is>
      </c>
      <c r="B617" s="8" t="n">
        <v>122.0391088488</v>
      </c>
      <c r="C617" s="13" t="n"/>
      <c r="D617" s="3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04/11/2005</t>
        </is>
      </c>
      <c r="B618" s="8" t="n">
        <v>122.463838926</v>
      </c>
      <c r="C618" s="13" t="n"/>
      <c r="D618" s="3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07/11/2005</t>
        </is>
      </c>
      <c r="B619" s="8" t="n">
        <v>122.3576564067</v>
      </c>
      <c r="C619" s="13" t="n"/>
      <c r="D619" s="3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08/11/2005</t>
        </is>
      </c>
      <c r="B620" s="8" t="n">
        <v>122.5346272722</v>
      </c>
      <c r="C620" s="13" t="n"/>
      <c r="D620" s="3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09/11/2005</t>
        </is>
      </c>
      <c r="B621" s="8" t="n">
        <v>122.3930505798</v>
      </c>
      <c r="C621" s="13" t="n"/>
      <c r="D621" s="3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10/11/2005</t>
        </is>
      </c>
      <c r="B622" s="8" t="n">
        <v>122.3576564067</v>
      </c>
      <c r="C622" s="13" t="n"/>
      <c r="D622" s="3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11/11/2005</t>
        </is>
      </c>
      <c r="B623" s="8" t="n">
        <v>122.2160797143</v>
      </c>
      <c r="C623" s="13" t="n"/>
      <c r="D623" s="3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14/11/2005</t>
        </is>
      </c>
      <c r="B624" s="8" t="n">
        <v>122.1452913681</v>
      </c>
      <c r="C624" s="13" t="n"/>
      <c r="D624" s="3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16/11/2005</t>
        </is>
      </c>
      <c r="B625" s="8" t="n">
        <v>122.0391088488</v>
      </c>
      <c r="C625" s="13" t="n"/>
      <c r="D625" s="3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17/11/2005</t>
        </is>
      </c>
      <c r="B626" s="8" t="n">
        <v>121.6851671178</v>
      </c>
      <c r="C626" s="13" t="n"/>
      <c r="D626" s="3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18/11/2005</t>
        </is>
      </c>
      <c r="B627" s="8" t="n">
        <v>121.3666195599</v>
      </c>
      <c r="C627" s="13" t="n"/>
      <c r="D627" s="3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21/11/2005</t>
        </is>
      </c>
      <c r="B628" s="8" t="n">
        <v>121.1542545213</v>
      </c>
      <c r="C628" s="13" t="n"/>
      <c r="D628" s="3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22/11/2005</t>
        </is>
      </c>
      <c r="B629" s="8" t="n">
        <v>121.3666195599</v>
      </c>
      <c r="C629" s="13" t="n"/>
      <c r="D629" s="3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23/11/2005</t>
        </is>
      </c>
      <c r="B630" s="8" t="n">
        <v>121.1188603482</v>
      </c>
      <c r="C630" s="13" t="n"/>
      <c r="D630" s="3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24/11/2005</t>
        </is>
      </c>
      <c r="B631" s="8" t="n">
        <v>120.6587360979</v>
      </c>
      <c r="C631" s="13" t="n"/>
      <c r="D631" s="3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25/11/2005</t>
        </is>
      </c>
      <c r="B632" s="8" t="n">
        <v>119.8446701166</v>
      </c>
      <c r="C632" s="13" t="n"/>
      <c r="D632" s="3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28/11/2005</t>
        </is>
      </c>
      <c r="B633" s="8" t="n">
        <v>119.3845458663</v>
      </c>
      <c r="C633" s="13" t="n"/>
      <c r="D633" s="3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29/11/2005</t>
        </is>
      </c>
      <c r="B634" s="8" t="n">
        <v>118.7828449236</v>
      </c>
      <c r="C634" s="13" t="n"/>
      <c r="D634" s="3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30/11/2005</t>
        </is>
      </c>
      <c r="B635" s="8" t="n">
        <v>118.6412682312</v>
      </c>
      <c r="C635" s="13" t="n"/>
      <c r="D635" s="3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01/12/2005</t>
        </is>
      </c>
      <c r="B636" s="8" t="n">
        <v>118.7947244924</v>
      </c>
      <c r="C636" s="13" t="n"/>
      <c r="D636" s="3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02/12/2005</t>
        </is>
      </c>
      <c r="B637" s="8" t="n">
        <v>119.5026787504</v>
      </c>
      <c r="C637" s="13" t="n"/>
      <c r="D637" s="3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05/12/2005</t>
        </is>
      </c>
      <c r="B638" s="8" t="n">
        <v>121.1309735438</v>
      </c>
      <c r="C638" s="13" t="n"/>
      <c r="D638" s="3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06/12/2005</t>
        </is>
      </c>
      <c r="B639" s="8" t="n">
        <v>122.7946660501</v>
      </c>
      <c r="C639" s="13" t="n"/>
      <c r="D639" s="3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07/12/2005</t>
        </is>
      </c>
      <c r="B640" s="8" t="n">
        <v>125.0601196757</v>
      </c>
      <c r="C640" s="13" t="n"/>
      <c r="D640" s="3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08/12/2005</t>
        </is>
      </c>
      <c r="B641" s="8" t="n">
        <v>126.9361984594</v>
      </c>
      <c r="C641" s="13" t="n"/>
      <c r="D641" s="3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09/12/2005</t>
        </is>
      </c>
      <c r="B642" s="8" t="n">
        <v>128.847674956</v>
      </c>
      <c r="C642" s="13" t="n"/>
      <c r="D642" s="3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12/12/2005</t>
        </is>
      </c>
      <c r="B643" s="8" t="n">
        <v>129.8034132043</v>
      </c>
      <c r="C643" s="13" t="n"/>
      <c r="D643" s="3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13/12/2005</t>
        </is>
      </c>
      <c r="B644" s="8" t="n">
        <v>132.5998325234</v>
      </c>
      <c r="C644" s="13" t="n"/>
      <c r="D644" s="3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14/12/2005</t>
        </is>
      </c>
      <c r="B645" s="8" t="n">
        <v>134.6882975845</v>
      </c>
      <c r="C645" s="13" t="n"/>
      <c r="D645" s="3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15/12/2005</t>
        </is>
      </c>
      <c r="B646" s="8" t="n">
        <v>136.7059672198</v>
      </c>
      <c r="C646" s="13" t="n"/>
      <c r="D646" s="3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16/12/2005</t>
        </is>
      </c>
      <c r="B647" s="8" t="n">
        <v>139.2900002615</v>
      </c>
      <c r="C647" s="13" t="n"/>
      <c r="D647" s="3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19/12/2005</t>
        </is>
      </c>
      <c r="B648" s="8" t="n">
        <v>143.9624983643</v>
      </c>
      <c r="C648" s="13" t="n"/>
      <c r="D648" s="3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20/12/2005</t>
        </is>
      </c>
      <c r="B649" s="8" t="n">
        <v>145.13062289</v>
      </c>
      <c r="C649" s="13" t="n"/>
      <c r="D649" s="3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21/12/2005</t>
        </is>
      </c>
      <c r="B650" s="8" t="n">
        <v>147.608462793</v>
      </c>
      <c r="C650" s="13" t="n"/>
      <c r="D650" s="3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22/12/2005</t>
        </is>
      </c>
      <c r="B651" s="8" t="n">
        <v>151.148234083</v>
      </c>
      <c r="C651" s="13" t="n"/>
      <c r="D651" s="3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23/12/2005</t>
        </is>
      </c>
      <c r="B652" s="8" t="n">
        <v>153.1659037183</v>
      </c>
      <c r="C652" s="13" t="n"/>
      <c r="D652" s="3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26/12/2005</t>
        </is>
      </c>
      <c r="B653" s="8" t="n">
        <v>155.1835733536</v>
      </c>
      <c r="C653" s="13" t="n"/>
      <c r="D653" s="3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27/12/2005</t>
        </is>
      </c>
      <c r="B654" s="8" t="n">
        <v>158.0507880985</v>
      </c>
      <c r="C654" s="13" t="n"/>
      <c r="D654" s="3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28/12/2005</t>
        </is>
      </c>
      <c r="B655" s="8" t="n">
        <v>158.7587423565</v>
      </c>
      <c r="C655" s="13" t="n"/>
      <c r="D655" s="3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29/12/2005</t>
        </is>
      </c>
      <c r="B656" s="8" t="n">
        <v>161.2719799724</v>
      </c>
      <c r="C656" s="13" t="n"/>
      <c r="D656" s="3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02/01/2006</t>
        </is>
      </c>
      <c r="B657" s="8" t="n">
        <v>161.5906295789</v>
      </c>
      <c r="C657" s="13" t="n"/>
      <c r="D657" s="3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03/01/2006</t>
        </is>
      </c>
      <c r="B658" s="8" t="n">
        <v>163.7652809863</v>
      </c>
      <c r="C658" s="13" t="n"/>
      <c r="D658" s="3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04/01/2006</t>
        </is>
      </c>
      <c r="B659" s="8" t="n">
        <v>165.0981318489</v>
      </c>
      <c r="C659" s="13" t="n"/>
      <c r="D659" s="3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05/01/2006</t>
        </is>
      </c>
      <c r="B660" s="8" t="n">
        <v>166.9220330293</v>
      </c>
      <c r="C660" s="13" t="n"/>
      <c r="D660" s="3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06/01/2006</t>
        </is>
      </c>
      <c r="B661" s="8" t="n">
        <v>167.7287585514</v>
      </c>
      <c r="C661" s="13" t="n"/>
      <c r="D661" s="3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09/01/2006</t>
        </is>
      </c>
      <c r="B662" s="8" t="n">
        <v>169.2369845275</v>
      </c>
      <c r="C662" s="13" t="n"/>
      <c r="D662" s="3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10/01/2006</t>
        </is>
      </c>
      <c r="B663" s="8" t="n">
        <v>169.9735600042</v>
      </c>
      <c r="C663" s="13" t="n"/>
      <c r="D663" s="3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11/01/2006</t>
        </is>
      </c>
      <c r="B664" s="8" t="n">
        <v>169.3422095956</v>
      </c>
      <c r="C664" s="13" t="n"/>
      <c r="D664" s="3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12/01/2006</t>
        </is>
      </c>
      <c r="B665" s="8" t="n">
        <v>168.3250339373</v>
      </c>
      <c r="C665" s="13" t="n"/>
      <c r="D665" s="3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13/01/2006</t>
        </is>
      </c>
      <c r="B666" s="8" t="n">
        <v>167.7287585514</v>
      </c>
      <c r="C666" s="13" t="n"/>
      <c r="D666" s="3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16/01/2006</t>
        </is>
      </c>
      <c r="B667" s="8" t="n">
        <v>166.8168079612</v>
      </c>
      <c r="C667" s="13" t="n"/>
      <c r="D667" s="3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17/01/2006</t>
        </is>
      </c>
      <c r="B668" s="8" t="n">
        <v>167.2026332109</v>
      </c>
      <c r="C668" s="13" t="n"/>
      <c r="D668" s="3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18/01/2006</t>
        </is>
      </c>
      <c r="B669" s="8" t="n">
        <v>166.1503825299</v>
      </c>
      <c r="C669" s="13" t="n"/>
      <c r="D669" s="3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19/01/2006</t>
        </is>
      </c>
      <c r="B670" s="8" t="n">
        <v>166.606357825</v>
      </c>
      <c r="C670" s="13" t="n"/>
      <c r="D670" s="3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20/01/2006</t>
        </is>
      </c>
      <c r="B671" s="8" t="n">
        <v>167.0623331201</v>
      </c>
      <c r="C671" s="13" t="n"/>
      <c r="D671" s="3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23/01/2006</t>
        </is>
      </c>
      <c r="B672" s="8" t="n">
        <v>168.3951839827</v>
      </c>
      <c r="C672" s="13" t="n"/>
      <c r="D672" s="3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24/01/2006</t>
        </is>
      </c>
      <c r="B673" s="8" t="n">
        <v>168.9213093232</v>
      </c>
      <c r="C673" s="13" t="n"/>
      <c r="D673" s="3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25/01/2006</t>
        </is>
      </c>
      <c r="B674" s="8" t="n">
        <v>168.6056341189</v>
      </c>
      <c r="C674" s="13" t="n"/>
      <c r="D674" s="3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26/01/2006</t>
        </is>
      </c>
      <c r="B675" s="8" t="n">
        <v>169.061609414</v>
      </c>
      <c r="C675" s="13" t="n"/>
      <c r="D675" s="3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27/01/2006</t>
        </is>
      </c>
      <c r="B676" s="8" t="n">
        <v>169.0966844367</v>
      </c>
      <c r="C676" s="13" t="n"/>
      <c r="D676" s="3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30/01/2006</t>
        </is>
      </c>
      <c r="B677" s="8" t="n">
        <v>170.0437100496</v>
      </c>
      <c r="C677" s="13" t="n"/>
      <c r="D677" s="3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31/01/2006</t>
        </is>
      </c>
      <c r="B678" s="8" t="n">
        <v>171.166110776</v>
      </c>
      <c r="C678" s="13" t="n"/>
      <c r="D678" s="3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01/02/2006</t>
        </is>
      </c>
      <c r="B679" s="8" t="n">
        <v>172.2362131116</v>
      </c>
      <c r="C679" s="13" t="n"/>
      <c r="D679" s="3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02/02/2006</t>
        </is>
      </c>
      <c r="B680" s="8" t="n">
        <v>174.0950034384</v>
      </c>
      <c r="C680" s="13" t="n"/>
      <c r="D680" s="3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03/02/2006</t>
        </is>
      </c>
      <c r="B681" s="8" t="n">
        <v>175.1471489064</v>
      </c>
      <c r="C681" s="13" t="n"/>
      <c r="D681" s="3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06/02/2006</t>
        </is>
      </c>
      <c r="B682" s="8" t="n">
        <v>177.4969404516</v>
      </c>
      <c r="C682" s="13" t="n"/>
      <c r="D682" s="3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07/02/2006</t>
        </is>
      </c>
      <c r="B683" s="8" t="n">
        <v>178.2334422792</v>
      </c>
      <c r="C683" s="13" t="n"/>
      <c r="D683" s="3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08/02/2006</t>
        </is>
      </c>
      <c r="B684" s="8" t="n">
        <v>178.6543004664</v>
      </c>
      <c r="C684" s="13" t="n"/>
      <c r="D684" s="3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09/02/2006</t>
        </is>
      </c>
      <c r="B685" s="8" t="n">
        <v>179.4258738096</v>
      </c>
      <c r="C685" s="13" t="n"/>
      <c r="D685" s="3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10/02/2006</t>
        </is>
      </c>
      <c r="B686" s="8" t="n">
        <v>179.916875028</v>
      </c>
      <c r="C686" s="13" t="n"/>
      <c r="D686" s="3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13/02/2006</t>
        </is>
      </c>
      <c r="B687" s="8" t="n">
        <v>180.7585914024</v>
      </c>
      <c r="C687" s="13" t="n"/>
      <c r="D687" s="3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14/02/2006</t>
        </is>
      </c>
      <c r="B688" s="8" t="n">
        <v>181.3548071676</v>
      </c>
      <c r="C688" s="13" t="n"/>
      <c r="D688" s="3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15/02/2006</t>
        </is>
      </c>
      <c r="B689" s="8" t="n">
        <v>181.9860944484</v>
      </c>
      <c r="C689" s="13" t="n"/>
      <c r="D689" s="3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16/02/2006</t>
        </is>
      </c>
      <c r="B690" s="8" t="n">
        <v>183.1083829476</v>
      </c>
      <c r="C690" s="13" t="n"/>
      <c r="D690" s="3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17/02/2006</t>
        </is>
      </c>
      <c r="B691" s="8" t="n">
        <v>183.7396702284</v>
      </c>
      <c r="C691" s="13" t="n"/>
      <c r="D691" s="3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20/02/2006</t>
        </is>
      </c>
      <c r="B692" s="8" t="n">
        <v>184.7918156964</v>
      </c>
      <c r="C692" s="13" t="n"/>
      <c r="D692" s="3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21/02/2006</t>
        </is>
      </c>
      <c r="B693" s="8" t="n">
        <v>185.7738181332</v>
      </c>
      <c r="C693" s="13" t="n"/>
      <c r="D693" s="3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22/02/2006</t>
        </is>
      </c>
      <c r="B694" s="8" t="n">
        <v>186.2648193516</v>
      </c>
      <c r="C694" s="13" t="n"/>
      <c r="D694" s="3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23/02/2006</t>
        </is>
      </c>
      <c r="B695" s="8" t="n">
        <v>185.9141041956</v>
      </c>
      <c r="C695" s="13" t="n"/>
      <c r="D695" s="3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24/02/2006</t>
        </is>
      </c>
      <c r="B696" s="8" t="n">
        <v>185.1425308524</v>
      </c>
      <c r="C696" s="13" t="n"/>
      <c r="D696" s="3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01/03/2006</t>
        </is>
      </c>
      <c r="B697" s="8" t="n">
        <v>186.518453996</v>
      </c>
      <c r="C697" s="13" t="n"/>
      <c r="D697" s="3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02/03/2006</t>
        </is>
      </c>
      <c r="B698" s="8" t="n">
        <v>187.994853368</v>
      </c>
      <c r="C698" s="13" t="n"/>
      <c r="D698" s="3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03/03/2006</t>
        </is>
      </c>
      <c r="B699" s="8" t="n">
        <v>188.59244359</v>
      </c>
      <c r="C699" s="13" t="n"/>
      <c r="D699" s="3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06/03/2006</t>
        </is>
      </c>
      <c r="B700" s="8" t="n">
        <v>188.486986492</v>
      </c>
      <c r="C700" s="13" t="n"/>
      <c r="D700" s="3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07/03/2006</t>
        </is>
      </c>
      <c r="B701" s="8" t="n">
        <v>188.381529394</v>
      </c>
      <c r="C701" s="13" t="n"/>
      <c r="D701" s="3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08/03/2006</t>
        </is>
      </c>
      <c r="B702" s="8" t="n">
        <v>188.100310466</v>
      </c>
      <c r="C702" s="13" t="n"/>
      <c r="D702" s="3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09/03/2006</t>
        </is>
      </c>
      <c r="B703" s="8" t="n">
        <v>186.518453996</v>
      </c>
      <c r="C703" s="13" t="n"/>
      <c r="D703" s="3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10/03/2006</t>
        </is>
      </c>
      <c r="B704" s="8" t="n">
        <v>185.463883016</v>
      </c>
      <c r="C704" s="13" t="n"/>
      <c r="D704" s="3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13/03/2006</t>
        </is>
      </c>
      <c r="B705" s="8" t="n">
        <v>185.07720699</v>
      </c>
      <c r="C705" s="13" t="n"/>
      <c r="D705" s="3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14/03/2006</t>
        </is>
      </c>
      <c r="B706" s="8" t="n">
        <v>184.163245474</v>
      </c>
      <c r="C706" s="13" t="n"/>
      <c r="D706" s="3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15/03/2006</t>
        </is>
      </c>
      <c r="B707" s="8" t="n">
        <v>184.233550206</v>
      </c>
      <c r="C707" s="13" t="n"/>
      <c r="D707" s="3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16/03/2006</t>
        </is>
      </c>
      <c r="B708" s="8" t="n">
        <v>183.917178912</v>
      </c>
      <c r="C708" s="13" t="n"/>
      <c r="D708" s="3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17/03/2006</t>
        </is>
      </c>
      <c r="B709" s="8" t="n">
        <v>182.26501771</v>
      </c>
      <c r="C709" s="13" t="n"/>
      <c r="D709" s="3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20/03/2006</t>
        </is>
      </c>
      <c r="B710" s="8" t="n">
        <v>180.577704142</v>
      </c>
      <c r="C710" s="13" t="n"/>
      <c r="D710" s="3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21/03/2006</t>
        </is>
      </c>
      <c r="B711" s="8" t="n">
        <v>178.784933476</v>
      </c>
      <c r="C711" s="13" t="n"/>
      <c r="D711" s="3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22/03/2006</t>
        </is>
      </c>
      <c r="B712" s="8" t="n">
        <v>177.238229372</v>
      </c>
      <c r="C712" s="13" t="n"/>
      <c r="D712" s="3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23/03/2006</t>
        </is>
      </c>
      <c r="B713" s="8" t="n">
        <v>175.304849242</v>
      </c>
      <c r="C713" s="13" t="n"/>
      <c r="D713" s="3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24/03/2006</t>
        </is>
      </c>
      <c r="B714" s="8" t="n">
        <v>175.05878268</v>
      </c>
      <c r="C714" s="13" t="n"/>
      <c r="D714" s="3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27/03/2006</t>
        </is>
      </c>
      <c r="B715" s="8" t="n">
        <v>174.672106654</v>
      </c>
      <c r="C715" s="13" t="n"/>
      <c r="D715" s="3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28/03/2006</t>
        </is>
      </c>
      <c r="B716" s="8" t="n">
        <v>174.988477948</v>
      </c>
      <c r="C716" s="13" t="n"/>
      <c r="D716" s="3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29/03/2006</t>
        </is>
      </c>
      <c r="B717" s="8" t="n">
        <v>174.461192458</v>
      </c>
      <c r="C717" s="13" t="n"/>
      <c r="D717" s="3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30/03/2006</t>
        </is>
      </c>
      <c r="B718" s="8" t="n">
        <v>175.199392144</v>
      </c>
      <c r="C718" s="13" t="n"/>
      <c r="D718" s="3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31/03/2006</t>
        </is>
      </c>
      <c r="B719" s="8" t="n">
        <v>175.58606817</v>
      </c>
      <c r="C719" s="13" t="n"/>
      <c r="D719" s="3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03/04/2006</t>
        </is>
      </c>
      <c r="B720" s="8" t="n">
        <v>176.7855480288</v>
      </c>
      <c r="C720" s="13" t="n"/>
      <c r="D720" s="3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04/04/2006</t>
        </is>
      </c>
      <c r="B721" s="8" t="n">
        <v>177.3150574578</v>
      </c>
      <c r="C721" s="13" t="n"/>
      <c r="D721" s="3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05/04/2006</t>
        </is>
      </c>
      <c r="B722" s="8" t="n">
        <v>178.091671287</v>
      </c>
      <c r="C722" s="13" t="n"/>
      <c r="D722" s="3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06/04/2006</t>
        </is>
      </c>
      <c r="B723" s="8" t="n">
        <v>179.0094876306</v>
      </c>
      <c r="C723" s="13" t="n"/>
      <c r="D723" s="3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07/04/2006</t>
        </is>
      </c>
      <c r="B724" s="8" t="n">
        <v>179.0447882592</v>
      </c>
      <c r="C724" s="13" t="n"/>
      <c r="D724" s="3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10/04/2006</t>
        </is>
      </c>
      <c r="B725" s="8" t="n">
        <v>179.503696431</v>
      </c>
      <c r="C725" s="13" t="n"/>
      <c r="D725" s="3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11/04/2006</t>
        </is>
      </c>
      <c r="B726" s="8" t="n">
        <v>180.3156108888</v>
      </c>
      <c r="C726" s="13" t="n"/>
      <c r="D726" s="3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12/04/2006</t>
        </is>
      </c>
      <c r="B727" s="8" t="n">
        <v>179.7155002026</v>
      </c>
      <c r="C727" s="13" t="n"/>
      <c r="D727" s="3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13/04/2006</t>
        </is>
      </c>
      <c r="B728" s="8" t="n">
        <v>180.8098196892</v>
      </c>
      <c r="C728" s="13" t="n"/>
      <c r="D728" s="3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17/04/2006</t>
        </is>
      </c>
      <c r="B729" s="8" t="n">
        <v>180.7039178034</v>
      </c>
      <c r="C729" s="13" t="n"/>
      <c r="D729" s="3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18/04/2006</t>
        </is>
      </c>
      <c r="B730" s="8" t="n">
        <v>180.209709003</v>
      </c>
      <c r="C730" s="13" t="n"/>
      <c r="D730" s="3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19/04/2006</t>
        </is>
      </c>
      <c r="B731" s="8" t="n">
        <v>180.4568134032</v>
      </c>
      <c r="C731" s="13" t="n"/>
      <c r="D731" s="3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20/04/2006</t>
        </is>
      </c>
      <c r="B732" s="8" t="n">
        <v>179.8920033456</v>
      </c>
      <c r="C732" s="13" t="n"/>
      <c r="D732" s="3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24/04/2006</t>
        </is>
      </c>
      <c r="B733" s="8" t="n">
        <v>178.1975731728</v>
      </c>
      <c r="C733" s="13" t="n"/>
      <c r="D733" s="3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25/04/2006</t>
        </is>
      </c>
      <c r="B734" s="8" t="n">
        <v>177.7033643724</v>
      </c>
      <c r="C734" s="13" t="n"/>
      <c r="D734" s="3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26/04/2006</t>
        </is>
      </c>
      <c r="B735" s="8" t="n">
        <v>176.7855480288</v>
      </c>
      <c r="C735" s="13" t="n"/>
      <c r="D735" s="3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27/04/2006</t>
        </is>
      </c>
      <c r="B736" s="8" t="n">
        <v>176.0442348282</v>
      </c>
      <c r="C736" s="13" t="n"/>
      <c r="D736" s="3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28/04/2006</t>
        </is>
      </c>
      <c r="B737" s="8" t="n">
        <v>175.267620999</v>
      </c>
      <c r="C737" s="13" t="n"/>
      <c r="D737" s="3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02/05/2006</t>
        </is>
      </c>
      <c r="B738" s="8" t="n">
        <v>173.6546168658</v>
      </c>
      <c r="C738" s="13" t="n"/>
      <c r="D738" s="3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03/05/2006</t>
        </is>
      </c>
      <c r="B739" s="8" t="n">
        <v>173.1974459425</v>
      </c>
      <c r="C739" s="13" t="n"/>
      <c r="D739" s="3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04/05/2006</t>
        </is>
      </c>
      <c r="B740" s="8" t="n">
        <v>173.4436149012</v>
      </c>
      <c r="C740" s="13" t="n"/>
      <c r="D740" s="3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05/05/2006</t>
        </is>
      </c>
      <c r="B741" s="8" t="n">
        <v>173.3029469248</v>
      </c>
      <c r="C741" s="13" t="n"/>
      <c r="D741" s="3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08/05/2006</t>
        </is>
      </c>
      <c r="B742" s="8" t="n">
        <v>172.4237720723</v>
      </c>
      <c r="C742" s="13" t="n"/>
      <c r="D742" s="3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09/05/2006</t>
        </is>
      </c>
      <c r="B743" s="8" t="n">
        <v>171.7204321903</v>
      </c>
      <c r="C743" s="13" t="n"/>
      <c r="D743" s="3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10/05/2006</t>
        </is>
      </c>
      <c r="B744" s="8" t="n">
        <v>170.4544204027</v>
      </c>
      <c r="C744" s="13" t="n"/>
      <c r="D744" s="3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11/05/2006</t>
        </is>
      </c>
      <c r="B745" s="8" t="n">
        <v>169.5752455502</v>
      </c>
      <c r="C745" s="13" t="n"/>
      <c r="D745" s="3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12/05/2006</t>
        </is>
      </c>
      <c r="B746" s="8" t="n">
        <v>168.1685657862</v>
      </c>
      <c r="C746" s="13" t="n"/>
      <c r="D746" s="3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15/05/2006</t>
        </is>
      </c>
      <c r="B747" s="8" t="n">
        <v>168.3444007567</v>
      </c>
      <c r="C747" s="13" t="n"/>
      <c r="D747" s="3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16/05/2006</t>
        </is>
      </c>
      <c r="B748" s="8" t="n">
        <v>168.3444007567</v>
      </c>
      <c r="C748" s="13" t="n"/>
      <c r="D748" s="3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17/05/2006</t>
        </is>
      </c>
      <c r="B749" s="8" t="n">
        <v>168.5202357272</v>
      </c>
      <c r="C749" s="13" t="n"/>
      <c r="D749" s="3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18/05/2006</t>
        </is>
      </c>
      <c r="B750" s="8" t="n">
        <v>168.2037327803</v>
      </c>
      <c r="C750" s="13" t="n"/>
      <c r="D750" s="3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19/05/2006</t>
        </is>
      </c>
      <c r="B751" s="8" t="n">
        <v>168.2740667685</v>
      </c>
      <c r="C751" s="13" t="n"/>
      <c r="D751" s="3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22/05/2006</t>
        </is>
      </c>
      <c r="B752" s="8" t="n">
        <v>168.3092337626</v>
      </c>
      <c r="C752" s="13" t="n"/>
      <c r="D752" s="3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23/05/2006</t>
        </is>
      </c>
      <c r="B753" s="8" t="n">
        <v>169.0125736446</v>
      </c>
      <c r="C753" s="13" t="n"/>
      <c r="D753" s="3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24/05/2006</t>
        </is>
      </c>
      <c r="B754" s="8" t="n">
        <v>169.5400785561</v>
      </c>
      <c r="C754" s="13" t="n"/>
      <c r="D754" s="3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25/05/2006</t>
        </is>
      </c>
      <c r="B755" s="8" t="n">
        <v>170.2785854322</v>
      </c>
      <c r="C755" s="13" t="n"/>
      <c r="D755" s="3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26/05/2006</t>
        </is>
      </c>
      <c r="B756" s="8" t="n">
        <v>171.5445972198</v>
      </c>
      <c r="C756" s="13" t="n"/>
      <c r="D756" s="3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29/05/2006</t>
        </is>
      </c>
      <c r="B757" s="8" t="n">
        <v>173.3029469248</v>
      </c>
      <c r="C757" s="13" t="n"/>
      <c r="D757" s="3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30/05/2006</t>
        </is>
      </c>
      <c r="B758" s="8" t="n">
        <v>174.1821217773</v>
      </c>
      <c r="C758" s="13" t="n"/>
      <c r="D758" s="3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31/05/2006</t>
        </is>
      </c>
      <c r="B759" s="8" t="n">
        <v>173.1622789484</v>
      </c>
      <c r="C759" s="13" t="n"/>
      <c r="D759" s="3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01/06/2006</t>
        </is>
      </c>
      <c r="B760" s="8" t="n">
        <v>172.36190229</v>
      </c>
      <c r="C760" s="13" t="n"/>
      <c r="D760" s="3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02/06/2006</t>
        </is>
      </c>
      <c r="B761" s="8" t="n">
        <v>171.768513805</v>
      </c>
      <c r="C761" s="13" t="n"/>
      <c r="D761" s="3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05/06/2006</t>
        </is>
      </c>
      <c r="B762" s="8" t="n">
        <v>172.50152311</v>
      </c>
      <c r="C762" s="13" t="n"/>
      <c r="D762" s="3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06/06/2006</t>
        </is>
      </c>
      <c r="B763" s="8" t="n">
        <v>172.50152311</v>
      </c>
      <c r="C763" s="13" t="n"/>
      <c r="D763" s="3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07/06/2006</t>
        </is>
      </c>
      <c r="B764" s="8" t="n">
        <v>172.64114393</v>
      </c>
      <c r="C764" s="13" t="n"/>
      <c r="D764" s="3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08/06/2006</t>
        </is>
      </c>
      <c r="B765" s="8" t="n">
        <v>172.676049135</v>
      </c>
      <c r="C765" s="13" t="n"/>
      <c r="D765" s="3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09/06/2006</t>
        </is>
      </c>
      <c r="B766" s="8" t="n">
        <v>173.164722005</v>
      </c>
      <c r="C766" s="13" t="n"/>
      <c r="D766" s="3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12/06/2006</t>
        </is>
      </c>
      <c r="B767" s="8" t="n">
        <v>173.374153235</v>
      </c>
      <c r="C767" s="13" t="n"/>
      <c r="D767" s="3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13/06/2006</t>
        </is>
      </c>
      <c r="B768" s="8" t="n">
        <v>173.47886885</v>
      </c>
      <c r="C768" s="13" t="n"/>
      <c r="D768" s="3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14/06/2006</t>
        </is>
      </c>
      <c r="B769" s="8" t="n">
        <v>173.19962721</v>
      </c>
      <c r="C769" s="13" t="n"/>
      <c r="D769" s="3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16/06/2006</t>
        </is>
      </c>
      <c r="B770" s="8" t="n">
        <v>172.396807495</v>
      </c>
      <c r="C770" s="13" t="n"/>
      <c r="D770" s="3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19/06/2006</t>
        </is>
      </c>
      <c r="B771" s="8" t="n">
        <v>173.06000639</v>
      </c>
      <c r="C771" s="13" t="n"/>
      <c r="D771" s="3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20/06/2006</t>
        </is>
      </c>
      <c r="B772" s="8" t="n">
        <v>172.885480365</v>
      </c>
      <c r="C772" s="13" t="n"/>
      <c r="D772" s="3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21/06/2006</t>
        </is>
      </c>
      <c r="B773" s="8" t="n">
        <v>173.513774055</v>
      </c>
      <c r="C773" s="13" t="n"/>
      <c r="D773" s="3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22/06/2006</t>
        </is>
      </c>
      <c r="B774" s="8" t="n">
        <v>174.072257335</v>
      </c>
      <c r="C774" s="13" t="n"/>
      <c r="D774" s="3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23/06/2006</t>
        </is>
      </c>
      <c r="B775" s="8" t="n">
        <v>173.68830008</v>
      </c>
      <c r="C775" s="13" t="n"/>
      <c r="D775" s="3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26/06/2006</t>
        </is>
      </c>
      <c r="B776" s="8" t="n">
        <v>174.770361435</v>
      </c>
      <c r="C776" s="13" t="n"/>
      <c r="D776" s="3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27/06/2006</t>
        </is>
      </c>
      <c r="B777" s="8" t="n">
        <v>174.630740615</v>
      </c>
      <c r="C777" s="13" t="n"/>
      <c r="D777" s="3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28/06/2006</t>
        </is>
      </c>
      <c r="B778" s="8" t="n">
        <v>175.189223895</v>
      </c>
      <c r="C778" s="13" t="n"/>
      <c r="D778" s="3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29/06/2006</t>
        </is>
      </c>
      <c r="B779" s="8" t="n">
        <v>176.34109566</v>
      </c>
      <c r="C779" s="13" t="n"/>
      <c r="D779" s="3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30/06/2006</t>
        </is>
      </c>
      <c r="B780" s="8" t="n">
        <v>175.99204361</v>
      </c>
      <c r="C780" s="13" t="n"/>
      <c r="D780" s="3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03/07/2006</t>
        </is>
      </c>
      <c r="B781" s="8" t="n">
        <v>177.0346840685</v>
      </c>
      <c r="C781" s="13" t="n"/>
      <c r="D781" s="3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04/07/2006</t>
        </is>
      </c>
      <c r="B782" s="8" t="n">
        <v>177.348266465</v>
      </c>
      <c r="C782" s="13" t="n"/>
      <c r="D782" s="3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05/07/2006</t>
        </is>
      </c>
      <c r="B783" s="8" t="n">
        <v>177.487636419</v>
      </c>
      <c r="C783" s="13" t="n"/>
      <c r="D783" s="3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06/07/2006</t>
        </is>
      </c>
      <c r="B784" s="8" t="n">
        <v>176.790786649</v>
      </c>
      <c r="C784" s="13" t="n"/>
      <c r="D784" s="3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07/07/2006</t>
        </is>
      </c>
      <c r="B785" s="8" t="n">
        <v>176.651416695</v>
      </c>
      <c r="C785" s="13" t="n"/>
      <c r="D785" s="3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10/07/2006</t>
        </is>
      </c>
      <c r="B786" s="8" t="n">
        <v>178.881335959</v>
      </c>
      <c r="C786" s="13" t="n"/>
      <c r="D786" s="3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11/07/2006</t>
        </is>
      </c>
      <c r="B787" s="8" t="n">
        <v>175.7106695055</v>
      </c>
      <c r="C787" s="13" t="n"/>
      <c r="D787" s="3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12/07/2006</t>
        </is>
      </c>
      <c r="B788" s="8" t="n">
        <v>175.745511994</v>
      </c>
      <c r="C788" s="13" t="n"/>
      <c r="D788" s="3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13/07/2006</t>
        </is>
      </c>
      <c r="B789" s="8" t="n">
        <v>175.2228746665</v>
      </c>
      <c r="C789" s="13" t="n"/>
      <c r="D789" s="3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14/07/2006</t>
        </is>
      </c>
      <c r="B790" s="8" t="n">
        <v>175.2925596435</v>
      </c>
      <c r="C790" s="13" t="n"/>
      <c r="D790" s="3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17/07/2006</t>
        </is>
      </c>
      <c r="B791" s="8" t="n">
        <v>175.675827017</v>
      </c>
      <c r="C791" s="13" t="n"/>
      <c r="D791" s="3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18/07/2006</t>
        </is>
      </c>
      <c r="B792" s="8" t="n">
        <v>175.9197244365</v>
      </c>
      <c r="C792" s="13" t="n"/>
      <c r="D792" s="3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19/07/2006</t>
        </is>
      </c>
      <c r="B793" s="8" t="n">
        <v>176.0590943905</v>
      </c>
      <c r="C793" s="13" t="n"/>
      <c r="D793" s="3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20/07/2006</t>
        </is>
      </c>
      <c r="B794" s="8" t="n">
        <v>176.093936879</v>
      </c>
      <c r="C794" s="13" t="n"/>
      <c r="D794" s="3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21/07/2006</t>
        </is>
      </c>
      <c r="B795" s="8" t="n">
        <v>175.675827017</v>
      </c>
      <c r="C795" s="13" t="n"/>
      <c r="D795" s="3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24/07/2006</t>
        </is>
      </c>
      <c r="B796" s="8" t="n">
        <v>174.2472849885</v>
      </c>
      <c r="C796" s="13" t="n"/>
      <c r="D796" s="3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25/07/2006</t>
        </is>
      </c>
      <c r="B797" s="8" t="n">
        <v>173.306537799</v>
      </c>
      <c r="C797" s="13" t="n"/>
      <c r="D797" s="3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26/07/2006</t>
        </is>
      </c>
      <c r="B798" s="8" t="n">
        <v>173.027797891</v>
      </c>
      <c r="C798" s="13" t="n"/>
      <c r="D798" s="3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27/07/2006</t>
        </is>
      </c>
      <c r="B799" s="8" t="n">
        <v>172.0173657245</v>
      </c>
      <c r="C799" s="13" t="n"/>
      <c r="D799" s="3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28/07/2006</t>
        </is>
      </c>
      <c r="B800" s="8" t="n">
        <v>169.961658903</v>
      </c>
      <c r="C800" s="13" t="n"/>
      <c r="D800" s="3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31/07/2006</t>
        </is>
      </c>
      <c r="B801" s="8" t="n">
        <v>168.567959363</v>
      </c>
      <c r="C801" s="13" t="n"/>
      <c r="D801" s="3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01/08/2006</t>
        </is>
      </c>
      <c r="B802" s="8" t="n">
        <v>168.2242698236</v>
      </c>
      <c r="C802" s="13" t="n"/>
      <c r="D802" s="3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02/08/2006</t>
        </is>
      </c>
      <c r="B803" s="8" t="n">
        <v>167.3911327052</v>
      </c>
      <c r="C803" s="13" t="n"/>
      <c r="D803" s="3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03/08/2006</t>
        </is>
      </c>
      <c r="B804" s="8" t="n">
        <v>167.0787062858</v>
      </c>
      <c r="C804" s="13" t="n"/>
      <c r="D804" s="3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04/08/2006</t>
        </is>
      </c>
      <c r="B805" s="8" t="n">
        <v>165.8290006082</v>
      </c>
      <c r="C805" s="13" t="n"/>
      <c r="D805" s="3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07/08/2006</t>
        </is>
      </c>
      <c r="B806" s="8" t="n">
        <v>164.89172135</v>
      </c>
      <c r="C806" s="13" t="n"/>
      <c r="D806" s="3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08/08/2006</t>
        </is>
      </c>
      <c r="B807" s="8" t="n">
        <v>162.982448787</v>
      </c>
      <c r="C807" s="13" t="n"/>
      <c r="D807" s="3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09/08/2006</t>
        </is>
      </c>
      <c r="B808" s="8" t="n">
        <v>161.8021712026</v>
      </c>
      <c r="C808" s="13" t="n"/>
      <c r="D808" s="3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10/08/2006</t>
        </is>
      </c>
      <c r="B809" s="8" t="n">
        <v>161.42031669</v>
      </c>
      <c r="C809" s="13" t="n"/>
      <c r="D809" s="3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11/08/2006</t>
        </is>
      </c>
      <c r="B810" s="8" t="n">
        <v>161.246746457</v>
      </c>
      <c r="C810" s="13" t="n"/>
      <c r="D810" s="3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14/08/2006</t>
        </is>
      </c>
      <c r="B811" s="8" t="n">
        <v>159.6499003134</v>
      </c>
      <c r="C811" s="13" t="n"/>
      <c r="D811" s="3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15/08/2006</t>
        </is>
      </c>
      <c r="B812" s="8" t="n">
        <v>155.345358535</v>
      </c>
      <c r="C812" s="13" t="n"/>
      <c r="D812" s="3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16/08/2006</t>
        </is>
      </c>
      <c r="B813" s="8" t="n">
        <v>151.9086679216</v>
      </c>
      <c r="C813" s="13" t="n"/>
      <c r="D813" s="3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17/08/2006</t>
        </is>
      </c>
      <c r="B814" s="8" t="n">
        <v>149.791111079</v>
      </c>
      <c r="C814" s="13" t="n"/>
      <c r="D814" s="3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18/08/2006</t>
        </is>
      </c>
      <c r="B815" s="8" t="n">
        <v>148.2636930286</v>
      </c>
      <c r="C815" s="13" t="n"/>
      <c r="D815" s="3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21/08/2006</t>
        </is>
      </c>
      <c r="B816" s="8" t="n">
        <v>147.9859806558</v>
      </c>
      <c r="C816" s="13" t="n"/>
      <c r="D816" s="3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22/08/2006</t>
        </is>
      </c>
      <c r="B817" s="8" t="n">
        <v>146.7015609316</v>
      </c>
      <c r="C817" s="13" t="n"/>
      <c r="D817" s="3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23/08/2006</t>
        </is>
      </c>
      <c r="B818" s="8" t="n">
        <v>144.1674355298</v>
      </c>
      <c r="C818" s="13" t="n"/>
      <c r="D818" s="3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24/08/2006</t>
        </is>
      </c>
      <c r="B819" s="8" t="n">
        <v>142.7788736658</v>
      </c>
      <c r="C819" s="13" t="n"/>
      <c r="D819" s="3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25/08/2006</t>
        </is>
      </c>
      <c r="B820" s="8" t="n">
        <v>141.7374522678</v>
      </c>
      <c r="C820" s="13" t="n"/>
      <c r="D820" s="3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28/08/2006</t>
        </is>
      </c>
      <c r="B821" s="8" t="n">
        <v>140.2100342174</v>
      </c>
      <c r="C821" s="13" t="n"/>
      <c r="D821" s="3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29/08/2006</t>
        </is>
      </c>
      <c r="B822" s="8" t="n">
        <v>137.7453369088</v>
      </c>
      <c r="C822" s="13" t="n"/>
      <c r="D822" s="3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30/08/2006</t>
        </is>
      </c>
      <c r="B823" s="8" t="n">
        <v>136.9121997904</v>
      </c>
      <c r="C823" s="13" t="n"/>
      <c r="D823" s="3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31/08/2006</t>
        </is>
      </c>
      <c r="B824" s="8" t="n">
        <v>136.8080576506</v>
      </c>
      <c r="C824" s="13" t="n"/>
      <c r="D824" s="3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01/09/2006</t>
        </is>
      </c>
      <c r="B825" s="8" t="n">
        <v>135.5817332473</v>
      </c>
      <c r="C825" s="13" t="n"/>
      <c r="D825" s="3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04/09/2006</t>
        </is>
      </c>
      <c r="B826" s="8" t="n">
        <v>133.1933902312</v>
      </c>
      <c r="C826" s="13" t="n"/>
      <c r="D826" s="3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05/09/2006</t>
        </is>
      </c>
      <c r="B827" s="8" t="n">
        <v>133.5741405671</v>
      </c>
      <c r="C827" s="13" t="n"/>
      <c r="D827" s="3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06/09/2006</t>
        </is>
      </c>
      <c r="B828" s="8" t="n">
        <v>132.570344227</v>
      </c>
      <c r="C828" s="13" t="n"/>
      <c r="D828" s="3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08/09/2006</t>
        </is>
      </c>
      <c r="B829" s="8" t="n">
        <v>132.3280485587</v>
      </c>
      <c r="C829" s="13" t="n"/>
      <c r="D829" s="3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11/09/2006</t>
        </is>
      </c>
      <c r="B830" s="8" t="n">
        <v>131.2204112179</v>
      </c>
      <c r="C830" s="13" t="n"/>
      <c r="D830" s="3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12/09/2006</t>
        </is>
      </c>
      <c r="B831" s="8" t="n">
        <v>129.4205005391</v>
      </c>
      <c r="C831" s="13" t="n"/>
      <c r="D831" s="3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13/09/2006</t>
        </is>
      </c>
      <c r="B832" s="8" t="n">
        <v>129.2820458715</v>
      </c>
      <c r="C832" s="13" t="n"/>
      <c r="D832" s="3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14/09/2006</t>
        </is>
      </c>
      <c r="B833" s="8" t="n">
        <v>129.6974098743</v>
      </c>
      <c r="C833" s="13" t="n"/>
      <c r="D833" s="3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15/09/2006</t>
        </is>
      </c>
      <c r="B834" s="8" t="n">
        <v>130.5973652137</v>
      </c>
      <c r="C834" s="13" t="n"/>
      <c r="D834" s="3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18/09/2006</t>
        </is>
      </c>
      <c r="B835" s="8" t="n">
        <v>131.3588658855</v>
      </c>
      <c r="C835" s="13" t="n"/>
      <c r="D835" s="3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19/09/2006</t>
        </is>
      </c>
      <c r="B836" s="8" t="n">
        <v>131.4973205531</v>
      </c>
      <c r="C836" s="13" t="n"/>
      <c r="D836" s="3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20/09/2006</t>
        </is>
      </c>
      <c r="B837" s="8" t="n">
        <v>131.53193422</v>
      </c>
      <c r="C837" s="13" t="n"/>
      <c r="D837" s="3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21/09/2006</t>
        </is>
      </c>
      <c r="B838" s="8" t="n">
        <v>132.0165255566</v>
      </c>
      <c r="C838" s="13" t="n"/>
      <c r="D838" s="3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22/09/2006</t>
        </is>
      </c>
      <c r="B839" s="8" t="n">
        <v>131.4280932193</v>
      </c>
      <c r="C839" s="13" t="n"/>
      <c r="D839" s="3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25/09/2006</t>
        </is>
      </c>
      <c r="B840" s="8" t="n">
        <v>130.7358198813</v>
      </c>
      <c r="C840" s="13" t="n"/>
      <c r="D840" s="3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26/09/2006</t>
        </is>
      </c>
      <c r="B841" s="8" t="n">
        <v>130.9435018827</v>
      </c>
      <c r="C841" s="13" t="n"/>
      <c r="D841" s="3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27/09/2006</t>
        </is>
      </c>
      <c r="B842" s="8" t="n">
        <v>131.185797551</v>
      </c>
      <c r="C842" s="13" t="n"/>
      <c r="D842" s="3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28/09/2006</t>
        </is>
      </c>
      <c r="B843" s="8" t="n">
        <v>130.839660882</v>
      </c>
      <c r="C843" s="13" t="n"/>
      <c r="D843" s="3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29/09/2006</t>
        </is>
      </c>
      <c r="B844" s="8" t="n">
        <v>130.839660882</v>
      </c>
      <c r="C844" s="13" t="n"/>
      <c r="D844" s="3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02/10/2006</t>
        </is>
      </c>
      <c r="B845" s="8" t="n">
        <v>130.1931394423</v>
      </c>
      <c r="C845" s="13" t="n"/>
      <c r="D845" s="3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03/10/2006</t>
        </is>
      </c>
      <c r="B846" s="8" t="n">
        <v>129.6419115431</v>
      </c>
      <c r="C846" s="13" t="n"/>
      <c r="D846" s="3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04/10/2006</t>
        </is>
      </c>
      <c r="B847" s="8" t="n">
        <v>130.3309464171</v>
      </c>
      <c r="C847" s="13" t="n"/>
      <c r="D847" s="3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05/10/2006</t>
        </is>
      </c>
      <c r="B848" s="8" t="n">
        <v>129.9519772364</v>
      </c>
      <c r="C848" s="13" t="n"/>
      <c r="D848" s="3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06/10/2006</t>
        </is>
      </c>
      <c r="B849" s="8" t="n">
        <v>128.3671970262</v>
      </c>
      <c r="C849" s="13" t="n"/>
      <c r="D849" s="3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09/10/2006</t>
        </is>
      </c>
      <c r="B850" s="8" t="n">
        <v>128.8839731817</v>
      </c>
      <c r="C850" s="13" t="n"/>
      <c r="D850" s="3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10/10/2006</t>
        </is>
      </c>
      <c r="B851" s="8" t="n">
        <v>129.3318458498</v>
      </c>
      <c r="C851" s="13" t="n"/>
      <c r="D851" s="3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11/10/2006</t>
        </is>
      </c>
      <c r="B852" s="8" t="n">
        <v>128.6428109758</v>
      </c>
      <c r="C852" s="13" t="n"/>
      <c r="D852" s="3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13/10/2006</t>
        </is>
      </c>
      <c r="B853" s="8" t="n">
        <v>128.1949383077</v>
      </c>
      <c r="C853" s="13" t="n"/>
      <c r="D853" s="3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16/10/2006</t>
        </is>
      </c>
      <c r="B854" s="8" t="n">
        <v>128.4016487699</v>
      </c>
      <c r="C854" s="13" t="n"/>
      <c r="D854" s="3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17/10/2006</t>
        </is>
      </c>
      <c r="B855" s="8" t="n">
        <v>128.2638417951</v>
      </c>
      <c r="C855" s="13" t="n"/>
      <c r="D855" s="3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18/10/2006</t>
        </is>
      </c>
      <c r="B856" s="8" t="n">
        <v>128.5394557447</v>
      </c>
      <c r="C856" s="13" t="n"/>
      <c r="D856" s="3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19/10/2006</t>
        </is>
      </c>
      <c r="B857" s="8" t="n">
        <v>128.2293900514</v>
      </c>
      <c r="C857" s="13" t="n"/>
      <c r="D857" s="3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20/10/2006</t>
        </is>
      </c>
      <c r="B858" s="8" t="n">
        <v>128.2638417951</v>
      </c>
      <c r="C858" s="13" t="n"/>
      <c r="D858" s="3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23/10/2006</t>
        </is>
      </c>
      <c r="B859" s="8" t="n">
        <v>128.2293900514</v>
      </c>
      <c r="C859" s="13" t="n"/>
      <c r="D859" s="3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24/10/2006</t>
        </is>
      </c>
      <c r="B860" s="8" t="n">
        <v>128.4705522573</v>
      </c>
      <c r="C860" s="13" t="n"/>
      <c r="D860" s="3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25/10/2006</t>
        </is>
      </c>
      <c r="B861" s="8" t="n">
        <v>127.815969127</v>
      </c>
      <c r="C861" s="13" t="n"/>
      <c r="D861" s="3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26/10/2006</t>
        </is>
      </c>
      <c r="B862" s="8" t="n">
        <v>127.2991929715</v>
      </c>
      <c r="C862" s="13" t="n"/>
      <c r="D862" s="3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27/10/2006</t>
        </is>
      </c>
      <c r="B863" s="8" t="n">
        <v>127.6092586648</v>
      </c>
      <c r="C863" s="13" t="n"/>
      <c r="D863" s="3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30/10/2006</t>
        </is>
      </c>
      <c r="B864" s="8" t="n">
        <v>127.7126138959</v>
      </c>
      <c r="C864" s="13" t="n"/>
      <c r="D864" s="3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31/10/2006</t>
        </is>
      </c>
      <c r="B865" s="8" t="n">
        <v>127.8504208707</v>
      </c>
      <c r="C865" s="13" t="n"/>
      <c r="D865" s="3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01/11/2006</t>
        </is>
      </c>
      <c r="B866" s="8" t="n">
        <v>126.6251185073</v>
      </c>
      <c r="C866" s="13" t="n"/>
      <c r="D866" s="3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03/11/2006</t>
        </is>
      </c>
      <c r="B867" s="8" t="n">
        <v>125.5992601343</v>
      </c>
      <c r="C867" s="13" t="n"/>
      <c r="D867" s="3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06/11/2006</t>
        </is>
      </c>
      <c r="B868" s="8" t="n">
        <v>124.9153545523</v>
      </c>
      <c r="C868" s="13" t="n"/>
      <c r="D868" s="3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07/11/2006</t>
        </is>
      </c>
      <c r="B869" s="8" t="n">
        <v>126.0437987626</v>
      </c>
      <c r="C869" s="13" t="n"/>
      <c r="D869" s="3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08/11/2006</t>
        </is>
      </c>
      <c r="B870" s="8" t="n">
        <v>125.6334554134</v>
      </c>
      <c r="C870" s="13" t="n"/>
      <c r="D870" s="3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09/11/2006</t>
        </is>
      </c>
      <c r="B871" s="8" t="n">
        <v>125.7018459716</v>
      </c>
      <c r="C871" s="13" t="n"/>
      <c r="D871" s="3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10/11/2006</t>
        </is>
      </c>
      <c r="B872" s="8" t="n">
        <v>124.2314489703</v>
      </c>
      <c r="C872" s="13" t="n"/>
      <c r="D872" s="3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13/11/2006</t>
        </is>
      </c>
      <c r="B873" s="8" t="n">
        <v>124.0262772957</v>
      </c>
      <c r="C873" s="13" t="n"/>
      <c r="D873" s="3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14/11/2006</t>
        </is>
      </c>
      <c r="B874" s="8" t="n">
        <v>124.5050112031</v>
      </c>
      <c r="C874" s="13" t="n"/>
      <c r="D874" s="3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16/11/2006</t>
        </is>
      </c>
      <c r="B875" s="8" t="n">
        <v>124.4366206449</v>
      </c>
      <c r="C875" s="13" t="n"/>
      <c r="D875" s="3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17/11/2006</t>
        </is>
      </c>
      <c r="B876" s="8" t="n">
        <v>124.2656442494</v>
      </c>
      <c r="C876" s="13" t="n"/>
      <c r="D876" s="3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20/11/2006</t>
        </is>
      </c>
      <c r="B877" s="8" t="n">
        <v>124.0604725748</v>
      </c>
      <c r="C877" s="13" t="n"/>
      <c r="D877" s="3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21/11/2006</t>
        </is>
      </c>
      <c r="B878" s="8" t="n">
        <v>124.812768715</v>
      </c>
      <c r="C878" s="13" t="n"/>
      <c r="D878" s="3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22/11/2006</t>
        </is>
      </c>
      <c r="B879" s="8" t="n">
        <v>123.8894961793</v>
      </c>
      <c r="C879" s="13" t="n"/>
      <c r="D879" s="3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23/11/2006</t>
        </is>
      </c>
      <c r="B880" s="8" t="n">
        <v>124.5734017613</v>
      </c>
      <c r="C880" s="13" t="n"/>
      <c r="D880" s="3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24/11/2006</t>
        </is>
      </c>
      <c r="B881" s="8" t="n">
        <v>124.6075970404</v>
      </c>
      <c r="C881" s="13" t="n"/>
      <c r="D881" s="3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27/11/2006</t>
        </is>
      </c>
      <c r="B882" s="8" t="n">
        <v>123.9236914584</v>
      </c>
      <c r="C882" s="13" t="n"/>
      <c r="D882" s="3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28/11/2006</t>
        </is>
      </c>
      <c r="B883" s="8" t="n">
        <v>124.0604725748</v>
      </c>
      <c r="C883" s="13" t="n"/>
      <c r="D883" s="3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29/11/2006</t>
        </is>
      </c>
      <c r="B884" s="8" t="n">
        <v>123.8553009002</v>
      </c>
      <c r="C884" s="13" t="n"/>
      <c r="D884" s="3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30/11/2006</t>
        </is>
      </c>
      <c r="B885" s="8" t="n">
        <v>124.6417923195</v>
      </c>
      <c r="C885" s="13" t="n"/>
      <c r="D885" s="3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01/12/2006</t>
        </is>
      </c>
      <c r="B886" s="8" t="n">
        <v>124.3123834351</v>
      </c>
      <c r="C886" s="13" t="n"/>
      <c r="D886" s="3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04/12/2006</t>
        </is>
      </c>
      <c r="B887" s="8" t="n">
        <v>124.2101248252</v>
      </c>
      <c r="C887" s="13" t="n"/>
      <c r="D887" s="3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05/12/2006</t>
        </is>
      </c>
      <c r="B888" s="8" t="n">
        <v>124.6532454681</v>
      </c>
      <c r="C888" s="13" t="n"/>
      <c r="D888" s="3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06/12/2006</t>
        </is>
      </c>
      <c r="B889" s="8" t="n">
        <v>124.4487282483</v>
      </c>
      <c r="C889" s="13" t="n"/>
      <c r="D889" s="3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07/12/2006</t>
        </is>
      </c>
      <c r="B890" s="8" t="n">
        <v>124.5850730615</v>
      </c>
      <c r="C890" s="13" t="n"/>
      <c r="D890" s="3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08/12/2006</t>
        </is>
      </c>
      <c r="B891" s="8" t="n">
        <v>124.4487282483</v>
      </c>
      <c r="C891" s="13" t="n"/>
      <c r="D891" s="3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11/12/2006</t>
        </is>
      </c>
      <c r="B892" s="8" t="n">
        <v>124.9600212978</v>
      </c>
      <c r="C892" s="13" t="n"/>
      <c r="D892" s="3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12/12/2006</t>
        </is>
      </c>
      <c r="B893" s="8" t="n">
        <v>125.6076591605</v>
      </c>
      <c r="C893" s="13" t="n"/>
      <c r="D893" s="3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13/12/2006</t>
        </is>
      </c>
      <c r="B894" s="8" t="n">
        <v>126.0848660067</v>
      </c>
      <c r="C894" s="13" t="n"/>
      <c r="D894" s="3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14/12/2006</t>
        </is>
      </c>
      <c r="B895" s="8" t="n">
        <v>126.2552970232</v>
      </c>
      <c r="C895" s="13" t="n"/>
      <c r="D895" s="3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15/12/2006</t>
        </is>
      </c>
      <c r="B896" s="8" t="n">
        <v>125.8462625836</v>
      </c>
      <c r="C896" s="13" t="n"/>
      <c r="D896" s="3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18/12/2006</t>
        </is>
      </c>
      <c r="B897" s="8" t="n">
        <v>125.5394867539</v>
      </c>
      <c r="C897" s="13" t="n"/>
      <c r="D897" s="3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19/12/2006</t>
        </is>
      </c>
      <c r="B898" s="8" t="n">
        <v>126.2552970232</v>
      </c>
      <c r="C898" s="13" t="n"/>
      <c r="D898" s="3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20/12/2006</t>
        </is>
      </c>
      <c r="B899" s="8" t="n">
        <v>126.0166936001</v>
      </c>
      <c r="C899" s="13" t="n"/>
      <c r="D899" s="3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21/12/2006</t>
        </is>
      </c>
      <c r="B900" s="8" t="n">
        <v>126.3575556331</v>
      </c>
      <c r="C900" s="13" t="n"/>
      <c r="D900" s="3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22/12/2006</t>
        </is>
      </c>
      <c r="B901" s="8" t="n">
        <v>125.778090177</v>
      </c>
      <c r="C901" s="13" t="n"/>
      <c r="D901" s="3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26/12/2006</t>
        </is>
      </c>
      <c r="B902" s="8" t="n">
        <v>125.8121763803</v>
      </c>
      <c r="C902" s="13" t="n"/>
      <c r="D902" s="3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27/12/2006</t>
        </is>
      </c>
      <c r="B903" s="8" t="n">
        <v>125.3690557374</v>
      </c>
      <c r="C903" s="13" t="n"/>
      <c r="D903" s="3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28/12/2006</t>
        </is>
      </c>
      <c r="B904" s="8" t="n">
        <v>125.5394867539</v>
      </c>
      <c r="C904" s="13" t="n"/>
      <c r="D904" s="3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02/01/2007</t>
        </is>
      </c>
      <c r="B905" s="8" t="n">
        <v>124.5757459946</v>
      </c>
      <c r="C905" s="13" t="n"/>
      <c r="D905" s="3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03/01/2007</t>
        </is>
      </c>
      <c r="B906" s="8" t="n">
        <v>124.4061628936</v>
      </c>
      <c r="C906" s="13" t="n"/>
      <c r="D906" s="3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04/01/2007</t>
        </is>
      </c>
      <c r="B907" s="8" t="n">
        <v>124.0669966916</v>
      </c>
      <c r="C907" s="13" t="n"/>
      <c r="D907" s="3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05/01/2007</t>
        </is>
      </c>
      <c r="B908" s="8" t="n">
        <v>124.2704964128</v>
      </c>
      <c r="C908" s="13" t="n"/>
      <c r="D908" s="3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08/01/2007</t>
        </is>
      </c>
      <c r="B909" s="8" t="n">
        <v>124.7453290956</v>
      </c>
      <c r="C909" s="13" t="n"/>
      <c r="D909" s="3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09/01/2007</t>
        </is>
      </c>
      <c r="B910" s="8" t="n">
        <v>125.2540783986</v>
      </c>
      <c r="C910" s="13" t="n"/>
      <c r="D910" s="3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10/01/2007</t>
        </is>
      </c>
      <c r="B911" s="8" t="n">
        <v>125.6949944612</v>
      </c>
      <c r="C911" s="13" t="n"/>
      <c r="D911" s="3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11/01/2007</t>
        </is>
      </c>
      <c r="B912" s="8" t="n">
        <v>125.4236614996</v>
      </c>
      <c r="C912" s="13" t="n"/>
      <c r="D912" s="3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12/01/2007</t>
        </is>
      </c>
      <c r="B913" s="8" t="n">
        <v>125.7289110814</v>
      </c>
      <c r="C913" s="13" t="n"/>
      <c r="D913" s="3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15/01/2007</t>
        </is>
      </c>
      <c r="B914" s="8" t="n">
        <v>125.7967443218</v>
      </c>
      <c r="C914" s="13" t="n"/>
      <c r="D914" s="3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16/01/2007</t>
        </is>
      </c>
      <c r="B915" s="8" t="n">
        <v>125.9324108026</v>
      </c>
      <c r="C915" s="13" t="n"/>
      <c r="D915" s="3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17/01/2007</t>
        </is>
      </c>
      <c r="B916" s="8" t="n">
        <v>125.49149474</v>
      </c>
      <c r="C916" s="13" t="n"/>
      <c r="D916" s="3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18/01/2007</t>
        </is>
      </c>
      <c r="B917" s="8" t="n">
        <v>125.5254113602</v>
      </c>
      <c r="C917" s="13" t="n"/>
      <c r="D917" s="3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19/01/2007</t>
        </is>
      </c>
      <c r="B918" s="8" t="n">
        <v>125.2879950188</v>
      </c>
      <c r="C918" s="13" t="n"/>
      <c r="D918" s="3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22/01/2007</t>
        </is>
      </c>
      <c r="B919" s="8" t="n">
        <v>125.2201617784</v>
      </c>
      <c r="C919" s="13" t="n"/>
      <c r="D919" s="3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23/01/2007</t>
        </is>
      </c>
      <c r="B920" s="8" t="n">
        <v>125.0505786774</v>
      </c>
      <c r="C920" s="13" t="n"/>
      <c r="D920" s="3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24/01/2007</t>
        </is>
      </c>
      <c r="B921" s="8" t="n">
        <v>124.5079127542</v>
      </c>
      <c r="C921" s="13" t="n"/>
      <c r="D921" s="3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25/01/2007</t>
        </is>
      </c>
      <c r="B922" s="8" t="n">
        <v>123.8634969704</v>
      </c>
      <c r="C922" s="13" t="n"/>
      <c r="D922" s="3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26/01/2007</t>
        </is>
      </c>
      <c r="B923" s="8" t="n">
        <v>124.304413033</v>
      </c>
      <c r="C923" s="13" t="n"/>
      <c r="D923" s="3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29/01/2007</t>
        </is>
      </c>
      <c r="B924" s="8" t="n">
        <v>123.286914427</v>
      </c>
      <c r="C924" s="13" t="n"/>
      <c r="D924" s="3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30/01/2007</t>
        </is>
      </c>
      <c r="B925" s="8" t="n">
        <v>123.7617471098</v>
      </c>
      <c r="C925" s="13" t="n"/>
      <c r="D925" s="3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31/01/2007</t>
        </is>
      </c>
      <c r="B926" s="8" t="n">
        <v>122.6764152634</v>
      </c>
      <c r="C926" s="13" t="n"/>
      <c r="D926" s="3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01/02/2007</t>
        </is>
      </c>
      <c r="B927" s="8" t="n">
        <v>120.9930691263</v>
      </c>
      <c r="C927" s="13" t="n"/>
      <c r="D927" s="3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02/02/2007</t>
        </is>
      </c>
      <c r="B928" s="8" t="n">
        <v>120.6548162073</v>
      </c>
      <c r="C928" s="13" t="n"/>
      <c r="D928" s="3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05/02/2007</t>
        </is>
      </c>
      <c r="B929" s="8" t="n">
        <v>120.756292083</v>
      </c>
      <c r="C929" s="13" t="n"/>
      <c r="D929" s="3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06/02/2007</t>
        </is>
      </c>
      <c r="B930" s="8" t="n">
        <v>119.7077080341</v>
      </c>
      <c r="C930" s="13" t="n"/>
      <c r="D930" s="3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07/02/2007</t>
        </is>
      </c>
      <c r="B931" s="8" t="n">
        <v>118.9297263204</v>
      </c>
      <c r="C931" s="13" t="n"/>
      <c r="D931" s="3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08/02/2007</t>
        </is>
      </c>
      <c r="B932" s="8" t="n">
        <v>118.6929492771</v>
      </c>
      <c r="C932" s="13" t="n"/>
      <c r="D932" s="3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09/02/2007</t>
        </is>
      </c>
      <c r="B933" s="8" t="n">
        <v>118.6252986933</v>
      </c>
      <c r="C933" s="13" t="n"/>
      <c r="D933" s="3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12/02/2007</t>
        </is>
      </c>
      <c r="B934" s="8" t="n">
        <v>118.9297263204</v>
      </c>
      <c r="C934" s="13" t="n"/>
      <c r="D934" s="3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13/02/2007</t>
        </is>
      </c>
      <c r="B935" s="8" t="n">
        <v>117.9826181472</v>
      </c>
      <c r="C935" s="13" t="n"/>
      <c r="D935" s="3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14/02/2007</t>
        </is>
      </c>
      <c r="B936" s="8" t="n">
        <v>117.7796663958</v>
      </c>
      <c r="C936" s="13" t="n"/>
      <c r="D936" s="3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15/02/2007</t>
        </is>
      </c>
      <c r="B937" s="8" t="n">
        <v>116.359004136</v>
      </c>
      <c r="C937" s="13" t="n"/>
      <c r="D937" s="3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16/02/2007</t>
        </is>
      </c>
      <c r="B938" s="8" t="n">
        <v>116.9002088064</v>
      </c>
      <c r="C938" s="13" t="n"/>
      <c r="D938" s="3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21/02/2007</t>
        </is>
      </c>
      <c r="B939" s="8" t="n">
        <v>116.8325582226</v>
      </c>
      <c r="C939" s="13" t="n"/>
      <c r="D939" s="3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22/02/2007</t>
        </is>
      </c>
      <c r="B940" s="8" t="n">
        <v>117.1369858497</v>
      </c>
      <c r="C940" s="13" t="n"/>
      <c r="D940" s="3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23/02/2007</t>
        </is>
      </c>
      <c r="B941" s="8" t="n">
        <v>117.5428893525</v>
      </c>
      <c r="C941" s="13" t="n"/>
      <c r="D941" s="3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26/02/2007</t>
        </is>
      </c>
      <c r="B942" s="8" t="n">
        <v>116.7649076388</v>
      </c>
      <c r="C942" s="13" t="n"/>
      <c r="D942" s="3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27/02/2007</t>
        </is>
      </c>
      <c r="B943" s="8" t="n">
        <v>117.0693352659</v>
      </c>
      <c r="C943" s="13" t="n"/>
      <c r="D943" s="3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28/02/2007</t>
        </is>
      </c>
      <c r="B944" s="8" t="n">
        <v>117.0693352659</v>
      </c>
      <c r="C944" s="13" t="n"/>
      <c r="D944" s="3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01/03/2007</t>
        </is>
      </c>
      <c r="B945" s="8" t="n">
        <v>117.2794404124</v>
      </c>
      <c r="C945" s="13" t="n"/>
      <c r="D945" s="3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02/03/2007</t>
        </is>
      </c>
      <c r="B946" s="8" t="n">
        <v>117.313151088</v>
      </c>
      <c r="C946" s="13" t="n"/>
      <c r="D946" s="3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05/03/2007</t>
        </is>
      </c>
      <c r="B947" s="8" t="n">
        <v>117.1783083856</v>
      </c>
      <c r="C947" s="13" t="n"/>
      <c r="D947" s="3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06/03/2007</t>
        </is>
      </c>
      <c r="B948" s="8" t="n">
        <v>117.3805724392</v>
      </c>
      <c r="C948" s="13" t="n"/>
      <c r="D948" s="3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07/03/2007</t>
        </is>
      </c>
      <c r="B949" s="8" t="n">
        <v>117.6165471684</v>
      </c>
      <c r="C949" s="13" t="n"/>
      <c r="D949" s="3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08/03/2007</t>
        </is>
      </c>
      <c r="B950" s="8" t="n">
        <v>117.481704466</v>
      </c>
      <c r="C950" s="13" t="n"/>
      <c r="D950" s="3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09/03/2007</t>
        </is>
      </c>
      <c r="B951" s="8" t="n">
        <v>116.8412016296</v>
      </c>
      <c r="C951" s="13" t="n"/>
      <c r="D951" s="3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12/03/2007</t>
        </is>
      </c>
      <c r="B952" s="8" t="n">
        <v>116.638937576</v>
      </c>
      <c r="C952" s="13" t="n"/>
      <c r="D952" s="3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13/03/2007</t>
        </is>
      </c>
      <c r="B953" s="8" t="n">
        <v>116.3692521712</v>
      </c>
      <c r="C953" s="13" t="n"/>
      <c r="D953" s="3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14/03/2007</t>
        </is>
      </c>
      <c r="B954" s="8" t="n">
        <v>116.470384198</v>
      </c>
      <c r="C954" s="13" t="n"/>
      <c r="D954" s="3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15/03/2007</t>
        </is>
      </c>
      <c r="B955" s="8" t="n">
        <v>117.2794404124</v>
      </c>
      <c r="C955" s="13" t="n"/>
      <c r="D955" s="3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16/03/2007</t>
        </is>
      </c>
      <c r="B956" s="8" t="n">
        <v>117.1783083856</v>
      </c>
      <c r="C956" s="13" t="n"/>
      <c r="D956" s="3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19/03/2007</t>
        </is>
      </c>
      <c r="B957" s="8" t="n">
        <v>117.313151088</v>
      </c>
      <c r="C957" s="13" t="n"/>
      <c r="D957" s="3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20/03/2007</t>
        </is>
      </c>
      <c r="B958" s="8" t="n">
        <v>117.3805724392</v>
      </c>
      <c r="C958" s="13" t="n"/>
      <c r="D958" s="3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21/03/2007</t>
        </is>
      </c>
      <c r="B959" s="8" t="n">
        <v>116.3355414956</v>
      </c>
      <c r="C959" s="13" t="n"/>
      <c r="D959" s="3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22/03/2007</t>
        </is>
      </c>
      <c r="B960" s="8" t="n">
        <v>116.7063589272</v>
      </c>
      <c r="C960" s="13" t="n"/>
      <c r="D960" s="3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23/03/2007</t>
        </is>
      </c>
      <c r="B961" s="8" t="n">
        <v>116.9086229808</v>
      </c>
      <c r="C961" s="13" t="n"/>
      <c r="D961" s="3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26/03/2007</t>
        </is>
      </c>
      <c r="B962" s="8" t="n">
        <v>116.3355414956</v>
      </c>
      <c r="C962" s="13" t="n"/>
      <c r="D962" s="3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27/03/2007</t>
        </is>
      </c>
      <c r="B963" s="8" t="n">
        <v>116.6726482516</v>
      </c>
      <c r="C963" s="13" t="n"/>
      <c r="D963" s="3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28/03/2007</t>
        </is>
      </c>
      <c r="B964" s="8" t="n">
        <v>116.7400696028</v>
      </c>
      <c r="C964" s="13" t="n"/>
      <c r="D964" s="3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29/03/2007</t>
        </is>
      </c>
      <c r="B965" s="8" t="n">
        <v>117.1783083856</v>
      </c>
      <c r="C965" s="13" t="n"/>
      <c r="D965" s="3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30/03/2007</t>
        </is>
      </c>
      <c r="B966" s="8" t="n">
        <v>116.807490954</v>
      </c>
      <c r="C966" s="13" t="n"/>
      <c r="D966" s="3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02/04/2007</t>
        </is>
      </c>
      <c r="B967" s="8" t="n">
        <v>117.2325473193</v>
      </c>
      <c r="C967" s="13" t="n"/>
      <c r="D967" s="3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03/04/2007</t>
        </is>
      </c>
      <c r="B968" s="8" t="n">
        <v>117.4010333028</v>
      </c>
      <c r="C968" s="13" t="n"/>
      <c r="D968" s="3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04/04/2007</t>
        </is>
      </c>
      <c r="B969" s="8" t="n">
        <v>117.4347304995</v>
      </c>
      <c r="C969" s="13" t="n"/>
      <c r="D969" s="3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05/04/2007</t>
        </is>
      </c>
      <c r="B970" s="8" t="n">
        <v>117.266244516</v>
      </c>
      <c r="C970" s="13" t="n"/>
      <c r="D970" s="3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09/04/2007</t>
        </is>
      </c>
      <c r="B971" s="8" t="n">
        <v>117.2999417127</v>
      </c>
      <c r="C971" s="13" t="n"/>
      <c r="D971" s="3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10/04/2007</t>
        </is>
      </c>
      <c r="B972" s="8" t="n">
        <v>116.4238145985</v>
      </c>
      <c r="C972" s="13" t="n"/>
      <c r="D972" s="3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11/04/2007</t>
        </is>
      </c>
      <c r="B973" s="8" t="n">
        <v>116.2216314183</v>
      </c>
      <c r="C973" s="13" t="n"/>
      <c r="D973" s="3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12/04/2007</t>
        </is>
      </c>
      <c r="B974" s="8" t="n">
        <v>115.3455043041</v>
      </c>
      <c r="C974" s="13" t="n"/>
      <c r="D974" s="3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13/04/2007</t>
        </is>
      </c>
      <c r="B975" s="8" t="n">
        <v>115.4802930909</v>
      </c>
      <c r="C975" s="13" t="n"/>
      <c r="D975" s="3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16/04/2007</t>
        </is>
      </c>
      <c r="B976" s="8" t="n">
        <v>115.4465958942</v>
      </c>
      <c r="C976" s="13" t="n"/>
      <c r="D976" s="3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17/04/2007</t>
        </is>
      </c>
      <c r="B977" s="8" t="n">
        <v>113.9976164361</v>
      </c>
      <c r="C977" s="13" t="n"/>
      <c r="D977" s="3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18/04/2007</t>
        </is>
      </c>
      <c r="B978" s="8" t="n">
        <v>113.3910668955</v>
      </c>
      <c r="C978" s="13" t="n"/>
      <c r="D978" s="3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19/04/2007</t>
        </is>
      </c>
      <c r="B979" s="8" t="n">
        <v>113.222580912</v>
      </c>
      <c r="C979" s="13" t="n"/>
      <c r="D979" s="3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20/04/2007</t>
        </is>
      </c>
      <c r="B980" s="8" t="n">
        <v>112.4812425846</v>
      </c>
      <c r="C980" s="13" t="n"/>
      <c r="D980" s="3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23/04/2007</t>
        </is>
      </c>
      <c r="B981" s="8" t="n">
        <v>112.3464537978</v>
      </c>
      <c r="C981" s="13" t="n"/>
      <c r="D981" s="3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24/04/2007</t>
        </is>
      </c>
      <c r="B982" s="8" t="n">
        <v>111.4029322902</v>
      </c>
      <c r="C982" s="13" t="n"/>
      <c r="D982" s="3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25/04/2007</t>
        </is>
      </c>
      <c r="B983" s="8" t="n">
        <v>111.2344463067</v>
      </c>
      <c r="C983" s="13" t="n"/>
      <c r="D983" s="3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26/04/2007</t>
        </is>
      </c>
      <c r="B984" s="8" t="n">
        <v>110.8974743397</v>
      </c>
      <c r="C984" s="13" t="n"/>
      <c r="D984" s="3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27/04/2007</t>
        </is>
      </c>
      <c r="B985" s="8" t="n">
        <v>109.4484948816</v>
      </c>
      <c r="C985" s="13" t="n"/>
      <c r="D985" s="3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30/04/2007</t>
        </is>
      </c>
      <c r="B986" s="8" t="n">
        <v>108.3701845872</v>
      </c>
      <c r="C986" s="13" t="n"/>
      <c r="D986" s="3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02/05/2007</t>
        </is>
      </c>
      <c r="B987" s="8" t="n">
        <v>106.9121374368</v>
      </c>
      <c r="C987" s="13" t="n"/>
      <c r="D987" s="3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03/05/2007</t>
        </is>
      </c>
      <c r="B988" s="8" t="n">
        <v>105.7332071248</v>
      </c>
      <c r="C988" s="13" t="n"/>
      <c r="D988" s="3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04/05/2007</t>
        </is>
      </c>
      <c r="B989" s="8" t="n">
        <v>104.5542768128</v>
      </c>
      <c r="C989" s="13" t="n"/>
      <c r="D989" s="3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07/05/2007</t>
        </is>
      </c>
      <c r="B990" s="8" t="n">
        <v>103.6111325632</v>
      </c>
      <c r="C990" s="13" t="n"/>
      <c r="D990" s="3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08/05/2007</t>
        </is>
      </c>
      <c r="B991" s="8" t="n">
        <v>102.9374580992</v>
      </c>
      <c r="C991" s="13" t="n"/>
      <c r="D991" s="3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09/05/2007</t>
        </is>
      </c>
      <c r="B992" s="8" t="n">
        <v>102.8027232064</v>
      </c>
      <c r="C992" s="13" t="n"/>
      <c r="D992" s="3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10/05/2007</t>
        </is>
      </c>
      <c r="B993" s="8" t="n">
        <v>99.63645322559999</v>
      </c>
      <c r="C993" s="13" t="n"/>
      <c r="D993" s="3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11/05/2007</t>
        </is>
      </c>
      <c r="B994" s="8" t="n">
        <v>98.08700195840001</v>
      </c>
      <c r="C994" s="13" t="n"/>
      <c r="D994" s="3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14/05/2007</t>
        </is>
      </c>
      <c r="B995" s="8" t="n">
        <v>97.51437866400001</v>
      </c>
      <c r="C995" s="13" t="n"/>
      <c r="D995" s="3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15/05/2007</t>
        </is>
      </c>
      <c r="B996" s="8" t="n">
        <v>96.03229484320001</v>
      </c>
      <c r="C996" s="13" t="n"/>
      <c r="D996" s="3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16/05/2007</t>
        </is>
      </c>
      <c r="B997" s="8" t="n">
        <v>95.79650878080001</v>
      </c>
      <c r="C997" s="13" t="n"/>
      <c r="D997" s="3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17/05/2007</t>
        </is>
      </c>
      <c r="B998" s="8" t="n">
        <v>94.819680808</v>
      </c>
      <c r="C998" s="13" t="n"/>
      <c r="D998" s="3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18/05/2007</t>
        </is>
      </c>
      <c r="B999" s="8" t="n">
        <v>93.57338304960001</v>
      </c>
      <c r="C999" s="13" t="n"/>
      <c r="D999" s="3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21/05/2007</t>
        </is>
      </c>
      <c r="B1000" s="8" t="n">
        <v>91.7544619968</v>
      </c>
      <c r="C1000" s="13" t="n"/>
      <c r="D1000" s="3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22/05/2007</t>
        </is>
      </c>
      <c r="B1001" s="8" t="n">
        <v>91.8555131664</v>
      </c>
      <c r="C1001" s="13" t="n"/>
      <c r="D1001" s="3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23/05/2007</t>
        </is>
      </c>
      <c r="B1002" s="8" t="n">
        <v>91.1481549792</v>
      </c>
      <c r="C1002" s="13" t="n"/>
      <c r="D1002" s="3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24/05/2007</t>
        </is>
      </c>
      <c r="B1003" s="8" t="n">
        <v>90.2050107296</v>
      </c>
      <c r="C1003" s="13" t="n"/>
      <c r="D1003" s="3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25/05/2007</t>
        </is>
      </c>
      <c r="B1004" s="8" t="n">
        <v>90.84500147040001</v>
      </c>
      <c r="C1004" s="13" t="n"/>
      <c r="D1004" s="3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28/05/2007</t>
        </is>
      </c>
      <c r="B1005" s="8" t="n">
        <v>89.96922466720001</v>
      </c>
      <c r="C1005" s="13" t="n"/>
      <c r="D1005" s="3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29/05/2007</t>
        </is>
      </c>
      <c r="B1006" s="8" t="n">
        <v>89.6997548816</v>
      </c>
      <c r="C1006" s="13" t="n"/>
      <c r="D1006" s="3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30/05/2007</t>
        </is>
      </c>
      <c r="B1007" s="8" t="n">
        <v>89.43028509600001</v>
      </c>
      <c r="C1007" s="13" t="n"/>
      <c r="D1007" s="3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31/05/2007</t>
        </is>
      </c>
      <c r="B1008" s="8" t="n">
        <v>89.36291764960001</v>
      </c>
      <c r="C1008" s="13" t="n"/>
      <c r="D1008" s="3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01/06/2007</t>
        </is>
      </c>
      <c r="B1009" s="8" t="n">
        <v>88.5264420645</v>
      </c>
      <c r="C1009" s="13" t="n"/>
      <c r="D1009" s="3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04/06/2007</t>
        </is>
      </c>
      <c r="B1010" s="8" t="n">
        <v>88.4928456918</v>
      </c>
      <c r="C1010" s="13" t="n"/>
      <c r="D1010" s="3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05/06/2007</t>
        </is>
      </c>
      <c r="B1011" s="8" t="n">
        <v>87.9889001013</v>
      </c>
      <c r="C1011" s="13" t="n"/>
      <c r="D1011" s="3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06/06/2007</t>
        </is>
      </c>
      <c r="B1012" s="8" t="n">
        <v>87.85451461049999</v>
      </c>
      <c r="C1012" s="13" t="n"/>
      <c r="D1012" s="3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08/06/2007</t>
        </is>
      </c>
      <c r="B1013" s="8" t="n">
        <v>86.7458343114</v>
      </c>
      <c r="C1013" s="13" t="n"/>
      <c r="D1013" s="3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11/06/2007</t>
        </is>
      </c>
      <c r="B1014" s="8" t="n">
        <v>85.7715395031</v>
      </c>
      <c r="C1014" s="13" t="n"/>
      <c r="D1014" s="3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12/06/2007</t>
        </is>
      </c>
      <c r="B1015" s="8" t="n">
        <v>85.1668047945</v>
      </c>
      <c r="C1015" s="13" t="n"/>
      <c r="D1015" s="3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13/06/2007</t>
        </is>
      </c>
      <c r="B1016" s="8" t="n">
        <v>84.6292628313</v>
      </c>
      <c r="C1016" s="13" t="n"/>
      <c r="D1016" s="3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14/06/2007</t>
        </is>
      </c>
      <c r="B1017" s="8" t="n">
        <v>84.25970273159999</v>
      </c>
      <c r="C1017" s="13" t="n"/>
      <c r="D1017" s="3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15/06/2007</t>
        </is>
      </c>
      <c r="B1018" s="8" t="n">
        <v>83.3861970414</v>
      </c>
      <c r="C1018" s="13" t="n"/>
      <c r="D1018" s="3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18/06/2007</t>
        </is>
      </c>
      <c r="B1019" s="8" t="n">
        <v>82.41190223310001</v>
      </c>
      <c r="C1019" s="13" t="n"/>
      <c r="D1019" s="3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19/06/2007</t>
        </is>
      </c>
      <c r="B1020" s="8" t="n">
        <v>81.84076389719999</v>
      </c>
      <c r="C1020" s="13" t="n"/>
      <c r="D1020" s="3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20/06/2007</t>
        </is>
      </c>
      <c r="B1021" s="8" t="n">
        <v>81.639185661</v>
      </c>
      <c r="C1021" s="13" t="n"/>
      <c r="D1021" s="3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21/06/2007</t>
        </is>
      </c>
      <c r="B1022" s="8" t="n">
        <v>81.5383965429</v>
      </c>
      <c r="C1022" s="13" t="n"/>
      <c r="D1022" s="3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22/06/2007</t>
        </is>
      </c>
      <c r="B1023" s="8" t="n">
        <v>81.3704146794</v>
      </c>
      <c r="C1023" s="13" t="n"/>
      <c r="D1023" s="3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25/06/2007</t>
        </is>
      </c>
      <c r="B1024" s="8" t="n">
        <v>81.3368183067</v>
      </c>
      <c r="C1024" s="13" t="n"/>
      <c r="D1024" s="3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26/06/2007</t>
        </is>
      </c>
      <c r="B1025" s="8" t="n">
        <v>81.13524007049999</v>
      </c>
      <c r="C1025" s="13" t="n"/>
      <c r="D1025" s="3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27/06/2007</t>
        </is>
      </c>
      <c r="B1026" s="8" t="n">
        <v>80.46331261649999</v>
      </c>
      <c r="C1026" s="13" t="n"/>
      <c r="D1026" s="3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28/06/2007</t>
        </is>
      </c>
      <c r="B1027" s="8" t="n">
        <v>80.4297162438</v>
      </c>
      <c r="C1027" s="13" t="n"/>
      <c r="D1027" s="3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29/06/2007</t>
        </is>
      </c>
      <c r="B1028" s="8" t="n">
        <v>80.49690898919999</v>
      </c>
      <c r="C1028" s="13" t="n"/>
      <c r="D1028" s="3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02/07/2007</t>
        </is>
      </c>
      <c r="B1029" s="8" t="n">
        <v>80.1716392415</v>
      </c>
      <c r="C1029" s="13" t="n"/>
      <c r="D1029" s="3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03/07/2007</t>
        </is>
      </c>
      <c r="B1030" s="8" t="n">
        <v>80.4061572</v>
      </c>
      <c r="C1030" s="13" t="n"/>
      <c r="D1030" s="3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04/07/2007</t>
        </is>
      </c>
      <c r="B1031" s="8" t="n">
        <v>80.0376289795</v>
      </c>
      <c r="C1031" s="13" t="n"/>
      <c r="D1031" s="3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05/07/2007</t>
        </is>
      </c>
      <c r="B1032" s="8" t="n">
        <v>80.138136676</v>
      </c>
      <c r="C1032" s="13" t="n"/>
      <c r="D1032" s="3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06/07/2007</t>
        </is>
      </c>
      <c r="B1033" s="8" t="n">
        <v>80.27214693800001</v>
      </c>
      <c r="C1033" s="13" t="n"/>
      <c r="D1033" s="3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10/07/2007</t>
        </is>
      </c>
      <c r="B1034" s="8" t="n">
        <v>80.540167462</v>
      </c>
      <c r="C1034" s="13" t="n"/>
      <c r="D1034" s="3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11/07/2007</t>
        </is>
      </c>
      <c r="B1035" s="8" t="n">
        <v>80.7076802895</v>
      </c>
      <c r="C1035" s="13" t="n"/>
      <c r="D1035" s="3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12/07/2007</t>
        </is>
      </c>
      <c r="B1036" s="8" t="n">
        <v>80.9086956825</v>
      </c>
      <c r="C1036" s="13" t="n"/>
      <c r="D1036" s="3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13/07/2007</t>
        </is>
      </c>
      <c r="B1037" s="8" t="n">
        <v>80.84169055149999</v>
      </c>
      <c r="C1037" s="13" t="n"/>
      <c r="D1037" s="3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16/07/2007</t>
        </is>
      </c>
      <c r="B1038" s="8" t="n">
        <v>81.04270594450001</v>
      </c>
      <c r="C1038" s="13" t="n"/>
      <c r="D1038" s="3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17/07/2007</t>
        </is>
      </c>
      <c r="B1039" s="8" t="n">
        <v>82.31580343350001</v>
      </c>
      <c r="C1039" s="13" t="n"/>
      <c r="D1039" s="3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18/07/2007</t>
        </is>
      </c>
      <c r="B1040" s="8" t="n">
        <v>82.34930599899999</v>
      </c>
      <c r="C1040" s="13" t="n"/>
      <c r="D1040" s="3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19/07/2007</t>
        </is>
      </c>
      <c r="B1041" s="8" t="n">
        <v>82.24879830250001</v>
      </c>
      <c r="C1041" s="13" t="n"/>
      <c r="D1041" s="3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20/07/2007</t>
        </is>
      </c>
      <c r="B1042" s="8" t="n">
        <v>82.24879830250001</v>
      </c>
      <c r="C1042" s="13" t="n"/>
      <c r="D1042" s="3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23/07/2007</t>
        </is>
      </c>
      <c r="B1043" s="8" t="n">
        <v>82.21529573700001</v>
      </c>
      <c r="C1043" s="13" t="n"/>
      <c r="D1043" s="3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24/07/2007</t>
        </is>
      </c>
      <c r="B1044" s="8" t="n">
        <v>82.34930599899999</v>
      </c>
      <c r="C1044" s="13" t="n"/>
      <c r="D1044" s="3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25/07/2007</t>
        </is>
      </c>
      <c r="B1045" s="8" t="n">
        <v>82.48331626100001</v>
      </c>
      <c r="C1045" s="13" t="n"/>
      <c r="D1045" s="3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26/07/2007</t>
        </is>
      </c>
      <c r="B1046" s="8" t="n">
        <v>82.550321392</v>
      </c>
      <c r="C1046" s="13" t="n"/>
      <c r="D1046" s="3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27/07/2007</t>
        </is>
      </c>
      <c r="B1047" s="8" t="n">
        <v>83.1198650055</v>
      </c>
      <c r="C1047" s="13" t="n"/>
      <c r="D1047" s="3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30/07/2007</t>
        </is>
      </c>
      <c r="B1048" s="8" t="n">
        <v>84.024434274</v>
      </c>
      <c r="C1048" s="13" t="n"/>
      <c r="D1048" s="3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31/07/2007</t>
        </is>
      </c>
      <c r="B1049" s="8" t="n">
        <v>84.359459929</v>
      </c>
      <c r="C1049" s="13" t="n"/>
      <c r="D1049" s="3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01/08/2007</t>
        </is>
      </c>
      <c r="B1050" s="8" t="n">
        <v>83.5739378573</v>
      </c>
      <c r="C1050" s="13" t="n"/>
      <c r="D1050" s="3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02/08/2007</t>
        </is>
      </c>
      <c r="B1051" s="8" t="n">
        <v>83.7066475641</v>
      </c>
      <c r="C1051" s="13" t="n"/>
      <c r="D1051" s="3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03/08/2007</t>
        </is>
      </c>
      <c r="B1052" s="8" t="n">
        <v>83.8061798442</v>
      </c>
      <c r="C1052" s="13" t="n"/>
      <c r="D1052" s="3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06/08/2007</t>
        </is>
      </c>
      <c r="B1053" s="8" t="n">
        <v>84.3701960981</v>
      </c>
      <c r="C1053" s="13" t="n"/>
      <c r="D1053" s="3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07/08/2007</t>
        </is>
      </c>
      <c r="B1054" s="8" t="n">
        <v>84.602438085</v>
      </c>
      <c r="C1054" s="13" t="n"/>
      <c r="D1054" s="3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08/08/2007</t>
        </is>
      </c>
      <c r="B1055" s="8" t="n">
        <v>84.602438085</v>
      </c>
      <c r="C1055" s="13" t="n"/>
      <c r="D1055" s="3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09/08/2007</t>
        </is>
      </c>
      <c r="B1056" s="8" t="n">
        <v>84.4697283782</v>
      </c>
      <c r="C1056" s="13" t="n"/>
      <c r="D1056" s="3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10/08/2007</t>
        </is>
      </c>
      <c r="B1057" s="8" t="n">
        <v>84.602438085</v>
      </c>
      <c r="C1057" s="13" t="n"/>
      <c r="D1057" s="3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13/08/2007</t>
        </is>
      </c>
      <c r="B1058" s="8" t="n">
        <v>84.27066381799999</v>
      </c>
      <c r="C1058" s="13" t="n"/>
      <c r="D1058" s="3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14/08/2007</t>
        </is>
      </c>
      <c r="B1059" s="8" t="n">
        <v>83.73982499079999</v>
      </c>
      <c r="C1059" s="13" t="n"/>
      <c r="D1059" s="3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15/08/2007</t>
        </is>
      </c>
      <c r="B1060" s="8" t="n">
        <v>83.50758300390001</v>
      </c>
      <c r="C1060" s="13" t="n"/>
      <c r="D1060" s="3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16/08/2007</t>
        </is>
      </c>
      <c r="B1061" s="8" t="n">
        <v>83.4412281505</v>
      </c>
      <c r="C1061" s="13" t="n"/>
      <c r="D1061" s="3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17/08/2007</t>
        </is>
      </c>
      <c r="B1062" s="8" t="n">
        <v>83.07627645679999</v>
      </c>
      <c r="C1062" s="13" t="n"/>
      <c r="D1062" s="3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20/08/2007</t>
        </is>
      </c>
      <c r="B1063" s="8" t="n">
        <v>82.44590534950001</v>
      </c>
      <c r="C1063" s="13" t="n"/>
      <c r="D1063" s="3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21/08/2007</t>
        </is>
      </c>
      <c r="B1064" s="8" t="n">
        <v>82.24684078929999</v>
      </c>
      <c r="C1064" s="13" t="n"/>
      <c r="D1064" s="3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22/08/2007</t>
        </is>
      </c>
      <c r="B1065" s="8" t="n">
        <v>82.3463730694</v>
      </c>
      <c r="C1065" s="13" t="n"/>
      <c r="D1065" s="3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23/08/2007</t>
        </is>
      </c>
      <c r="B1066" s="8" t="n">
        <v>82.7776796165</v>
      </c>
      <c r="C1066" s="13" t="n"/>
      <c r="D1066" s="3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24/08/2007</t>
        </is>
      </c>
      <c r="B1067" s="8" t="n">
        <v>83.0099216034</v>
      </c>
      <c r="C1067" s="13" t="n"/>
      <c r="D1067" s="3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27/08/2007</t>
        </is>
      </c>
      <c r="B1068" s="8" t="n">
        <v>83.20898616359999</v>
      </c>
      <c r="C1068" s="13" t="n"/>
      <c r="D1068" s="3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28/08/2007</t>
        </is>
      </c>
      <c r="B1069" s="8" t="n">
        <v>83.4412281505</v>
      </c>
      <c r="C1069" s="13" t="n"/>
      <c r="D1069" s="3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29/08/2007</t>
        </is>
      </c>
      <c r="B1070" s="8" t="n">
        <v>83.3748732971</v>
      </c>
      <c r="C1070" s="13" t="n"/>
      <c r="D1070" s="3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30/08/2007</t>
        </is>
      </c>
      <c r="B1071" s="8" t="n">
        <v>83.0430990301</v>
      </c>
      <c r="C1071" s="13" t="n"/>
      <c r="D1071" s="3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31/08/2007</t>
        </is>
      </c>
      <c r="B1072" s="8" t="n">
        <v>83.50758300390001</v>
      </c>
      <c r="C1072" s="13" t="n"/>
      <c r="D1072" s="3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03/09/2007</t>
        </is>
      </c>
      <c r="B1073" s="8" t="n">
        <v>82.5095643834</v>
      </c>
      <c r="C1073" s="13" t="n"/>
      <c r="D1073" s="3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04/09/2007</t>
        </is>
      </c>
      <c r="B1074" s="8" t="n">
        <v>82.5750741606</v>
      </c>
      <c r="C1074" s="13" t="n"/>
      <c r="D1074" s="3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05/09/2007</t>
        </is>
      </c>
      <c r="B1075" s="8" t="n">
        <v>83.033642601</v>
      </c>
      <c r="C1075" s="13" t="n"/>
      <c r="D1075" s="3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06/09/2007</t>
        </is>
      </c>
      <c r="B1076" s="8" t="n">
        <v>83.0991523782</v>
      </c>
      <c r="C1076" s="13" t="n"/>
      <c r="D1076" s="3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10/09/2007</t>
        </is>
      </c>
      <c r="B1077" s="8" t="n">
        <v>83.2301719326</v>
      </c>
      <c r="C1077" s="13" t="n"/>
      <c r="D1077" s="3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11/09/2007</t>
        </is>
      </c>
      <c r="B1078" s="8" t="n">
        <v>82.7716034922</v>
      </c>
      <c r="C1078" s="13" t="n"/>
      <c r="D1078" s="3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12/09/2007</t>
        </is>
      </c>
      <c r="B1079" s="8" t="n">
        <v>82.7716034922</v>
      </c>
      <c r="C1079" s="13" t="n"/>
      <c r="D1079" s="3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13/09/2007</t>
        </is>
      </c>
      <c r="B1080" s="8" t="n">
        <v>83.033642601</v>
      </c>
      <c r="C1080" s="13" t="n"/>
      <c r="D1080" s="3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14/09/2007</t>
        </is>
      </c>
      <c r="B1081" s="8" t="n">
        <v>82.9026230466</v>
      </c>
      <c r="C1081" s="13" t="n"/>
      <c r="D1081" s="3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17/09/2007</t>
        </is>
      </c>
      <c r="B1082" s="8" t="n">
        <v>82.5750741606</v>
      </c>
      <c r="C1082" s="13" t="n"/>
      <c r="D1082" s="3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18/09/2007</t>
        </is>
      </c>
      <c r="B1083" s="8" t="n">
        <v>82.70609371499999</v>
      </c>
      <c r="C1083" s="13" t="n"/>
      <c r="D1083" s="3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19/09/2007</t>
        </is>
      </c>
      <c r="B1084" s="8" t="n">
        <v>82.31303505179999</v>
      </c>
      <c r="C1084" s="13" t="n"/>
      <c r="D1084" s="3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20/09/2007</t>
        </is>
      </c>
      <c r="B1085" s="8" t="n">
        <v>82.214770386</v>
      </c>
      <c r="C1085" s="13" t="n"/>
      <c r="D1085" s="3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21/09/2007</t>
        </is>
      </c>
      <c r="B1086" s="8" t="n">
        <v>82.214770386</v>
      </c>
      <c r="C1086" s="13" t="n"/>
      <c r="D1086" s="3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24/09/2007</t>
        </is>
      </c>
      <c r="B1087" s="8" t="n">
        <v>81.69069216840001</v>
      </c>
      <c r="C1087" s="13" t="n"/>
      <c r="D1087" s="3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25/09/2007</t>
        </is>
      </c>
      <c r="B1088" s="8" t="n">
        <v>81.1666139508</v>
      </c>
      <c r="C1088" s="13" t="n"/>
      <c r="D1088" s="3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26/09/2007</t>
        </is>
      </c>
      <c r="B1089" s="8" t="n">
        <v>80.90457484199999</v>
      </c>
      <c r="C1089" s="13" t="n"/>
      <c r="D1089" s="3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27/09/2007</t>
        </is>
      </c>
      <c r="B1090" s="8" t="n">
        <v>80.90457484199999</v>
      </c>
      <c r="C1090" s="13" t="n"/>
      <c r="D1090" s="3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28/09/2007</t>
        </is>
      </c>
      <c r="B1091" s="8" t="n">
        <v>80.31498684719999</v>
      </c>
      <c r="C1091" s="13" t="n"/>
      <c r="D1091" s="3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01/10/2007</t>
        </is>
      </c>
      <c r="B1092" s="8" t="n">
        <v>79.059053304</v>
      </c>
      <c r="C1092" s="13" t="n"/>
      <c r="D1092" s="3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02/10/2007</t>
        </is>
      </c>
      <c r="B1093" s="8" t="n">
        <v>79.350784128</v>
      </c>
      <c r="C1093" s="13" t="n"/>
      <c r="D1093" s="3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03/10/2007</t>
        </is>
      </c>
      <c r="B1094" s="8" t="n">
        <v>78.79973701599999</v>
      </c>
      <c r="C1094" s="13" t="n"/>
      <c r="D1094" s="3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04/10/2007</t>
        </is>
      </c>
      <c r="B1095" s="8" t="n">
        <v>78.15144629599999</v>
      </c>
      <c r="C1095" s="13" t="n"/>
      <c r="D1095" s="3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05/10/2007</t>
        </is>
      </c>
      <c r="B1096" s="8" t="n">
        <v>77.30866836</v>
      </c>
      <c r="C1096" s="13" t="n"/>
      <c r="D1096" s="3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08/10/2007</t>
        </is>
      </c>
      <c r="B1097" s="8" t="n">
        <v>77.76247186399999</v>
      </c>
      <c r="C1097" s="13" t="n"/>
      <c r="D1097" s="3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09/10/2007</t>
        </is>
      </c>
      <c r="B1098" s="8" t="n">
        <v>77.535570112</v>
      </c>
      <c r="C1098" s="13" t="n"/>
      <c r="D1098" s="3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10/10/2007</t>
        </is>
      </c>
      <c r="B1099" s="8" t="n">
        <v>77.697642792</v>
      </c>
      <c r="C1099" s="13" t="n"/>
      <c r="D1099" s="3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11/10/2007</t>
        </is>
      </c>
      <c r="B1100" s="8" t="n">
        <v>77.66522825599999</v>
      </c>
      <c r="C1100" s="13" t="n"/>
      <c r="D1100" s="3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15/10/2007</t>
        </is>
      </c>
      <c r="B1101" s="8" t="n">
        <v>77.600399184</v>
      </c>
      <c r="C1101" s="13" t="n"/>
      <c r="D1101" s="3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16/10/2007</t>
        </is>
      </c>
      <c r="B1102" s="8" t="n">
        <v>76.790035784</v>
      </c>
      <c r="C1102" s="13" t="n"/>
      <c r="D1102" s="3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17/10/2007</t>
        </is>
      </c>
      <c r="B1103" s="8" t="n">
        <v>77.04935207199999</v>
      </c>
      <c r="C1103" s="13" t="n"/>
      <c r="D1103" s="3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18/10/2007</t>
        </is>
      </c>
      <c r="B1104" s="8" t="n">
        <v>76.984523</v>
      </c>
      <c r="C1104" s="13" t="n"/>
      <c r="D1104" s="3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19/10/2007</t>
        </is>
      </c>
      <c r="B1105" s="8" t="n">
        <v>76.984523</v>
      </c>
      <c r="C1105" s="13" t="n"/>
      <c r="D1105" s="3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22/10/2007</t>
        </is>
      </c>
      <c r="B1106" s="8" t="n">
        <v>77.17901021599999</v>
      </c>
      <c r="C1106" s="13" t="n"/>
      <c r="D1106" s="3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23/10/2007</t>
        </is>
      </c>
      <c r="B1107" s="8" t="n">
        <v>77.14659568</v>
      </c>
      <c r="C1107" s="13" t="n"/>
      <c r="D1107" s="3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24/10/2007</t>
        </is>
      </c>
      <c r="B1108" s="8" t="n">
        <v>77.17901021599999</v>
      </c>
      <c r="C1108" s="13" t="n"/>
      <c r="D1108" s="3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25/10/2007</t>
        </is>
      </c>
      <c r="B1109" s="8" t="n">
        <v>76.919693928</v>
      </c>
      <c r="C1109" s="13" t="n"/>
      <c r="D1109" s="3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26/10/2007</t>
        </is>
      </c>
      <c r="B1110" s="8" t="n">
        <v>76.53071949599999</v>
      </c>
      <c r="C1110" s="13" t="n"/>
      <c r="D1110" s="3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29/10/2007</t>
        </is>
      </c>
      <c r="B1111" s="8" t="n">
        <v>76.49830496</v>
      </c>
      <c r="C1111" s="13" t="n"/>
      <c r="D1111" s="3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30/10/2007</t>
        </is>
      </c>
      <c r="B1112" s="8" t="n">
        <v>75.94725784799999</v>
      </c>
      <c r="C1112" s="13" t="n"/>
      <c r="D1112" s="3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31/10/2007</t>
        </is>
      </c>
      <c r="B1113" s="8" t="n">
        <v>76.04450145599999</v>
      </c>
      <c r="C1113" s="13" t="n"/>
      <c r="D1113" s="3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01/11/2007</t>
        </is>
      </c>
      <c r="B1114" s="8" t="n">
        <v>75.9418914156</v>
      </c>
      <c r="C1114" s="13" t="n"/>
      <c r="D1114" s="3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05/11/2007</t>
        </is>
      </c>
      <c r="B1115" s="8" t="n">
        <v>75.29804324760001</v>
      </c>
      <c r="C1115" s="13" t="n"/>
      <c r="D1115" s="3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06/11/2007</t>
        </is>
      </c>
      <c r="B1116" s="8" t="n">
        <v>75.16927361400001</v>
      </c>
      <c r="C1116" s="13" t="n"/>
      <c r="D1116" s="3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07/11/2007</t>
        </is>
      </c>
      <c r="B1117" s="8" t="n">
        <v>74.84734953</v>
      </c>
      <c r="C1117" s="13" t="n"/>
      <c r="D1117" s="3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08/11/2007</t>
        </is>
      </c>
      <c r="B1118" s="8" t="n">
        <v>74.91173434679999</v>
      </c>
      <c r="C1118" s="13" t="n"/>
      <c r="D1118" s="3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09/11/2007</t>
        </is>
      </c>
      <c r="B1119" s="8" t="n">
        <v>74.6541950796</v>
      </c>
      <c r="C1119" s="13" t="n"/>
      <c r="D1119" s="3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12/11/2007</t>
        </is>
      </c>
      <c r="B1120" s="8" t="n">
        <v>75.0726963888</v>
      </c>
      <c r="C1120" s="13" t="n"/>
      <c r="D1120" s="3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13/11/2007</t>
        </is>
      </c>
      <c r="B1121" s="8" t="n">
        <v>74.0747317284</v>
      </c>
      <c r="C1121" s="13" t="n"/>
      <c r="D1121" s="3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14/11/2007</t>
        </is>
      </c>
      <c r="B1122" s="8" t="n">
        <v>74.1391165452</v>
      </c>
      <c r="C1122" s="13" t="n"/>
      <c r="D1122" s="3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16/11/2007</t>
        </is>
      </c>
      <c r="B1123" s="8" t="n">
        <v>74.30007858719999</v>
      </c>
      <c r="C1123" s="13" t="n"/>
      <c r="D1123" s="3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19/11/2007</t>
        </is>
      </c>
      <c r="B1124" s="8" t="n">
        <v>74.4610406292</v>
      </c>
      <c r="C1124" s="13" t="n"/>
      <c r="D1124" s="3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20/11/2007</t>
        </is>
      </c>
      <c r="B1125" s="8" t="n">
        <v>74.36446340400001</v>
      </c>
      <c r="C1125" s="13" t="n"/>
      <c r="D1125" s="3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21/11/2007</t>
        </is>
      </c>
      <c r="B1126" s="8" t="n">
        <v>74.7185798964</v>
      </c>
      <c r="C1126" s="13" t="n"/>
      <c r="D1126" s="3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22/11/2007</t>
        </is>
      </c>
      <c r="B1127" s="8" t="n">
        <v>74.7185798964</v>
      </c>
      <c r="C1127" s="13" t="n"/>
      <c r="D1127" s="3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23/11/2007</t>
        </is>
      </c>
      <c r="B1128" s="8" t="n">
        <v>74.52542544599999</v>
      </c>
      <c r="C1128" s="13" t="n"/>
      <c r="D1128" s="3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26/11/2007</t>
        </is>
      </c>
      <c r="B1129" s="8" t="n">
        <v>74.5898102628</v>
      </c>
      <c r="C1129" s="13" t="n"/>
      <c r="D1129" s="3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27/11/2007</t>
        </is>
      </c>
      <c r="B1130" s="8" t="n">
        <v>74.8795419384</v>
      </c>
      <c r="C1130" s="13" t="n"/>
      <c r="D1130" s="3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28/11/2007</t>
        </is>
      </c>
      <c r="B1131" s="8" t="n">
        <v>75.0726963888</v>
      </c>
      <c r="C1131" s="13" t="n"/>
      <c r="D1131" s="3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29/11/2007</t>
        </is>
      </c>
      <c r="B1132" s="8" t="n">
        <v>75.04050398039999</v>
      </c>
      <c r="C1132" s="13" t="n"/>
      <c r="D1132" s="3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30/11/2007</t>
        </is>
      </c>
      <c r="B1133" s="8" t="n">
        <v>75.008311572</v>
      </c>
      <c r="C1133" s="13" t="n"/>
      <c r="D1133" s="3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03/12/2007</t>
        </is>
      </c>
      <c r="B1134" s="8" t="n">
        <v>74.15389679600001</v>
      </c>
      <c r="C1134" s="13" t="n"/>
      <c r="D1134" s="3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04/12/2007</t>
        </is>
      </c>
      <c r="B1135" s="8" t="n">
        <v>74.1855324175</v>
      </c>
      <c r="C1135" s="13" t="n"/>
      <c r="D1135" s="3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05/12/2007</t>
        </is>
      </c>
      <c r="B1136" s="8" t="n">
        <v>74.1855324175</v>
      </c>
      <c r="C1136" s="13" t="n"/>
      <c r="D1136" s="3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06/12/2007</t>
        </is>
      </c>
      <c r="B1137" s="8" t="n">
        <v>73.900811824</v>
      </c>
      <c r="C1137" s="13" t="n"/>
      <c r="D1137" s="3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07/12/2007</t>
        </is>
      </c>
      <c r="B1138" s="8" t="n">
        <v>74.217168039</v>
      </c>
      <c r="C1138" s="13" t="n"/>
      <c r="D1138" s="3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10/12/2007</t>
        </is>
      </c>
      <c r="B1139" s="8" t="n">
        <v>74.37534614650001</v>
      </c>
      <c r="C1139" s="13" t="n"/>
      <c r="D1139" s="3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11/12/2007</t>
        </is>
      </c>
      <c r="B1140" s="8" t="n">
        <v>74.34371052500001</v>
      </c>
      <c r="C1140" s="13" t="n"/>
      <c r="D1140" s="3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12/12/2007</t>
        </is>
      </c>
      <c r="B1141" s="8" t="n">
        <v>74.40698176800001</v>
      </c>
      <c r="C1141" s="13" t="n"/>
      <c r="D1141" s="3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13/12/2007</t>
        </is>
      </c>
      <c r="B1142" s="8" t="n">
        <v>74.88151609050001</v>
      </c>
      <c r="C1142" s="13" t="n"/>
      <c r="D1142" s="3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14/12/2007</t>
        </is>
      </c>
      <c r="B1143" s="8" t="n">
        <v>75.10296544099999</v>
      </c>
      <c r="C1143" s="13" t="n"/>
      <c r="D1143" s="3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17/12/2007</t>
        </is>
      </c>
      <c r="B1144" s="8" t="n">
        <v>74.69170236150001</v>
      </c>
      <c r="C1144" s="13" t="n"/>
      <c r="D1144" s="3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18/12/2007</t>
        </is>
      </c>
      <c r="B1145" s="8" t="n">
        <v>74.66006674</v>
      </c>
      <c r="C1145" s="13" t="n"/>
      <c r="D1145" s="3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19/12/2007</t>
        </is>
      </c>
      <c r="B1146" s="8" t="n">
        <v>75.00805857650001</v>
      </c>
      <c r="C1146" s="13" t="n"/>
      <c r="D1146" s="3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20/12/2007</t>
        </is>
      </c>
      <c r="B1147" s="8" t="n">
        <v>75.1978723055</v>
      </c>
      <c r="C1147" s="13" t="n"/>
      <c r="D1147" s="3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21/12/2007</t>
        </is>
      </c>
      <c r="B1148" s="8" t="n">
        <v>75.1978723055</v>
      </c>
      <c r="C1148" s="13" t="n"/>
      <c r="D1148" s="3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26/12/2007</t>
        </is>
      </c>
      <c r="B1149" s="8" t="n">
        <v>75.6407710065</v>
      </c>
      <c r="C1149" s="13" t="n"/>
      <c r="D1149" s="3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27/12/2007</t>
        </is>
      </c>
      <c r="B1150" s="8" t="n">
        <v>75.545864142</v>
      </c>
      <c r="C1150" s="13" t="n"/>
      <c r="D1150" s="3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28/12/2007</t>
        </is>
      </c>
      <c r="B1151" s="8" t="n">
        <v>75.545864142</v>
      </c>
      <c r="C1151" s="13" t="n"/>
      <c r="D1151" s="3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02/01/2008</t>
        </is>
      </c>
      <c r="B1152" s="8" t="n">
        <v>75.419772233</v>
      </c>
      <c r="C1152" s="13" t="n"/>
      <c r="D1152" s="3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03/01/2008</t>
        </is>
      </c>
      <c r="B1153" s="8" t="n">
        <v>75.45106674429999</v>
      </c>
      <c r="C1153" s="13" t="n"/>
      <c r="D1153" s="3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04/01/2008</t>
        </is>
      </c>
      <c r="B1154" s="8" t="n">
        <v>75.54495027820001</v>
      </c>
      <c r="C1154" s="13" t="n"/>
      <c r="D1154" s="3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07/01/2008</t>
        </is>
      </c>
      <c r="B1155" s="8" t="n">
        <v>76.1708405042</v>
      </c>
      <c r="C1155" s="13" t="n"/>
      <c r="D1155" s="3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08/01/2008</t>
        </is>
      </c>
      <c r="B1156" s="8" t="n">
        <v>75.9517789251</v>
      </c>
      <c r="C1156" s="13" t="n"/>
      <c r="D1156" s="3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09/01/2008</t>
        </is>
      </c>
      <c r="B1157" s="8" t="n">
        <v>76.20213501550001</v>
      </c>
      <c r="C1157" s="13" t="n"/>
      <c r="D1157" s="3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10/01/2008</t>
        </is>
      </c>
      <c r="B1158" s="8" t="n">
        <v>76.23342952679999</v>
      </c>
      <c r="C1158" s="13" t="n"/>
      <c r="D1158" s="3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11/01/2008</t>
        </is>
      </c>
      <c r="B1159" s="8" t="n">
        <v>76.70284719630001</v>
      </c>
      <c r="C1159" s="13" t="n"/>
      <c r="D1159" s="3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14/01/2008</t>
        </is>
      </c>
      <c r="B1160" s="8" t="n">
        <v>77.5165044901</v>
      </c>
      <c r="C1160" s="13" t="n"/>
      <c r="D1160" s="3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15/01/2008</t>
        </is>
      </c>
      <c r="B1161" s="8" t="n">
        <v>77.610388024</v>
      </c>
      <c r="C1161" s="13" t="n"/>
      <c r="D1161" s="3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16/01/2008</t>
        </is>
      </c>
      <c r="B1162" s="8" t="n">
        <v>78.2675727613</v>
      </c>
      <c r="C1162" s="13" t="n"/>
      <c r="D1162" s="3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17/01/2008</t>
        </is>
      </c>
      <c r="B1163" s="8" t="n">
        <v>78.9247574986</v>
      </c>
      <c r="C1163" s="13" t="n"/>
      <c r="D1163" s="3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18/01/2008</t>
        </is>
      </c>
      <c r="B1164" s="8" t="n">
        <v>78.7995794534</v>
      </c>
      <c r="C1164" s="13" t="n"/>
      <c r="D1164" s="3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21/01/2008</t>
        </is>
      </c>
      <c r="B1165" s="8" t="n">
        <v>79.4567641907</v>
      </c>
      <c r="C1165" s="13" t="n"/>
      <c r="D1165" s="3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22/01/2008</t>
        </is>
      </c>
      <c r="B1166" s="8" t="n">
        <v>80.61466110880001</v>
      </c>
      <c r="C1166" s="13" t="n"/>
      <c r="D1166" s="3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23/01/2008</t>
        </is>
      </c>
      <c r="B1167" s="8" t="n">
        <v>80.4581885523</v>
      </c>
      <c r="C1167" s="13" t="n"/>
      <c r="D1167" s="3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24/01/2008</t>
        </is>
      </c>
      <c r="B1168" s="8" t="n">
        <v>80.39559952970001</v>
      </c>
      <c r="C1168" s="13" t="n"/>
      <c r="D1168" s="3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25/01/2008</t>
        </is>
      </c>
      <c r="B1169" s="8" t="n">
        <v>80.5833665975</v>
      </c>
      <c r="C1169" s="13" t="n"/>
      <c r="D1169" s="3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28/01/2008</t>
        </is>
      </c>
      <c r="B1170" s="8" t="n">
        <v>80.9901952444</v>
      </c>
      <c r="C1170" s="13" t="n"/>
      <c r="D1170" s="3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29/01/2008</t>
        </is>
      </c>
      <c r="B1171" s="8" t="n">
        <v>80.7711336653</v>
      </c>
      <c r="C1171" s="13" t="n"/>
      <c r="D1171" s="3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30/01/2008</t>
        </is>
      </c>
      <c r="B1172" s="8" t="n">
        <v>80.8650171992</v>
      </c>
      <c r="C1172" s="13" t="n"/>
      <c r="D1172" s="3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31/01/2008</t>
        </is>
      </c>
      <c r="B1173" s="8" t="n">
        <v>80.73983915400001</v>
      </c>
      <c r="C1173" s="13" t="n"/>
      <c r="D1173" s="3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01/02/2008</t>
        </is>
      </c>
      <c r="B1174" s="8" t="n">
        <v>80.9678940048</v>
      </c>
      <c r="C1174" s="13" t="n"/>
      <c r="D1174" s="3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06/02/2008</t>
        </is>
      </c>
      <c r="B1175" s="8" t="n">
        <v>81.0301530544</v>
      </c>
      <c r="C1175" s="13" t="n"/>
      <c r="D1175" s="3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07/02/2008</t>
        </is>
      </c>
      <c r="B1176" s="8" t="n">
        <v>81.0612825792</v>
      </c>
      <c r="C1176" s="13" t="n"/>
      <c r="D1176" s="3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08/02/2008</t>
        </is>
      </c>
      <c r="B1177" s="8" t="n">
        <v>80.6877282816</v>
      </c>
      <c r="C1177" s="13" t="n"/>
      <c r="D1177" s="3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11/02/2008</t>
        </is>
      </c>
      <c r="B1178" s="8" t="n">
        <v>81.0301530544</v>
      </c>
      <c r="C1178" s="13" t="n"/>
      <c r="D1178" s="3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12/02/2008</t>
        </is>
      </c>
      <c r="B1179" s="8" t="n">
        <v>81.15467115360001</v>
      </c>
      <c r="C1179" s="13" t="n"/>
      <c r="D1179" s="3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13/02/2008</t>
        </is>
      </c>
      <c r="B1180" s="8" t="n">
        <v>80.93676448000001</v>
      </c>
      <c r="C1180" s="13" t="n"/>
      <c r="D1180" s="3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14/02/2008</t>
        </is>
      </c>
      <c r="B1181" s="8" t="n">
        <v>81.27918925279999</v>
      </c>
      <c r="C1181" s="13" t="n"/>
      <c r="D1181" s="3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15/02/2008</t>
        </is>
      </c>
      <c r="B1182" s="8" t="n">
        <v>81.092412104</v>
      </c>
      <c r="C1182" s="13" t="n"/>
      <c r="D1182" s="3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18/02/2008</t>
        </is>
      </c>
      <c r="B1183" s="8" t="n">
        <v>81.15467115360001</v>
      </c>
      <c r="C1183" s="13" t="n"/>
      <c r="D1183" s="3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19/02/2008</t>
        </is>
      </c>
      <c r="B1184" s="8" t="n">
        <v>81.092412104</v>
      </c>
      <c r="C1184" s="13" t="n"/>
      <c r="D1184" s="3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20/02/2008</t>
        </is>
      </c>
      <c r="B1185" s="8" t="n">
        <v>81.3414483024</v>
      </c>
      <c r="C1185" s="13" t="n"/>
      <c r="D1185" s="3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21/02/2008</t>
        </is>
      </c>
      <c r="B1186" s="8" t="n">
        <v>82.02629784800001</v>
      </c>
      <c r="C1186" s="13" t="n"/>
      <c r="D1186" s="3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22/02/2008</t>
        </is>
      </c>
      <c r="B1187" s="8" t="n">
        <v>82.24420452160001</v>
      </c>
      <c r="C1187" s="13" t="n"/>
      <c r="D1187" s="3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25/02/2008</t>
        </is>
      </c>
      <c r="B1188" s="8" t="n">
        <v>81.9017797488</v>
      </c>
      <c r="C1188" s="13" t="n"/>
      <c r="D1188" s="3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26/02/2008</t>
        </is>
      </c>
      <c r="B1189" s="8" t="n">
        <v>82.61775881920001</v>
      </c>
      <c r="C1189" s="13" t="n"/>
      <c r="D1189" s="3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27/02/2008</t>
        </is>
      </c>
      <c r="B1190" s="8" t="n">
        <v>82.39985214559999</v>
      </c>
      <c r="C1190" s="13" t="n"/>
      <c r="D1190" s="3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28/02/2008</t>
        </is>
      </c>
      <c r="B1191" s="8" t="n">
        <v>82.648888344</v>
      </c>
      <c r="C1191" s="13" t="n"/>
      <c r="D1191" s="3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29/02/2008</t>
        </is>
      </c>
      <c r="B1192" s="8" t="n">
        <v>83.02244264160001</v>
      </c>
      <c r="C1192" s="13" t="n"/>
      <c r="D1192" s="3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03/03/2008</t>
        </is>
      </c>
      <c r="B1193" s="8" t="n">
        <v>82.59799477049999</v>
      </c>
      <c r="C1193" s="13" t="n"/>
      <c r="D1193" s="3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04/03/2008</t>
        </is>
      </c>
      <c r="B1194" s="8" t="n">
        <v>82.752499063</v>
      </c>
      <c r="C1194" s="13" t="n"/>
      <c r="D1194" s="3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05/03/2008</t>
        </is>
      </c>
      <c r="B1195" s="8" t="n">
        <v>82.78339992149999</v>
      </c>
      <c r="C1195" s="13" t="n"/>
      <c r="D1195" s="3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06/03/2008</t>
        </is>
      </c>
      <c r="B1196" s="8" t="n">
        <v>83.67952481799999</v>
      </c>
      <c r="C1196" s="13" t="n"/>
      <c r="D1196" s="3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07/03/2008</t>
        </is>
      </c>
      <c r="B1197" s="8" t="n">
        <v>83.617723101</v>
      </c>
      <c r="C1197" s="13" t="n"/>
      <c r="D1197" s="3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10/03/2008</t>
        </is>
      </c>
      <c r="B1198" s="8" t="n">
        <v>84.0194342615</v>
      </c>
      <c r="C1198" s="13" t="n"/>
      <c r="D1198" s="3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11/03/2008</t>
        </is>
      </c>
      <c r="B1199" s="8" t="n">
        <v>83.8340291105</v>
      </c>
      <c r="C1199" s="13" t="n"/>
      <c r="D1199" s="3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12/03/2008</t>
        </is>
      </c>
      <c r="B1200" s="8" t="n">
        <v>84.11213683699999</v>
      </c>
      <c r="C1200" s="13" t="n"/>
      <c r="D1200" s="3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13/03/2008</t>
        </is>
      </c>
      <c r="B1201" s="8" t="n">
        <v>83.98853340299999</v>
      </c>
      <c r="C1201" s="13" t="n"/>
      <c r="D1201" s="3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14/03/2008</t>
        </is>
      </c>
      <c r="B1202" s="8" t="n">
        <v>84.60655057299999</v>
      </c>
      <c r="C1202" s="13" t="n"/>
      <c r="D1202" s="3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17/03/2008</t>
        </is>
      </c>
      <c r="B1203" s="8" t="n">
        <v>84.482947139</v>
      </c>
      <c r="C1203" s="13" t="n"/>
      <c r="D1203" s="3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18/03/2008</t>
        </is>
      </c>
      <c r="B1204" s="8" t="n">
        <v>85.1936668845</v>
      </c>
      <c r="C1204" s="13" t="n"/>
      <c r="D1204" s="3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19/03/2008</t>
        </is>
      </c>
      <c r="B1205" s="8" t="n">
        <v>85.471774611</v>
      </c>
      <c r="C1205" s="13" t="n"/>
      <c r="D1205" s="3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20/03/2008</t>
        </is>
      </c>
      <c r="B1206" s="8" t="n">
        <v>85.533576328</v>
      </c>
      <c r="C1206" s="13" t="n"/>
      <c r="D1206" s="3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24/03/2008</t>
        </is>
      </c>
      <c r="B1207" s="8" t="n">
        <v>86.151593498</v>
      </c>
      <c r="C1207" s="13" t="n"/>
      <c r="D1207" s="3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25/03/2008</t>
        </is>
      </c>
      <c r="B1208" s="8" t="n">
        <v>85.6880806205</v>
      </c>
      <c r="C1208" s="13" t="n"/>
      <c r="D1208" s="3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26/03/2008</t>
        </is>
      </c>
      <c r="B1209" s="8" t="n">
        <v>86.1824943565</v>
      </c>
      <c r="C1209" s="13" t="n"/>
      <c r="D1209" s="3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27/03/2008</t>
        </is>
      </c>
      <c r="B1210" s="8" t="n">
        <v>86.83141238500001</v>
      </c>
      <c r="C1210" s="13" t="n"/>
      <c r="D1210" s="3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28/03/2008</t>
        </is>
      </c>
      <c r="B1211" s="8" t="n">
        <v>86.61510637550001</v>
      </c>
      <c r="C1211" s="13" t="n"/>
      <c r="D1211" s="3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31/03/2008</t>
        </is>
      </c>
      <c r="B1212" s="8" t="n">
        <v>87.41852869649999</v>
      </c>
      <c r="C1212" s="13" t="n"/>
      <c r="D1212" s="3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01/04/2008</t>
        </is>
      </c>
      <c r="B1213" s="8" t="n">
        <v>86.2977593232</v>
      </c>
      <c r="C1213" s="13" t="n"/>
      <c r="D1213" s="3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02/04/2008</t>
        </is>
      </c>
      <c r="B1214" s="8" t="n">
        <v>85.92949007999999</v>
      </c>
      <c r="C1214" s="13" t="n"/>
      <c r="D1214" s="3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03/04/2008</t>
        </is>
      </c>
      <c r="B1215" s="8" t="n">
        <v>86.4205157376</v>
      </c>
      <c r="C1215" s="13" t="n"/>
      <c r="D1215" s="3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04/04/2008</t>
        </is>
      </c>
      <c r="B1216" s="8" t="n">
        <v>86.2670702196</v>
      </c>
      <c r="C1216" s="13" t="n"/>
      <c r="D1216" s="3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07/04/2008</t>
        </is>
      </c>
      <c r="B1217" s="8" t="n">
        <v>87.1263651204</v>
      </c>
      <c r="C1217" s="13" t="n"/>
      <c r="D1217" s="3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08/04/2008</t>
        </is>
      </c>
      <c r="B1218" s="8" t="n">
        <v>86.8194740844</v>
      </c>
      <c r="C1218" s="13" t="n"/>
      <c r="D1218" s="3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09/04/2008</t>
        </is>
      </c>
      <c r="B1219" s="8" t="n">
        <v>86.5125830484</v>
      </c>
      <c r="C1219" s="13" t="n"/>
      <c r="D1219" s="3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10/04/2008</t>
        </is>
      </c>
      <c r="B1220" s="8" t="n">
        <v>86.11362470159999</v>
      </c>
      <c r="C1220" s="13" t="n"/>
      <c r="D1220" s="3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11/04/2008</t>
        </is>
      </c>
      <c r="B1221" s="8" t="n">
        <v>86.5739612556</v>
      </c>
      <c r="C1221" s="13" t="n"/>
      <c r="D1221" s="3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14/04/2008</t>
        </is>
      </c>
      <c r="B1222" s="8" t="n">
        <v>86.7887849808</v>
      </c>
      <c r="C1222" s="13" t="n"/>
      <c r="D1222" s="3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15/04/2008</t>
        </is>
      </c>
      <c r="B1223" s="8" t="n">
        <v>86.88085229159999</v>
      </c>
      <c r="C1223" s="13" t="n"/>
      <c r="D1223" s="3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16/04/2008</t>
        </is>
      </c>
      <c r="B1224" s="8" t="n">
        <v>86.8194740844</v>
      </c>
      <c r="C1224" s="13" t="n"/>
      <c r="D1224" s="3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17/04/2008</t>
        </is>
      </c>
      <c r="B1225" s="8" t="n">
        <v>87.0956760168</v>
      </c>
      <c r="C1225" s="13" t="n"/>
      <c r="D1225" s="3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18/04/2008</t>
        </is>
      </c>
      <c r="B1226" s="8" t="n">
        <v>86.72740677359999</v>
      </c>
      <c r="C1226" s="13" t="n"/>
      <c r="D1226" s="3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22/04/2008</t>
        </is>
      </c>
      <c r="B1227" s="8" t="n">
        <v>86.48189394479999</v>
      </c>
      <c r="C1227" s="13" t="n"/>
      <c r="D1227" s="3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23/04/2008</t>
        </is>
      </c>
      <c r="B1228" s="8" t="n">
        <v>85.8681118728</v>
      </c>
      <c r="C1228" s="13" t="n"/>
      <c r="D1228" s="3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24/04/2008</t>
        </is>
      </c>
      <c r="B1229" s="8" t="n">
        <v>85.5919099404</v>
      </c>
      <c r="C1229" s="13" t="n"/>
      <c r="D1229" s="3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25/04/2008</t>
        </is>
      </c>
      <c r="B1230" s="8" t="n">
        <v>85.83742276919999</v>
      </c>
      <c r="C1230" s="13" t="n"/>
      <c r="D1230" s="3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1">
      <c r="A1231" s="65" t="inlineStr">
        <is>
          <t>28/04/2008</t>
        </is>
      </c>
      <c r="B1231" s="8" t="n">
        <v>85.469153526</v>
      </c>
      <c r="C1231" s="13" t="n"/>
      <c r="D1231" s="3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2">
      <c r="A1232" s="65" t="inlineStr">
        <is>
          <t>29/04/2008</t>
        </is>
      </c>
      <c r="B1232" s="8" t="n">
        <v>85.13157338639999</v>
      </c>
      <c r="C1232" s="13" t="n"/>
      <c r="D1232" s="3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3">
      <c r="A1233" s="65" t="inlineStr">
        <is>
          <t>30/04/2008</t>
        </is>
      </c>
      <c r="B1233" s="8" t="n">
        <v>84.9474387648</v>
      </c>
      <c r="C1233" s="13" t="n"/>
      <c r="D1233" s="3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4">
      <c r="A1234" s="65" t="inlineStr">
        <is>
          <t>02/05/2008</t>
        </is>
      </c>
      <c r="B1234" s="8" t="n">
        <v>83.02760138710001</v>
      </c>
      <c r="C1234" s="13" t="n"/>
      <c r="D1234" s="3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5">
      <c r="A1235" s="65" t="inlineStr">
        <is>
          <t>05/05/2008</t>
        </is>
      </c>
      <c r="B1235" s="8" t="n">
        <v>83.1786155766</v>
      </c>
      <c r="C1235" s="13" t="n"/>
      <c r="D1235" s="3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6">
      <c r="A1236" s="65" t="inlineStr">
        <is>
          <t>06/05/2008</t>
        </is>
      </c>
      <c r="B1236" s="8" t="n">
        <v>82.75577584600001</v>
      </c>
      <c r="C1236" s="13" t="n"/>
      <c r="D1236" s="3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7">
      <c r="A1237" s="65" t="inlineStr">
        <is>
          <t>07/05/2008</t>
        </is>
      </c>
      <c r="B1237" s="8" t="n">
        <v>82.48395030490001</v>
      </c>
      <c r="C1237" s="13" t="n"/>
      <c r="D1237" s="3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8">
      <c r="A1238" s="65" t="inlineStr">
        <is>
          <t>08/05/2008</t>
        </is>
      </c>
      <c r="B1238" s="8" t="n">
        <v>81.91009638480001</v>
      </c>
      <c r="C1238" s="13" t="n"/>
      <c r="D1238" s="3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9">
      <c r="A1239" s="65" t="inlineStr">
        <is>
          <t>09/05/2008</t>
        </is>
      </c>
      <c r="B1239" s="8" t="n">
        <v>81.1852282752</v>
      </c>
      <c r="C1239" s="13" t="n"/>
      <c r="D1239" s="3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0">
      <c r="A1240" s="65" t="inlineStr">
        <is>
          <t>12/05/2008</t>
        </is>
      </c>
      <c r="B1240" s="8" t="n">
        <v>80.79259138250001</v>
      </c>
      <c r="C1240" s="13" t="n"/>
      <c r="D1240" s="3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1">
      <c r="A1241" s="65" t="inlineStr">
        <is>
          <t>13/05/2008</t>
        </is>
      </c>
      <c r="B1241" s="8" t="n">
        <v>80.79259138250001</v>
      </c>
      <c r="C1241" s="13" t="n"/>
      <c r="D1241" s="3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2">
      <c r="A1242" s="65" t="inlineStr">
        <is>
          <t>14/05/2008</t>
        </is>
      </c>
      <c r="B1242" s="8" t="n">
        <v>80.73218570670001</v>
      </c>
      <c r="C1242" s="13" t="n"/>
      <c r="D1242" s="3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3">
      <c r="A1243" s="65" t="inlineStr">
        <is>
          <t>15/05/2008</t>
        </is>
      </c>
      <c r="B1243" s="8" t="n">
        <v>80.06772327290001</v>
      </c>
      <c r="C1243" s="13" t="n"/>
      <c r="D1243" s="3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4">
      <c r="A1244" s="65" t="inlineStr">
        <is>
          <t>16/05/2008</t>
        </is>
      </c>
      <c r="B1244" s="8" t="n">
        <v>80.037520435</v>
      </c>
      <c r="C1244" s="13" t="n"/>
      <c r="D1244" s="3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5">
      <c r="A1245" s="65" t="inlineStr">
        <is>
          <t>19/05/2008</t>
        </is>
      </c>
      <c r="B1245" s="8" t="n">
        <v>80.2791431382</v>
      </c>
      <c r="C1245" s="13" t="n"/>
      <c r="D1245" s="3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6">
      <c r="A1246" s="65" t="inlineStr">
        <is>
          <t>20/05/2008</t>
        </is>
      </c>
      <c r="B1246" s="8" t="n">
        <v>80.24894030030001</v>
      </c>
      <c r="C1246" s="13" t="n"/>
      <c r="D1246" s="3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7">
      <c r="A1247" s="65" t="inlineStr">
        <is>
          <t>21/05/2008</t>
        </is>
      </c>
      <c r="B1247" s="8" t="n">
        <v>80.037520435</v>
      </c>
      <c r="C1247" s="13" t="n"/>
      <c r="D1247" s="3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8">
      <c r="A1248" s="65" t="inlineStr">
        <is>
          <t>23/05/2008</t>
        </is>
      </c>
      <c r="B1248" s="8" t="n">
        <v>79.85630340760001</v>
      </c>
      <c r="C1248" s="13" t="n"/>
      <c r="D1248" s="3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9">
      <c r="A1249" s="65" t="inlineStr">
        <is>
          <t>26/05/2008</t>
        </is>
      </c>
      <c r="B1249" s="8" t="n">
        <v>79.91670908340001</v>
      </c>
      <c r="C1249" s="13" t="n"/>
      <c r="D1249" s="3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0">
      <c r="A1250" s="65" t="inlineStr">
        <is>
          <t>27/05/2008</t>
        </is>
      </c>
      <c r="B1250" s="8" t="n">
        <v>78.9804211085</v>
      </c>
      <c r="C1250" s="13" t="n"/>
      <c r="D1250" s="3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1">
      <c r="A1251" s="65" t="inlineStr">
        <is>
          <t>28/05/2008</t>
        </is>
      </c>
      <c r="B1251" s="8" t="n">
        <v>78.9502182706</v>
      </c>
      <c r="C1251" s="13" t="n"/>
      <c r="D1251" s="3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2">
      <c r="A1252" s="65" t="inlineStr">
        <is>
          <t>29/05/2008</t>
        </is>
      </c>
      <c r="B1252" s="8" t="n">
        <v>79.31265232540001</v>
      </c>
      <c r="C1252" s="13" t="n"/>
      <c r="D1252" s="3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3">
      <c r="A1253" s="65" t="inlineStr">
        <is>
          <t>30/05/2008</t>
        </is>
      </c>
      <c r="B1253" s="8" t="n">
        <v>78.9502182706</v>
      </c>
      <c r="C1253" s="13" t="n"/>
      <c r="D1253" s="3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4">
      <c r="A1254" s="65" t="inlineStr">
        <is>
          <t>02/06/2008</t>
        </is>
      </c>
      <c r="B1254" s="8" t="n">
        <v>77.53582054680001</v>
      </c>
      <c r="C1254" s="13" t="n"/>
      <c r="D1254" s="3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5">
      <c r="A1255" s="65" t="inlineStr">
        <is>
          <t>03/06/2008</t>
        </is>
      </c>
      <c r="B1255" s="8" t="n">
        <v>77.74313557500001</v>
      </c>
      <c r="C1255" s="13" t="n"/>
      <c r="D1255" s="3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6">
      <c r="A1256" s="65" t="inlineStr">
        <is>
          <t>04/06/2008</t>
        </is>
      </c>
      <c r="B1256" s="8" t="n">
        <v>77.446971249</v>
      </c>
      <c r="C1256" s="13" t="n"/>
      <c r="D1256" s="3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7">
      <c r="A1257" s="65" t="inlineStr">
        <is>
          <t>05/06/2008</t>
        </is>
      </c>
      <c r="B1257" s="8" t="n">
        <v>77.68390270980001</v>
      </c>
      <c r="C1257" s="13" t="n"/>
      <c r="D1257" s="3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8">
      <c r="A1258" s="65" t="inlineStr">
        <is>
          <t>06/06/2008</t>
        </is>
      </c>
      <c r="B1258" s="8" t="n">
        <v>77.21003978820001</v>
      </c>
      <c r="C1258" s="13" t="n"/>
      <c r="D1258" s="3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9">
      <c r="A1259" s="65" t="inlineStr">
        <is>
          <t>09/06/2008</t>
        </is>
      </c>
      <c r="B1259" s="8" t="n">
        <v>77.446971249</v>
      </c>
      <c r="C1259" s="13" t="n"/>
      <c r="D1259" s="3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0">
      <c r="A1260" s="65" t="inlineStr">
        <is>
          <t>10/06/2008</t>
        </is>
      </c>
      <c r="B1260" s="8" t="n">
        <v>77.3877383838</v>
      </c>
      <c r="C1260" s="13" t="n"/>
      <c r="D1260" s="3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1">
      <c r="A1261" s="65" t="inlineStr">
        <is>
          <t>11/06/2008</t>
        </is>
      </c>
      <c r="B1261" s="8" t="n">
        <v>77.41735481640001</v>
      </c>
      <c r="C1261" s="13" t="n"/>
      <c r="D1261" s="3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2">
      <c r="A1262" s="65" t="inlineStr">
        <is>
          <t>12/06/2008</t>
        </is>
      </c>
      <c r="B1262" s="8" t="n">
        <v>77.150806923</v>
      </c>
      <c r="C1262" s="13" t="n"/>
      <c r="D1262" s="3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3">
      <c r="A1263" s="65" t="inlineStr">
        <is>
          <t>13/06/2008</t>
        </is>
      </c>
      <c r="B1263" s="8" t="n">
        <v>77.26927265340001</v>
      </c>
      <c r="C1263" s="13" t="n"/>
      <c r="D1263" s="3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4">
      <c r="A1264" s="65" t="inlineStr">
        <is>
          <t>16/06/2008</t>
        </is>
      </c>
      <c r="B1264" s="8" t="n">
        <v>77.446971249</v>
      </c>
      <c r="C1264" s="13" t="n"/>
      <c r="D1264" s="3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5">
      <c r="A1265" s="65" t="inlineStr">
        <is>
          <t>17/06/2008</t>
        </is>
      </c>
      <c r="B1265" s="8" t="n">
        <v>77.8023684402</v>
      </c>
      <c r="C1265" s="13" t="n"/>
      <c r="D1265" s="3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6">
      <c r="A1266" s="65" t="inlineStr">
        <is>
          <t>18/06/2008</t>
        </is>
      </c>
      <c r="B1266" s="8" t="n">
        <v>77.41735481640001</v>
      </c>
      <c r="C1266" s="13" t="n"/>
      <c r="D1266" s="3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7">
      <c r="A1267" s="65" t="inlineStr">
        <is>
          <t>19/06/2008</t>
        </is>
      </c>
      <c r="B1267" s="8" t="n">
        <v>77.1804233556</v>
      </c>
      <c r="C1267" s="13" t="n"/>
      <c r="D1267" s="3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8">
      <c r="A1268" s="65" t="inlineStr">
        <is>
          <t>20/06/2008</t>
        </is>
      </c>
      <c r="B1268" s="8" t="n">
        <v>77.0915740578</v>
      </c>
      <c r="C1268" s="13" t="n"/>
      <c r="D1268" s="3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9">
      <c r="A1269" s="65" t="inlineStr">
        <is>
          <t>23/06/2008</t>
        </is>
      </c>
      <c r="B1269" s="8" t="n">
        <v>77.1804233556</v>
      </c>
      <c r="C1269" s="13" t="n"/>
      <c r="D1269" s="3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0">
      <c r="A1270" s="65" t="inlineStr">
        <is>
          <t>24/06/2008</t>
        </is>
      </c>
      <c r="B1270" s="8" t="n">
        <v>77.47658768160001</v>
      </c>
      <c r="C1270" s="13" t="n"/>
      <c r="D1270" s="3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1">
      <c r="A1271" s="65" t="inlineStr">
        <is>
          <t>25/06/2008</t>
        </is>
      </c>
      <c r="B1271" s="8" t="n">
        <v>77.62466984460001</v>
      </c>
      <c r="C1271" s="13" t="n"/>
      <c r="D1271" s="3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2">
      <c r="A1272" s="65" t="inlineStr">
        <is>
          <t>26/06/2008</t>
        </is>
      </c>
      <c r="B1272" s="8" t="n">
        <v>77.8616013054</v>
      </c>
      <c r="C1272" s="13" t="n"/>
      <c r="D1272" s="3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3">
      <c r="A1273" s="65" t="inlineStr">
        <is>
          <t>27/06/2008</t>
        </is>
      </c>
      <c r="B1273" s="8" t="n">
        <v>77.6542862772</v>
      </c>
      <c r="C1273" s="13" t="n"/>
      <c r="D1273" s="3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4">
      <c r="A1274" s="65" t="inlineStr">
        <is>
          <t>30/06/2008</t>
        </is>
      </c>
      <c r="B1274" s="8" t="n">
        <v>77.74313557500001</v>
      </c>
      <c r="C1274" s="13" t="n"/>
      <c r="D1274" s="3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5">
      <c r="A1275" s="65" t="inlineStr">
        <is>
          <t>01/07/2008</t>
        </is>
      </c>
      <c r="B1275" s="8" t="n">
        <v>76.1074796005</v>
      </c>
      <c r="C1275" s="13" t="n"/>
      <c r="D1275" s="3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6">
      <c r="A1276" s="65" t="inlineStr">
        <is>
          <t>02/07/2008</t>
        </is>
      </c>
      <c r="B1276" s="8" t="n">
        <v>76.48583418360001</v>
      </c>
      <c r="C1276" s="13" t="n"/>
      <c r="D1276" s="3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7">
      <c r="A1277" s="65" t="inlineStr">
        <is>
          <t>03/07/2008</t>
        </is>
      </c>
      <c r="B1277" s="8" t="n">
        <v>76.6604593758</v>
      </c>
      <c r="C1277" s="13" t="n"/>
      <c r="D1277" s="3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8">
      <c r="A1278" s="65" t="inlineStr">
        <is>
          <t>04/07/2008</t>
        </is>
      </c>
      <c r="B1278" s="8" t="n">
        <v>76.89329296540001</v>
      </c>
      <c r="C1278" s="13" t="n"/>
      <c r="D1278" s="3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9">
      <c r="A1279" s="65" t="inlineStr">
        <is>
          <t>07/07/2008</t>
        </is>
      </c>
      <c r="B1279" s="8" t="n">
        <v>77.6791063303</v>
      </c>
      <c r="C1279" s="13" t="n"/>
      <c r="D1279" s="3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0">
      <c r="A1280" s="65" t="inlineStr">
        <is>
          <t>08/07/2008</t>
        </is>
      </c>
      <c r="B1280" s="8" t="n">
        <v>77.6500021316</v>
      </c>
      <c r="C1280" s="13" t="n"/>
      <c r="D1280" s="3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1">
      <c r="A1281" s="65" t="inlineStr">
        <is>
          <t>10/07/2008</t>
        </is>
      </c>
      <c r="B1281" s="8" t="n">
        <v>78.14477350950001</v>
      </c>
      <c r="C1281" s="13" t="n"/>
      <c r="D1281" s="3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2">
      <c r="A1282" s="65" t="inlineStr">
        <is>
          <t>11/07/2008</t>
        </is>
      </c>
      <c r="B1282" s="8" t="n">
        <v>78.8141700796</v>
      </c>
      <c r="C1282" s="13" t="n"/>
      <c r="D1282" s="3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3">
      <c r="A1283" s="65" t="inlineStr">
        <is>
          <t>14/07/2008</t>
        </is>
      </c>
      <c r="B1283" s="8" t="n">
        <v>78.8432742783</v>
      </c>
      <c r="C1283" s="13" t="n"/>
      <c r="D1283" s="3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4">
      <c r="A1284" s="65" t="inlineStr">
        <is>
          <t>15/07/2008</t>
        </is>
      </c>
      <c r="B1284" s="8" t="n">
        <v>79.5417750471</v>
      </c>
      <c r="C1284" s="13" t="n"/>
      <c r="D1284" s="3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5">
      <c r="A1285" s="65" t="inlineStr">
        <is>
          <t>16/07/2008</t>
        </is>
      </c>
      <c r="B1285" s="8" t="n">
        <v>79.8910254315</v>
      </c>
      <c r="C1285" s="13" t="n"/>
      <c r="D1285" s="3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6">
      <c r="A1286" s="65" t="inlineStr">
        <is>
          <t>17/07/2008</t>
        </is>
      </c>
      <c r="B1286" s="8" t="n">
        <v>79.8328170341</v>
      </c>
      <c r="C1286" s="13" t="n"/>
      <c r="D1286" s="3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7">
      <c r="A1287" s="65" t="inlineStr">
        <is>
          <t>18/07/2008</t>
        </is>
      </c>
      <c r="B1287" s="8" t="n">
        <v>79.8619212328</v>
      </c>
      <c r="C1287" s="13" t="n"/>
      <c r="D1287" s="3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8">
      <c r="A1288" s="65" t="inlineStr">
        <is>
          <t>21/07/2008</t>
        </is>
      </c>
      <c r="B1288" s="8" t="n">
        <v>80.4149010081</v>
      </c>
      <c r="C1288" s="13" t="n"/>
      <c r="D1288" s="3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9">
      <c r="A1289" s="65" t="inlineStr">
        <is>
          <t>22/07/2008</t>
        </is>
      </c>
      <c r="B1289" s="8" t="n">
        <v>80.8514639886</v>
      </c>
      <c r="C1289" s="13" t="n"/>
      <c r="D1289" s="3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0">
      <c r="A1290" s="65" t="inlineStr">
        <is>
          <t>23/07/2008</t>
        </is>
      </c>
      <c r="B1290" s="8" t="n">
        <v>81.05519337950001</v>
      </c>
      <c r="C1290" s="13" t="n"/>
      <c r="D1290" s="3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1">
      <c r="A1291" s="65" t="inlineStr">
        <is>
          <t>24/07/2008</t>
        </is>
      </c>
      <c r="B1291" s="8" t="n">
        <v>80.7641513925</v>
      </c>
      <c r="C1291" s="13" t="n"/>
      <c r="D1291" s="3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2">
      <c r="A1292" s="65" t="inlineStr">
        <is>
          <t>25/07/2008</t>
        </is>
      </c>
      <c r="B1292" s="8" t="n">
        <v>81.3462353665</v>
      </c>
      <c r="C1292" s="13" t="n"/>
      <c r="D1292" s="3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3">
      <c r="A1293" s="65" t="inlineStr">
        <is>
          <t>28/07/2008</t>
        </is>
      </c>
      <c r="B1293" s="8" t="n">
        <v>81.1716101743</v>
      </c>
      <c r="C1293" s="13" t="n"/>
      <c r="D1293" s="3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4">
      <c r="A1294" s="65" t="inlineStr">
        <is>
          <t>29/07/2008</t>
        </is>
      </c>
      <c r="B1294" s="8" t="n">
        <v>81.6954857509</v>
      </c>
      <c r="C1294" s="13" t="n"/>
      <c r="D1294" s="3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5">
      <c r="A1295" s="65" t="inlineStr">
        <is>
          <t>30/07/2008</t>
        </is>
      </c>
      <c r="B1295" s="8" t="n">
        <v>81.95742353920001</v>
      </c>
      <c r="C1295" s="13" t="n"/>
      <c r="D1295" s="3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6">
      <c r="A1296" s="65" t="inlineStr">
        <is>
          <t>31/07/2008</t>
        </is>
      </c>
      <c r="B1296" s="8" t="n">
        <v>82.2775697249</v>
      </c>
      <c r="C1296" s="13" t="n"/>
      <c r="D1296" s="3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7">
      <c r="A1297" s="65" t="inlineStr">
        <is>
          <t>01/08/2008</t>
        </is>
      </c>
      <c r="B1297" s="8" t="n">
        <v>82.5125054886</v>
      </c>
      <c r="C1297" s="13" t="n"/>
      <c r="D1297" s="3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8">
      <c r="A1298" s="65" t="inlineStr">
        <is>
          <t>04/08/2008</t>
        </is>
      </c>
      <c r="B1298" s="8" t="n">
        <v>82.6876912752</v>
      </c>
      <c r="C1298" s="13" t="n"/>
      <c r="D1298" s="3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9">
      <c r="A1299" s="65" t="inlineStr">
        <is>
          <t>05/08/2008</t>
        </is>
      </c>
      <c r="B1299" s="8" t="n">
        <v>82.6876912752</v>
      </c>
      <c r="C1299" s="13" t="n"/>
      <c r="D1299" s="3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0">
      <c r="A1300" s="65" t="inlineStr">
        <is>
          <t>06/08/2008</t>
        </is>
      </c>
      <c r="B1300" s="8" t="n">
        <v>83.3008415283</v>
      </c>
      <c r="C1300" s="13" t="n"/>
      <c r="D1300" s="3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1">
      <c r="A1301" s="65" t="inlineStr">
        <is>
          <t>07/08/2008</t>
        </is>
      </c>
      <c r="B1301" s="8" t="n">
        <v>83.35923679049999</v>
      </c>
      <c r="C1301" s="13" t="n"/>
      <c r="D1301" s="3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2">
      <c r="A1302" s="65" t="inlineStr">
        <is>
          <t>08/08/2008</t>
        </is>
      </c>
      <c r="B1302" s="8" t="n">
        <v>83.56362020819999</v>
      </c>
      <c r="C1302" s="13" t="n"/>
      <c r="D1302" s="3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3">
      <c r="A1303" s="65" t="inlineStr">
        <is>
          <t>11/08/2008</t>
        </is>
      </c>
      <c r="B1303" s="8" t="n">
        <v>84.089177568</v>
      </c>
      <c r="C1303" s="13" t="n"/>
      <c r="D1303" s="3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4">
      <c r="A1304" s="65" t="inlineStr">
        <is>
          <t>12/08/2008</t>
        </is>
      </c>
      <c r="B1304" s="8" t="n">
        <v>84.05997993689999</v>
      </c>
      <c r="C1304" s="13" t="n"/>
      <c r="D1304" s="3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5">
      <c r="A1305" s="65" t="inlineStr">
        <is>
          <t>13/08/2008</t>
        </is>
      </c>
      <c r="B1305" s="8" t="n">
        <v>84.05997993689999</v>
      </c>
      <c r="C1305" s="13" t="n"/>
      <c r="D1305" s="3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6">
      <c r="A1306" s="65" t="inlineStr">
        <is>
          <t>14/08/2008</t>
        </is>
      </c>
      <c r="B1306" s="8" t="n">
        <v>84.2059680924</v>
      </c>
      <c r="C1306" s="13" t="n"/>
      <c r="D1306" s="3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7">
      <c r="A1307" s="65" t="inlineStr">
        <is>
          <t>15/08/2008</t>
        </is>
      </c>
      <c r="B1307" s="8" t="n">
        <v>83.94318941249999</v>
      </c>
      <c r="C1307" s="13" t="n"/>
      <c r="D1307" s="3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8">
      <c r="A1308" s="65" t="inlineStr">
        <is>
          <t>18/08/2008</t>
        </is>
      </c>
      <c r="B1308" s="8" t="n">
        <v>84.4103515101</v>
      </c>
      <c r="C1308" s="13" t="n"/>
      <c r="D1308" s="3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9">
      <c r="A1309" s="65" t="inlineStr">
        <is>
          <t>19/08/2008</t>
        </is>
      </c>
      <c r="B1309" s="8" t="n">
        <v>84.8775136077</v>
      </c>
      <c r="C1309" s="13" t="n"/>
      <c r="D1309" s="3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0">
      <c r="A1310" s="65" t="inlineStr">
        <is>
          <t>20/08/2008</t>
        </is>
      </c>
      <c r="B1310" s="8" t="n">
        <v>85.0818970254</v>
      </c>
      <c r="C1310" s="13" t="n"/>
      <c r="D1310" s="3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1">
      <c r="A1311" s="65" t="inlineStr">
        <is>
          <t>21/08/2008</t>
        </is>
      </c>
      <c r="B1311" s="8" t="n">
        <v>85.8118378029</v>
      </c>
      <c r="C1311" s="13" t="n"/>
      <c r="D1311" s="3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2">
      <c r="A1312" s="65" t="inlineStr">
        <is>
          <t>22/08/2008</t>
        </is>
      </c>
      <c r="B1312" s="8" t="n">
        <v>86.0746164828</v>
      </c>
      <c r="C1312" s="13" t="n"/>
      <c r="D1312" s="3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3">
      <c r="A1313" s="65" t="inlineStr">
        <is>
          <t>25/08/2008</t>
        </is>
      </c>
      <c r="B1313" s="8" t="n">
        <v>85.75344254069999</v>
      </c>
      <c r="C1313" s="13" t="n"/>
      <c r="D1313" s="3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4">
      <c r="A1314" s="65" t="inlineStr">
        <is>
          <t>26/08/2008</t>
        </is>
      </c>
      <c r="B1314" s="8" t="n">
        <v>86.3665927938</v>
      </c>
      <c r="C1314" s="13" t="n"/>
      <c r="D1314" s="3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5">
      <c r="A1315" s="65" t="inlineStr">
        <is>
          <t>27/08/2008</t>
        </is>
      </c>
      <c r="B1315" s="8" t="n">
        <v>87.1841264646</v>
      </c>
      <c r="C1315" s="13" t="n"/>
      <c r="D1315" s="3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6">
      <c r="A1316" s="65" t="inlineStr">
        <is>
          <t>28/08/2008</t>
        </is>
      </c>
      <c r="B1316" s="8" t="n">
        <v>87.33011462009999</v>
      </c>
      <c r="C1316" s="13" t="n"/>
      <c r="D1316" s="3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7">
      <c r="A1317" s="65" t="inlineStr">
        <is>
          <t>29/08/2008</t>
        </is>
      </c>
      <c r="B1317" s="8" t="n">
        <v>87.4177075134</v>
      </c>
      <c r="C1317" s="13" t="n"/>
      <c r="D1317" s="3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8">
      <c r="A1318" s="65" t="inlineStr">
        <is>
          <t>01/09/2008</t>
        </is>
      </c>
      <c r="B1318" s="8" t="n">
        <v>88.167454627</v>
      </c>
      <c r="C1318" s="13" t="n"/>
      <c r="D1318" s="3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9">
      <c r="A1319" s="65" t="inlineStr">
        <is>
          <t>02/09/2008</t>
        </is>
      </c>
      <c r="B1319" s="8" t="n">
        <v>88.37161347</v>
      </c>
      <c r="C1319" s="13" t="n"/>
      <c r="D1319" s="3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0">
      <c r="A1320" s="65" t="inlineStr">
        <is>
          <t>03/09/2008</t>
        </is>
      </c>
      <c r="B1320" s="8" t="n">
        <v>88.838262254</v>
      </c>
      <c r="C1320" s="13" t="n"/>
      <c r="D1320" s="3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1">
      <c r="A1321" s="65" t="inlineStr">
        <is>
          <t>04/09/2008</t>
        </is>
      </c>
      <c r="B1321" s="8" t="n">
        <v>89.275745489</v>
      </c>
      <c r="C1321" s="13" t="n"/>
      <c r="D1321" s="3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2">
      <c r="A1322" s="65" t="inlineStr">
        <is>
          <t>05/09/2008</t>
        </is>
      </c>
      <c r="B1322" s="8" t="n">
        <v>89.24657994</v>
      </c>
      <c r="C1322" s="13" t="n"/>
      <c r="D1322" s="3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3">
      <c r="A1323" s="65" t="inlineStr">
        <is>
          <t>08/09/2008</t>
        </is>
      </c>
      <c r="B1323" s="8" t="n">
        <v>89.53823543</v>
      </c>
      <c r="C1323" s="13" t="n"/>
      <c r="D1323" s="3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4">
      <c r="A1324" s="65" t="inlineStr">
        <is>
          <t>09/09/2008</t>
        </is>
      </c>
      <c r="B1324" s="8" t="n">
        <v>89.771559822</v>
      </c>
      <c r="C1324" s="13" t="n"/>
      <c r="D1324" s="3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5">
      <c r="A1325" s="65" t="inlineStr">
        <is>
          <t>10/09/2008</t>
        </is>
      </c>
      <c r="B1325" s="8" t="n">
        <v>90.092380861</v>
      </c>
      <c r="C1325" s="13" t="n"/>
      <c r="D1325" s="3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6">
      <c r="A1326" s="65" t="inlineStr">
        <is>
          <t>11/09/2008</t>
        </is>
      </c>
      <c r="B1326" s="8" t="n">
        <v>90.12154640999999</v>
      </c>
      <c r="C1326" s="13" t="n"/>
      <c r="D1326" s="3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7">
      <c r="A1327" s="65" t="inlineStr">
        <is>
          <t>12/09/2008</t>
        </is>
      </c>
      <c r="B1327" s="8" t="n">
        <v>90.209043057</v>
      </c>
      <c r="C1327" s="13" t="n"/>
      <c r="D1327" s="3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8">
      <c r="A1328" s="65" t="inlineStr">
        <is>
          <t>15/09/2008</t>
        </is>
      </c>
      <c r="B1328" s="8" t="n">
        <v>90.179877508</v>
      </c>
      <c r="C1328" s="13" t="n"/>
      <c r="D1328" s="3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9">
      <c r="A1329" s="65" t="inlineStr">
        <is>
          <t>16/09/2008</t>
        </is>
      </c>
      <c r="B1329" s="8" t="n">
        <v>90.179877508</v>
      </c>
      <c r="C1329" s="13" t="n"/>
      <c r="D1329" s="3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0">
      <c r="A1330" s="65" t="inlineStr">
        <is>
          <t>17/09/2008</t>
        </is>
      </c>
      <c r="B1330" s="8" t="n">
        <v>89.975718665</v>
      </c>
      <c r="C1330" s="13" t="n"/>
      <c r="D1330" s="3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1">
      <c r="A1331" s="65" t="inlineStr">
        <is>
          <t>18/09/2008</t>
        </is>
      </c>
      <c r="B1331" s="8" t="n">
        <v>90.325705253</v>
      </c>
      <c r="C1331" s="13" t="n"/>
      <c r="D1331" s="3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2">
      <c r="A1332" s="65" t="inlineStr">
        <is>
          <t>19/09/2008</t>
        </is>
      </c>
      <c r="B1332" s="8" t="n">
        <v>90.12154640999999</v>
      </c>
      <c r="C1332" s="13" t="n"/>
      <c r="D1332" s="3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3">
      <c r="A1333" s="65" t="inlineStr">
        <is>
          <t>22/09/2008</t>
        </is>
      </c>
      <c r="B1333" s="8" t="n">
        <v>90.238208606</v>
      </c>
      <c r="C1333" s="13" t="n"/>
      <c r="D1333" s="3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4">
      <c r="A1334" s="65" t="inlineStr">
        <is>
          <t>23/09/2008</t>
        </is>
      </c>
      <c r="B1334" s="8" t="n">
        <v>90.12154640999999</v>
      </c>
      <c r="C1334" s="13" t="n"/>
      <c r="D1334" s="3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5">
      <c r="A1335" s="65" t="inlineStr">
        <is>
          <t>24/09/2008</t>
        </is>
      </c>
      <c r="B1335" s="8" t="n">
        <v>90.267374155</v>
      </c>
      <c r="C1335" s="13" t="n"/>
      <c r="D1335" s="3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6">
      <c r="A1336" s="65" t="inlineStr">
        <is>
          <t>25/09/2008</t>
        </is>
      </c>
      <c r="B1336" s="8" t="n">
        <v>90.325705253</v>
      </c>
      <c r="C1336" s="13" t="n"/>
      <c r="D1336" s="3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7">
      <c r="A1337" s="65" t="inlineStr">
        <is>
          <t>26/09/2008</t>
        </is>
      </c>
      <c r="B1337" s="8" t="n">
        <v>90.61736074300001</v>
      </c>
      <c r="C1337" s="13" t="n"/>
      <c r="D1337" s="3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8">
      <c r="A1338" s="65" t="inlineStr">
        <is>
          <t>29/09/2008</t>
        </is>
      </c>
      <c r="B1338" s="8" t="n">
        <v>90.471532998</v>
      </c>
      <c r="C1338" s="13" t="n"/>
      <c r="D1338" s="3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9">
      <c r="A1339" s="65" t="inlineStr">
        <is>
          <t>30/09/2008</t>
        </is>
      </c>
      <c r="B1339" s="8" t="n">
        <v>90.70485739</v>
      </c>
      <c r="C1339" s="13" t="n"/>
      <c r="D1339" s="3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0">
      <c r="A1340" s="65" t="inlineStr">
        <is>
          <t>01/10/2008</t>
        </is>
      </c>
      <c r="B1340" s="8" t="n">
        <v>89.70904655299999</v>
      </c>
      <c r="C1340" s="13" t="n"/>
      <c r="D1340" s="3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1">
      <c r="A1341" s="65" t="inlineStr">
        <is>
          <t>02/10/2008</t>
        </is>
      </c>
      <c r="B1341" s="8" t="n">
        <v>89.76681155399999</v>
      </c>
      <c r="C1341" s="13" t="n"/>
      <c r="D1341" s="3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2">
      <c r="A1342" s="65" t="inlineStr">
        <is>
          <t>03/10/2008</t>
        </is>
      </c>
      <c r="B1342" s="8" t="n">
        <v>90.0267540585</v>
      </c>
      <c r="C1342" s="13" t="n"/>
      <c r="D1342" s="3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3">
      <c r="A1343" s="65" t="inlineStr">
        <is>
          <t>06/10/2008</t>
        </is>
      </c>
      <c r="B1343" s="8" t="n">
        <v>89.91122405649999</v>
      </c>
      <c r="C1343" s="13" t="n"/>
      <c r="D1343" s="3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4">
      <c r="A1344" s="65" t="inlineStr">
        <is>
          <t>07/10/2008</t>
        </is>
      </c>
      <c r="B1344" s="8" t="n">
        <v>90.22893156199999</v>
      </c>
      <c r="C1344" s="13" t="n"/>
      <c r="D1344" s="3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5">
      <c r="A1345" s="65" t="inlineStr">
        <is>
          <t>08/10/2008</t>
        </is>
      </c>
      <c r="B1345" s="8" t="n">
        <v>90.3155790635</v>
      </c>
      <c r="C1345" s="13" t="n"/>
      <c r="D1345" s="3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6">
      <c r="A1346" s="65" t="inlineStr">
        <is>
          <t>09/10/2008</t>
        </is>
      </c>
      <c r="B1346" s="8" t="n">
        <v>90.3155790635</v>
      </c>
      <c r="C1346" s="13" t="n"/>
      <c r="D1346" s="3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7">
      <c r="A1347" s="65" t="inlineStr">
        <is>
          <t>10/10/2008</t>
        </is>
      </c>
      <c r="B1347" s="8" t="n">
        <v>90.0267540585</v>
      </c>
      <c r="C1347" s="13" t="n"/>
      <c r="D1347" s="3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8">
      <c r="A1348" s="65" t="inlineStr">
        <is>
          <t>13/10/2008</t>
        </is>
      </c>
      <c r="B1348" s="8" t="n">
        <v>90.11340156</v>
      </c>
      <c r="C1348" s="13" t="n"/>
      <c r="D1348" s="3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9">
      <c r="A1349" s="65" t="inlineStr">
        <is>
          <t>14/10/2008</t>
        </is>
      </c>
      <c r="B1349" s="8" t="n">
        <v>89.9689890575</v>
      </c>
      <c r="C1349" s="13" t="n"/>
      <c r="D1349" s="3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0">
      <c r="A1350" s="65" t="inlineStr">
        <is>
          <t>15/10/2008</t>
        </is>
      </c>
      <c r="B1350" s="8" t="n">
        <v>90.17116656099999</v>
      </c>
      <c r="C1350" s="13" t="n"/>
      <c r="D1350" s="3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1">
      <c r="A1351" s="65" t="inlineStr">
        <is>
          <t>16/10/2008</t>
        </is>
      </c>
      <c r="B1351" s="8" t="n">
        <v>90.2000490615</v>
      </c>
      <c r="C1351" s="13" t="n"/>
      <c r="D1351" s="3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2">
      <c r="A1352" s="65" t="inlineStr">
        <is>
          <t>17/10/2008</t>
        </is>
      </c>
      <c r="B1352" s="8" t="n">
        <v>90.05563655899999</v>
      </c>
      <c r="C1352" s="13" t="n"/>
      <c r="D1352" s="3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3">
      <c r="A1353" s="65" t="inlineStr">
        <is>
          <t>20/10/2008</t>
        </is>
      </c>
      <c r="B1353" s="8" t="n">
        <v>90.3155790635</v>
      </c>
      <c r="C1353" s="13" t="n"/>
      <c r="D1353" s="3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4">
      <c r="A1354" s="65" t="inlineStr">
        <is>
          <t>21/10/2008</t>
        </is>
      </c>
      <c r="B1354" s="8" t="n">
        <v>90.28669656300001</v>
      </c>
      <c r="C1354" s="13" t="n"/>
      <c r="D1354" s="3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5">
      <c r="A1355" s="65" t="inlineStr">
        <is>
          <t>22/10/2008</t>
        </is>
      </c>
      <c r="B1355" s="8" t="n">
        <v>90.11340156</v>
      </c>
      <c r="C1355" s="13" t="n"/>
      <c r="D1355" s="3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6">
      <c r="A1356" s="65" t="inlineStr">
        <is>
          <t>23/10/2008</t>
        </is>
      </c>
      <c r="B1356" s="8" t="n">
        <v>89.2758090455</v>
      </c>
      <c r="C1356" s="13" t="n"/>
      <c r="D1356" s="3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7">
      <c r="A1357" s="65" t="inlineStr">
        <is>
          <t>24/10/2008</t>
        </is>
      </c>
      <c r="B1357" s="8" t="n">
        <v>89.304691546</v>
      </c>
      <c r="C1357" s="13" t="n"/>
      <c r="D1357" s="3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8">
      <c r="A1358" s="65" t="inlineStr">
        <is>
          <t>27/10/2008</t>
        </is>
      </c>
      <c r="B1358" s="8" t="n">
        <v>89.6223990515</v>
      </c>
      <c r="C1358" s="13" t="n"/>
      <c r="D1358" s="3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9">
      <c r="A1359" s="65" t="inlineStr">
        <is>
          <t>28/10/2008</t>
        </is>
      </c>
      <c r="B1359" s="8" t="n">
        <v>89.70904655299999</v>
      </c>
      <c r="C1359" s="13" t="n"/>
      <c r="D1359" s="3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0">
      <c r="A1360" s="65" t="inlineStr">
        <is>
          <t>29/10/2008</t>
        </is>
      </c>
      <c r="B1360" s="8" t="n">
        <v>89.53575155</v>
      </c>
      <c r="C1360" s="13" t="n"/>
      <c r="D1360" s="3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1">
      <c r="A1361" s="65" t="inlineStr">
        <is>
          <t>30/10/2008</t>
        </is>
      </c>
      <c r="B1361" s="8" t="n">
        <v>89.36245654699999</v>
      </c>
      <c r="C1361" s="13" t="n"/>
      <c r="D1361" s="3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2">
      <c r="A1362" s="65" t="inlineStr">
        <is>
          <t>31/10/2008</t>
        </is>
      </c>
      <c r="B1362" s="8" t="n">
        <v>89.304691546</v>
      </c>
      <c r="C1362" s="13" t="n"/>
      <c r="D1362" s="3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3">
      <c r="A1363" s="65" t="inlineStr">
        <is>
          <t>03/11/2008</t>
        </is>
      </c>
      <c r="B1363" s="8" t="n">
        <v>88.8227526375</v>
      </c>
      <c r="C1363" s="13" t="n"/>
      <c r="D1363" s="3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4">
      <c r="A1364" s="65" t="inlineStr">
        <is>
          <t>04/11/2008</t>
        </is>
      </c>
      <c r="B1364" s="8" t="n">
        <v>88.3623820375</v>
      </c>
      <c r="C1364" s="13" t="n"/>
      <c r="D1364" s="3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5">
      <c r="A1365" s="65" t="inlineStr">
        <is>
          <t>05/11/2008</t>
        </is>
      </c>
      <c r="B1365" s="8" t="n">
        <v>88.1321967375</v>
      </c>
      <c r="C1365" s="13" t="n"/>
      <c r="D1365" s="3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6">
      <c r="A1366" s="65" t="inlineStr">
        <is>
          <t>06/11/2008</t>
        </is>
      </c>
      <c r="B1366" s="8" t="n">
        <v>88.21851622499999</v>
      </c>
      <c r="C1366" s="13" t="n"/>
      <c r="D1366" s="3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7">
      <c r="A1367" s="65" t="inlineStr">
        <is>
          <t>07/11/2008</t>
        </is>
      </c>
      <c r="B1367" s="8" t="n">
        <v>88.333608875</v>
      </c>
      <c r="C1367" s="13" t="n"/>
      <c r="D1367" s="3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8">
      <c r="A1368" s="65" t="inlineStr">
        <is>
          <t>10/11/2008</t>
        </is>
      </c>
      <c r="B1368" s="8" t="n">
        <v>88.333608875</v>
      </c>
      <c r="C1368" s="13" t="n"/>
      <c r="D1368" s="3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9">
      <c r="A1369" s="65" t="inlineStr">
        <is>
          <t>11/11/2008</t>
        </is>
      </c>
      <c r="B1369" s="8" t="n">
        <v>88.1609699</v>
      </c>
      <c r="C1369" s="13" t="n"/>
      <c r="D1369" s="3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0">
      <c r="A1370" s="65" t="inlineStr">
        <is>
          <t>12/11/2008</t>
        </is>
      </c>
      <c r="B1370" s="8" t="n">
        <v>88.50624784999999</v>
      </c>
      <c r="C1370" s="13" t="n"/>
      <c r="D1370" s="3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1">
      <c r="A1371" s="65" t="inlineStr">
        <is>
          <t>13/11/2008</t>
        </is>
      </c>
      <c r="B1371" s="8" t="n">
        <v>88.59256733749999</v>
      </c>
      <c r="C1371" s="13" t="n"/>
      <c r="D1371" s="3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2">
      <c r="A1372" s="65" t="inlineStr">
        <is>
          <t>14/11/2008</t>
        </is>
      </c>
      <c r="B1372" s="8" t="n">
        <v>88.27606254999999</v>
      </c>
      <c r="C1372" s="13" t="n"/>
      <c r="D1372" s="3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3">
      <c r="A1373" s="65" t="inlineStr">
        <is>
          <t>17/11/2008</t>
        </is>
      </c>
      <c r="B1373" s="8" t="n">
        <v>88.3623820375</v>
      </c>
      <c r="C1373" s="13" t="n"/>
      <c r="D1373" s="3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4">
      <c r="A1374" s="65" t="inlineStr">
        <is>
          <t>18/11/2008</t>
        </is>
      </c>
      <c r="B1374" s="8" t="n">
        <v>88.1609699</v>
      </c>
      <c r="C1374" s="13" t="n"/>
      <c r="D1374" s="3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5">
      <c r="A1375" s="65" t="inlineStr">
        <is>
          <t>19/11/2008</t>
        </is>
      </c>
      <c r="B1375" s="8" t="n">
        <v>88.563794175</v>
      </c>
      <c r="C1375" s="13" t="n"/>
      <c r="D1375" s="3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6">
      <c r="A1376" s="65" t="inlineStr">
        <is>
          <t>20/11/2008</t>
        </is>
      </c>
      <c r="B1376" s="8" t="n">
        <v>88.18974306249999</v>
      </c>
      <c r="C1376" s="13" t="n"/>
      <c r="D1376" s="3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7">
      <c r="A1377" s="65" t="inlineStr">
        <is>
          <t>21/11/2008</t>
        </is>
      </c>
      <c r="B1377" s="8" t="n">
        <v>88.4199283625</v>
      </c>
      <c r="C1377" s="13" t="n"/>
      <c r="D1377" s="3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8">
      <c r="A1378" s="65" t="inlineStr">
        <is>
          <t>24/11/2008</t>
        </is>
      </c>
      <c r="B1378" s="8" t="n">
        <v>88.8227526375</v>
      </c>
      <c r="C1378" s="13" t="n"/>
      <c r="D1378" s="3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9">
      <c r="A1379" s="65" t="inlineStr">
        <is>
          <t>25/11/2008</t>
        </is>
      </c>
      <c r="B1379" s="8" t="n">
        <v>88.7652063125</v>
      </c>
      <c r="C1379" s="13" t="n"/>
      <c r="D1379" s="3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0">
      <c r="A1380" s="65" t="inlineStr">
        <is>
          <t>26/11/2008</t>
        </is>
      </c>
      <c r="B1380" s="8" t="n">
        <v>89.11048426249999</v>
      </c>
      <c r="C1380" s="13" t="n"/>
      <c r="D1380" s="3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1">
      <c r="A1381" s="65" t="inlineStr">
        <is>
          <t>27/11/2008</t>
        </is>
      </c>
      <c r="B1381" s="8" t="n">
        <v>88.563794175</v>
      </c>
      <c r="C1381" s="13" t="n"/>
      <c r="D1381" s="3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2">
      <c r="A1382" s="65" t="inlineStr">
        <is>
          <t>28/11/2008</t>
        </is>
      </c>
      <c r="B1382" s="8" t="n">
        <v>88.30483571249999</v>
      </c>
      <c r="C1382" s="13" t="n"/>
      <c r="D1382" s="3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3">
      <c r="A1383" s="65" t="inlineStr">
        <is>
          <t>01/12/2008</t>
        </is>
      </c>
      <c r="B1383" s="8" t="n">
        <v>88.67907697140001</v>
      </c>
      <c r="C1383" s="13" t="n"/>
      <c r="D1383" s="3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4">
      <c r="A1384" s="65" t="inlineStr">
        <is>
          <t>02/12/2008</t>
        </is>
      </c>
      <c r="B1384" s="8" t="n">
        <v>88.7078875877</v>
      </c>
      <c r="C1384" s="13" t="n"/>
      <c r="D1384" s="3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5">
      <c r="A1385" s="65" t="inlineStr">
        <is>
          <t>03/12/2008</t>
        </is>
      </c>
      <c r="B1385" s="8" t="n">
        <v>88.5350238899</v>
      </c>
      <c r="C1385" s="13" t="n"/>
      <c r="D1385" s="3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6">
      <c r="A1386" s="65" t="inlineStr">
        <is>
          <t>04/12/2008</t>
        </is>
      </c>
      <c r="B1386" s="8" t="n">
        <v>89.0824255996</v>
      </c>
      <c r="C1386" s="13" t="n"/>
      <c r="D1386" s="3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7">
      <c r="A1387" s="65" t="inlineStr">
        <is>
          <t>05/12/2008</t>
        </is>
      </c>
      <c r="B1387" s="8" t="n">
        <v>89.16885744850001</v>
      </c>
      <c r="C1387" s="13" t="n"/>
      <c r="D1387" s="3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8">
      <c r="A1388" s="65" t="inlineStr">
        <is>
          <t>08/12/2008</t>
        </is>
      </c>
      <c r="B1388" s="8" t="n">
        <v>89.22647868110001</v>
      </c>
      <c r="C1388" s="13" t="n"/>
      <c r="D1388" s="3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9">
      <c r="A1389" s="65" t="inlineStr">
        <is>
          <t>09/12/2008</t>
        </is>
      </c>
      <c r="B1389" s="8" t="n">
        <v>89.7162591582</v>
      </c>
      <c r="C1389" s="13" t="n"/>
      <c r="D1389" s="3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0">
      <c r="A1390" s="65" t="inlineStr">
        <is>
          <t>10/12/2008</t>
        </is>
      </c>
      <c r="B1390" s="8" t="n">
        <v>89.80269100710001</v>
      </c>
      <c r="C1390" s="13" t="n"/>
      <c r="D1390" s="3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1">
      <c r="A1391" s="65" t="inlineStr">
        <is>
          <t>11/12/2008</t>
        </is>
      </c>
      <c r="B1391" s="8" t="n">
        <v>90.1484184027</v>
      </c>
      <c r="C1391" s="13" t="n"/>
      <c r="D1391" s="3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2">
      <c r="A1392" s="65" t="inlineStr">
        <is>
          <t>12/12/2008</t>
        </is>
      </c>
      <c r="B1392" s="8" t="n">
        <v>90.66700949609999</v>
      </c>
      <c r="C1392" s="13" t="n"/>
      <c r="D1392" s="3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3">
      <c r="A1393" s="65" t="inlineStr">
        <is>
          <t>15/12/2008</t>
        </is>
      </c>
      <c r="B1393" s="8" t="n">
        <v>91.0127368917</v>
      </c>
      <c r="C1393" s="13" t="n"/>
      <c r="D1393" s="3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4">
      <c r="A1394" s="65" t="inlineStr">
        <is>
          <t>16/12/2008</t>
        </is>
      </c>
      <c r="B1394" s="8" t="n">
        <v>91.8194341481</v>
      </c>
      <c r="C1394" s="13" t="n"/>
      <c r="D1394" s="3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5">
      <c r="A1395" s="65" t="inlineStr">
        <is>
          <t>17/12/2008</t>
        </is>
      </c>
      <c r="B1395" s="8" t="n">
        <v>92.25159339260001</v>
      </c>
      <c r="C1395" s="13" t="n"/>
      <c r="D1395" s="3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6">
      <c r="A1396" s="65" t="inlineStr">
        <is>
          <t>18/12/2008</t>
        </is>
      </c>
      <c r="B1396" s="8" t="n">
        <v>93.3175861957</v>
      </c>
      <c r="C1396" s="13" t="n"/>
      <c r="D1396" s="3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7">
      <c r="A1397" s="65" t="inlineStr">
        <is>
          <t>19/12/2008</t>
        </is>
      </c>
      <c r="B1397" s="8" t="n">
        <v>93.8649879054</v>
      </c>
      <c r="C1397" s="13" t="n"/>
      <c r="D1397" s="3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8">
      <c r="A1398" s="65" t="inlineStr">
        <is>
          <t>22/12/2008</t>
        </is>
      </c>
      <c r="B1398" s="8" t="n">
        <v>93.69212420760002</v>
      </c>
      <c r="C1398" s="13" t="n"/>
      <c r="D1398" s="3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9">
      <c r="A1399" s="65" t="inlineStr">
        <is>
          <t>23/12/2008</t>
        </is>
      </c>
      <c r="B1399" s="8" t="n">
        <v>94.32595776620001</v>
      </c>
      <c r="C1399" s="13" t="n"/>
      <c r="D1399" s="3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0">
      <c r="A1400" s="65" t="inlineStr">
        <is>
          <t>26/12/2008</t>
        </is>
      </c>
      <c r="B1400" s="8" t="n">
        <v>94.38357899879999</v>
      </c>
      <c r="C1400" s="13" t="n"/>
      <c r="D1400" s="3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1">
      <c r="A1401" s="65" t="inlineStr">
        <is>
          <t>29/12/2008</t>
        </is>
      </c>
      <c r="B1401" s="8" t="n">
        <v>94.6716851618</v>
      </c>
      <c r="C1401" s="13" t="n"/>
      <c r="D1401" s="3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2">
      <c r="A1402" s="65" t="inlineStr">
        <is>
          <t>30/12/2008</t>
        </is>
      </c>
      <c r="B1402" s="8" t="n">
        <v>94.9886019411</v>
      </c>
      <c r="C1402" s="13" t="n"/>
      <c r="D1402" s="3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3">
      <c r="A1403" s="65" t="inlineStr">
        <is>
          <t>02/01/2009</t>
        </is>
      </c>
      <c r="B1403" s="8" t="n">
        <v>95.61096433279999</v>
      </c>
      <c r="C1403" s="13" t="n"/>
      <c r="D1403" s="3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4">
      <c r="A1404" s="65" t="inlineStr">
        <is>
          <t>06/01/2009</t>
        </is>
      </c>
      <c r="B1404" s="8" t="n">
        <v>96.652730288</v>
      </c>
      <c r="C1404" s="13" t="n"/>
      <c r="D1404" s="3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5">
      <c r="A1405" s="65" t="inlineStr">
        <is>
          <t>07/01/2009</t>
        </is>
      </c>
      <c r="B1405" s="8" t="n">
        <v>97.02892354960001</v>
      </c>
      <c r="C1405" s="13" t="n"/>
      <c r="D1405" s="3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6">
      <c r="A1406" s="65" t="inlineStr">
        <is>
          <t>08/01/2009</t>
        </is>
      </c>
      <c r="B1406" s="8" t="n">
        <v>97.63662035680001</v>
      </c>
      <c r="C1406" s="13" t="n"/>
      <c r="D1406" s="3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7">
      <c r="A1407" s="65" t="inlineStr">
        <is>
          <t>09/01/2009</t>
        </is>
      </c>
      <c r="B1407" s="8" t="n">
        <v>97.81024801599999</v>
      </c>
      <c r="C1407" s="13" t="n"/>
      <c r="D1407" s="3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8">
      <c r="A1408" s="65" t="inlineStr">
        <is>
          <t>12/01/2009</t>
        </is>
      </c>
      <c r="B1408" s="8" t="n">
        <v>99.19926928960001</v>
      </c>
      <c r="C1408" s="13" t="n"/>
      <c r="D1408" s="3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9">
      <c r="A1409" s="65" t="inlineStr">
        <is>
          <t>13/01/2009</t>
        </is>
      </c>
      <c r="B1409" s="8" t="n">
        <v>100.3567870176</v>
      </c>
      <c r="C1409" s="13" t="n"/>
      <c r="D1409" s="3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0">
      <c r="A1410" s="65" t="inlineStr">
        <is>
          <t>14/01/2009</t>
        </is>
      </c>
      <c r="B1410" s="8" t="n">
        <v>102.2088153824</v>
      </c>
      <c r="C1410" s="13" t="n"/>
      <c r="D1410" s="3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1">
      <c r="A1411" s="65" t="inlineStr">
        <is>
          <t>15/01/2009</t>
        </is>
      </c>
      <c r="B1411" s="8" t="n">
        <v>103.3373951672</v>
      </c>
      <c r="C1411" s="13" t="n"/>
      <c r="D1411" s="3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2">
      <c r="A1412" s="65" t="inlineStr">
        <is>
          <t>16/01/2009</t>
        </is>
      </c>
      <c r="B1412" s="8" t="n">
        <v>104.9289820432</v>
      </c>
      <c r="C1412" s="13" t="n"/>
      <c r="D1412" s="3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3">
      <c r="A1413" s="65" t="inlineStr">
        <is>
          <t>19/01/2009</t>
        </is>
      </c>
      <c r="B1413" s="8" t="n">
        <v>108.083217852</v>
      </c>
      <c r="C1413" s="13" t="n"/>
      <c r="D1413" s="3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4">
      <c r="A1414" s="65" t="inlineStr">
        <is>
          <t>20/01/2009</t>
        </is>
      </c>
      <c r="B1414" s="8" t="n">
        <v>109.5011770688</v>
      </c>
      <c r="C1414" s="13" t="n"/>
      <c r="D1414" s="3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5">
      <c r="A1415" s="65" t="inlineStr">
        <is>
          <t>21/01/2009</t>
        </is>
      </c>
      <c r="B1415" s="8" t="n">
        <v>110.8901983424</v>
      </c>
      <c r="C1415" s="13" t="n"/>
      <c r="D1415" s="3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6">
      <c r="A1416" s="65" t="inlineStr">
        <is>
          <t>22/01/2009</t>
        </is>
      </c>
      <c r="B1416" s="8" t="n">
        <v>112.3949713888</v>
      </c>
      <c r="C1416" s="13" t="n"/>
      <c r="D1416" s="3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7">
      <c r="A1417" s="65" t="inlineStr">
        <is>
          <t>23/01/2009</t>
        </is>
      </c>
      <c r="B1417" s="8" t="n">
        <v>113.2341717416</v>
      </c>
      <c r="C1417" s="13" t="n"/>
      <c r="D1417" s="3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8">
      <c r="A1418" s="65" t="inlineStr">
        <is>
          <t>26/01/2009</t>
        </is>
      </c>
      <c r="B1418" s="8" t="n">
        <v>114.594255072</v>
      </c>
      <c r="C1418" s="13" t="n"/>
      <c r="D1418" s="3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9">
      <c r="A1419" s="65" t="inlineStr">
        <is>
          <t>27/01/2009</t>
        </is>
      </c>
      <c r="B1419" s="8" t="n">
        <v>115.6649589704</v>
      </c>
      <c r="C1419" s="13" t="n"/>
      <c r="D1419" s="3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0">
      <c r="A1420" s="65" t="inlineStr">
        <is>
          <t>28/01/2009</t>
        </is>
      </c>
      <c r="B1420" s="8" t="n">
        <v>117.343359676</v>
      </c>
      <c r="C1420" s="13" t="n"/>
      <c r="D1420" s="3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1">
      <c r="A1421" s="65" t="inlineStr">
        <is>
          <t>29/01/2009</t>
        </is>
      </c>
      <c r="B1421" s="8" t="n">
        <v>118.3272497448</v>
      </c>
      <c r="C1421" s="13" t="n"/>
      <c r="D1421" s="3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2">
      <c r="A1422" s="65" t="inlineStr">
        <is>
          <t>30/01/2009</t>
        </is>
      </c>
      <c r="B1422" s="8" t="n">
        <v>119.8320227912</v>
      </c>
      <c r="C1422" s="13" t="n"/>
      <c r="D1422" s="3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3">
      <c r="A1423" s="65" t="inlineStr">
        <is>
          <t>03/02/2009</t>
        </is>
      </c>
      <c r="B1423" s="8" t="n">
        <v>122.7827753238</v>
      </c>
      <c r="C1423" s="13" t="n"/>
      <c r="D1423" s="3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4">
      <c r="A1424" s="65" t="inlineStr">
        <is>
          <t>04/02/2009</t>
        </is>
      </c>
      <c r="B1424" s="8" t="n">
        <v>123.3311704181</v>
      </c>
      <c r="C1424" s="13" t="n"/>
      <c r="D1424" s="3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5">
      <c r="A1425" s="65" t="inlineStr">
        <is>
          <t>05/02/2009</t>
        </is>
      </c>
      <c r="B1425" s="8" t="n">
        <v>123.8507026127</v>
      </c>
      <c r="C1425" s="13" t="n"/>
      <c r="D1425" s="3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6">
      <c r="A1426" s="65" t="inlineStr">
        <is>
          <t>06/02/2009</t>
        </is>
      </c>
      <c r="B1426" s="8" t="n">
        <v>126.0154200902</v>
      </c>
      <c r="C1426" s="13" t="n"/>
      <c r="D1426" s="3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7">
      <c r="A1427" s="65" t="inlineStr">
        <is>
          <t>09/02/2009</t>
        </is>
      </c>
      <c r="B1427" s="8" t="n">
        <v>126.7369925827</v>
      </c>
      <c r="C1427" s="13" t="n"/>
      <c r="D1427" s="3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8">
      <c r="A1428" s="65" t="inlineStr">
        <is>
          <t>10/02/2009</t>
        </is>
      </c>
      <c r="B1428" s="8" t="n">
        <v>127.285387677</v>
      </c>
      <c r="C1428" s="13" t="n"/>
      <c r="D1428" s="3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9">
      <c r="A1429" s="65" t="inlineStr">
        <is>
          <t>11/02/2009</t>
        </is>
      </c>
      <c r="B1429" s="8" t="n">
        <v>127.8915085707</v>
      </c>
      <c r="C1429" s="13" t="n"/>
      <c r="D1429" s="3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0">
      <c r="A1430" s="65" t="inlineStr">
        <is>
          <t>12/02/2009</t>
        </is>
      </c>
      <c r="B1430" s="8" t="n">
        <v>128.9882987593</v>
      </c>
      <c r="C1430" s="13" t="n"/>
      <c r="D1430" s="3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1">
      <c r="A1431" s="65" t="inlineStr">
        <is>
          <t>13/02/2009</t>
        </is>
      </c>
      <c r="B1431" s="8" t="n">
        <v>130.0850889479</v>
      </c>
      <c r="C1431" s="13" t="n"/>
      <c r="D1431" s="3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2">
      <c r="A1432" s="65" t="inlineStr">
        <is>
          <t>16/02/2009</t>
        </is>
      </c>
      <c r="B1432" s="8" t="n">
        <v>130.2871292458</v>
      </c>
      <c r="C1432" s="13" t="n"/>
      <c r="D1432" s="3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3">
      <c r="A1433" s="65" t="inlineStr">
        <is>
          <t>17/02/2009</t>
        </is>
      </c>
      <c r="B1433" s="8" t="n">
        <v>132.2209435257</v>
      </c>
      <c r="C1433" s="13" t="n"/>
      <c r="D1433" s="3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4">
      <c r="A1434" s="65" t="inlineStr">
        <is>
          <t>18/02/2009</t>
        </is>
      </c>
      <c r="B1434" s="8" t="n">
        <v>132.9425160182</v>
      </c>
      <c r="C1434" s="13" t="n"/>
      <c r="D1434" s="3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5">
      <c r="A1435" s="65" t="inlineStr">
        <is>
          <t>19/02/2009</t>
        </is>
      </c>
      <c r="B1435" s="8" t="n">
        <v>133.5486369119</v>
      </c>
      <c r="C1435" s="13" t="n"/>
      <c r="D1435" s="3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6">
      <c r="A1436" s="65" t="inlineStr">
        <is>
          <t>20/02/2009</t>
        </is>
      </c>
      <c r="B1436" s="8" t="n">
        <v>133.9527175077</v>
      </c>
      <c r="C1436" s="13" t="n"/>
      <c r="D1436" s="3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7">
      <c r="A1437" s="65" t="inlineStr">
        <is>
          <t>25/02/2009</t>
        </is>
      </c>
      <c r="B1437" s="8" t="n">
        <v>134.2413465047</v>
      </c>
      <c r="C1437" s="13" t="n"/>
      <c r="D1437" s="3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8">
      <c r="A1438" s="65" t="inlineStr">
        <is>
          <t>26/02/2009</t>
        </is>
      </c>
      <c r="B1438" s="8" t="n">
        <v>134.6165642008</v>
      </c>
      <c r="C1438" s="13" t="n"/>
      <c r="D1438" s="3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9">
      <c r="A1439" s="65" t="inlineStr">
        <is>
          <t>27/02/2009</t>
        </is>
      </c>
      <c r="B1439" s="8" t="n">
        <v>135.4247253924</v>
      </c>
      <c r="C1439" s="13" t="n"/>
      <c r="D1439" s="3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0">
      <c r="A1440" s="65" t="inlineStr">
        <is>
          <t>02/03/2009</t>
        </is>
      </c>
      <c r="B1440" s="8" t="n">
        <v>136.9286669475</v>
      </c>
      <c r="C1440" s="13" t="n"/>
      <c r="D1440" s="3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1">
      <c r="A1441" s="65" t="inlineStr">
        <is>
          <t>03/03/2009</t>
        </is>
      </c>
      <c r="B1441" s="8" t="n">
        <v>138.004555815</v>
      </c>
      <c r="C1441" s="13" t="n"/>
      <c r="D1441" s="3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2">
      <c r="A1442" s="65" t="inlineStr">
        <is>
          <t>04/03/2009</t>
        </is>
      </c>
      <c r="B1442" s="8" t="n">
        <v>138.7315077525</v>
      </c>
      <c r="C1442" s="13" t="n"/>
      <c r="D1442" s="3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3">
      <c r="A1443" s="65" t="inlineStr">
        <is>
          <t>05/03/2009</t>
        </is>
      </c>
      <c r="B1443" s="8" t="n">
        <v>138.6151954425</v>
      </c>
      <c r="C1443" s="13" t="n"/>
      <c r="D1443" s="3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4">
      <c r="A1444" s="65" t="inlineStr">
        <is>
          <t>06/03/2009</t>
        </is>
      </c>
      <c r="B1444" s="8" t="n">
        <v>140.3017239375</v>
      </c>
      <c r="C1444" s="13" t="n"/>
      <c r="D1444" s="3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5">
      <c r="A1445" s="65" t="inlineStr">
        <is>
          <t>09/03/2009</t>
        </is>
      </c>
      <c r="B1445" s="8" t="n">
        <v>141.31945665</v>
      </c>
      <c r="C1445" s="13" t="n"/>
      <c r="D1445" s="3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6">
      <c r="A1446" s="65" t="inlineStr">
        <is>
          <t>11/03/2009</t>
        </is>
      </c>
      <c r="B1446" s="8" t="n">
        <v>141.9882524325</v>
      </c>
      <c r="C1446" s="13" t="n"/>
      <c r="D1446" s="3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7">
      <c r="A1447" s="65" t="inlineStr">
        <is>
          <t>12/03/2009</t>
        </is>
      </c>
      <c r="B1447" s="8" t="n">
        <v>142.4535016725</v>
      </c>
      <c r="C1447" s="13" t="n"/>
      <c r="D1447" s="3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8">
      <c r="A1448" s="65" t="inlineStr">
        <is>
          <t>13/03/2009</t>
        </is>
      </c>
      <c r="B1448" s="8" t="n">
        <v>143.238609765</v>
      </c>
      <c r="C1448" s="13" t="n"/>
      <c r="D1448" s="3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9">
      <c r="A1449" s="65" t="inlineStr">
        <is>
          <t>16/03/2009</t>
        </is>
      </c>
      <c r="B1449" s="8" t="n">
        <v>143.238609765</v>
      </c>
      <c r="C1449" s="13" t="n"/>
      <c r="D1449" s="3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0">
      <c r="A1450" s="65" t="inlineStr">
        <is>
          <t>17/03/2009</t>
        </is>
      </c>
      <c r="B1450" s="8" t="n">
        <v>143.5584686175</v>
      </c>
      <c r="C1450" s="13" t="n"/>
      <c r="D1450" s="3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1">
      <c r="A1451" s="65" t="inlineStr">
        <is>
          <t>18/03/2009</t>
        </is>
      </c>
      <c r="B1451" s="8" t="n">
        <v>143.41307823</v>
      </c>
      <c r="C1451" s="13" t="n"/>
      <c r="D1451" s="3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2">
      <c r="A1452" s="65" t="inlineStr">
        <is>
          <t>19/03/2009</t>
        </is>
      </c>
      <c r="B1452" s="8" t="n">
        <v>144.2563424775</v>
      </c>
      <c r="C1452" s="13" t="n"/>
      <c r="D1452" s="3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3">
      <c r="A1453" s="65" t="inlineStr">
        <is>
          <t>20/03/2009</t>
        </is>
      </c>
      <c r="B1453" s="8" t="n">
        <v>143.87832747</v>
      </c>
      <c r="C1453" s="13" t="n"/>
      <c r="D1453" s="3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4">
      <c r="A1454" s="65" t="inlineStr">
        <is>
          <t>23/03/2009</t>
        </is>
      </c>
      <c r="B1454" s="8" t="n">
        <v>144.0237178575</v>
      </c>
      <c r="C1454" s="13" t="n"/>
      <c r="D1454" s="3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5">
      <c r="A1455" s="65" t="inlineStr">
        <is>
          <t>24/03/2009</t>
        </is>
      </c>
      <c r="B1455" s="8" t="n">
        <v>142.540735905</v>
      </c>
      <c r="C1455" s="13" t="n"/>
      <c r="D1455" s="3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6">
      <c r="A1456" s="65" t="inlineStr">
        <is>
          <t>25/03/2009</t>
        </is>
      </c>
      <c r="B1456" s="8" t="n">
        <v>142.01733051</v>
      </c>
      <c r="C1456" s="13" t="n"/>
      <c r="D1456" s="3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7">
      <c r="A1457" s="65" t="inlineStr">
        <is>
          <t>26/03/2009</t>
        </is>
      </c>
      <c r="B1457" s="8" t="n">
        <v>137.6846969625</v>
      </c>
      <c r="C1457" s="13" t="n"/>
      <c r="D1457" s="3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8">
      <c r="A1458" s="65" t="inlineStr">
        <is>
          <t>27/03/2009</t>
        </is>
      </c>
      <c r="B1458" s="8" t="n">
        <v>136.0563246225</v>
      </c>
      <c r="C1458" s="13" t="n"/>
      <c r="D1458" s="3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9">
      <c r="A1459" s="65" t="inlineStr">
        <is>
          <t>30/03/2009</t>
        </is>
      </c>
      <c r="B1459" s="8" t="n">
        <v>136.3471053975</v>
      </c>
      <c r="C1459" s="13" t="n"/>
      <c r="D1459" s="3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0">
      <c r="A1460" s="65" t="inlineStr">
        <is>
          <t>31/03/2009</t>
        </is>
      </c>
      <c r="B1460" s="8" t="n">
        <v>135.9981684675</v>
      </c>
      <c r="C1460" s="13" t="n"/>
      <c r="D1460" s="3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1">
      <c r="A1461" s="65" t="inlineStr">
        <is>
          <t>01/04/2009</t>
        </is>
      </c>
      <c r="B1461" s="8" t="n">
        <v>136.3480807882</v>
      </c>
      <c r="C1461" s="13" t="n"/>
      <c r="D1461" s="3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2">
      <c r="A1462" s="65" t="inlineStr">
        <is>
          <t>02/04/2009</t>
        </is>
      </c>
      <c r="B1462" s="8" t="n">
        <v>136.6975419094</v>
      </c>
      <c r="C1462" s="13" t="n"/>
      <c r="D1462" s="3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3">
      <c r="A1463" s="65" t="inlineStr">
        <is>
          <t>03/04/2009</t>
        </is>
      </c>
      <c r="B1463" s="8" t="n">
        <v>137.0761247907</v>
      </c>
      <c r="C1463" s="13" t="n"/>
      <c r="D1463" s="3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4">
      <c r="A1464" s="65" t="inlineStr">
        <is>
          <t>06/04/2009</t>
        </is>
      </c>
      <c r="B1464" s="8" t="n">
        <v>137.0178812705</v>
      </c>
      <c r="C1464" s="13" t="n"/>
      <c r="D1464" s="3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5">
      <c r="A1465" s="65" t="inlineStr">
        <is>
          <t>07/04/2009</t>
        </is>
      </c>
      <c r="B1465" s="8" t="n">
        <v>137.3964641518</v>
      </c>
      <c r="C1465" s="13" t="n"/>
      <c r="D1465" s="3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6">
      <c r="A1466" s="65" t="inlineStr">
        <is>
          <t>08/04/2009</t>
        </is>
      </c>
      <c r="B1466" s="8" t="n">
        <v>136.9887595104</v>
      </c>
      <c r="C1466" s="13" t="n"/>
      <c r="D1466" s="3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7">
      <c r="A1467" s="65" t="inlineStr">
        <is>
          <t>09/04/2009</t>
        </is>
      </c>
      <c r="B1467" s="8" t="n">
        <v>136.2607155079</v>
      </c>
      <c r="C1467" s="13" t="n"/>
      <c r="D1467" s="3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8">
      <c r="A1468" s="65" t="inlineStr">
        <is>
          <t>13/04/2009</t>
        </is>
      </c>
      <c r="B1468" s="8" t="n">
        <v>136.5519331089</v>
      </c>
      <c r="C1468" s="13" t="n"/>
      <c r="D1468" s="3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9">
      <c r="A1469" s="65" t="inlineStr">
        <is>
          <t>14/04/2009</t>
        </is>
      </c>
      <c r="B1469" s="8" t="n">
        <v>136.581054869</v>
      </c>
      <c r="C1469" s="13" t="n"/>
      <c r="D1469" s="3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0">
      <c r="A1470" s="65" t="inlineStr">
        <is>
          <t>15/04/2009</t>
        </is>
      </c>
      <c r="B1470" s="8" t="n">
        <v>136.7849071897</v>
      </c>
      <c r="C1470" s="13" t="n"/>
      <c r="D1470" s="3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1">
      <c r="A1471" s="65" t="inlineStr">
        <is>
          <t>16/04/2009</t>
        </is>
      </c>
      <c r="B1471" s="8" t="n">
        <v>136.1442284675</v>
      </c>
      <c r="C1471" s="13" t="n"/>
      <c r="D1471" s="3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2">
      <c r="A1472" s="65" t="inlineStr">
        <is>
          <t>17/04/2009</t>
        </is>
      </c>
      <c r="B1472" s="8" t="n">
        <v>136.1442284675</v>
      </c>
      <c r="C1472" s="13" t="n"/>
      <c r="D1472" s="3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3">
      <c r="A1473" s="65" t="inlineStr">
        <is>
          <t>20/04/2009</t>
        </is>
      </c>
      <c r="B1473" s="8" t="n">
        <v>134.5716534221</v>
      </c>
      <c r="C1473" s="13" t="n"/>
      <c r="D1473" s="3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4">
      <c r="A1474" s="65" t="inlineStr">
        <is>
          <t>22/04/2009</t>
        </is>
      </c>
      <c r="B1474" s="8" t="n">
        <v>133.2029306974</v>
      </c>
      <c r="C1474" s="13" t="n"/>
      <c r="D1474" s="3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5">
      <c r="A1475" s="65" t="inlineStr">
        <is>
          <t>23/04/2009</t>
        </is>
      </c>
      <c r="B1475" s="8" t="n">
        <v>133.4941482984</v>
      </c>
      <c r="C1475" s="13" t="n"/>
      <c r="D1475" s="3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6">
      <c r="A1476" s="65" t="inlineStr">
        <is>
          <t>24/04/2009</t>
        </is>
      </c>
      <c r="B1476" s="8" t="n">
        <v>133.4359047782</v>
      </c>
      <c r="C1476" s="13" t="n"/>
      <c r="D1476" s="3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7">
      <c r="A1477" s="65" t="inlineStr">
        <is>
          <t>27/04/2009</t>
        </is>
      </c>
      <c r="B1477" s="8" t="n">
        <v>133.086443657</v>
      </c>
      <c r="C1477" s="13" t="n"/>
      <c r="D1477" s="3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8">
      <c r="A1478" s="65" t="inlineStr">
        <is>
          <t>28/04/2009</t>
        </is>
      </c>
      <c r="B1478" s="8" t="n">
        <v>133.1446871772</v>
      </c>
      <c r="C1478" s="13" t="n"/>
      <c r="D1478" s="3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9">
      <c r="A1479" s="65" t="inlineStr">
        <is>
          <t>29/04/2009</t>
        </is>
      </c>
      <c r="B1479" s="8" t="n">
        <v>133.3485394979</v>
      </c>
      <c r="C1479" s="13" t="n"/>
      <c r="D1479" s="3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0">
      <c r="A1480" s="65" t="inlineStr">
        <is>
          <t>30/04/2009</t>
        </is>
      </c>
      <c r="B1480" s="8" t="n">
        <v>132.9408348565</v>
      </c>
      <c r="C1480" s="13" t="n"/>
      <c r="D1480" s="3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1">
      <c r="A1481" s="65" t="inlineStr">
        <is>
          <t>04/05/2009</t>
        </is>
      </c>
      <c r="B1481" s="8" t="n">
        <v>132.8299634568</v>
      </c>
      <c r="C1481" s="13" t="n"/>
      <c r="D1481" s="3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2">
      <c r="A1482" s="65" t="inlineStr">
        <is>
          <t>05/05/2009</t>
        </is>
      </c>
      <c r="B1482" s="8" t="n">
        <v>132.6259683396</v>
      </c>
      <c r="C1482" s="13" t="n"/>
      <c r="D1482" s="3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3">
      <c r="A1483" s="65" t="inlineStr">
        <is>
          <t>06/05/2009</t>
        </is>
      </c>
      <c r="B1483" s="8" t="n">
        <v>132.6259683396</v>
      </c>
      <c r="C1483" s="13" t="n"/>
      <c r="D1483" s="3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4">
      <c r="A1484" s="65" t="inlineStr">
        <is>
          <t>07/05/2009</t>
        </is>
      </c>
      <c r="B1484" s="8" t="n">
        <v>131.9265565092</v>
      </c>
      <c r="C1484" s="13" t="n"/>
      <c r="D1484" s="3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5">
      <c r="A1485" s="65" t="inlineStr">
        <is>
          <t>08/05/2009</t>
        </is>
      </c>
      <c r="B1485" s="8" t="n">
        <v>131.6934192324</v>
      </c>
      <c r="C1485" s="13" t="n"/>
      <c r="D1485" s="3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6">
      <c r="A1486" s="65" t="inlineStr">
        <is>
          <t>11/05/2009</t>
        </is>
      </c>
      <c r="B1486" s="8" t="n">
        <v>131.1397182</v>
      </c>
      <c r="C1486" s="13" t="n"/>
      <c r="D1486" s="3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7">
      <c r="A1487" s="65" t="inlineStr">
        <is>
          <t>12/05/2009</t>
        </is>
      </c>
      <c r="B1487" s="8" t="n">
        <v>130.265453412</v>
      </c>
      <c r="C1487" s="13" t="n"/>
      <c r="D1487" s="3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8">
      <c r="A1488" s="65" t="inlineStr">
        <is>
          <t>13/05/2009</t>
        </is>
      </c>
      <c r="B1488" s="8" t="n">
        <v>128.95405623</v>
      </c>
      <c r="C1488" s="13" t="n"/>
      <c r="D1488" s="3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9">
      <c r="A1489" s="65" t="inlineStr">
        <is>
          <t>14/05/2009</t>
        </is>
      </c>
      <c r="B1489" s="8" t="n">
        <v>128.6334924744</v>
      </c>
      <c r="C1489" s="13" t="n"/>
      <c r="D1489" s="3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0">
      <c r="A1490" s="65" t="inlineStr">
        <is>
          <t>18/05/2009</t>
        </is>
      </c>
      <c r="B1490" s="8" t="n">
        <v>128.662634634</v>
      </c>
      <c r="C1490" s="13" t="n"/>
      <c r="D1490" s="3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1">
      <c r="A1491" s="65" t="inlineStr">
        <is>
          <t>19/05/2009</t>
        </is>
      </c>
      <c r="B1491" s="8" t="n">
        <v>128.5752081552</v>
      </c>
      <c r="C1491" s="13" t="n"/>
      <c r="D1491" s="3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2">
      <c r="A1492" s="65" t="inlineStr">
        <is>
          <t>20/05/2009</t>
        </is>
      </c>
      <c r="B1492" s="8" t="n">
        <v>128.95405623</v>
      </c>
      <c r="C1492" s="13" t="n"/>
      <c r="D1492" s="3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3">
      <c r="A1493" s="65" t="inlineStr">
        <is>
          <t>22/05/2009</t>
        </is>
      </c>
      <c r="B1493" s="8" t="n">
        <v>129.5660415816</v>
      </c>
      <c r="C1493" s="13" t="n"/>
      <c r="D1493" s="3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4">
      <c r="A1494" s="65" t="inlineStr">
        <is>
          <t>25/05/2009</t>
        </is>
      </c>
      <c r="B1494" s="8" t="n">
        <v>128.6043503148</v>
      </c>
      <c r="C1494" s="13" t="n"/>
      <c r="D1494" s="3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5">
      <c r="A1495" s="65" t="inlineStr">
        <is>
          <t>26/05/2009</t>
        </is>
      </c>
      <c r="B1495" s="8" t="n">
        <v>128.6334924744</v>
      </c>
      <c r="C1495" s="13" t="n"/>
      <c r="D1495" s="3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6">
      <c r="A1496" s="65" t="inlineStr">
        <is>
          <t>27/05/2009</t>
        </is>
      </c>
      <c r="B1496" s="8" t="n">
        <v>128.8957719108</v>
      </c>
      <c r="C1496" s="13" t="n"/>
      <c r="D1496" s="3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7">
      <c r="A1497" s="65" t="inlineStr">
        <is>
          <t>28/05/2009</t>
        </is>
      </c>
      <c r="B1497" s="8" t="n">
        <v>128.7792032724</v>
      </c>
      <c r="C1497" s="13" t="n"/>
      <c r="D1497" s="3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8">
      <c r="A1498" s="65" t="inlineStr">
        <is>
          <t>29/05/2009</t>
        </is>
      </c>
      <c r="B1498" s="8" t="n">
        <v>128.4294973572</v>
      </c>
      <c r="C1498" s="13" t="n"/>
      <c r="D1498" s="3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9">
      <c r="A1499" s="65" t="inlineStr">
        <is>
          <t>01/06/2009</t>
        </is>
      </c>
      <c r="B1499" s="8" t="n">
        <v>128.2371706364</v>
      </c>
      <c r="C1499" s="13" t="n"/>
      <c r="D1499" s="3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0">
      <c r="A1500" s="65" t="inlineStr">
        <is>
          <t>02/06/2009</t>
        </is>
      </c>
      <c r="B1500" s="8" t="n">
        <v>128.1204853128</v>
      </c>
      <c r="C1500" s="13" t="n"/>
      <c r="D1500" s="3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1">
      <c r="A1501" s="65" t="inlineStr">
        <is>
          <t>03/06/2009</t>
        </is>
      </c>
      <c r="B1501" s="8" t="n">
        <v>127.2161740549</v>
      </c>
      <c r="C1501" s="13" t="n"/>
      <c r="D1501" s="3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2">
      <c r="A1502" s="65" t="inlineStr">
        <is>
          <t>04/06/2009</t>
        </is>
      </c>
      <c r="B1502" s="8" t="n">
        <v>127.1286600622</v>
      </c>
      <c r="C1502" s="13" t="n"/>
      <c r="D1502" s="3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3">
      <c r="A1503" s="65" t="inlineStr">
        <is>
          <t>05/06/2009</t>
        </is>
      </c>
      <c r="B1503" s="8" t="n">
        <v>127.6245726875</v>
      </c>
      <c r="C1503" s="13" t="n"/>
      <c r="D1503" s="3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4">
      <c r="A1504" s="65" t="inlineStr">
        <is>
          <t>08/06/2009</t>
        </is>
      </c>
      <c r="B1504" s="8" t="n">
        <v>127.5954013566</v>
      </c>
      <c r="C1504" s="13" t="n"/>
      <c r="D1504" s="3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5">
      <c r="A1505" s="65" t="inlineStr">
        <is>
          <t>09/06/2009</t>
        </is>
      </c>
      <c r="B1505" s="8" t="n">
        <v>124.9408102447</v>
      </c>
      <c r="C1505" s="13" t="n"/>
      <c r="D1505" s="3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6">
      <c r="A1506" s="65" t="inlineStr">
        <is>
          <t>12/06/2009</t>
        </is>
      </c>
      <c r="B1506" s="8" t="n">
        <v>124.2990409649</v>
      </c>
      <c r="C1506" s="13" t="n"/>
      <c r="D1506" s="3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7">
      <c r="A1507" s="65" t="inlineStr">
        <is>
          <t>15/06/2009</t>
        </is>
      </c>
      <c r="B1507" s="8" t="n">
        <v>123.1613590598</v>
      </c>
      <c r="C1507" s="13" t="n"/>
      <c r="D1507" s="3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8">
      <c r="A1508" s="65" t="inlineStr">
        <is>
          <t>16/06/2009</t>
        </is>
      </c>
      <c r="B1508" s="8" t="n">
        <v>121.9069918311</v>
      </c>
      <c r="C1508" s="13" t="n"/>
      <c r="D1508" s="3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9">
      <c r="A1509" s="65" t="inlineStr">
        <is>
          <t>17/06/2009</t>
        </is>
      </c>
      <c r="B1509" s="8" t="n">
        <v>122.1403624783</v>
      </c>
      <c r="C1509" s="13" t="n"/>
      <c r="D1509" s="3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0">
      <c r="A1510" s="65" t="inlineStr">
        <is>
          <t>18/06/2009</t>
        </is>
      </c>
      <c r="B1510" s="8" t="n">
        <v>121.0318519041</v>
      </c>
      <c r="C1510" s="13" t="n"/>
      <c r="D1510" s="3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1">
      <c r="A1511" s="65" t="inlineStr">
        <is>
          <t>19/06/2009</t>
        </is>
      </c>
      <c r="B1511" s="8" t="n">
        <v>119.6316280209</v>
      </c>
      <c r="C1511" s="13" t="n"/>
      <c r="D1511" s="3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2">
      <c r="A1512" s="65" t="inlineStr">
        <is>
          <t>22/06/2009</t>
        </is>
      </c>
      <c r="B1512" s="8" t="n">
        <v>119.0482014029</v>
      </c>
      <c r="C1512" s="13" t="n"/>
      <c r="D1512" s="3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3">
      <c r="A1513" s="65" t="inlineStr">
        <is>
          <t>23/06/2009</t>
        </is>
      </c>
      <c r="B1513" s="8" t="n">
        <v>119.60245669</v>
      </c>
      <c r="C1513" s="13" t="n"/>
      <c r="D1513" s="3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4">
      <c r="A1514" s="65" t="inlineStr">
        <is>
          <t>24/06/2009</t>
        </is>
      </c>
      <c r="B1514" s="8" t="n">
        <v>119.60245669</v>
      </c>
      <c r="C1514" s="13" t="n"/>
      <c r="D1514" s="3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5">
      <c r="A1515" s="65" t="inlineStr">
        <is>
          <t>25/06/2009</t>
        </is>
      </c>
      <c r="B1515" s="8" t="n">
        <v>119.9525126608</v>
      </c>
      <c r="C1515" s="13" t="n"/>
      <c r="D1515" s="3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6">
      <c r="A1516" s="65" t="inlineStr">
        <is>
          <t>26/06/2009</t>
        </is>
      </c>
      <c r="B1516" s="8" t="n">
        <v>119.7774846754</v>
      </c>
      <c r="C1516" s="13" t="n"/>
      <c r="D1516" s="3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7">
      <c r="A1517" s="65" t="inlineStr">
        <is>
          <t>29/06/2009</t>
        </is>
      </c>
      <c r="B1517" s="8" t="n">
        <v>119.6899706827</v>
      </c>
      <c r="C1517" s="13" t="n"/>
      <c r="D1517" s="3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8">
      <c r="A1518" s="65" t="inlineStr">
        <is>
          <t>30/06/2009</t>
        </is>
      </c>
      <c r="B1518" s="8" t="n">
        <v>120.0400266535</v>
      </c>
      <c r="C1518" s="13" t="n"/>
      <c r="D1518" s="3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9">
      <c r="A1519" s="65" t="inlineStr">
        <is>
          <t>01/07/2009</t>
        </is>
      </c>
      <c r="B1519" s="8" t="n">
        <v>120.4412389434</v>
      </c>
      <c r="C1519" s="13" t="n"/>
      <c r="D1519" s="3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0">
      <c r="A1520" s="65" t="inlineStr">
        <is>
          <t>02/07/2009</t>
        </is>
      </c>
      <c r="B1520" s="8" t="n">
        <v>120.6170227998</v>
      </c>
      <c r="C1520" s="13" t="n"/>
      <c r="D1520" s="3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1">
      <c r="A1521" s="65" t="inlineStr">
        <is>
          <t>03/07/2009</t>
        </is>
      </c>
      <c r="B1521" s="8" t="n">
        <v>120.8221039656</v>
      </c>
      <c r="C1521" s="13" t="n"/>
      <c r="D1521" s="3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2">
      <c r="A1522" s="65" t="inlineStr">
        <is>
          <t>06/07/2009</t>
        </is>
      </c>
      <c r="B1522" s="8" t="n">
        <v>121.1150770596</v>
      </c>
      <c r="C1522" s="13" t="n"/>
      <c r="D1522" s="3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3">
      <c r="A1523" s="65" t="inlineStr">
        <is>
          <t>07/07/2009</t>
        </is>
      </c>
      <c r="B1523" s="8" t="n">
        <v>121.5545367006</v>
      </c>
      <c r="C1523" s="13" t="n"/>
      <c r="D1523" s="3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4">
      <c r="A1524" s="65" t="inlineStr">
        <is>
          <t>08/07/2009</t>
        </is>
      </c>
      <c r="B1524" s="8" t="n">
        <v>121.0857797502</v>
      </c>
      <c r="C1524" s="13" t="n"/>
      <c r="D1524" s="3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5">
      <c r="A1525" s="65" t="inlineStr">
        <is>
          <t>10/07/2009</t>
        </is>
      </c>
      <c r="B1525" s="8" t="n">
        <v>120.1775631588</v>
      </c>
      <c r="C1525" s="13" t="n"/>
      <c r="D1525" s="3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6">
      <c r="A1526" s="65" t="inlineStr">
        <is>
          <t>13/07/2009</t>
        </is>
      </c>
      <c r="B1526" s="8" t="n">
        <v>120.1775631588</v>
      </c>
      <c r="C1526" s="13" t="n"/>
      <c r="D1526" s="3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7">
      <c r="A1527" s="65" t="inlineStr">
        <is>
          <t>14/07/2009</t>
        </is>
      </c>
      <c r="B1527" s="8" t="n">
        <v>120.7635093468</v>
      </c>
      <c r="C1527" s="13" t="n"/>
      <c r="D1527" s="3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8">
      <c r="A1528" s="65" t="inlineStr">
        <is>
          <t>15/07/2009</t>
        </is>
      </c>
      <c r="B1528" s="8" t="n">
        <v>121.2029689878</v>
      </c>
      <c r="C1528" s="13" t="n"/>
      <c r="D1528" s="3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9">
      <c r="A1529" s="65" t="inlineStr">
        <is>
          <t>16/07/2009</t>
        </is>
      </c>
      <c r="B1529" s="8" t="n">
        <v>121.144374369</v>
      </c>
      <c r="C1529" s="13" t="n"/>
      <c r="D1529" s="3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0">
      <c r="A1530" s="65" t="inlineStr">
        <is>
          <t>17/07/2009</t>
        </is>
      </c>
      <c r="B1530" s="8" t="n">
        <v>121.3787528442</v>
      </c>
      <c r="C1530" s="13" t="n"/>
      <c r="D1530" s="3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1">
      <c r="A1531" s="65" t="inlineStr">
        <is>
          <t>20/07/2009</t>
        </is>
      </c>
      <c r="B1531" s="8" t="n">
        <v>120.7928066562</v>
      </c>
      <c r="C1531" s="13" t="n"/>
      <c r="D1531" s="3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2">
      <c r="A1532" s="65" t="inlineStr">
        <is>
          <t>21/07/2009</t>
        </is>
      </c>
      <c r="B1532" s="8" t="n">
        <v>121.6717259382</v>
      </c>
      <c r="C1532" s="13" t="n"/>
      <c r="D1532" s="3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3">
      <c r="A1533" s="65" t="inlineStr">
        <is>
          <t>22/07/2009</t>
        </is>
      </c>
      <c r="B1533" s="8" t="n">
        <v>122.316266745</v>
      </c>
      <c r="C1533" s="13" t="n"/>
      <c r="D1533" s="3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4">
      <c r="A1534" s="65" t="inlineStr">
        <is>
          <t>23/07/2009</t>
        </is>
      </c>
      <c r="B1534" s="8" t="n">
        <v>122.0818882698</v>
      </c>
      <c r="C1534" s="13" t="n"/>
      <c r="D1534" s="3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5">
      <c r="A1535" s="65" t="inlineStr">
        <is>
          <t>24/07/2009</t>
        </is>
      </c>
      <c r="B1535" s="8" t="n">
        <v>122.2576721262</v>
      </c>
      <c r="C1535" s="13" t="n"/>
      <c r="D1535" s="3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6">
      <c r="A1536" s="65" t="inlineStr">
        <is>
          <t>27/07/2009</t>
        </is>
      </c>
      <c r="B1536" s="8" t="n">
        <v>122.4920506014</v>
      </c>
      <c r="C1536" s="13" t="n"/>
      <c r="D1536" s="3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7">
      <c r="A1537" s="65" t="inlineStr">
        <is>
          <t>28/07/2009</t>
        </is>
      </c>
      <c r="B1537" s="8" t="n">
        <v>122.2869694356</v>
      </c>
      <c r="C1537" s="13" t="n"/>
      <c r="D1537" s="3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8">
      <c r="A1538" s="65" t="inlineStr">
        <is>
          <t>29/07/2009</t>
        </is>
      </c>
      <c r="B1538" s="8" t="n">
        <v>122.2576721262</v>
      </c>
      <c r="C1538" s="13" t="n"/>
      <c r="D1538" s="3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9">
      <c r="A1539" s="65" t="inlineStr">
        <is>
          <t>30/07/2009</t>
        </is>
      </c>
      <c r="B1539" s="8" t="n">
        <v>122.4920506014</v>
      </c>
      <c r="C1539" s="13" t="n"/>
      <c r="D1539" s="3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0">
      <c r="A1540" s="65" t="inlineStr">
        <is>
          <t>31/07/2009</t>
        </is>
      </c>
      <c r="B1540" s="8" t="n">
        <v>122.8729156236</v>
      </c>
      <c r="C1540" s="13" t="n"/>
      <c r="D1540" s="3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1">
      <c r="A1541" s="65" t="inlineStr">
        <is>
          <t>03/08/2009</t>
        </is>
      </c>
      <c r="B1541" s="8" t="n">
        <v>123.49327536</v>
      </c>
      <c r="C1541" s="13" t="n"/>
      <c r="D1541" s="3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2">
      <c r="A1542" s="65" t="inlineStr">
        <is>
          <t>04/08/2009</t>
        </is>
      </c>
      <c r="B1542" s="8" t="n">
        <v>123.6696943248</v>
      </c>
      <c r="C1542" s="13" t="n"/>
      <c r="D1542" s="3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3">
      <c r="A1543" s="65" t="inlineStr">
        <is>
          <t>05/08/2009</t>
        </is>
      </c>
      <c r="B1543" s="8" t="n">
        <v>124.0519354152</v>
      </c>
      <c r="C1543" s="13" t="n"/>
      <c r="D1543" s="3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4">
      <c r="A1544" s="65" t="inlineStr">
        <is>
          <t>06/08/2009</t>
        </is>
      </c>
      <c r="B1544" s="8" t="n">
        <v>124.1695480584</v>
      </c>
      <c r="C1544" s="13" t="n"/>
      <c r="D1544" s="3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5">
      <c r="A1545" s="65" t="inlineStr">
        <is>
          <t>07/08/2009</t>
        </is>
      </c>
      <c r="B1545" s="8" t="n">
        <v>124.4635796664</v>
      </c>
      <c r="C1545" s="13" t="n"/>
      <c r="D1545" s="3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6">
      <c r="A1546" s="65" t="inlineStr">
        <is>
          <t>10/08/2009</t>
        </is>
      </c>
      <c r="B1546" s="8" t="n">
        <v>125.3456744904</v>
      </c>
      <c r="C1546" s="13" t="n"/>
      <c r="D1546" s="3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7">
      <c r="A1547" s="65" t="inlineStr">
        <is>
          <t>11/08/2009</t>
        </is>
      </c>
      <c r="B1547" s="8" t="n">
        <v>126.0513503496</v>
      </c>
      <c r="C1547" s="13" t="n"/>
      <c r="D1547" s="3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8">
      <c r="A1548" s="65" t="inlineStr">
        <is>
          <t>12/08/2009</t>
        </is>
      </c>
      <c r="B1548" s="8" t="n">
        <v>128.4624095352</v>
      </c>
      <c r="C1548" s="13" t="n"/>
      <c r="D1548" s="3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9">
      <c r="A1549" s="65" t="inlineStr">
        <is>
          <t>13/08/2009</t>
        </is>
      </c>
      <c r="B1549" s="8" t="n">
        <v>129.2856980376</v>
      </c>
      <c r="C1549" s="13" t="n"/>
      <c r="D1549" s="3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0">
      <c r="A1550" s="65" t="inlineStr">
        <is>
          <t>14/08/2009</t>
        </is>
      </c>
      <c r="B1550" s="8" t="n">
        <v>130.84406556</v>
      </c>
      <c r="C1550" s="13" t="n"/>
      <c r="D1550" s="3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1">
      <c r="A1551" s="65" t="inlineStr">
        <is>
          <t>17/08/2009</t>
        </is>
      </c>
      <c r="B1551" s="8" t="n">
        <v>132.0495951528</v>
      </c>
      <c r="C1551" s="13" t="n"/>
      <c r="D1551" s="3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2">
      <c r="A1552" s="65" t="inlineStr">
        <is>
          <t>18/08/2009</t>
        </is>
      </c>
      <c r="B1552" s="8" t="n">
        <v>133.7549784792</v>
      </c>
      <c r="C1552" s="13" t="n"/>
      <c r="D1552" s="3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3">
      <c r="A1553" s="65" t="inlineStr">
        <is>
          <t>19/08/2009</t>
        </is>
      </c>
      <c r="B1553" s="8" t="n">
        <v>134.225429052</v>
      </c>
      <c r="C1553" s="13" t="n"/>
      <c r="D1553" s="3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4">
      <c r="A1554" s="65" t="inlineStr">
        <is>
          <t>20/08/2009</t>
        </is>
      </c>
      <c r="B1554" s="8" t="n">
        <v>135.5779744488</v>
      </c>
      <c r="C1554" s="13" t="n"/>
      <c r="D1554" s="3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5">
      <c r="A1555" s="65" t="inlineStr">
        <is>
          <t>21/08/2009</t>
        </is>
      </c>
      <c r="B1555" s="8" t="n">
        <v>137.9890336344</v>
      </c>
      <c r="C1555" s="13" t="n"/>
      <c r="D1555" s="3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6">
      <c r="A1556" s="65" t="inlineStr">
        <is>
          <t>24/08/2009</t>
        </is>
      </c>
      <c r="B1556" s="8" t="n">
        <v>138.488887368</v>
      </c>
      <c r="C1556" s="13" t="n"/>
      <c r="D1556" s="3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7">
      <c r="A1557" s="65" t="inlineStr">
        <is>
          <t>25/08/2009</t>
        </is>
      </c>
      <c r="B1557" s="8" t="n">
        <v>141.6644287344</v>
      </c>
      <c r="C1557" s="13" t="n"/>
      <c r="D1557" s="3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8">
      <c r="A1558" s="65" t="inlineStr">
        <is>
          <t>26/08/2009</t>
        </is>
      </c>
      <c r="B1558" s="8" t="n">
        <v>143.3698120608</v>
      </c>
      <c r="C1558" s="13" t="n"/>
      <c r="D1558" s="3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9">
      <c r="A1559" s="65" t="inlineStr">
        <is>
          <t>27/08/2009</t>
        </is>
      </c>
      <c r="B1559" s="8" t="n">
        <v>147.9567051456</v>
      </c>
      <c r="C1559" s="13" t="n"/>
      <c r="D1559" s="3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0">
      <c r="A1560" s="65" t="inlineStr">
        <is>
          <t>28/08/2009</t>
        </is>
      </c>
      <c r="B1560" s="8" t="n">
        <v>148.6623810048</v>
      </c>
      <c r="C1560" s="13" t="n"/>
      <c r="D1560" s="3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1">
      <c r="A1561" s="65" t="inlineStr">
        <is>
          <t>31/08/2009</t>
        </is>
      </c>
      <c r="B1561" s="8" t="n">
        <v>151.573293924</v>
      </c>
      <c r="C1561" s="13" t="n"/>
      <c r="D1561" s="3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2">
      <c r="A1562" s="65" t="inlineStr">
        <is>
          <t>01/09/2009</t>
        </is>
      </c>
      <c r="B1562" s="8" t="n">
        <v>152.169116248</v>
      </c>
      <c r="C1562" s="13" t="n"/>
      <c r="D1562" s="3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3">
      <c r="A1563" s="65" t="inlineStr">
        <is>
          <t>02/09/2009</t>
        </is>
      </c>
      <c r="B1563" s="8" t="n">
        <v>155.507057224</v>
      </c>
      <c r="C1563" s="13" t="n"/>
      <c r="D1563" s="3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4">
      <c r="A1564" s="65" t="inlineStr">
        <is>
          <t>03/09/2009</t>
        </is>
      </c>
      <c r="B1564" s="8" t="n">
        <v>156.971066424</v>
      </c>
      <c r="C1564" s="13" t="n"/>
      <c r="D1564" s="3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5">
      <c r="A1565" s="65" t="inlineStr">
        <is>
          <t>04/09/2009</t>
        </is>
      </c>
      <c r="B1565" s="8" t="n">
        <v>157.732351208</v>
      </c>
      <c r="C1565" s="13" t="n"/>
      <c r="D1565" s="3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6">
      <c r="A1566" s="65" t="inlineStr">
        <is>
          <t>08/09/2009</t>
        </is>
      </c>
      <c r="B1566" s="8" t="n">
        <v>158.522916176</v>
      </c>
      <c r="C1566" s="13" t="n"/>
      <c r="D1566" s="3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7">
      <c r="A1567" s="65" t="inlineStr">
        <is>
          <t>09/09/2009</t>
        </is>
      </c>
      <c r="B1567" s="8" t="n">
        <v>159.5770028</v>
      </c>
      <c r="C1567" s="13" t="n"/>
      <c r="D1567" s="3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8">
      <c r="A1568" s="65" t="inlineStr">
        <is>
          <t>10/09/2009</t>
        </is>
      </c>
      <c r="B1568" s="8" t="n">
        <v>161.509494944</v>
      </c>
      <c r="C1568" s="13" t="n"/>
      <c r="D1568" s="3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9">
      <c r="A1569" s="65" t="inlineStr">
        <is>
          <t>11/09/2009</t>
        </is>
      </c>
      <c r="B1569" s="8" t="n">
        <v>161.7730166</v>
      </c>
      <c r="C1569" s="13" t="n"/>
      <c r="D1569" s="3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0">
      <c r="A1570" s="65" t="inlineStr">
        <is>
          <t>14/09/2009</t>
        </is>
      </c>
      <c r="B1570" s="8" t="n">
        <v>162.036538256</v>
      </c>
      <c r="C1570" s="13" t="n"/>
      <c r="D1570" s="3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1">
      <c r="A1571" s="65" t="inlineStr">
        <is>
          <t>15/09/2009</t>
        </is>
      </c>
      <c r="B1571" s="8" t="n">
        <v>163.178465432</v>
      </c>
      <c r="C1571" s="13" t="n"/>
      <c r="D1571" s="3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2">
      <c r="A1572" s="65" t="inlineStr">
        <is>
          <t>16/09/2009</t>
        </is>
      </c>
      <c r="B1572" s="8" t="n">
        <v>163.9690304</v>
      </c>
      <c r="C1572" s="13" t="n"/>
      <c r="D1572" s="3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3">
      <c r="A1573" s="65" t="inlineStr">
        <is>
          <t>17/09/2009</t>
        </is>
      </c>
      <c r="B1573" s="8" t="n">
        <v>164.583914264</v>
      </c>
      <c r="C1573" s="13" t="n"/>
      <c r="D1573" s="3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4">
      <c r="A1574" s="65" t="inlineStr">
        <is>
          <t>18/09/2009</t>
        </is>
      </c>
      <c r="B1574" s="8" t="n">
        <v>164.701035</v>
      </c>
      <c r="C1574" s="13" t="n"/>
      <c r="D1574" s="3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5">
      <c r="A1575" s="65" t="inlineStr">
        <is>
          <t>21/09/2009</t>
        </is>
      </c>
      <c r="B1575" s="8" t="n">
        <v>165.520880152</v>
      </c>
      <c r="C1575" s="13" t="n"/>
      <c r="D1575" s="3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6">
      <c r="A1576" s="65" t="inlineStr">
        <is>
          <t>22/09/2009</t>
        </is>
      </c>
      <c r="B1576" s="8" t="n">
        <v>165.052397208</v>
      </c>
      <c r="C1576" s="13" t="n"/>
      <c r="D1576" s="3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7">
      <c r="A1577" s="65" t="inlineStr">
        <is>
          <t>23/09/2009</t>
        </is>
      </c>
      <c r="B1577" s="8" t="n">
        <v>165.550160336</v>
      </c>
      <c r="C1577" s="13" t="n"/>
      <c r="D1577" s="3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8">
      <c r="A1578" s="65" t="inlineStr">
        <is>
          <t>24/09/2009</t>
        </is>
      </c>
      <c r="B1578" s="8" t="n">
        <v>165.87224236</v>
      </c>
      <c r="C1578" s="13" t="n"/>
      <c r="D1578" s="3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9">
      <c r="A1579" s="65" t="inlineStr">
        <is>
          <t>25/09/2009</t>
        </is>
      </c>
      <c r="B1579" s="8" t="n">
        <v>166.692087512</v>
      </c>
      <c r="C1579" s="13" t="n"/>
      <c r="D1579" s="3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0">
      <c r="A1580" s="65" t="inlineStr">
        <is>
          <t>28/09/2009</t>
        </is>
      </c>
      <c r="B1580" s="8" t="n">
        <v>167.102010088</v>
      </c>
      <c r="C1580" s="13" t="n"/>
      <c r="D1580" s="3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1">
      <c r="A1581" s="65" t="inlineStr">
        <is>
          <t>29/09/2009</t>
        </is>
      </c>
      <c r="B1581" s="8" t="n">
        <v>167.072729904</v>
      </c>
      <c r="C1581" s="13" t="n"/>
      <c r="D1581" s="3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2">
      <c r="A1582" s="65" t="inlineStr">
        <is>
          <t>30/09/2009</t>
        </is>
      </c>
      <c r="B1582" s="8" t="n">
        <v>167.424092112</v>
      </c>
      <c r="C1582" s="13" t="n"/>
      <c r="D1582" s="3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3">
      <c r="A1583" s="65" t="inlineStr">
        <is>
          <t>01/10/2009</t>
        </is>
      </c>
      <c r="B1583" s="8" t="n">
        <v>166.9307040448</v>
      </c>
      <c r="C1583" s="13" t="n"/>
      <c r="D1583" s="3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4">
      <c r="A1584" s="65" t="inlineStr">
        <is>
          <t>02/10/2009</t>
        </is>
      </c>
      <c r="B1584" s="8" t="n">
        <v>168.1891227464</v>
      </c>
      <c r="C1584" s="13" t="n"/>
      <c r="D1584" s="3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5">
      <c r="A1585" s="65" t="inlineStr">
        <is>
          <t>05/10/2009</t>
        </is>
      </c>
      <c r="B1585" s="8" t="n">
        <v>167.6038117224</v>
      </c>
      <c r="C1585" s="13" t="n"/>
      <c r="D1585" s="3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6">
      <c r="A1586" s="65" t="inlineStr">
        <is>
          <t>06/10/2009</t>
        </is>
      </c>
      <c r="B1586" s="8" t="n">
        <v>167.5745461712</v>
      </c>
      <c r="C1586" s="13" t="n"/>
      <c r="D1586" s="3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7">
      <c r="A1587" s="65" t="inlineStr">
        <is>
          <t>07/10/2009</t>
        </is>
      </c>
      <c r="B1587" s="8" t="n">
        <v>168.3647160536</v>
      </c>
      <c r="C1587" s="13" t="n"/>
      <c r="D1587" s="3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8">
      <c r="A1588" s="65" t="inlineStr">
        <is>
          <t>08/10/2009</t>
        </is>
      </c>
      <c r="B1588" s="8" t="n">
        <v>168.2769194</v>
      </c>
      <c r="C1588" s="13" t="n"/>
      <c r="D1588" s="3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9">
      <c r="A1589" s="65" t="inlineStr">
        <is>
          <t>09/10/2009</t>
        </is>
      </c>
      <c r="B1589" s="8" t="n">
        <v>166.959969596</v>
      </c>
      <c r="C1589" s="13" t="n"/>
      <c r="D1589" s="3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0">
      <c r="A1590" s="65" t="inlineStr">
        <is>
          <t>13/10/2009</t>
        </is>
      </c>
      <c r="B1590" s="8" t="n">
        <v>167.837936132</v>
      </c>
      <c r="C1590" s="13" t="n"/>
      <c r="D1590" s="3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1">
      <c r="A1591" s="65" t="inlineStr">
        <is>
          <t>14/10/2009</t>
        </is>
      </c>
      <c r="B1591" s="8" t="n">
        <v>166.2868619184</v>
      </c>
      <c r="C1591" s="13" t="n"/>
      <c r="D1591" s="3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2">
      <c r="A1592" s="65" t="inlineStr">
        <is>
          <t>15/10/2009</t>
        </is>
      </c>
      <c r="B1592" s="8" t="n">
        <v>166.9892351472</v>
      </c>
      <c r="C1592" s="13" t="n"/>
      <c r="D1592" s="3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3">
      <c r="A1593" s="65" t="inlineStr">
        <is>
          <t>16/10/2009</t>
        </is>
      </c>
      <c r="B1593" s="8" t="n">
        <v>167.1648284544</v>
      </c>
      <c r="C1593" s="13" t="n"/>
      <c r="D1593" s="3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4">
      <c r="A1594" s="65" t="inlineStr">
        <is>
          <t>19/10/2009</t>
        </is>
      </c>
      <c r="B1594" s="8" t="n">
        <v>167.3111562104</v>
      </c>
      <c r="C1594" s="13" t="n"/>
      <c r="D1594" s="3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5">
      <c r="A1595" s="65" t="inlineStr">
        <is>
          <t>20/10/2009</t>
        </is>
      </c>
      <c r="B1595" s="8" t="n">
        <v>167.6623428248</v>
      </c>
      <c r="C1595" s="13" t="n"/>
      <c r="D1595" s="3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6">
      <c r="A1596" s="65" t="inlineStr">
        <is>
          <t>21/10/2009</t>
        </is>
      </c>
      <c r="B1596" s="8" t="n">
        <v>168.3061849512</v>
      </c>
      <c r="C1596" s="13" t="n"/>
      <c r="D1596" s="3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7">
      <c r="A1597" s="65" t="inlineStr">
        <is>
          <t>22/10/2009</t>
        </is>
      </c>
      <c r="B1597" s="8" t="n">
        <v>168.6866371168</v>
      </c>
      <c r="C1597" s="13" t="n"/>
      <c r="D1597" s="3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8">
      <c r="A1598" s="65" t="inlineStr">
        <is>
          <t>23/10/2009</t>
        </is>
      </c>
      <c r="B1598" s="8" t="n">
        <v>168.3061849512</v>
      </c>
      <c r="C1598" s="13" t="n"/>
      <c r="D1598" s="3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9">
      <c r="A1599" s="65" t="inlineStr">
        <is>
          <t>26/10/2009</t>
        </is>
      </c>
      <c r="B1599" s="8" t="n">
        <v>167.106297352</v>
      </c>
      <c r="C1599" s="13" t="n"/>
      <c r="D1599" s="3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0">
      <c r="A1600" s="65" t="inlineStr">
        <is>
          <t>27/10/2009</t>
        </is>
      </c>
      <c r="B1600" s="8" t="n">
        <v>167.4867495176</v>
      </c>
      <c r="C1600" s="13" t="n"/>
      <c r="D1600" s="3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1">
      <c r="A1601" s="65" t="inlineStr">
        <is>
          <t>28/10/2009</t>
        </is>
      </c>
      <c r="B1601" s="8" t="n">
        <v>167.252625108</v>
      </c>
      <c r="C1601" s="13" t="n"/>
      <c r="D1601" s="3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2">
      <c r="A1602" s="65" t="inlineStr">
        <is>
          <t>29/10/2009</t>
        </is>
      </c>
      <c r="B1602" s="8" t="n">
        <v>167.6038117224</v>
      </c>
      <c r="C1602" s="13" t="n"/>
      <c r="D1602" s="3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3">
      <c r="A1603" s="65" t="inlineStr">
        <is>
          <t>30/10/2009</t>
        </is>
      </c>
      <c r="B1603" s="8" t="n">
        <v>168.1013260928</v>
      </c>
      <c r="C1603" s="13" t="n"/>
      <c r="D1603" s="3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4">
      <c r="A1604" s="65" t="inlineStr">
        <is>
          <t>03/11/2009</t>
        </is>
      </c>
      <c r="B1604" s="8" t="n">
        <v>167.4656117472</v>
      </c>
      <c r="C1604" s="13" t="n"/>
      <c r="D1604" s="3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5">
      <c r="A1605" s="65" t="inlineStr">
        <is>
          <t>04/11/2009</t>
        </is>
      </c>
      <c r="B1605" s="8" t="n">
        <v>168.0211017303</v>
      </c>
      <c r="C1605" s="13" t="n"/>
      <c r="D1605" s="3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6">
      <c r="A1606" s="65" t="inlineStr">
        <is>
          <t>05/11/2009</t>
        </is>
      </c>
      <c r="B1606" s="8" t="n">
        <v>167.524084377</v>
      </c>
      <c r="C1606" s="13" t="n"/>
      <c r="D1606" s="3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7">
      <c r="A1607" s="65" t="inlineStr">
        <is>
          <t>06/11/2009</t>
        </is>
      </c>
      <c r="B1607" s="8" t="n">
        <v>166.7347038747</v>
      </c>
      <c r="C1607" s="13" t="n"/>
      <c r="D1607" s="3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8">
      <c r="A1608" s="65" t="inlineStr">
        <is>
          <t>09/11/2009</t>
        </is>
      </c>
      <c r="B1608" s="8" t="n">
        <v>166.7931765045</v>
      </c>
      <c r="C1608" s="13" t="n"/>
      <c r="D1608" s="3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9">
      <c r="A1609" s="65" t="inlineStr">
        <is>
          <t>10/11/2009</t>
        </is>
      </c>
      <c r="B1609" s="8" t="n">
        <v>165.2728881297</v>
      </c>
      <c r="C1609" s="13" t="n"/>
      <c r="D1609" s="3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0">
      <c r="A1610" s="65" t="inlineStr">
        <is>
          <t>11/11/2009</t>
        </is>
      </c>
      <c r="B1610" s="8" t="n">
        <v>165.8283781128</v>
      </c>
      <c r="C1610" s="13" t="n"/>
      <c r="D1610" s="3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1">
      <c r="A1611" s="65" t="inlineStr">
        <is>
          <t>12/11/2009</t>
        </is>
      </c>
      <c r="B1611" s="8" t="n">
        <v>165.8283781128</v>
      </c>
      <c r="C1611" s="13" t="n"/>
      <c r="D1611" s="3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2">
      <c r="A1612" s="65" t="inlineStr">
        <is>
          <t>13/11/2009</t>
        </is>
      </c>
      <c r="B1612" s="8" t="n">
        <v>165.8868507426</v>
      </c>
      <c r="C1612" s="13" t="n"/>
      <c r="D1612" s="3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3">
      <c r="A1613" s="65" t="inlineStr">
        <is>
          <t>16/11/2009</t>
        </is>
      </c>
      <c r="B1613" s="8" t="n">
        <v>163.8110723847</v>
      </c>
      <c r="C1613" s="13" t="n"/>
      <c r="D1613" s="3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4">
      <c r="A1614" s="65" t="inlineStr">
        <is>
          <t>17/11/2009</t>
        </is>
      </c>
      <c r="B1614" s="8" t="n">
        <v>163.3725276612</v>
      </c>
      <c r="C1614" s="13" t="n"/>
      <c r="D1614" s="3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5">
      <c r="A1615" s="65" t="inlineStr">
        <is>
          <t>18/11/2009</t>
        </is>
      </c>
      <c r="B1615" s="8" t="n">
        <v>163.0801645122</v>
      </c>
      <c r="C1615" s="13" t="n"/>
      <c r="D1615" s="3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6">
      <c r="A1616" s="65" t="inlineStr">
        <is>
          <t>19/11/2009</t>
        </is>
      </c>
      <c r="B1616" s="8" t="n">
        <v>162.5246745291</v>
      </c>
      <c r="C1616" s="13" t="n"/>
      <c r="D1616" s="3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7">
      <c r="A1617" s="65" t="inlineStr">
        <is>
          <t>20/11/2009</t>
        </is>
      </c>
      <c r="B1617" s="8" t="n">
        <v>161.9107119162</v>
      </c>
      <c r="C1617" s="13" t="n"/>
      <c r="D1617" s="3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8">
      <c r="A1618" s="65" t="inlineStr">
        <is>
          <t>23/11/2009</t>
        </is>
      </c>
      <c r="B1618" s="8" t="n">
        <v>162.0276571758</v>
      </c>
      <c r="C1618" s="13" t="n"/>
      <c r="D1618" s="3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9">
      <c r="A1619" s="65" t="inlineStr">
        <is>
          <t>24/11/2009</t>
        </is>
      </c>
      <c r="B1619" s="8" t="n">
        <v>162.5246745291</v>
      </c>
      <c r="C1619" s="13" t="n"/>
      <c r="D1619" s="3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0">
      <c r="A1620" s="65" t="inlineStr">
        <is>
          <t>25/11/2009</t>
        </is>
      </c>
      <c r="B1620" s="8" t="n">
        <v>161.384458248</v>
      </c>
      <c r="C1620" s="13" t="n"/>
      <c r="D1620" s="3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1">
      <c r="A1621" s="65" t="inlineStr">
        <is>
          <t>26/11/2009</t>
        </is>
      </c>
      <c r="B1621" s="8" t="n">
        <v>162.3200203248</v>
      </c>
      <c r="C1621" s="13" t="n"/>
      <c r="D1621" s="3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2">
      <c r="A1622" s="65" t="inlineStr">
        <is>
          <t>27/11/2009</t>
        </is>
      </c>
      <c r="B1622" s="8" t="n">
        <v>162.2323113801</v>
      </c>
      <c r="C1622" s="13" t="n"/>
      <c r="D1622" s="3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3">
      <c r="A1623" s="65" t="inlineStr">
        <is>
          <t>30/11/2009</t>
        </is>
      </c>
      <c r="B1623" s="8" t="n">
        <v>162.1738387503</v>
      </c>
      <c r="C1623" s="13" t="n"/>
      <c r="D1623" s="3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4">
      <c r="A1624" s="65" t="inlineStr">
        <is>
          <t>01/12/2009</t>
        </is>
      </c>
      <c r="B1624" s="8" t="n">
        <v>163.3000907025</v>
      </c>
      <c r="C1624" s="13" t="n"/>
      <c r="D1624" s="3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5">
      <c r="A1625" s="65" t="inlineStr">
        <is>
          <t>02/12/2009</t>
        </is>
      </c>
      <c r="B1625" s="8" t="n">
        <v>162.9776529</v>
      </c>
      <c r="C1625" s="13" t="n"/>
      <c r="D1625" s="3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6">
      <c r="A1626" s="65" t="inlineStr">
        <is>
          <t>03/12/2009</t>
        </is>
      </c>
      <c r="B1626" s="8" t="n">
        <v>163.388028285</v>
      </c>
      <c r="C1626" s="13" t="n"/>
      <c r="D1626" s="3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7">
      <c r="A1627" s="65" t="inlineStr">
        <is>
          <t>04/12/2009</t>
        </is>
      </c>
      <c r="B1627" s="8" t="n">
        <v>164.1794665275</v>
      </c>
      <c r="C1627" s="13" t="n"/>
      <c r="D1627" s="3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8">
      <c r="A1628" s="65" t="inlineStr">
        <is>
          <t>07/12/2009</t>
        </is>
      </c>
      <c r="B1628" s="8" t="n">
        <v>164.85365466</v>
      </c>
      <c r="C1628" s="13" t="n"/>
      <c r="D1628" s="3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9">
      <c r="A1629" s="65" t="inlineStr">
        <is>
          <t>08/12/2009</t>
        </is>
      </c>
      <c r="B1629" s="8" t="n">
        <v>165.381280155</v>
      </c>
      <c r="C1629" s="13" t="n"/>
      <c r="D1629" s="3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0">
      <c r="A1630" s="65" t="inlineStr">
        <is>
          <t>09/12/2009</t>
        </is>
      </c>
      <c r="B1630" s="8" t="n">
        <v>166.084780815</v>
      </c>
      <c r="C1630" s="13" t="n"/>
      <c r="D1630" s="3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1">
      <c r="A1631" s="65" t="inlineStr">
        <is>
          <t>10/12/2009</t>
        </is>
      </c>
      <c r="B1631" s="8" t="n">
        <v>166.9934691675</v>
      </c>
      <c r="C1631" s="13" t="n"/>
      <c r="D1631" s="3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2">
      <c r="A1632" s="65" t="inlineStr">
        <is>
          <t>11/12/2009</t>
        </is>
      </c>
      <c r="B1632" s="8" t="n">
        <v>168.1073452125</v>
      </c>
      <c r="C1632" s="13" t="n"/>
      <c r="D1632" s="3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3">
      <c r="A1633" s="65" t="inlineStr">
        <is>
          <t>14/12/2009</t>
        </is>
      </c>
      <c r="B1633" s="8" t="n">
        <v>169.6315966425</v>
      </c>
      <c r="C1633" s="13" t="n"/>
      <c r="D1633" s="3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4">
      <c r="A1634" s="65" t="inlineStr">
        <is>
          <t>15/12/2009</t>
        </is>
      </c>
      <c r="B1634" s="8" t="n">
        <v>169.2212212575</v>
      </c>
      <c r="C1634" s="13" t="n"/>
      <c r="D1634" s="3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5">
      <c r="A1635" s="65" t="inlineStr">
        <is>
          <t>16/12/2009</t>
        </is>
      </c>
      <c r="B1635" s="8" t="n">
        <v>170.3937223575</v>
      </c>
      <c r="C1635" s="13" t="n"/>
      <c r="D1635" s="3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6">
      <c r="A1636" s="65" t="inlineStr">
        <is>
          <t>17/12/2009</t>
        </is>
      </c>
      <c r="B1636" s="8" t="n">
        <v>173.9698507125</v>
      </c>
      <c r="C1636" s="13" t="n"/>
      <c r="D1636" s="3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7">
      <c r="A1637" s="65" t="inlineStr">
        <is>
          <t>18/12/2009</t>
        </is>
      </c>
      <c r="B1637" s="8" t="n">
        <v>174.7026639</v>
      </c>
      <c r="C1637" s="13" t="n"/>
      <c r="D1637" s="3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8">
      <c r="A1638" s="65" t="inlineStr">
        <is>
          <t>21/12/2009</t>
        </is>
      </c>
      <c r="B1638" s="8" t="n">
        <v>176.81316588</v>
      </c>
      <c r="C1638" s="13" t="n"/>
      <c r="D1638" s="3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9">
      <c r="A1639" s="65" t="inlineStr">
        <is>
          <t>22/12/2009</t>
        </is>
      </c>
      <c r="B1639" s="8" t="n">
        <v>179.4219808275</v>
      </c>
      <c r="C1639" s="13" t="n"/>
      <c r="D1639" s="3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0">
      <c r="A1640" s="65" t="inlineStr">
        <is>
          <t>23/12/2009</t>
        </is>
      </c>
      <c r="B1640" s="8" t="n">
        <v>182.265295995</v>
      </c>
      <c r="C1640" s="13" t="n"/>
      <c r="D1640" s="3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1">
      <c r="A1641" s="65" t="inlineStr">
        <is>
          <t>28/12/2009</t>
        </is>
      </c>
      <c r="B1641" s="8" t="n">
        <v>185.84142435</v>
      </c>
      <c r="C1641" s="13" t="n"/>
      <c r="D1641" s="3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2">
      <c r="A1642" s="65" t="inlineStr">
        <is>
          <t>29/12/2009</t>
        </is>
      </c>
      <c r="B1642" s="8" t="n">
        <v>186.134549625</v>
      </c>
      <c r="C1642" s="13" t="n"/>
      <c r="D1642" s="3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3">
      <c r="A1643" s="65" t="inlineStr">
        <is>
          <t>30/12/2009</t>
        </is>
      </c>
      <c r="B1643" s="8" t="n">
        <v>189.0951149025</v>
      </c>
      <c r="C1643" s="13" t="n"/>
      <c r="D1643" s="3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4">
      <c r="A1644" s="65" t="inlineStr">
        <is>
          <t>04/01/2010</t>
        </is>
      </c>
      <c r="B1644" s="8" t="n">
        <v>191.4358846084</v>
      </c>
      <c r="C1644" s="13" t="n"/>
      <c r="D1644" s="3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5">
      <c r="A1645" s="65" t="inlineStr">
        <is>
          <t>05/01/2010</t>
        </is>
      </c>
      <c r="B1645" s="8" t="n">
        <v>194.1157539608</v>
      </c>
      <c r="C1645" s="13" t="n"/>
      <c r="D1645" s="3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6">
      <c r="A1646" s="65" t="inlineStr">
        <is>
          <t>06/01/2010</t>
        </is>
      </c>
      <c r="B1646" s="8" t="n">
        <v>198.5142351805</v>
      </c>
      <c r="C1646" s="13" t="n"/>
      <c r="D1646" s="3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7">
      <c r="A1647" s="65" t="inlineStr">
        <is>
          <t>07/01/2010</t>
        </is>
      </c>
      <c r="B1647" s="8" t="n">
        <v>202.6796842826</v>
      </c>
      <c r="C1647" s="13" t="n"/>
      <c r="D1647" s="3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8">
      <c r="A1648" s="65" t="inlineStr">
        <is>
          <t>08/01/2010</t>
        </is>
      </c>
      <c r="B1648" s="8" t="n">
        <v>206.6994883112</v>
      </c>
      <c r="C1648" s="13" t="n"/>
      <c r="D1648" s="3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9">
      <c r="A1649" s="65" t="inlineStr">
        <is>
          <t>11/01/2010</t>
        </is>
      </c>
      <c r="B1649" s="8" t="n">
        <v>206.9907784582</v>
      </c>
      <c r="C1649" s="13" t="n"/>
      <c r="D1649" s="3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0">
      <c r="A1650" s="65" t="inlineStr">
        <is>
          <t>12/01/2010</t>
        </is>
      </c>
      <c r="B1650" s="8" t="n">
        <v>207.7772618551</v>
      </c>
      <c r="C1650" s="13" t="n"/>
      <c r="D1650" s="3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1">
      <c r="A1651" s="65" t="inlineStr">
        <is>
          <t>13/01/2010</t>
        </is>
      </c>
      <c r="B1651" s="8" t="n">
        <v>206.8742623994</v>
      </c>
      <c r="C1651" s="13" t="n"/>
      <c r="D1651" s="3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2">
      <c r="A1652" s="65" t="inlineStr">
        <is>
          <t>14/01/2010</t>
        </is>
      </c>
      <c r="B1652" s="8" t="n">
        <v>206.7286173259</v>
      </c>
      <c r="C1652" s="13" t="n"/>
      <c r="D1652" s="3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3">
      <c r="A1653" s="65" t="inlineStr">
        <is>
          <t>15/01/2010</t>
        </is>
      </c>
      <c r="B1653" s="8" t="n">
        <v>208.4181001785</v>
      </c>
      <c r="C1653" s="13" t="n"/>
      <c r="D1653" s="3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4">
      <c r="A1654" s="65" t="inlineStr">
        <is>
          <t>18/01/2010</t>
        </is>
      </c>
      <c r="B1654" s="8" t="n">
        <v>209.4958737224</v>
      </c>
      <c r="C1654" s="13" t="n"/>
      <c r="D1654" s="3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5">
      <c r="A1655" s="65" t="inlineStr">
        <is>
          <t>19/01/2010</t>
        </is>
      </c>
      <c r="B1655" s="8" t="n">
        <v>208.3015841197</v>
      </c>
      <c r="C1655" s="13" t="n"/>
      <c r="D1655" s="3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6">
      <c r="A1656" s="65" t="inlineStr">
        <is>
          <t>20/01/2010</t>
        </is>
      </c>
      <c r="B1656" s="8" t="n">
        <v>208.1559390462</v>
      </c>
      <c r="C1656" s="13" t="n"/>
      <c r="D1656" s="3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7">
      <c r="A1657" s="65" t="inlineStr">
        <is>
          <t>21/01/2010</t>
        </is>
      </c>
      <c r="B1657" s="8" t="n">
        <v>209.72890584</v>
      </c>
      <c r="C1657" s="13" t="n"/>
      <c r="D1657" s="3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8">
      <c r="A1658" s="65" t="inlineStr">
        <is>
          <t>22/01/2010</t>
        </is>
      </c>
      <c r="B1658" s="8" t="n">
        <v>209.9328089429</v>
      </c>
      <c r="C1658" s="13" t="n"/>
      <c r="D1658" s="3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9">
      <c r="A1659" s="65" t="inlineStr">
        <is>
          <t>25/01/2010</t>
        </is>
      </c>
      <c r="B1659" s="8" t="n">
        <v>210.3406151487</v>
      </c>
      <c r="C1659" s="13" t="n"/>
      <c r="D1659" s="3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0">
      <c r="A1660" s="65" t="inlineStr">
        <is>
          <t>26/01/2010</t>
        </is>
      </c>
      <c r="B1660" s="8" t="n">
        <v>210.2823571193</v>
      </c>
      <c r="C1660" s="13" t="n"/>
      <c r="D1660" s="3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1">
      <c r="A1661" s="65" t="inlineStr">
        <is>
          <t>27/01/2010</t>
        </is>
      </c>
      <c r="B1661" s="8" t="n">
        <v>209.6997768253</v>
      </c>
      <c r="C1661" s="13" t="n"/>
      <c r="D1661" s="3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2">
      <c r="A1662" s="65" t="inlineStr">
        <is>
          <t>28/01/2010</t>
        </is>
      </c>
      <c r="B1662" s="8" t="n">
        <v>209.7580348547</v>
      </c>
      <c r="C1662" s="13" t="n"/>
      <c r="D1662" s="3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3">
      <c r="A1663" s="65" t="inlineStr">
        <is>
          <t>29/01/2010</t>
        </is>
      </c>
      <c r="B1663" s="8" t="n">
        <v>210.5445182516</v>
      </c>
      <c r="C1663" s="13" t="n"/>
      <c r="D1663" s="3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4">
      <c r="A1664" s="65" t="inlineStr">
        <is>
          <t>01/02/2010</t>
        </is>
      </c>
      <c r="B1664" s="8" t="n">
        <v>207.6860166926</v>
      </c>
      <c r="C1664" s="13" t="n"/>
      <c r="D1664" s="3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5">
      <c r="A1665" s="65" t="inlineStr">
        <is>
          <t>02/02/2010</t>
        </is>
      </c>
      <c r="B1665" s="8" t="n">
        <v>208.5784850205</v>
      </c>
      <c r="C1665" s="13" t="n"/>
      <c r="D1665" s="3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6">
      <c r="A1666" s="65" t="inlineStr">
        <is>
          <t>03/02/2010</t>
        </is>
      </c>
      <c r="B1666" s="8" t="n">
        <v>207.6284380908</v>
      </c>
      <c r="C1666" s="13" t="n"/>
      <c r="D1666" s="3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7">
      <c r="A1667" s="65" t="inlineStr">
        <is>
          <t>04/02/2010</t>
        </is>
      </c>
      <c r="B1667" s="8" t="n">
        <v>207.7435952944</v>
      </c>
      <c r="C1667" s="13" t="n"/>
      <c r="D1667" s="3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8">
      <c r="A1668" s="65" t="inlineStr">
        <is>
          <t>05/02/2010</t>
        </is>
      </c>
      <c r="B1668" s="8" t="n">
        <v>208.6648529232</v>
      </c>
      <c r="C1668" s="13" t="n"/>
      <c r="D1668" s="3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9">
      <c r="A1669" s="65" t="inlineStr">
        <is>
          <t>08/02/2010</t>
        </is>
      </c>
      <c r="B1669" s="8" t="n">
        <v>208.8375887286</v>
      </c>
      <c r="C1669" s="13" t="n"/>
      <c r="D1669" s="3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0">
      <c r="A1670" s="65" t="inlineStr">
        <is>
          <t>09/02/2010</t>
        </is>
      </c>
      <c r="B1670" s="8" t="n">
        <v>208.5784850205</v>
      </c>
      <c r="C1670" s="13" t="n"/>
      <c r="D1670" s="3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1">
      <c r="A1671" s="65" t="inlineStr">
        <is>
          <t>10/02/2010</t>
        </is>
      </c>
      <c r="B1671" s="8" t="n">
        <v>208.6648529232</v>
      </c>
      <c r="C1671" s="13" t="n"/>
      <c r="D1671" s="3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2">
      <c r="A1672" s="65" t="inlineStr">
        <is>
          <t>11/02/2010</t>
        </is>
      </c>
      <c r="B1672" s="8" t="n">
        <v>208.6360636223</v>
      </c>
      <c r="C1672" s="13" t="n"/>
      <c r="D1672" s="3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3">
      <c r="A1673" s="65" t="inlineStr">
        <is>
          <t>12/02/2010</t>
        </is>
      </c>
      <c r="B1673" s="8" t="n">
        <v>208.7800101268</v>
      </c>
      <c r="C1673" s="13" t="n"/>
      <c r="D1673" s="3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4">
      <c r="A1674" s="65" t="inlineStr">
        <is>
          <t>17/02/2010</t>
        </is>
      </c>
      <c r="B1674" s="8" t="n">
        <v>209.4133747466</v>
      </c>
      <c r="C1674" s="13" t="n"/>
      <c r="D1674" s="3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5">
      <c r="A1675" s="65" t="inlineStr">
        <is>
          <t>18/02/2010</t>
        </is>
      </c>
      <c r="B1675" s="8" t="n">
        <v>208.9527459322</v>
      </c>
      <c r="C1675" s="13" t="n"/>
      <c r="D1675" s="3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6">
      <c r="A1676" s="65" t="inlineStr">
        <is>
          <t>19/02/2010</t>
        </is>
      </c>
      <c r="B1676" s="8" t="n">
        <v>209.7300570565</v>
      </c>
      <c r="C1676" s="13" t="n"/>
      <c r="D1676" s="3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7">
      <c r="A1677" s="65" t="inlineStr">
        <is>
          <t>22/02/2010</t>
        </is>
      </c>
      <c r="B1677" s="8" t="n">
        <v>208.5209064187</v>
      </c>
      <c r="C1677" s="13" t="n"/>
      <c r="D1677" s="3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8">
      <c r="A1678" s="65" t="inlineStr">
        <is>
          <t>23/02/2010</t>
        </is>
      </c>
      <c r="B1678" s="8" t="n">
        <v>208.6072743214</v>
      </c>
      <c r="C1678" s="13" t="n"/>
      <c r="D1678" s="3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9">
      <c r="A1679" s="65" t="inlineStr">
        <is>
          <t>24/02/2010</t>
        </is>
      </c>
      <c r="B1679" s="8" t="n">
        <v>208.6648529232</v>
      </c>
      <c r="C1679" s="13" t="n"/>
      <c r="D1679" s="3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0">
      <c r="A1680" s="65" t="inlineStr">
        <is>
          <t>25/02/2010</t>
        </is>
      </c>
      <c r="B1680" s="8" t="n">
        <v>209.586110552</v>
      </c>
      <c r="C1680" s="13" t="n"/>
      <c r="D1680" s="3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1">
      <c r="A1681" s="65" t="inlineStr">
        <is>
          <t>26/02/2010</t>
        </is>
      </c>
      <c r="B1681" s="8" t="n">
        <v>209.3557961448</v>
      </c>
      <c r="C1681" s="13" t="n"/>
      <c r="D1681" s="3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2">
      <c r="A1682" s="65" t="inlineStr">
        <is>
          <t>01/03/2010</t>
        </is>
      </c>
      <c r="B1682" s="8" t="n">
        <v>207.1209660192</v>
      </c>
      <c r="C1682" s="13" t="n"/>
      <c r="D1682" s="3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3">
      <c r="A1683" s="65" t="inlineStr">
        <is>
          <t>02/03/2010</t>
        </is>
      </c>
      <c r="B1683" s="8" t="n">
        <v>206.7501903984</v>
      </c>
      <c r="C1683" s="13" t="n"/>
      <c r="D1683" s="3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4">
      <c r="A1684" s="65" t="inlineStr">
        <is>
          <t>03/03/2010</t>
        </is>
      </c>
      <c r="B1684" s="8" t="n">
        <v>206.2368087696</v>
      </c>
      <c r="C1684" s="13" t="n"/>
      <c r="D1684" s="3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5">
      <c r="A1685" s="65" t="inlineStr">
        <is>
          <t>04/03/2010</t>
        </is>
      </c>
      <c r="B1685" s="8" t="n">
        <v>205.1815243104</v>
      </c>
      <c r="C1685" s="13" t="n"/>
      <c r="D1685" s="3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6">
      <c r="A1686" s="65" t="inlineStr">
        <is>
          <t>05/03/2010</t>
        </is>
      </c>
      <c r="B1686" s="8" t="n">
        <v>204.5825790768</v>
      </c>
      <c r="C1686" s="13" t="n"/>
      <c r="D1686" s="3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7">
      <c r="A1687" s="65" t="inlineStr">
        <is>
          <t>08/03/2010</t>
        </is>
      </c>
      <c r="B1687" s="8" t="n">
        <v>202.8427857792</v>
      </c>
      <c r="C1687" s="13" t="n"/>
      <c r="D1687" s="3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8">
      <c r="A1688" s="65" t="inlineStr">
        <is>
          <t>09/03/2010</t>
        </is>
      </c>
      <c r="B1688" s="8" t="n">
        <v>201.8445437232</v>
      </c>
      <c r="C1688" s="13" t="n"/>
      <c r="D1688" s="3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9">
      <c r="A1689" s="65" t="inlineStr">
        <is>
          <t>10/03/2010</t>
        </is>
      </c>
      <c r="B1689" s="8" t="n">
        <v>198.3364359264</v>
      </c>
      <c r="C1689" s="13" t="n"/>
      <c r="D1689" s="3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0">
      <c r="A1690" s="65" t="inlineStr">
        <is>
          <t>11/03/2010</t>
        </is>
      </c>
      <c r="B1690" s="8" t="n">
        <v>199.6484112</v>
      </c>
      <c r="C1690" s="13" t="n"/>
      <c r="D1690" s="3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1">
      <c r="A1691" s="65" t="inlineStr">
        <is>
          <t>12/03/2010</t>
        </is>
      </c>
      <c r="B1691" s="8" t="n">
        <v>197.4807998784</v>
      </c>
      <c r="C1691" s="13" t="n"/>
      <c r="D1691" s="3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2">
      <c r="A1692" s="65" t="inlineStr">
        <is>
          <t>15/03/2010</t>
        </is>
      </c>
      <c r="B1692" s="8" t="n">
        <v>198.1653087168</v>
      </c>
      <c r="C1692" s="13" t="n"/>
      <c r="D1692" s="3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3">
      <c r="A1693" s="65" t="inlineStr">
        <is>
          <t>16/03/2010</t>
        </is>
      </c>
      <c r="B1693" s="8" t="n">
        <v>197.8515754992</v>
      </c>
      <c r="C1693" s="13" t="n"/>
      <c r="D1693" s="3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4">
      <c r="A1694" s="65" t="inlineStr">
        <is>
          <t>17/03/2010</t>
        </is>
      </c>
      <c r="B1694" s="8" t="n">
        <v>197.3952362736</v>
      </c>
      <c r="C1694" s="13" t="n"/>
      <c r="D1694" s="3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5">
      <c r="A1695" s="65" t="inlineStr">
        <is>
          <t>18/03/2010</t>
        </is>
      </c>
      <c r="B1695" s="8" t="n">
        <v>197.4522786768</v>
      </c>
      <c r="C1695" s="13" t="n"/>
      <c r="D1695" s="3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6">
      <c r="A1696" s="65" t="inlineStr">
        <is>
          <t>19/03/2010</t>
        </is>
      </c>
      <c r="B1696" s="8" t="n">
        <v>197.50932108</v>
      </c>
      <c r="C1696" s="13" t="n"/>
      <c r="D1696" s="3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7">
      <c r="A1697" s="65" t="inlineStr">
        <is>
          <t>22/03/2010</t>
        </is>
      </c>
      <c r="B1697" s="8" t="n">
        <v>195.7410065808</v>
      </c>
      <c r="C1697" s="13" t="n"/>
      <c r="D1697" s="3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8">
      <c r="A1698" s="65" t="inlineStr">
        <is>
          <t>23/03/2010</t>
        </is>
      </c>
      <c r="B1698" s="8" t="n">
        <v>194.1152980896</v>
      </c>
      <c r="C1698" s="13" t="n"/>
      <c r="D1698" s="3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9">
      <c r="A1699" s="65" t="inlineStr">
        <is>
          <t>24/03/2010</t>
        </is>
      </c>
      <c r="B1699" s="8" t="n">
        <v>194.514594912</v>
      </c>
      <c r="C1699" s="13" t="n"/>
      <c r="D1699" s="3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0">
      <c r="A1700" s="65" t="inlineStr">
        <is>
          <t>25/03/2010</t>
        </is>
      </c>
      <c r="B1700" s="8" t="n">
        <v>195.2561461536</v>
      </c>
      <c r="C1700" s="13" t="n"/>
      <c r="D1700" s="3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1">
      <c r="A1701" s="65" t="inlineStr">
        <is>
          <t>26/03/2010</t>
        </is>
      </c>
      <c r="B1701" s="8" t="n">
        <v>192.6892380096</v>
      </c>
      <c r="C1701" s="13" t="n"/>
      <c r="D1701" s="3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2">
      <c r="A1702" s="65" t="inlineStr">
        <is>
          <t>29/03/2010</t>
        </is>
      </c>
      <c r="B1702" s="8" t="n">
        <v>191.4913475424</v>
      </c>
      <c r="C1702" s="13" t="n"/>
      <c r="D1702" s="3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3">
      <c r="A1703" s="65" t="inlineStr">
        <is>
          <t>30/03/2010</t>
        </is>
      </c>
      <c r="B1703" s="8" t="n">
        <v>190.6927538976</v>
      </c>
      <c r="C1703" s="13" t="n"/>
      <c r="D1703" s="3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4">
      <c r="A1704" s="65" t="inlineStr">
        <is>
          <t>31/03/2010</t>
        </is>
      </c>
      <c r="B1704" s="8" t="n">
        <v>191.377262736</v>
      </c>
      <c r="C1704" s="13" t="n"/>
      <c r="D1704" s="3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5">
      <c r="A1705" s="65" t="inlineStr">
        <is>
          <t>01/04/2010</t>
        </is>
      </c>
      <c r="B1705" s="8" t="n">
        <v>190.1696476135</v>
      </c>
      <c r="C1705" s="13" t="n"/>
      <c r="D1705" s="3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6">
      <c r="A1706" s="65" t="inlineStr">
        <is>
          <t>05/04/2010</t>
        </is>
      </c>
      <c r="B1706" s="8" t="n">
        <v>188.669574489</v>
      </c>
      <c r="C1706" s="13" t="n"/>
      <c r="D1706" s="3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7">
      <c r="A1707" s="65" t="inlineStr">
        <is>
          <t>06/04/2010</t>
        </is>
      </c>
      <c r="B1707" s="8" t="n">
        <v>191.047048875</v>
      </c>
      <c r="C1707" s="13" t="n"/>
      <c r="D1707" s="3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8">
      <c r="A1708" s="65" t="inlineStr">
        <is>
          <t>07/04/2010</t>
        </is>
      </c>
      <c r="B1708" s="8" t="n">
        <v>190.820622743</v>
      </c>
      <c r="C1708" s="13" t="n"/>
      <c r="D1708" s="3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9">
      <c r="A1709" s="65" t="inlineStr">
        <is>
          <t>08/04/2010</t>
        </is>
      </c>
      <c r="B1709" s="8" t="n">
        <v>192.518818733</v>
      </c>
      <c r="C1709" s="13" t="n"/>
      <c r="D1709" s="3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0">
      <c r="A1710" s="65" t="inlineStr">
        <is>
          <t>09/04/2010</t>
        </is>
      </c>
      <c r="B1710" s="8" t="n">
        <v>191.5848109385</v>
      </c>
      <c r="C1710" s="13" t="n"/>
      <c r="D1710" s="3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1">
      <c r="A1711" s="65" t="inlineStr">
        <is>
          <t>12/04/2010</t>
        </is>
      </c>
      <c r="B1711" s="8" t="n">
        <v>190.6791064105</v>
      </c>
      <c r="C1711" s="13" t="n"/>
      <c r="D1711" s="3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2">
      <c r="A1712" s="65" t="inlineStr">
        <is>
          <t>13/04/2010</t>
        </is>
      </c>
      <c r="B1712" s="8" t="n">
        <v>190.3960737455</v>
      </c>
      <c r="C1712" s="13" t="n"/>
      <c r="D1712" s="3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3">
      <c r="A1713" s="65" t="inlineStr">
        <is>
          <t>14/04/2010</t>
        </is>
      </c>
      <c r="B1713" s="8" t="n">
        <v>189.4903692175</v>
      </c>
      <c r="C1713" s="13" t="n"/>
      <c r="D1713" s="3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4">
      <c r="A1714" s="65" t="inlineStr">
        <is>
          <t>15/04/2010</t>
        </is>
      </c>
      <c r="B1714" s="8" t="n">
        <v>187.5091405625</v>
      </c>
      <c r="C1714" s="13" t="n"/>
      <c r="D1714" s="3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5">
      <c r="A1715" s="65" t="inlineStr">
        <is>
          <t>16/04/2010</t>
        </is>
      </c>
      <c r="B1715" s="8" t="n">
        <v>186.971378499</v>
      </c>
      <c r="C1715" s="13" t="n"/>
      <c r="D1715" s="3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6">
      <c r="A1716" s="65" t="inlineStr">
        <is>
          <t>19/04/2010</t>
        </is>
      </c>
      <c r="B1716" s="8" t="n">
        <v>184.5656008465</v>
      </c>
      <c r="C1716" s="13" t="n"/>
      <c r="D1716" s="3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7">
      <c r="A1717" s="65" t="inlineStr">
        <is>
          <t>20/04/2010</t>
        </is>
      </c>
      <c r="B1717" s="8" t="n">
        <v>177.6029972875</v>
      </c>
      <c r="C1717" s="13" t="n"/>
      <c r="D1717" s="3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8">
      <c r="A1718" s="65" t="inlineStr">
        <is>
          <t>22/04/2010</t>
        </is>
      </c>
      <c r="B1718" s="8" t="n">
        <v>176.6972927595</v>
      </c>
      <c r="C1718" s="13" t="n"/>
      <c r="D1718" s="3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9">
      <c r="A1719" s="65" t="inlineStr">
        <is>
          <t>23/04/2010</t>
        </is>
      </c>
      <c r="B1719" s="8" t="n">
        <v>175.2255229015</v>
      </c>
      <c r="C1719" s="13" t="n"/>
      <c r="D1719" s="3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0">
      <c r="A1720" s="65" t="inlineStr">
        <is>
          <t>26/04/2010</t>
        </is>
      </c>
      <c r="B1720" s="8" t="n">
        <v>164.7533142965</v>
      </c>
      <c r="C1720" s="13" t="n"/>
      <c r="D1720" s="3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1">
      <c r="A1721" s="65" t="inlineStr">
        <is>
          <t>27/04/2010</t>
        </is>
      </c>
      <c r="B1721" s="8" t="n">
        <v>163.3947575045</v>
      </c>
      <c r="C1721" s="13" t="n"/>
      <c r="D1721" s="3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2">
      <c r="A1722" s="65" t="inlineStr">
        <is>
          <t>28/04/2010</t>
        </is>
      </c>
      <c r="B1722" s="8" t="n">
        <v>162.347536644</v>
      </c>
      <c r="C1722" s="13" t="n"/>
      <c r="D1722" s="3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3">
      <c r="A1723" s="65" t="inlineStr">
        <is>
          <t>29/04/2010</t>
        </is>
      </c>
      <c r="B1723" s="8" t="n">
        <v>155.8094820825</v>
      </c>
      <c r="C1723" s="13" t="n"/>
      <c r="D1723" s="3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4">
      <c r="A1724" s="65" t="inlineStr">
        <is>
          <t>30/04/2010</t>
        </is>
      </c>
      <c r="B1724" s="8" t="n">
        <v>153.2055815645</v>
      </c>
      <c r="C1724" s="13" t="n"/>
      <c r="D1724" s="3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5">
      <c r="A1725" s="65" t="inlineStr">
        <is>
          <t>03/05/2010</t>
        </is>
      </c>
      <c r="B1725" s="8" t="n">
        <v>146.5929633585</v>
      </c>
      <c r="C1725" s="13" t="n"/>
      <c r="D1725" s="3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6">
      <c r="A1726" s="65" t="inlineStr">
        <is>
          <t>04/05/2010</t>
        </is>
      </c>
      <c r="B1726" s="8" t="n">
        <v>143.823891927</v>
      </c>
      <c r="C1726" s="13" t="n"/>
      <c r="D1726" s="3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7">
      <c r="A1727" s="65" t="inlineStr">
        <is>
          <t>05/05/2010</t>
        </is>
      </c>
      <c r="B1727" s="8" t="n">
        <v>138.3696603195</v>
      </c>
      <c r="C1727" s="13" t="n"/>
      <c r="D1727" s="3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8">
      <c r="A1728" s="65" t="inlineStr">
        <is>
          <t>06/05/2010</t>
        </is>
      </c>
      <c r="B1728" s="8" t="n">
        <v>134.761476333</v>
      </c>
      <c r="C1728" s="13" t="n"/>
      <c r="D1728" s="3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9">
      <c r="A1729" s="65" t="inlineStr">
        <is>
          <t>07/05/2010</t>
        </is>
      </c>
      <c r="B1729" s="8" t="n">
        <v>132.5518132715</v>
      </c>
      <c r="C1729" s="13" t="n"/>
      <c r="D1729" s="3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0">
      <c r="A1730" s="65" t="inlineStr">
        <is>
          <t>10/05/2010</t>
        </is>
      </c>
      <c r="B1730" s="8" t="n">
        <v>128.8597180295</v>
      </c>
      <c r="C1730" s="13" t="n"/>
      <c r="D1730" s="3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1">
      <c r="A1731" s="65" t="inlineStr">
        <is>
          <t>11/05/2010</t>
        </is>
      </c>
      <c r="B1731" s="8" t="n">
        <v>121.4755275455</v>
      </c>
      <c r="C1731" s="13" t="n"/>
      <c r="D1731" s="3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2">
      <c r="A1732" s="65" t="inlineStr">
        <is>
          <t>12/05/2010</t>
        </is>
      </c>
      <c r="B1732" s="8" t="n">
        <v>120.4685924795</v>
      </c>
      <c r="C1732" s="13" t="n"/>
      <c r="D1732" s="3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3">
      <c r="A1733" s="65" t="inlineStr">
        <is>
          <t>13/05/2010</t>
        </is>
      </c>
      <c r="B1733" s="8" t="n">
        <v>118.9581898805</v>
      </c>
      <c r="C1733" s="13" t="n"/>
      <c r="D1733" s="3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4">
      <c r="A1734" s="65" t="inlineStr">
        <is>
          <t>14/05/2010</t>
        </is>
      </c>
      <c r="B1734" s="8" t="n">
        <v>118.2868998365</v>
      </c>
      <c r="C1734" s="13" t="n"/>
      <c r="D1734" s="3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5">
      <c r="A1735" s="65" t="inlineStr">
        <is>
          <t>17/05/2010</t>
        </is>
      </c>
      <c r="B1735" s="8" t="n">
        <v>116.6646155635</v>
      </c>
      <c r="C1735" s="13" t="n"/>
      <c r="D1735" s="3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6">
      <c r="A1736" s="65" t="inlineStr">
        <is>
          <t>18/05/2010</t>
        </is>
      </c>
      <c r="B1736" s="8" t="n">
        <v>115.79753259</v>
      </c>
      <c r="C1736" s="13" t="n"/>
      <c r="D1736" s="3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7">
      <c r="A1737" s="65" t="inlineStr">
        <is>
          <t>19/05/2010</t>
        </is>
      </c>
      <c r="B1737" s="8" t="n">
        <v>114.1472778985</v>
      </c>
      <c r="C1737" s="13" t="n"/>
      <c r="D1737" s="3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8">
      <c r="A1738" s="65" t="inlineStr">
        <is>
          <t>20/05/2010</t>
        </is>
      </c>
      <c r="B1738" s="8" t="n">
        <v>113.727721621</v>
      </c>
      <c r="C1738" s="13" t="n"/>
      <c r="D1738" s="3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9">
      <c r="A1739" s="65" t="inlineStr">
        <is>
          <t>21/05/2010</t>
        </is>
      </c>
      <c r="B1739" s="8" t="n">
        <v>113.839603295</v>
      </c>
      <c r="C1739" s="13" t="n"/>
      <c r="D1739" s="3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0">
      <c r="A1740" s="65" t="inlineStr">
        <is>
          <t>24/05/2010</t>
        </is>
      </c>
      <c r="B1740" s="8" t="n">
        <v>114.790597524</v>
      </c>
      <c r="C1740" s="13" t="n"/>
      <c r="D1740" s="3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1">
      <c r="A1741" s="65" t="inlineStr">
        <is>
          <t>25/05/2010</t>
        </is>
      </c>
      <c r="B1741" s="8" t="n">
        <v>115.3779763125</v>
      </c>
      <c r="C1741" s="13" t="n"/>
      <c r="D1741" s="3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2">
      <c r="A1742" s="65" t="inlineStr">
        <is>
          <t>26/05/2010</t>
        </is>
      </c>
      <c r="B1742" s="8" t="n">
        <v>115.517828405</v>
      </c>
      <c r="C1742" s="13" t="n"/>
      <c r="D1742" s="3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3">
      <c r="A1743" s="65" t="inlineStr">
        <is>
          <t>27/05/2010</t>
        </is>
      </c>
      <c r="B1743" s="8" t="n">
        <v>115.3220354755</v>
      </c>
      <c r="C1743" s="13" t="n"/>
      <c r="D1743" s="3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4">
      <c r="A1744" s="65" t="inlineStr">
        <is>
          <t>28/05/2010</t>
        </is>
      </c>
      <c r="B1744" s="8" t="n">
        <v>115.79753259</v>
      </c>
      <c r="C1744" s="13" t="n"/>
      <c r="D1744" s="3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5">
      <c r="A1745" s="65" t="inlineStr">
        <is>
          <t>31/05/2010</t>
        </is>
      </c>
      <c r="B1745" s="8" t="n">
        <v>115.3779763125</v>
      </c>
      <c r="C1745" s="13" t="n"/>
      <c r="D1745" s="3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6">
      <c r="A1746" s="65" t="inlineStr">
        <is>
          <t>01/06/2010</t>
        </is>
      </c>
      <c r="B1746" s="8" t="n">
        <v>113.4902851896</v>
      </c>
      <c r="C1746" s="13" t="n"/>
      <c r="D1746" s="3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7">
      <c r="A1747" s="65" t="inlineStr">
        <is>
          <t>02/06/2010</t>
        </is>
      </c>
      <c r="B1747" s="8" t="n">
        <v>112.6305103018</v>
      </c>
      <c r="C1747" s="13" t="n"/>
      <c r="D1747" s="3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8">
      <c r="A1748" s="65" t="inlineStr">
        <is>
          <t>04/06/2010</t>
        </is>
      </c>
      <c r="B1748" s="8" t="n">
        <v>111.8262047616</v>
      </c>
      <c r="C1748" s="13" t="n"/>
      <c r="D1748" s="3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9">
      <c r="A1749" s="65" t="inlineStr">
        <is>
          <t>07/06/2010</t>
        </is>
      </c>
      <c r="B1749" s="8" t="n">
        <v>112.3531635638</v>
      </c>
      <c r="C1749" s="13" t="n"/>
      <c r="D1749" s="3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0">
      <c r="A1750" s="65" t="inlineStr">
        <is>
          <t>08/06/2010</t>
        </is>
      </c>
      <c r="B1750" s="8" t="n">
        <v>113.157469104</v>
      </c>
      <c r="C1750" s="13" t="n"/>
      <c r="D1750" s="3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1">
      <c r="A1751" s="65" t="inlineStr">
        <is>
          <t>09/06/2010</t>
        </is>
      </c>
      <c r="B1751" s="8" t="n">
        <v>112.3531635638</v>
      </c>
      <c r="C1751" s="13" t="n"/>
      <c r="D1751" s="3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2">
      <c r="A1752" s="65" t="inlineStr">
        <is>
          <t>10/06/2010</t>
        </is>
      </c>
      <c r="B1752" s="8" t="n">
        <v>112.8246530184</v>
      </c>
      <c r="C1752" s="13" t="n"/>
      <c r="D1752" s="3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3">
      <c r="A1753" s="65" t="inlineStr">
        <is>
          <t>11/06/2010</t>
        </is>
      </c>
      <c r="B1753" s="8" t="n">
        <v>112.1312861734</v>
      </c>
      <c r="C1753" s="13" t="n"/>
      <c r="D1753" s="3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4">
      <c r="A1754" s="65" t="inlineStr">
        <is>
          <t>14/06/2010</t>
        </is>
      </c>
      <c r="B1754" s="8" t="n">
        <v>110.9386952</v>
      </c>
      <c r="C1754" s="13" t="n"/>
      <c r="D1754" s="3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5">
      <c r="A1755" s="65" t="inlineStr">
        <is>
          <t>15/06/2010</t>
        </is>
      </c>
      <c r="B1755" s="8" t="n">
        <v>111.5211233498</v>
      </c>
      <c r="C1755" s="13" t="n"/>
      <c r="D1755" s="3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6">
      <c r="A1756" s="65" t="inlineStr">
        <is>
          <t>16/06/2010</t>
        </is>
      </c>
      <c r="B1756" s="8" t="n">
        <v>112.0758168258</v>
      </c>
      <c r="C1756" s="13" t="n"/>
      <c r="D1756" s="3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7">
      <c r="A1757" s="65" t="inlineStr">
        <is>
          <t>17/06/2010</t>
        </is>
      </c>
      <c r="B1757" s="8" t="n">
        <v>112.0758168258</v>
      </c>
      <c r="C1757" s="13" t="n"/>
      <c r="D1757" s="3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8">
      <c r="A1758" s="65" t="inlineStr">
        <is>
          <t>18/06/2010</t>
        </is>
      </c>
      <c r="B1758" s="8" t="n">
        <v>111.8539394354</v>
      </c>
      <c r="C1758" s="13" t="n"/>
      <c r="D1758" s="3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9">
      <c r="A1759" s="65" t="inlineStr">
        <is>
          <t>21/06/2010</t>
        </is>
      </c>
      <c r="B1759" s="8" t="n">
        <v>111.7430007402</v>
      </c>
      <c r="C1759" s="13" t="n"/>
      <c r="D1759" s="3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0">
      <c r="A1760" s="65" t="inlineStr">
        <is>
          <t>22/06/2010</t>
        </is>
      </c>
      <c r="B1760" s="8" t="n">
        <v>111.6875313926</v>
      </c>
      <c r="C1760" s="13" t="n"/>
      <c r="D1760" s="3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1">
      <c r="A1761" s="65" t="inlineStr">
        <is>
          <t>23/06/2010</t>
        </is>
      </c>
      <c r="B1761" s="8" t="n">
        <v>111.770735414</v>
      </c>
      <c r="C1761" s="13" t="n"/>
      <c r="D1761" s="3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2">
      <c r="A1762" s="65" t="inlineStr">
        <is>
          <t>24/06/2010</t>
        </is>
      </c>
      <c r="B1762" s="8" t="n">
        <v>112.0758168258</v>
      </c>
      <c r="C1762" s="13" t="n"/>
      <c r="D1762" s="3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3">
      <c r="A1763" s="65" t="inlineStr">
        <is>
          <t>25/06/2010</t>
        </is>
      </c>
      <c r="B1763" s="8" t="n">
        <v>111.8816741092</v>
      </c>
      <c r="C1763" s="13" t="n"/>
      <c r="D1763" s="3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4">
      <c r="A1764" s="65" t="inlineStr">
        <is>
          <t>28/06/2010</t>
        </is>
      </c>
      <c r="B1764" s="8" t="n">
        <v>112.2699595424</v>
      </c>
      <c r="C1764" s="13" t="n"/>
      <c r="D1764" s="3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5">
      <c r="A1765" s="65" t="inlineStr">
        <is>
          <t>29/06/2010</t>
        </is>
      </c>
      <c r="B1765" s="8" t="n">
        <v>111.1328379166</v>
      </c>
      <c r="C1765" s="13" t="n"/>
      <c r="D1765" s="3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6">
      <c r="A1766" s="65" t="inlineStr">
        <is>
          <t>30/06/2010</t>
        </is>
      </c>
      <c r="B1766" s="8" t="n">
        <v>111.5211233498</v>
      </c>
      <c r="C1766" s="13" t="n"/>
      <c r="D1766" s="3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7">
      <c r="A1767" s="65" t="inlineStr">
        <is>
          <t>01/07/2010</t>
        </is>
      </c>
      <c r="B1767" s="8" t="n">
        <v>111.2987059479</v>
      </c>
      <c r="C1767" s="13" t="n"/>
      <c r="D1767" s="3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8">
      <c r="A1768" s="65" t="inlineStr">
        <is>
          <t>02/07/2010</t>
        </is>
      </c>
      <c r="B1768" s="8" t="n">
        <v>111.4371716184</v>
      </c>
      <c r="C1768" s="13" t="n"/>
      <c r="D1768" s="3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9">
      <c r="A1769" s="65" t="inlineStr">
        <is>
          <t>05/07/2010</t>
        </is>
      </c>
      <c r="B1769" s="8" t="n">
        <v>111.7141029594</v>
      </c>
      <c r="C1769" s="13" t="n"/>
      <c r="D1769" s="3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0">
      <c r="A1770" s="65" t="inlineStr">
        <is>
          <t>06/07/2010</t>
        </is>
      </c>
      <c r="B1770" s="8" t="n">
        <v>110.7448432659</v>
      </c>
      <c r="C1770" s="13" t="n"/>
      <c r="D1770" s="3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1">
      <c r="A1771" s="65" t="inlineStr">
        <is>
          <t>07/07/2010</t>
        </is>
      </c>
      <c r="B1771" s="8" t="n">
        <v>111.603330423</v>
      </c>
      <c r="C1771" s="13" t="n"/>
      <c r="D1771" s="3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2">
      <c r="A1772" s="65" t="inlineStr">
        <is>
          <t>08/07/2010</t>
        </is>
      </c>
      <c r="B1772" s="8" t="n">
        <v>111.1602402774</v>
      </c>
      <c r="C1772" s="13" t="n"/>
      <c r="D1772" s="3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3">
      <c r="A1773" s="65" t="inlineStr">
        <is>
          <t>12/07/2010</t>
        </is>
      </c>
      <c r="B1773" s="8" t="n">
        <v>111.3817853502</v>
      </c>
      <c r="C1773" s="13" t="n"/>
      <c r="D1773" s="3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4">
      <c r="A1774" s="65" t="inlineStr">
        <is>
          <t>13/07/2010</t>
        </is>
      </c>
      <c r="B1774" s="8" t="n">
        <v>111.3817853502</v>
      </c>
      <c r="C1774" s="13" t="n"/>
      <c r="D1774" s="3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5">
      <c r="A1775" s="65" t="inlineStr">
        <is>
          <t>14/07/2010</t>
        </is>
      </c>
      <c r="B1775" s="8" t="n">
        <v>111.6864098253</v>
      </c>
      <c r="C1775" s="13" t="n"/>
      <c r="D1775" s="3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6">
      <c r="A1776" s="65" t="inlineStr">
        <is>
          <t>15/07/2010</t>
        </is>
      </c>
      <c r="B1776" s="8" t="n">
        <v>112.1294999709</v>
      </c>
      <c r="C1776" s="13" t="n"/>
      <c r="D1776" s="3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7">
      <c r="A1777" s="65" t="inlineStr">
        <is>
          <t>16/07/2010</t>
        </is>
      </c>
      <c r="B1777" s="8" t="n">
        <v>112.5725901165</v>
      </c>
      <c r="C1777" s="13" t="n"/>
      <c r="D1777" s="3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8">
      <c r="A1778" s="65" t="inlineStr">
        <is>
          <t>19/07/2010</t>
        </is>
      </c>
      <c r="B1778" s="8" t="n">
        <v>113.264918469</v>
      </c>
      <c r="C1778" s="13" t="n"/>
      <c r="D1778" s="3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9">
      <c r="A1779" s="65" t="inlineStr">
        <is>
          <t>20/07/2010</t>
        </is>
      </c>
      <c r="B1779" s="8" t="n">
        <v>113.6803154805</v>
      </c>
      <c r="C1779" s="13" t="n"/>
      <c r="D1779" s="3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0">
      <c r="A1780" s="65" t="inlineStr">
        <is>
          <t>21/07/2010</t>
        </is>
      </c>
      <c r="B1780" s="8" t="n">
        <v>113.8464742851</v>
      </c>
      <c r="C1780" s="13" t="n"/>
      <c r="D1780" s="3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1">
      <c r="A1781" s="65" t="inlineStr">
        <is>
          <t>22/07/2010</t>
        </is>
      </c>
      <c r="B1781" s="8" t="n">
        <v>114.1234056261</v>
      </c>
      <c r="C1781" s="13" t="n"/>
      <c r="D1781" s="3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2">
      <c r="A1782" s="65" t="inlineStr">
        <is>
          <t>23/07/2010</t>
        </is>
      </c>
      <c r="B1782" s="8" t="n">
        <v>113.9018605533</v>
      </c>
      <c r="C1782" s="13" t="n"/>
      <c r="D1782" s="3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3">
      <c r="A1783" s="65" t="inlineStr">
        <is>
          <t>26/07/2010</t>
        </is>
      </c>
      <c r="B1783" s="8" t="n">
        <v>113.9295536874</v>
      </c>
      <c r="C1783" s="13" t="n"/>
      <c r="D1783" s="3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4">
      <c r="A1784" s="65" t="inlineStr">
        <is>
          <t>27/07/2010</t>
        </is>
      </c>
      <c r="B1784" s="8" t="n">
        <v>115.0649721855</v>
      </c>
      <c r="C1784" s="13" t="n"/>
      <c r="D1784" s="3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5">
      <c r="A1785" s="65" t="inlineStr">
        <is>
          <t>28/07/2010</t>
        </is>
      </c>
      <c r="B1785" s="8" t="n">
        <v>116.5050151587</v>
      </c>
      <c r="C1785" s="13" t="n"/>
      <c r="D1785" s="3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6">
      <c r="A1786" s="65" t="inlineStr">
        <is>
          <t>30/07/2010</t>
        </is>
      </c>
      <c r="B1786" s="8" t="n">
        <v>119.3851011051</v>
      </c>
      <c r="C1786" s="13" t="n"/>
      <c r="D1786" s="3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7">
      <c r="A1787" s="65" t="inlineStr">
        <is>
          <t>02/08/2010</t>
        </is>
      </c>
      <c r="B1787" s="8" t="n">
        <v>118.1430815637</v>
      </c>
      <c r="C1787" s="13" t="n"/>
      <c r="D1787" s="3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8">
      <c r="A1788" s="65" t="inlineStr">
        <is>
          <t>03/08/2010</t>
        </is>
      </c>
      <c r="B1788" s="8" t="n">
        <v>119.4347132998</v>
      </c>
      <c r="C1788" s="13" t="n"/>
      <c r="D1788" s="3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9">
      <c r="A1789" s="65" t="inlineStr">
        <is>
          <t>04/08/2010</t>
        </is>
      </c>
      <c r="B1789" s="8" t="n">
        <v>122.1828659298</v>
      </c>
      <c r="C1789" s="13" t="n"/>
      <c r="D1789" s="3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0">
      <c r="A1790" s="65" t="inlineStr">
        <is>
          <t>05/08/2010</t>
        </is>
      </c>
      <c r="B1790" s="8" t="n">
        <v>122.292792035</v>
      </c>
      <c r="C1790" s="13" t="n"/>
      <c r="D1790" s="3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1">
      <c r="A1791" s="65" t="inlineStr">
        <is>
          <t>06/08/2010</t>
        </is>
      </c>
      <c r="B1791" s="8" t="n">
        <v>122.5126442454</v>
      </c>
      <c r="C1791" s="13" t="n"/>
      <c r="D1791" s="3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2">
      <c r="A1792" s="65" t="inlineStr">
        <is>
          <t>09/08/2010</t>
        </is>
      </c>
      <c r="B1792" s="8" t="n">
        <v>122.4027181402</v>
      </c>
      <c r="C1792" s="13" t="n"/>
      <c r="D1792" s="3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3">
      <c r="A1793" s="65" t="inlineStr">
        <is>
          <t>10/08/2010</t>
        </is>
      </c>
      <c r="B1793" s="8" t="n">
        <v>122.9798301925</v>
      </c>
      <c r="C1793" s="13" t="n"/>
      <c r="D1793" s="3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4">
      <c r="A1794" s="65" t="inlineStr">
        <is>
          <t>11/08/2010</t>
        </is>
      </c>
      <c r="B1794" s="8" t="n">
        <v>123.1447193503</v>
      </c>
      <c r="C1794" s="13" t="n"/>
      <c r="D1794" s="3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5">
      <c r="A1795" s="65" t="inlineStr">
        <is>
          <t>12/08/2010</t>
        </is>
      </c>
      <c r="B1795" s="8" t="n">
        <v>125.0959077176</v>
      </c>
      <c r="C1795" s="13" t="n"/>
      <c r="D1795" s="3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6">
      <c r="A1796" s="65" t="inlineStr">
        <is>
          <t>13/08/2010</t>
        </is>
      </c>
      <c r="B1796" s="8" t="n">
        <v>125.7005012962</v>
      </c>
      <c r="C1796" s="13" t="n"/>
      <c r="D1796" s="3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7">
      <c r="A1797" s="65" t="inlineStr">
        <is>
          <t>16/08/2010</t>
        </is>
      </c>
      <c r="B1797" s="8" t="n">
        <v>128.5860615577</v>
      </c>
      <c r="C1797" s="13" t="n"/>
      <c r="D1797" s="3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8">
      <c r="A1798" s="65" t="inlineStr">
        <is>
          <t>17/08/2010</t>
        </is>
      </c>
      <c r="B1798" s="8" t="n">
        <v>129.2730997152</v>
      </c>
      <c r="C1798" s="13" t="n"/>
      <c r="D1798" s="3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9">
      <c r="A1799" s="65" t="inlineStr">
        <is>
          <t>18/08/2010</t>
        </is>
      </c>
      <c r="B1799" s="8" t="n">
        <v>129.5204334519</v>
      </c>
      <c r="C1799" s="13" t="n"/>
      <c r="D1799" s="3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0">
      <c r="A1800" s="65" t="inlineStr">
        <is>
          <t>19/08/2010</t>
        </is>
      </c>
      <c r="B1800" s="8" t="n">
        <v>130.7571021354</v>
      </c>
      <c r="C1800" s="13" t="n"/>
      <c r="D1800" s="3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1">
      <c r="A1801" s="65" t="inlineStr">
        <is>
          <t>20/08/2010</t>
        </is>
      </c>
      <c r="B1801" s="8" t="n">
        <v>131.2792511351</v>
      </c>
      <c r="C1801" s="13" t="n"/>
      <c r="D1801" s="3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2">
      <c r="A1802" s="65" t="inlineStr">
        <is>
          <t>24/08/2010</t>
        </is>
      </c>
      <c r="B1802" s="8" t="n">
        <v>131.8288816611</v>
      </c>
      <c r="C1802" s="13" t="n"/>
      <c r="D1802" s="3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3">
      <c r="A1803" s="65" t="inlineStr">
        <is>
          <t>26/08/2010</t>
        </is>
      </c>
      <c r="B1803" s="8" t="n">
        <v>133.5052547654</v>
      </c>
      <c r="C1803" s="13" t="n"/>
      <c r="D1803" s="3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4">
      <c r="A1804" s="65" t="inlineStr">
        <is>
          <t>27/08/2010</t>
        </is>
      </c>
      <c r="B1804" s="8" t="n">
        <v>133.285402555</v>
      </c>
      <c r="C1804" s="13" t="n"/>
      <c r="D1804" s="3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5">
      <c r="A1805" s="65" t="inlineStr">
        <is>
          <t>30/08/2010</t>
        </is>
      </c>
      <c r="B1805" s="8" t="n">
        <v>134.0548852914</v>
      </c>
      <c r="C1805" s="13" t="n"/>
      <c r="D1805" s="3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6">
      <c r="A1806" s="65" t="inlineStr">
        <is>
          <t>31/08/2010</t>
        </is>
      </c>
      <c r="B1806" s="8" t="n">
        <v>135.758739922</v>
      </c>
      <c r="C1806" s="13" t="n"/>
      <c r="D1806" s="3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7">
      <c r="A1807" s="65" t="inlineStr">
        <is>
          <t>01/09/2010</t>
        </is>
      </c>
      <c r="B1807" s="8" t="n">
        <v>135.2476896982</v>
      </c>
      <c r="C1807" s="13" t="n"/>
      <c r="D1807" s="3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8">
      <c r="A1808" s="65" t="inlineStr">
        <is>
          <t>02/09/2010</t>
        </is>
      </c>
      <c r="B1808" s="8" t="n">
        <v>135.9812549095</v>
      </c>
      <c r="C1808" s="13" t="n"/>
      <c r="D1808" s="3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9">
      <c r="A1809" s="65" t="inlineStr">
        <is>
          <t>03/09/2010</t>
        </is>
      </c>
      <c r="B1809" s="8" t="n">
        <v>137.3125399226</v>
      </c>
      <c r="C1809" s="13" t="n"/>
      <c r="D1809" s="3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0">
      <c r="A1810" s="65" t="inlineStr">
        <is>
          <t>06/09/2010</t>
        </is>
      </c>
      <c r="B1810" s="8" t="n">
        <v>137.9374288063</v>
      </c>
      <c r="C1810" s="13" t="n"/>
      <c r="D1810" s="3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1">
      <c r="A1811" s="65" t="inlineStr">
        <is>
          <t>08/09/2010</t>
        </is>
      </c>
      <c r="B1811" s="8" t="n">
        <v>138.834008509</v>
      </c>
      <c r="C1811" s="13" t="n"/>
      <c r="D1811" s="3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2">
      <c r="A1812" s="65" t="inlineStr">
        <is>
          <t>09/09/2010</t>
        </is>
      </c>
      <c r="B1812" s="8" t="n">
        <v>139.8120954574</v>
      </c>
      <c r="C1812" s="13" t="n"/>
      <c r="D1812" s="3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3">
      <c r="A1813" s="65" t="inlineStr">
        <is>
          <t>10/09/2010</t>
        </is>
      </c>
      <c r="B1813" s="8" t="n">
        <v>141.0618732248</v>
      </c>
      <c r="C1813" s="13" t="n"/>
      <c r="D1813" s="3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4">
      <c r="A1814" s="65" t="inlineStr">
        <is>
          <t>13/09/2010</t>
        </is>
      </c>
      <c r="B1814" s="8" t="n">
        <v>143.5614287596</v>
      </c>
      <c r="C1814" s="13" t="n"/>
      <c r="D1814" s="3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5">
      <c r="A1815" s="65" t="inlineStr">
        <is>
          <t>14/09/2010</t>
        </is>
      </c>
      <c r="B1815" s="8" t="n">
        <v>149.3484432043</v>
      </c>
      <c r="C1815" s="13" t="n"/>
      <c r="D1815" s="3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6">
      <c r="A1816" s="65" t="inlineStr">
        <is>
          <t>15/09/2010</t>
        </is>
      </c>
      <c r="B1816" s="8" t="n">
        <v>151.3589552649</v>
      </c>
      <c r="C1816" s="13" t="n"/>
      <c r="D1816" s="3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7">
      <c r="A1817" s="65" t="inlineStr">
        <is>
          <t>16/09/2010</t>
        </is>
      </c>
      <c r="B1817" s="8" t="n">
        <v>153.9671871273</v>
      </c>
      <c r="C1817" s="13" t="n"/>
      <c r="D1817" s="3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8">
      <c r="A1818" s="65" t="inlineStr">
        <is>
          <t>17/09/2010</t>
        </is>
      </c>
      <c r="B1818" s="8" t="n">
        <v>156.6840953173</v>
      </c>
      <c r="C1818" s="13" t="n"/>
      <c r="D1818" s="3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9">
      <c r="A1819" s="65" t="inlineStr">
        <is>
          <t>20/09/2010</t>
        </is>
      </c>
      <c r="B1819" s="8" t="n">
        <v>159.2379890159</v>
      </c>
      <c r="C1819" s="13" t="n"/>
      <c r="D1819" s="3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0">
      <c r="A1820" s="65" t="inlineStr">
        <is>
          <t>21/09/2010</t>
        </is>
      </c>
      <c r="B1820" s="8" t="n">
        <v>160.8681339299</v>
      </c>
      <c r="C1820" s="13" t="n"/>
      <c r="D1820" s="3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1">
      <c r="A1821" s="65" t="inlineStr">
        <is>
          <t>22/09/2010</t>
        </is>
      </c>
      <c r="B1821" s="8" t="n">
        <v>164.2371000855</v>
      </c>
      <c r="C1821" s="13" t="n"/>
      <c r="D1821" s="3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2">
      <c r="A1822" s="65" t="inlineStr">
        <is>
          <t>23/09/2010</t>
        </is>
      </c>
      <c r="B1822" s="8" t="n">
        <v>166.9268391936</v>
      </c>
      <c r="C1822" s="13" t="n"/>
      <c r="D1822" s="3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3">
      <c r="A1823" s="65" t="inlineStr">
        <is>
          <t>24/09/2010</t>
        </is>
      </c>
      <c r="B1823" s="8" t="n">
        <v>168.9645203361</v>
      </c>
      <c r="C1823" s="13" t="n"/>
      <c r="D1823" s="3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4">
      <c r="A1824" s="65" t="inlineStr">
        <is>
          <t>27/09/2010</t>
        </is>
      </c>
      <c r="B1824" s="8" t="n">
        <v>171.7629357718</v>
      </c>
      <c r="C1824" s="13" t="n"/>
      <c r="D1824" s="3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5">
      <c r="A1825" s="65" t="inlineStr">
        <is>
          <t>28/09/2010</t>
        </is>
      </c>
      <c r="B1825" s="8" t="n">
        <v>175.1047328455</v>
      </c>
      <c r="C1825" s="13" t="n"/>
      <c r="D1825" s="3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6">
      <c r="A1826" s="65" t="inlineStr">
        <is>
          <t>29/09/2010</t>
        </is>
      </c>
      <c r="B1826" s="8" t="n">
        <v>178.500868083</v>
      </c>
      <c r="C1826" s="13" t="n"/>
      <c r="D1826" s="3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7">
      <c r="A1827" s="65" t="inlineStr">
        <is>
          <t>30/09/2010</t>
        </is>
      </c>
      <c r="B1827" s="8" t="n">
        <v>180.1581820789</v>
      </c>
      <c r="C1827" s="13" t="n"/>
      <c r="D1827" s="3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8">
      <c r="A1828" s="65" t="inlineStr">
        <is>
          <t>01/10/2010</t>
        </is>
      </c>
      <c r="B1828" s="8" t="n">
        <v>180.992725722</v>
      </c>
      <c r="C1828" s="13" t="n"/>
      <c r="D1828" s="3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9">
      <c r="A1829" s="65" t="inlineStr">
        <is>
          <t>04/10/2010</t>
        </is>
      </c>
      <c r="B1829" s="8" t="n">
        <v>182.149314696</v>
      </c>
      <c r="C1829" s="13" t="n"/>
      <c r="D1829" s="3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0">
      <c r="A1830" s="65" t="inlineStr">
        <is>
          <t>05/10/2010</t>
        </is>
      </c>
      <c r="B1830" s="8" t="n">
        <v>184.059031374</v>
      </c>
      <c r="C1830" s="13" t="n"/>
      <c r="D1830" s="3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1">
      <c r="A1831" s="65" t="inlineStr">
        <is>
          <t>06/10/2010</t>
        </is>
      </c>
      <c r="B1831" s="8" t="n">
        <v>186.39910674</v>
      </c>
      <c r="C1831" s="13" t="n"/>
      <c r="D1831" s="3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2">
      <c r="A1832" s="65" t="inlineStr">
        <is>
          <t>07/10/2010</t>
        </is>
      </c>
      <c r="B1832" s="8" t="n">
        <v>188.873669196</v>
      </c>
      <c r="C1832" s="13" t="n"/>
      <c r="D1832" s="3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3">
      <c r="A1833" s="65" t="inlineStr">
        <is>
          <t>08/10/2010</t>
        </is>
      </c>
      <c r="B1833" s="8" t="n">
        <v>192.101359356</v>
      </c>
      <c r="C1833" s="13" t="n"/>
      <c r="D1833" s="3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4">
      <c r="A1834" s="65" t="inlineStr">
        <is>
          <t>11/10/2010</t>
        </is>
      </c>
      <c r="B1834" s="8" t="n">
        <v>191.993769684</v>
      </c>
      <c r="C1834" s="13" t="n"/>
      <c r="D1834" s="3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5">
      <c r="A1835" s="65" t="inlineStr">
        <is>
          <t>13/10/2010</t>
        </is>
      </c>
      <c r="B1835" s="8" t="n">
        <v>192.3165387</v>
      </c>
      <c r="C1835" s="13" t="n"/>
      <c r="D1835" s="3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6">
      <c r="A1836" s="65" t="inlineStr">
        <is>
          <t>14/10/2010</t>
        </is>
      </c>
      <c r="B1836" s="8" t="n">
        <v>192.58551288</v>
      </c>
      <c r="C1836" s="13" t="n"/>
      <c r="D1836" s="3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7">
      <c r="A1837" s="65" t="inlineStr">
        <is>
          <t>15/10/2010</t>
        </is>
      </c>
      <c r="B1837" s="8" t="n">
        <v>193.500025092</v>
      </c>
      <c r="C1837" s="13" t="n"/>
      <c r="D1837" s="3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8">
      <c r="A1838" s="65" t="inlineStr">
        <is>
          <t>18/10/2010</t>
        </is>
      </c>
      <c r="B1838" s="8" t="n">
        <v>194.522126976</v>
      </c>
      <c r="C1838" s="13" t="n"/>
      <c r="D1838" s="3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9">
      <c r="A1839" s="65" t="inlineStr">
        <is>
          <t>19/10/2010</t>
        </is>
      </c>
      <c r="B1839" s="8" t="n">
        <v>194.60281923</v>
      </c>
      <c r="C1839" s="13" t="n"/>
      <c r="D1839" s="3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0">
      <c r="A1840" s="65" t="inlineStr">
        <is>
          <t>20/10/2010</t>
        </is>
      </c>
      <c r="B1840" s="8" t="n">
        <v>194.952485664</v>
      </c>
      <c r="C1840" s="13" t="n"/>
      <c r="D1840" s="3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1">
      <c r="A1841" s="65" t="inlineStr">
        <is>
          <t>21/10/2010</t>
        </is>
      </c>
      <c r="B1841" s="8" t="n">
        <v>195.40974177</v>
      </c>
      <c r="C1841" s="13" t="n"/>
      <c r="D1841" s="3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2">
      <c r="A1842" s="65" t="inlineStr">
        <is>
          <t>22/10/2010</t>
        </is>
      </c>
      <c r="B1842" s="8" t="n">
        <v>196.996689432</v>
      </c>
      <c r="C1842" s="13" t="n"/>
      <c r="D1842" s="3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3">
      <c r="A1843" s="65" t="inlineStr">
        <is>
          <t>25/10/2010</t>
        </is>
      </c>
      <c r="B1843" s="8" t="n">
        <v>197.991893898</v>
      </c>
      <c r="C1843" s="13" t="n"/>
      <c r="D1843" s="3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4">
      <c r="A1844" s="65" t="inlineStr">
        <is>
          <t>26/10/2010</t>
        </is>
      </c>
      <c r="B1844" s="8" t="n">
        <v>197.884304226</v>
      </c>
      <c r="C1844" s="13" t="n"/>
      <c r="D1844" s="3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5">
      <c r="A1845" s="65" t="inlineStr">
        <is>
          <t>27/10/2010</t>
        </is>
      </c>
      <c r="B1845" s="8" t="n">
        <v>198.287765496</v>
      </c>
      <c r="C1845" s="13" t="n"/>
      <c r="D1845" s="3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6">
      <c r="A1846" s="65" t="inlineStr">
        <is>
          <t>28/10/2010</t>
        </is>
      </c>
      <c r="B1846" s="8" t="n">
        <v>200.143687338</v>
      </c>
      <c r="C1846" s="13" t="n"/>
      <c r="D1846" s="3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7">
      <c r="A1847" s="65" t="inlineStr">
        <is>
          <t>29/10/2010</t>
        </is>
      </c>
      <c r="B1847" s="8" t="n">
        <v>200.331969264</v>
      </c>
      <c r="C1847" s="13" t="n"/>
      <c r="D1847" s="3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8">
      <c r="A1848" s="65" t="inlineStr">
        <is>
          <t>01/11/2010</t>
        </is>
      </c>
      <c r="B1848" s="8" t="n">
        <v>197.6807766432</v>
      </c>
      <c r="C1848" s="13" t="n"/>
      <c r="D1848" s="3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9">
      <c r="A1849" s="65" t="inlineStr">
        <is>
          <t>03/11/2010</t>
        </is>
      </c>
      <c r="B1849" s="8" t="n">
        <v>197.786828562</v>
      </c>
      <c r="C1849" s="13" t="n"/>
      <c r="D1849" s="3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0">
      <c r="A1850" s="65" t="inlineStr">
        <is>
          <t>04/11/2010</t>
        </is>
      </c>
      <c r="B1850" s="8" t="n">
        <v>196.7528223537</v>
      </c>
      <c r="C1850" s="13" t="n"/>
      <c r="D1850" s="3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1">
      <c r="A1851" s="65" t="inlineStr">
        <is>
          <t>05/11/2010</t>
        </is>
      </c>
      <c r="B1851" s="8" t="n">
        <v>198.2110362372</v>
      </c>
      <c r="C1851" s="13" t="n"/>
      <c r="D1851" s="3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2">
      <c r="A1852" s="65" t="inlineStr">
        <is>
          <t>08/11/2010</t>
        </is>
      </c>
      <c r="B1852" s="8" t="n">
        <v>201.2600289027</v>
      </c>
      <c r="C1852" s="13" t="n"/>
      <c r="D1852" s="3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3">
      <c r="A1853" s="65" t="inlineStr">
        <is>
          <t>09/11/2010</t>
        </is>
      </c>
      <c r="B1853" s="8" t="n">
        <v>198.9003737094</v>
      </c>
      <c r="C1853" s="13" t="n"/>
      <c r="D1853" s="3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4">
      <c r="A1854" s="65" t="inlineStr">
        <is>
          <t>10/11/2010</t>
        </is>
      </c>
      <c r="B1854" s="8" t="n">
        <v>200.968386126</v>
      </c>
      <c r="C1854" s="13" t="n"/>
      <c r="D1854" s="3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5">
      <c r="A1855" s="65" t="inlineStr">
        <is>
          <t>11/11/2010</t>
        </is>
      </c>
      <c r="B1855" s="8" t="n">
        <v>201.8698274358</v>
      </c>
      <c r="C1855" s="13" t="n"/>
      <c r="D1855" s="3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6">
      <c r="A1856" s="65" t="inlineStr">
        <is>
          <t>12/11/2010</t>
        </is>
      </c>
      <c r="B1856" s="8" t="n">
        <v>198.9533996688</v>
      </c>
      <c r="C1856" s="13" t="n"/>
      <c r="D1856" s="3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7">
      <c r="A1857" s="65" t="inlineStr">
        <is>
          <t>16/11/2010</t>
        </is>
      </c>
      <c r="B1857" s="8" t="n">
        <v>198.9268866891</v>
      </c>
      <c r="C1857" s="13" t="n"/>
      <c r="D1857" s="3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8">
      <c r="A1858" s="65" t="inlineStr">
        <is>
          <t>17/11/2010</t>
        </is>
      </c>
      <c r="B1858" s="8" t="n">
        <v>199.1655035064</v>
      </c>
      <c r="C1858" s="13" t="n"/>
      <c r="D1858" s="3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9">
      <c r="A1859" s="65" t="inlineStr">
        <is>
          <t>18/11/2010</t>
        </is>
      </c>
      <c r="B1859" s="8" t="n">
        <v>200.2790486538</v>
      </c>
      <c r="C1859" s="13" t="n"/>
      <c r="D1859" s="3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0">
      <c r="A1860" s="65" t="inlineStr">
        <is>
          <t>19/11/2010</t>
        </is>
      </c>
      <c r="B1860" s="8" t="n">
        <v>198.317088156</v>
      </c>
      <c r="C1860" s="13" t="n"/>
      <c r="D1860" s="3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1">
      <c r="A1861" s="65" t="inlineStr">
        <is>
          <t>22/11/2010</t>
        </is>
      </c>
      <c r="B1861" s="8" t="n">
        <v>197.8398545214</v>
      </c>
      <c r="C1861" s="13" t="n"/>
      <c r="D1861" s="3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2">
      <c r="A1862" s="65" t="inlineStr">
        <is>
          <t>23/11/2010</t>
        </is>
      </c>
      <c r="B1862" s="8" t="n">
        <v>198.5557049733</v>
      </c>
      <c r="C1862" s="13" t="n"/>
      <c r="D1862" s="3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3">
      <c r="A1863" s="65" t="inlineStr">
        <is>
          <t>24/11/2010</t>
        </is>
      </c>
      <c r="B1863" s="8" t="n">
        <v>200.0404318365</v>
      </c>
      <c r="C1863" s="13" t="n"/>
      <c r="D1863" s="3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4">
      <c r="A1864" s="65" t="inlineStr">
        <is>
          <t>25/11/2010</t>
        </is>
      </c>
      <c r="B1864" s="8" t="n">
        <v>201.6046976388</v>
      </c>
      <c r="C1864" s="13" t="n"/>
      <c r="D1864" s="3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5">
      <c r="A1865" s="65" t="inlineStr">
        <is>
          <t>26/11/2010</t>
        </is>
      </c>
      <c r="B1865" s="8" t="n">
        <v>201.7902884967</v>
      </c>
      <c r="C1865" s="13" t="n"/>
      <c r="D1865" s="3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6">
      <c r="A1866" s="65" t="inlineStr">
        <is>
          <t>29/11/2010</t>
        </is>
      </c>
      <c r="B1866" s="8" t="n">
        <v>200.2260226944</v>
      </c>
      <c r="C1866" s="13" t="n"/>
      <c r="D1866" s="3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7">
      <c r="A1867" s="65" t="inlineStr">
        <is>
          <t>30/11/2010</t>
        </is>
      </c>
      <c r="B1867" s="8" t="n">
        <v>200.3320746132</v>
      </c>
      <c r="C1867" s="13" t="n"/>
      <c r="D1867" s="3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8">
      <c r="A1868" s="65" t="inlineStr">
        <is>
          <t>01/12/2010</t>
        </is>
      </c>
      <c r="B1868" s="8" t="n">
        <v>199.0909124218</v>
      </c>
      <c r="C1868" s="13" t="n"/>
      <c r="D1868" s="3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9">
      <c r="A1869" s="65" t="inlineStr">
        <is>
          <t>02/12/2010</t>
        </is>
      </c>
      <c r="B1869" s="8" t="n">
        <v>196.9844089178</v>
      </c>
      <c r="C1869" s="13" t="n"/>
      <c r="D1869" s="3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0">
      <c r="A1870" s="65" t="inlineStr">
        <is>
          <t>03/12/2010</t>
        </is>
      </c>
      <c r="B1870" s="8" t="n">
        <v>198.7749368962</v>
      </c>
      <c r="C1870" s="13" t="n"/>
      <c r="D1870" s="3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1">
      <c r="A1871" s="65" t="inlineStr">
        <is>
          <t>06/12/2010</t>
        </is>
      </c>
      <c r="B1871" s="8" t="n">
        <v>199.6965321792</v>
      </c>
      <c r="C1871" s="13" t="n"/>
      <c r="D1871" s="3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2">
      <c r="A1872" s="65" t="inlineStr">
        <is>
          <t>07/12/2010</t>
        </is>
      </c>
      <c r="B1872" s="8" t="n">
        <v>200.4338084056</v>
      </c>
      <c r="C1872" s="13" t="n"/>
      <c r="D1872" s="3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3">
      <c r="A1873" s="65" t="inlineStr">
        <is>
          <t>08/12/2010</t>
        </is>
      </c>
      <c r="B1873" s="8" t="n">
        <v>197.8270103194</v>
      </c>
      <c r="C1873" s="13" t="n"/>
      <c r="D1873" s="3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4">
      <c r="A1874" s="65" t="inlineStr">
        <is>
          <t>10/12/2010</t>
        </is>
      </c>
      <c r="B1874" s="8" t="n">
        <v>197.1687279744</v>
      </c>
      <c r="C1874" s="13" t="n"/>
      <c r="D1874" s="3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5">
      <c r="A1875" s="65" t="inlineStr">
        <is>
          <t>13/12/2010</t>
        </is>
      </c>
      <c r="B1875" s="8" t="n">
        <v>196.5104456294</v>
      </c>
      <c r="C1875" s="13" t="n"/>
      <c r="D1875" s="3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6">
      <c r="A1876" s="65" t="inlineStr">
        <is>
          <t>14/12/2010</t>
        </is>
      </c>
      <c r="B1876" s="8" t="n">
        <v>197.2477218558</v>
      </c>
      <c r="C1876" s="13" t="n"/>
      <c r="D1876" s="3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7">
      <c r="A1877" s="65" t="inlineStr">
        <is>
          <t>15/12/2010</t>
        </is>
      </c>
      <c r="B1877" s="8" t="n">
        <v>197.6426912628</v>
      </c>
      <c r="C1877" s="13" t="n"/>
      <c r="D1877" s="3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8">
      <c r="A1878" s="65" t="inlineStr">
        <is>
          <t>16/12/2010</t>
        </is>
      </c>
      <c r="B1878" s="8" t="n">
        <v>196.694764686</v>
      </c>
      <c r="C1878" s="13" t="n"/>
      <c r="D1878" s="3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9">
      <c r="A1879" s="65" t="inlineStr">
        <is>
          <t>17/12/2010</t>
        </is>
      </c>
      <c r="B1879" s="8" t="n">
        <v>198.142985845</v>
      </c>
      <c r="C1879" s="13" t="n"/>
      <c r="D1879" s="3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0">
      <c r="A1880" s="65" t="inlineStr">
        <is>
          <t>20/12/2010</t>
        </is>
      </c>
      <c r="B1880" s="8" t="n">
        <v>199.064581128</v>
      </c>
      <c r="C1880" s="13" t="n"/>
      <c r="D1880" s="3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1">
      <c r="A1881" s="65" t="inlineStr">
        <is>
          <t>21/12/2010</t>
        </is>
      </c>
      <c r="B1881" s="8" t="n">
        <v>199.0382498342</v>
      </c>
      <c r="C1881" s="13" t="n"/>
      <c r="D1881" s="3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2">
      <c r="A1882" s="65" t="inlineStr">
        <is>
          <t>22/12/2010</t>
        </is>
      </c>
      <c r="B1882" s="8" t="n">
        <v>200.644458756</v>
      </c>
      <c r="C1882" s="13" t="n"/>
      <c r="D1882" s="3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3">
      <c r="A1883" s="65" t="inlineStr">
        <is>
          <t>23/12/2010</t>
        </is>
      </c>
      <c r="B1883" s="8" t="n">
        <v>199.6965321792</v>
      </c>
      <c r="C1883" s="13" t="n"/>
      <c r="D1883" s="3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4">
      <c r="A1884" s="65" t="inlineStr">
        <is>
          <t>27/12/2010</t>
        </is>
      </c>
      <c r="B1884" s="8" t="n">
        <v>200.0125077048</v>
      </c>
      <c r="C1884" s="13" t="n"/>
      <c r="D1884" s="3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5">
      <c r="A1885" s="65" t="inlineStr">
        <is>
          <t>28/12/2010</t>
        </is>
      </c>
      <c r="B1885" s="8" t="n">
        <v>200.6971213436</v>
      </c>
      <c r="C1885" s="13" t="n"/>
      <c r="D1885" s="3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6">
      <c r="A1886" s="65" t="inlineStr">
        <is>
          <t>29/12/2010</t>
        </is>
      </c>
      <c r="B1886" s="8" t="n">
        <v>201.171084632</v>
      </c>
      <c r="C1886" s="13" t="n"/>
      <c r="D1886" s="3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7">
      <c r="A1887" s="65" t="inlineStr">
        <is>
          <t>30/12/2010</t>
        </is>
      </c>
      <c r="B1887" s="8" t="n">
        <v>200.9604342816</v>
      </c>
      <c r="C1887" s="13" t="n"/>
      <c r="D1887" s="3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8">
      <c r="A1888" s="65" t="inlineStr">
        <is>
          <t>03/01/2011</t>
        </is>
      </c>
      <c r="B1888" s="8" t="n">
        <v>199.6465400582</v>
      </c>
      <c r="C1888" s="13" t="n"/>
      <c r="D1888" s="3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9">
      <c r="A1889" s="65" t="inlineStr">
        <is>
          <t>04/01/2011</t>
        </is>
      </c>
      <c r="B1889" s="8" t="n">
        <v>199.0456671949</v>
      </c>
      <c r="C1889" s="13" t="n"/>
      <c r="D1889" s="3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0">
      <c r="A1890" s="65" t="inlineStr">
        <is>
          <t>05/01/2011</t>
        </is>
      </c>
      <c r="B1890" s="8" t="n">
        <v>199.333041173</v>
      </c>
      <c r="C1890" s="13" t="n"/>
      <c r="D1890" s="3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1">
      <c r="A1891" s="65" t="inlineStr">
        <is>
          <t>06/01/2011</t>
        </is>
      </c>
      <c r="B1891" s="8" t="n">
        <v>198.0006709109</v>
      </c>
      <c r="C1891" s="13" t="n"/>
      <c r="D1891" s="3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2">
      <c r="A1892" s="65" t="inlineStr">
        <is>
          <t>10/01/2011</t>
        </is>
      </c>
      <c r="B1892" s="8" t="n">
        <v>199.1501668233</v>
      </c>
      <c r="C1892" s="13" t="n"/>
      <c r="D1892" s="3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3">
      <c r="A1893" s="65" t="inlineStr">
        <is>
          <t>11/01/2011</t>
        </is>
      </c>
      <c r="B1893" s="8" t="n">
        <v>198.5754188671</v>
      </c>
      <c r="C1893" s="13" t="n"/>
      <c r="D1893" s="3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4">
      <c r="A1894" s="65" t="inlineStr">
        <is>
          <t>12/01/2011</t>
        </is>
      </c>
      <c r="B1894" s="8" t="n">
        <v>199.7249147795</v>
      </c>
      <c r="C1894" s="13" t="n"/>
      <c r="D1894" s="3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5">
      <c r="A1895" s="65" t="inlineStr">
        <is>
          <t>13/01/2011</t>
        </is>
      </c>
      <c r="B1895" s="8" t="n">
        <v>199.8294144079</v>
      </c>
      <c r="C1895" s="13" t="n"/>
      <c r="D1895" s="3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6">
      <c r="A1896" s="65" t="inlineStr">
        <is>
          <t>17/01/2011</t>
        </is>
      </c>
      <c r="B1896" s="8" t="n">
        <v>198.8366679381</v>
      </c>
      <c r="C1896" s="13" t="n"/>
      <c r="D1896" s="3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7">
      <c r="A1897" s="65" t="inlineStr">
        <is>
          <t>18/01/2011</t>
        </is>
      </c>
      <c r="B1897" s="8" t="n">
        <v>199.4375408014</v>
      </c>
      <c r="C1897" s="13" t="n"/>
      <c r="D1897" s="3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8">
      <c r="A1898" s="65" t="inlineStr">
        <is>
          <t>19/01/2011</t>
        </is>
      </c>
      <c r="B1898" s="8" t="n">
        <v>199.9600389434</v>
      </c>
      <c r="C1898" s="13" t="n"/>
      <c r="D1898" s="3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9">
      <c r="A1899" s="65" t="inlineStr">
        <is>
          <t>20/01/2011</t>
        </is>
      </c>
      <c r="B1899" s="8" t="n">
        <v>201.1095348558</v>
      </c>
      <c r="C1899" s="13" t="n"/>
      <c r="D1899" s="3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0">
      <c r="A1900" s="65" t="inlineStr">
        <is>
          <t>24/01/2011</t>
        </is>
      </c>
      <c r="B1900" s="8" t="n">
        <v>199.855539315</v>
      </c>
      <c r="C1900" s="13" t="n"/>
      <c r="D1900" s="3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1">
      <c r="A1901" s="65" t="inlineStr">
        <is>
          <t>25/01/2011</t>
        </is>
      </c>
      <c r="B1901" s="8" t="n">
        <v>198.6799184955</v>
      </c>
      <c r="C1901" s="13" t="n"/>
      <c r="D1901" s="3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2">
      <c r="A1902" s="65" t="inlineStr">
        <is>
          <t>26/01/2011</t>
        </is>
      </c>
      <c r="B1902" s="8" t="n">
        <v>200.1429132931</v>
      </c>
      <c r="C1902" s="13" t="n"/>
      <c r="D1902" s="3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3">
      <c r="A1903" s="65" t="inlineStr">
        <is>
          <t>27/01/2011</t>
        </is>
      </c>
      <c r="B1903" s="8" t="n">
        <v>198.7321683097</v>
      </c>
      <c r="C1903" s="13" t="n"/>
      <c r="D1903" s="3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4">
      <c r="A1904" s="65" t="inlineStr">
        <is>
          <t>28/01/2011</t>
        </is>
      </c>
      <c r="B1904" s="8" t="n">
        <v>199.1501668233</v>
      </c>
      <c r="C1904" s="13" t="n"/>
      <c r="D1904" s="3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5">
      <c r="A1905" s="65" t="inlineStr">
        <is>
          <t>31/01/2011</t>
        </is>
      </c>
      <c r="B1905" s="8" t="n">
        <v>198.3141697961</v>
      </c>
      <c r="C1905" s="13" t="n"/>
      <c r="D1905" s="3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6">
      <c r="A1906" s="65" t="inlineStr">
        <is>
          <t>01/02/2011</t>
        </is>
      </c>
      <c r="B1906" s="8" t="n">
        <v>197.9026374346</v>
      </c>
      <c r="C1906" s="13" t="n"/>
      <c r="D1906" s="3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7">
      <c r="A1907" s="65" t="inlineStr">
        <is>
          <t>02/02/2011</t>
        </is>
      </c>
      <c r="B1907" s="8" t="n">
        <v>198.8079559956</v>
      </c>
      <c r="C1907" s="13" t="n"/>
      <c r="D1907" s="3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8">
      <c r="A1908" s="65" t="inlineStr">
        <is>
          <t>03/02/2011</t>
        </is>
      </c>
      <c r="B1908" s="8" t="n">
        <v>199.0666184416</v>
      </c>
      <c r="C1908" s="13" t="n"/>
      <c r="D1908" s="3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9">
      <c r="A1909" s="65" t="inlineStr">
        <is>
          <t>04/02/2011</t>
        </is>
      </c>
      <c r="B1909" s="8" t="n">
        <v>199.0924846862</v>
      </c>
      <c r="C1909" s="13" t="n"/>
      <c r="D1909" s="3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0">
      <c r="A1910" s="65" t="inlineStr">
        <is>
          <t>07/02/2011</t>
        </is>
      </c>
      <c r="B1910" s="8" t="n">
        <v>196.454127737</v>
      </c>
      <c r="C1910" s="13" t="n"/>
      <c r="D1910" s="3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1">
      <c r="A1911" s="65" t="inlineStr">
        <is>
          <t>08/02/2011</t>
        </is>
      </c>
      <c r="B1911" s="8" t="n">
        <v>198.0578349022</v>
      </c>
      <c r="C1911" s="13" t="n"/>
      <c r="D1911" s="3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2">
      <c r="A1912" s="65" t="inlineStr">
        <is>
          <t>09/02/2011</t>
        </is>
      </c>
      <c r="B1912" s="8" t="n">
        <v>195.9626690896</v>
      </c>
      <c r="C1912" s="13" t="n"/>
      <c r="D1912" s="3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3">
      <c r="A1913" s="65" t="inlineStr">
        <is>
          <t>10/02/2011</t>
        </is>
      </c>
      <c r="B1913" s="8" t="n">
        <v>194.2037644568</v>
      </c>
      <c r="C1913" s="13" t="n"/>
      <c r="D1913" s="3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4">
      <c r="A1914" s="65" t="inlineStr">
        <is>
          <t>11/02/2011</t>
        </is>
      </c>
      <c r="B1914" s="8" t="n">
        <v>196.2471977802</v>
      </c>
      <c r="C1914" s="13" t="n"/>
      <c r="D1914" s="3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5">
      <c r="A1915" s="65" t="inlineStr">
        <is>
          <t>14/02/2011</t>
        </is>
      </c>
      <c r="B1915" s="8" t="n">
        <v>195.5229429314</v>
      </c>
      <c r="C1915" s="13" t="n"/>
      <c r="D1915" s="3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6">
      <c r="A1916" s="65" t="inlineStr">
        <is>
          <t>15/02/2011</t>
        </is>
      </c>
      <c r="B1916" s="8" t="n">
        <v>194.8245543272</v>
      </c>
      <c r="C1916" s="13" t="n"/>
      <c r="D1916" s="3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7">
      <c r="A1917" s="65" t="inlineStr">
        <is>
          <t>16/02/2011</t>
        </is>
      </c>
      <c r="B1917" s="8" t="n">
        <v>193.5312420972</v>
      </c>
      <c r="C1917" s="13" t="n"/>
      <c r="D1917" s="3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8">
      <c r="A1918" s="65" t="inlineStr">
        <is>
          <t>17/02/2011</t>
        </is>
      </c>
      <c r="B1918" s="8" t="n">
        <v>193.6605733202</v>
      </c>
      <c r="C1918" s="13" t="n"/>
      <c r="D1918" s="3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9">
      <c r="A1919" s="65" t="inlineStr">
        <is>
          <t>18/02/2011</t>
        </is>
      </c>
      <c r="B1919" s="8" t="n">
        <v>192.8587197376</v>
      </c>
      <c r="C1919" s="13" t="n"/>
      <c r="D1919" s="3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0">
      <c r="A1920" s="65" t="inlineStr">
        <is>
          <t>21/02/2011</t>
        </is>
      </c>
      <c r="B1920" s="8" t="n">
        <v>192.3413948456</v>
      </c>
      <c r="C1920" s="13" t="n"/>
      <c r="D1920" s="3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1">
      <c r="A1921" s="65" t="inlineStr">
        <is>
          <t>22/02/2011</t>
        </is>
      </c>
      <c r="B1921" s="8" t="n">
        <v>192.2896623564</v>
      </c>
      <c r="C1921" s="13" t="n"/>
      <c r="D1921" s="3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2">
      <c r="A1922" s="65" t="inlineStr">
        <is>
          <t>23/02/2011</t>
        </is>
      </c>
      <c r="B1922" s="8" t="n">
        <v>190.9446176372</v>
      </c>
      <c r="C1922" s="13" t="n"/>
      <c r="D1922" s="3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3">
      <c r="A1923" s="65" t="inlineStr">
        <is>
          <t>24/02/2011</t>
        </is>
      </c>
      <c r="B1923" s="8" t="n">
        <v>187.9699995082</v>
      </c>
      <c r="C1923" s="13" t="n"/>
      <c r="D1923" s="3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4">
      <c r="A1924" s="65" t="inlineStr">
        <is>
          <t>28/02/2011</t>
        </is>
      </c>
      <c r="B1924" s="8" t="n">
        <v>188.5907893786</v>
      </c>
      <c r="C1924" s="13" t="n"/>
      <c r="D1924" s="3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5">
      <c r="A1925" s="65" t="inlineStr">
        <is>
          <t>01/03/2011</t>
        </is>
      </c>
      <c r="B1925" s="8" t="n">
        <v>187.4544384332</v>
      </c>
      <c r="C1925" s="13" t="n"/>
      <c r="D1925" s="3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6">
      <c r="A1926" s="65" t="inlineStr">
        <is>
          <t>02/03/2011</t>
        </is>
      </c>
      <c r="B1926" s="8" t="n">
        <v>189.2282119181</v>
      </c>
      <c r="C1926" s="13" t="n"/>
      <c r="D1926" s="3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7">
      <c r="A1927" s="65" t="inlineStr">
        <is>
          <t>03/03/2011</t>
        </is>
      </c>
      <c r="B1927" s="8" t="n">
        <v>187.4801452953</v>
      </c>
      <c r="C1927" s="13" t="n"/>
      <c r="D1927" s="3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8">
      <c r="A1928" s="65" t="inlineStr">
        <is>
          <t>04/03/2011</t>
        </is>
      </c>
      <c r="B1928" s="8" t="n">
        <v>186.9660080533</v>
      </c>
      <c r="C1928" s="13" t="n"/>
      <c r="D1928" s="3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9">
      <c r="A1929" s="65" t="inlineStr">
        <is>
          <t>09/03/2011</t>
        </is>
      </c>
      <c r="B1929" s="8" t="n">
        <v>185.860612983</v>
      </c>
      <c r="C1929" s="13" t="n"/>
      <c r="D1929" s="3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0">
      <c r="A1930" s="65" t="inlineStr">
        <is>
          <t>10/03/2011</t>
        </is>
      </c>
      <c r="B1930" s="8" t="n">
        <v>185.5264237757</v>
      </c>
      <c r="C1930" s="13" t="n"/>
      <c r="D1930" s="3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1">
      <c r="A1931" s="65" t="inlineStr">
        <is>
          <t>11/03/2011</t>
        </is>
      </c>
      <c r="B1931" s="8" t="n">
        <v>184.3696149812</v>
      </c>
      <c r="C1931" s="13" t="n"/>
      <c r="D1931" s="3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2">
      <c r="A1932" s="65" t="inlineStr">
        <is>
          <t>14/03/2011</t>
        </is>
      </c>
      <c r="B1932" s="8" t="n">
        <v>183.0585650141</v>
      </c>
      <c r="C1932" s="13" t="n"/>
      <c r="D1932" s="3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3">
      <c r="A1933" s="65" t="inlineStr">
        <is>
          <t>15/03/2011</t>
        </is>
      </c>
      <c r="B1933" s="8" t="n">
        <v>181.9531699438</v>
      </c>
      <c r="C1933" s="13" t="n"/>
      <c r="D1933" s="3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4">
      <c r="A1934" s="65" t="inlineStr">
        <is>
          <t>16/03/2011</t>
        </is>
      </c>
      <c r="B1934" s="8" t="n">
        <v>181.5675670123</v>
      </c>
      <c r="C1934" s="13" t="n"/>
      <c r="D1934" s="3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5">
      <c r="A1935" s="65" t="inlineStr">
        <is>
          <t>17/03/2011</t>
        </is>
      </c>
      <c r="B1935" s="8" t="n">
        <v>180.4878788041</v>
      </c>
      <c r="C1935" s="13" t="n"/>
      <c r="D1935" s="3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6">
      <c r="A1936" s="65" t="inlineStr">
        <is>
          <t>18/03/2011</t>
        </is>
      </c>
      <c r="B1936" s="8" t="n">
        <v>180.719240563</v>
      </c>
      <c r="C1936" s="13" t="n"/>
      <c r="D1936" s="3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7">
      <c r="A1937" s="65" t="inlineStr">
        <is>
          <t>21/03/2011</t>
        </is>
      </c>
      <c r="B1937" s="8" t="n">
        <v>179.433897458</v>
      </c>
      <c r="C1937" s="13" t="n"/>
      <c r="D1937" s="3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8">
      <c r="A1938" s="65" t="inlineStr">
        <is>
          <t>22/03/2011</t>
        </is>
      </c>
      <c r="B1938" s="8" t="n">
        <v>178.8169327676</v>
      </c>
      <c r="C1938" s="13" t="n"/>
      <c r="D1938" s="3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9">
      <c r="A1939" s="65" t="inlineStr">
        <is>
          <t>23/03/2011</t>
        </is>
      </c>
      <c r="B1939" s="8" t="n">
        <v>179.7166729411</v>
      </c>
      <c r="C1939" s="13" t="n"/>
      <c r="D1939" s="3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0">
      <c r="A1940" s="65" t="inlineStr">
        <is>
          <t>24/03/2011</t>
        </is>
      </c>
      <c r="B1940" s="8" t="n">
        <v>179.5110180443</v>
      </c>
      <c r="C1940" s="13" t="n"/>
      <c r="D1940" s="3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1">
      <c r="A1941" s="65" t="inlineStr">
        <is>
          <t>25/03/2011</t>
        </is>
      </c>
      <c r="B1941" s="8" t="n">
        <v>178.5341572845</v>
      </c>
      <c r="C1941" s="13" t="n"/>
      <c r="D1941" s="3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2">
      <c r="A1942" s="65" t="inlineStr">
        <is>
          <t>28/03/2011</t>
        </is>
      </c>
      <c r="B1942" s="8" t="n">
        <v>176.0148847987</v>
      </c>
      <c r="C1942" s="13" t="n"/>
      <c r="D1942" s="3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3">
      <c r="A1943" s="65" t="inlineStr">
        <is>
          <t>29/03/2011</t>
        </is>
      </c>
      <c r="B1943" s="8" t="n">
        <v>175.2436789357</v>
      </c>
      <c r="C1943" s="13" t="n"/>
      <c r="D1943" s="3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4">
      <c r="A1944" s="65" t="inlineStr">
        <is>
          <t>30/03/2011</t>
        </is>
      </c>
      <c r="B1944" s="8" t="n">
        <v>172.9814750709</v>
      </c>
      <c r="C1944" s="13" t="n"/>
      <c r="D1944" s="3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5">
      <c r="A1945" s="65" t="inlineStr">
        <is>
          <t>31/03/2011</t>
        </is>
      </c>
      <c r="B1945" s="8" t="n">
        <v>173.9840426928</v>
      </c>
      <c r="C1945" s="13" t="n"/>
      <c r="D1945" s="3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6">
      <c r="A1946" s="65" t="inlineStr">
        <is>
          <t>01/04/2011</t>
        </is>
      </c>
      <c r="B1946" s="8" t="n">
        <v>173.4349468338</v>
      </c>
      <c r="C1946" s="13" t="n"/>
      <c r="D1946" s="3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7">
      <c r="A1947" s="65" t="inlineStr">
        <is>
          <t>04/04/2011</t>
        </is>
      </c>
      <c r="B1947" s="8" t="n">
        <v>171.7714863728</v>
      </c>
      <c r="C1947" s="13" t="n"/>
      <c r="D1947" s="3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8">
      <c r="A1948" s="65" t="inlineStr">
        <is>
          <t>05/04/2011</t>
        </is>
      </c>
      <c r="B1948" s="8" t="n">
        <v>173.767638926</v>
      </c>
      <c r="C1948" s="13" t="n"/>
      <c r="D1948" s="3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9">
      <c r="A1949" s="65" t="inlineStr">
        <is>
          <t>06/04/2011</t>
        </is>
      </c>
      <c r="B1949" s="8" t="n">
        <v>173.3069883368</v>
      </c>
      <c r="C1949" s="13" t="n"/>
      <c r="D1949" s="3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0">
      <c r="A1950" s="65" t="inlineStr">
        <is>
          <t>07/04/2011</t>
        </is>
      </c>
      <c r="B1950" s="8" t="n">
        <v>172.0529950662</v>
      </c>
      <c r="C1950" s="13" t="n"/>
      <c r="D1950" s="3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1">
      <c r="A1951" s="65" t="inlineStr">
        <is>
          <t>08/04/2011</t>
        </is>
      </c>
      <c r="B1951" s="8" t="n">
        <v>171.8994448698</v>
      </c>
      <c r="C1951" s="13" t="n"/>
      <c r="D1951" s="3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2">
      <c r="A1952" s="65" t="inlineStr">
        <is>
          <t>11/04/2011</t>
        </is>
      </c>
      <c r="B1952" s="8" t="n">
        <v>171.3876108818</v>
      </c>
      <c r="C1952" s="13" t="n"/>
      <c r="D1952" s="3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3">
      <c r="A1953" s="65" t="inlineStr">
        <is>
          <t>12/04/2011</t>
        </is>
      </c>
      <c r="B1953" s="8" t="n">
        <v>170.6454515992</v>
      </c>
      <c r="C1953" s="13" t="n"/>
      <c r="D1953" s="3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4">
      <c r="A1954" s="65" t="inlineStr">
        <is>
          <t>13/04/2011</t>
        </is>
      </c>
      <c r="B1954" s="8" t="n">
        <v>171.336427483</v>
      </c>
      <c r="C1954" s="13" t="n"/>
      <c r="D1954" s="3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5">
      <c r="A1955" s="65" t="inlineStr">
        <is>
          <t>14/04/2011</t>
        </is>
      </c>
      <c r="B1955" s="8" t="n">
        <v>169.9544757154</v>
      </c>
      <c r="C1955" s="13" t="n"/>
      <c r="D1955" s="3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6">
      <c r="A1956" s="65" t="inlineStr">
        <is>
          <t>15/04/2011</t>
        </is>
      </c>
      <c r="B1956" s="8" t="n">
        <v>170.0056591142</v>
      </c>
      <c r="C1956" s="13" t="n"/>
      <c r="D1956" s="3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7">
      <c r="A1957" s="65" t="inlineStr">
        <is>
          <t>18/04/2011</t>
        </is>
      </c>
      <c r="B1957" s="8" t="n">
        <v>168.90521604</v>
      </c>
      <c r="C1957" s="13" t="n"/>
      <c r="D1957" s="3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8">
      <c r="A1958" s="65" t="inlineStr">
        <is>
          <t>19/04/2011</t>
        </is>
      </c>
      <c r="B1958" s="8" t="n">
        <v>167.9327314628</v>
      </c>
      <c r="C1958" s="13" t="n"/>
      <c r="D1958" s="3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9">
      <c r="A1959" s="65" t="inlineStr">
        <is>
          <t>20/04/2011</t>
        </is>
      </c>
      <c r="B1959" s="8" t="n">
        <v>168.3421986532</v>
      </c>
      <c r="C1959" s="13" t="n"/>
      <c r="D1959" s="3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0">
      <c r="A1960" s="65" t="inlineStr">
        <is>
          <t>25/04/2011</t>
        </is>
      </c>
      <c r="B1960" s="8" t="n">
        <v>166.985838585</v>
      </c>
      <c r="C1960" s="13" t="n"/>
      <c r="D1960" s="3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1">
      <c r="A1961" s="65" t="inlineStr">
        <is>
          <t>26/04/2011</t>
        </is>
      </c>
      <c r="B1961" s="8" t="n">
        <v>166.5507796952</v>
      </c>
      <c r="C1961" s="13" t="n"/>
      <c r="D1961" s="3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2">
      <c r="A1962" s="65" t="inlineStr">
        <is>
          <t>27/04/2011</t>
        </is>
      </c>
      <c r="B1962" s="8" t="n">
        <v>165.322378124</v>
      </c>
      <c r="C1962" s="13" t="n"/>
      <c r="D1962" s="3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3">
      <c r="A1963" s="65" t="inlineStr">
        <is>
          <t>28/04/2011</t>
        </is>
      </c>
      <c r="B1963" s="8" t="n">
        <v>164.0172014546</v>
      </c>
      <c r="C1963" s="13" t="n"/>
      <c r="D1963" s="3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4">
      <c r="A1964" s="65" t="inlineStr">
        <is>
          <t>29/04/2011</t>
        </is>
      </c>
      <c r="B1964" s="8" t="n">
        <v>163.2494504726</v>
      </c>
      <c r="C1964" s="13" t="n"/>
      <c r="D1964" s="3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5">
      <c r="A1965" s="65" t="inlineStr">
        <is>
          <t>02/05/2011</t>
        </is>
      </c>
      <c r="B1965" s="8" t="n">
        <v>162.1172875206</v>
      </c>
      <c r="C1965" s="13" t="n"/>
      <c r="D1965" s="3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6">
      <c r="A1966" s="65" t="inlineStr">
        <is>
          <t>03/05/2011</t>
        </is>
      </c>
      <c r="B1966" s="8" t="n">
        <v>162.2701802784</v>
      </c>
      <c r="C1966" s="13" t="n"/>
      <c r="D1966" s="3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7">
      <c r="A1967" s="65" t="inlineStr">
        <is>
          <t>04/05/2011</t>
        </is>
      </c>
      <c r="B1967" s="8" t="n">
        <v>162.321144531</v>
      </c>
      <c r="C1967" s="13" t="n"/>
      <c r="D1967" s="3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8">
      <c r="A1968" s="65" t="inlineStr">
        <is>
          <t>05/05/2011</t>
        </is>
      </c>
      <c r="B1968" s="8" t="n">
        <v>161.2763773527</v>
      </c>
      <c r="C1968" s="13" t="n"/>
      <c r="D1968" s="3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9">
      <c r="A1969" s="65" t="inlineStr">
        <is>
          <t>06/05/2011</t>
        </is>
      </c>
      <c r="B1969" s="8" t="n">
        <v>160.2316101744</v>
      </c>
      <c r="C1969" s="13" t="n"/>
      <c r="D1969" s="3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0">
      <c r="A1970" s="65" t="inlineStr">
        <is>
          <t>09/05/2011</t>
        </is>
      </c>
      <c r="B1970" s="8" t="n">
        <v>157.0463443869</v>
      </c>
      <c r="C1970" s="13" t="n"/>
      <c r="D1970" s="3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1">
      <c r="A1971" s="65" t="inlineStr">
        <is>
          <t>10/05/2011</t>
        </is>
      </c>
      <c r="B1971" s="8" t="n">
        <v>156.3328448505</v>
      </c>
      <c r="C1971" s="13" t="n"/>
      <c r="D1971" s="3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2">
      <c r="A1972" s="65" t="inlineStr">
        <is>
          <t>11/05/2011</t>
        </is>
      </c>
      <c r="B1972" s="8" t="n">
        <v>157.5559869129</v>
      </c>
      <c r="C1972" s="13" t="n"/>
      <c r="D1972" s="3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3">
      <c r="A1973" s="65" t="inlineStr">
        <is>
          <t>12/05/2011</t>
        </is>
      </c>
      <c r="B1973" s="8" t="n">
        <v>157.0973086395</v>
      </c>
      <c r="C1973" s="13" t="n"/>
      <c r="D1973" s="3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4">
      <c r="A1974" s="65" t="inlineStr">
        <is>
          <t>13/05/2011</t>
        </is>
      </c>
      <c r="B1974" s="8" t="n">
        <v>155.44097043</v>
      </c>
      <c r="C1974" s="13" t="n"/>
      <c r="D1974" s="3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5">
      <c r="A1975" s="65" t="inlineStr">
        <is>
          <t>16/05/2011</t>
        </is>
      </c>
      <c r="B1975" s="8" t="n">
        <v>154.5236138832</v>
      </c>
      <c r="C1975" s="13" t="n"/>
      <c r="D1975" s="3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6">
      <c r="A1976" s="65" t="inlineStr">
        <is>
          <t>17/05/2011</t>
        </is>
      </c>
      <c r="B1976" s="8" t="n">
        <v>152.4085974003</v>
      </c>
      <c r="C1976" s="13" t="n"/>
      <c r="D1976" s="3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7">
      <c r="A1977" s="65" t="inlineStr">
        <is>
          <t>18/05/2011</t>
        </is>
      </c>
      <c r="B1977" s="8" t="n">
        <v>152.2047403899</v>
      </c>
      <c r="C1977" s="13" t="n"/>
      <c r="D1977" s="3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8">
      <c r="A1978" s="65" t="inlineStr">
        <is>
          <t>19/05/2011</t>
        </is>
      </c>
      <c r="B1978" s="8" t="n">
        <v>152.383115274</v>
      </c>
      <c r="C1978" s="13" t="n"/>
      <c r="D1978" s="3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9">
      <c r="A1979" s="65" t="inlineStr">
        <is>
          <t>20/05/2011</t>
        </is>
      </c>
      <c r="B1979" s="8" t="n">
        <v>148.3314571923</v>
      </c>
      <c r="C1979" s="13" t="n"/>
      <c r="D1979" s="3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0">
      <c r="A1980" s="65" t="inlineStr">
        <is>
          <t>23/05/2011</t>
        </is>
      </c>
      <c r="B1980" s="8" t="n">
        <v>146.012583699</v>
      </c>
      <c r="C1980" s="13" t="n"/>
      <c r="D1980" s="3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1">
      <c r="A1981" s="65" t="inlineStr">
        <is>
          <t>24/05/2011</t>
        </is>
      </c>
      <c r="B1981" s="8" t="n">
        <v>144.0249778476</v>
      </c>
      <c r="C1981" s="13" t="n"/>
      <c r="D1981" s="3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2">
      <c r="A1982" s="65" t="inlineStr">
        <is>
          <t>25/05/2011</t>
        </is>
      </c>
      <c r="B1982" s="8" t="n">
        <v>143.1840676797</v>
      </c>
      <c r="C1982" s="13" t="n"/>
      <c r="D1982" s="3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3">
      <c r="A1983" s="65" t="inlineStr">
        <is>
          <t>26/05/2011</t>
        </is>
      </c>
      <c r="B1983" s="8" t="n">
        <v>143.2350319323</v>
      </c>
      <c r="C1983" s="13" t="n"/>
      <c r="D1983" s="3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4">
      <c r="A1984" s="65" t="inlineStr">
        <is>
          <t>27/05/2011</t>
        </is>
      </c>
      <c r="B1984" s="8" t="n">
        <v>140.8906763127</v>
      </c>
      <c r="C1984" s="13" t="n"/>
      <c r="D1984" s="3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5">
      <c r="A1985" s="65" t="inlineStr">
        <is>
          <t>30/05/2011</t>
        </is>
      </c>
      <c r="B1985" s="8" t="n">
        <v>139.7949448818</v>
      </c>
      <c r="C1985" s="13" t="n"/>
      <c r="D1985" s="3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6">
      <c r="A1986" s="65" t="inlineStr">
        <is>
          <t>31/05/2011</t>
        </is>
      </c>
      <c r="B1986" s="8" t="n">
        <v>139.6165699977</v>
      </c>
      <c r="C1986" s="13" t="n"/>
      <c r="D1986" s="3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7">
      <c r="A1987" s="65" t="inlineStr">
        <is>
          <t>01/06/2011</t>
        </is>
      </c>
      <c r="B1987" s="8" t="n">
        <v>139.510939712</v>
      </c>
      <c r="C1987" s="13" t="n"/>
      <c r="D1987" s="3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8">
      <c r="A1988" s="65" t="inlineStr">
        <is>
          <t>02/06/2011</t>
        </is>
      </c>
      <c r="B1988" s="8" t="n">
        <v>139.510939712</v>
      </c>
      <c r="C1988" s="13" t="n"/>
      <c r="D1988" s="3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9">
      <c r="A1989" s="65" t="inlineStr">
        <is>
          <t>03/06/2011</t>
        </is>
      </c>
      <c r="B1989" s="8" t="n">
        <v>137.4176374144</v>
      </c>
      <c r="C1989" s="13" t="n"/>
      <c r="D1989" s="3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0">
      <c r="A1990" s="65" t="inlineStr">
        <is>
          <t>06/06/2011</t>
        </is>
      </c>
      <c r="B1990" s="8" t="n">
        <v>137.1878847232</v>
      </c>
      <c r="C1990" s="13" t="n"/>
      <c r="D1990" s="3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1">
      <c r="A1991" s="65" t="inlineStr">
        <is>
          <t>07/06/2011</t>
        </is>
      </c>
      <c r="B1991" s="8" t="n">
        <v>137.1113004928</v>
      </c>
      <c r="C1991" s="13" t="n"/>
      <c r="D1991" s="3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2">
      <c r="A1992" s="65" t="inlineStr">
        <is>
          <t>08/06/2011</t>
        </is>
      </c>
      <c r="B1992" s="8" t="n">
        <v>137.596333952</v>
      </c>
      <c r="C1992" s="13" t="n"/>
      <c r="D1992" s="3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3">
      <c r="A1993" s="65" t="inlineStr">
        <is>
          <t>09/06/2011</t>
        </is>
      </c>
      <c r="B1993" s="8" t="n">
        <v>137.85161472</v>
      </c>
      <c r="C1993" s="13" t="n"/>
      <c r="D1993" s="3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4">
      <c r="A1994" s="65" t="inlineStr">
        <is>
          <t>10/06/2011</t>
        </is>
      </c>
      <c r="B1994" s="8" t="n">
        <v>138.4642885632</v>
      </c>
      <c r="C1994" s="13" t="n"/>
      <c r="D1994" s="3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5">
      <c r="A1995" s="65" t="inlineStr">
        <is>
          <t>13/06/2011</t>
        </is>
      </c>
      <c r="B1995" s="8" t="n">
        <v>138.3111201024</v>
      </c>
      <c r="C1995" s="13" t="n"/>
      <c r="D1995" s="3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6">
      <c r="A1996" s="65" t="inlineStr">
        <is>
          <t>14/06/2011</t>
        </is>
      </c>
      <c r="B1996" s="8" t="n">
        <v>138.872737792</v>
      </c>
      <c r="C1996" s="13" t="n"/>
      <c r="D1996" s="3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7">
      <c r="A1997" s="65" t="inlineStr">
        <is>
          <t>15/06/2011</t>
        </is>
      </c>
      <c r="B1997" s="8" t="n">
        <v>139.5619958656</v>
      </c>
      <c r="C1997" s="13" t="n"/>
      <c r="D1997" s="3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8">
      <c r="A1998" s="65" t="inlineStr">
        <is>
          <t>16/06/2011</t>
        </is>
      </c>
      <c r="B1998" s="8" t="n">
        <v>139.9959731712</v>
      </c>
      <c r="C1998" s="13" t="n"/>
      <c r="D1998" s="3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9">
      <c r="A1999" s="65" t="inlineStr">
        <is>
          <t>17/06/2011</t>
        </is>
      </c>
      <c r="B1999" s="8" t="n">
        <v>140.2001977856</v>
      </c>
      <c r="C1999" s="13" t="n"/>
      <c r="D1999" s="3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0">
      <c r="A2000" s="65" t="inlineStr">
        <is>
          <t>20/06/2011</t>
        </is>
      </c>
      <c r="B2000" s="8" t="n">
        <v>140.4810066304</v>
      </c>
      <c r="C2000" s="13" t="n"/>
      <c r="D2000" s="3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1">
      <c r="A2001" s="65" t="inlineStr">
        <is>
          <t>21/06/2011</t>
        </is>
      </c>
      <c r="B2001" s="8" t="n">
        <v>141.4000173952</v>
      </c>
      <c r="C2001" s="13" t="n"/>
      <c r="D2001" s="3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2">
      <c r="A2002" s="65" t="inlineStr">
        <is>
          <t>22/06/2011</t>
        </is>
      </c>
      <c r="B2002" s="8" t="n">
        <v>142.1403316224</v>
      </c>
      <c r="C2002" s="13" t="n"/>
      <c r="D2002" s="3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3">
      <c r="A2003" s="65" t="inlineStr">
        <is>
          <t>24/06/2011</t>
        </is>
      </c>
      <c r="B2003" s="8" t="n">
        <v>142.574308928</v>
      </c>
      <c r="C2003" s="13" t="n"/>
      <c r="D2003" s="3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4">
      <c r="A2004" s="65" t="inlineStr">
        <is>
          <t>27/06/2011</t>
        </is>
      </c>
      <c r="B2004" s="8" t="n">
        <v>142.6764212352</v>
      </c>
      <c r="C2004" s="13" t="n"/>
      <c r="D2004" s="3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5">
      <c r="A2005" s="65" t="inlineStr">
        <is>
          <t>28/06/2011</t>
        </is>
      </c>
      <c r="B2005" s="8" t="n">
        <v>143.850712768</v>
      </c>
      <c r="C2005" s="13" t="n"/>
      <c r="D2005" s="3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6">
      <c r="A2006" s="65" t="inlineStr">
        <is>
          <t>29/06/2011</t>
        </is>
      </c>
      <c r="B2006" s="8" t="n">
        <v>144.2081058432</v>
      </c>
      <c r="C2006" s="13" t="n"/>
      <c r="D2006" s="3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7">
      <c r="A2007" s="65" t="inlineStr">
        <is>
          <t>30/06/2011</t>
        </is>
      </c>
      <c r="B2007" s="8" t="n">
        <v>144.9484200704</v>
      </c>
      <c r="C2007" s="13" t="n"/>
      <c r="D2007" s="3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8">
      <c r="A2008" s="65" t="inlineStr">
        <is>
          <t>01/07/2011</t>
        </is>
      </c>
      <c r="B2008" s="8" t="n">
        <v>145.68485961</v>
      </c>
      <c r="C2008" s="13" t="n"/>
      <c r="D2008" s="3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9">
      <c r="A2009" s="65" t="inlineStr">
        <is>
          <t>04/07/2011</t>
        </is>
      </c>
      <c r="B2009" s="8" t="n">
        <v>147.8317943832</v>
      </c>
      <c r="C2009" s="13" t="n"/>
      <c r="D2009" s="3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0">
      <c r="A2010" s="65" t="inlineStr">
        <is>
          <t>05/07/2011</t>
        </is>
      </c>
      <c r="B2010" s="8" t="n">
        <v>149.0330555063</v>
      </c>
      <c r="C2010" s="13" t="n"/>
      <c r="D2010" s="3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1">
      <c r="A2011" s="65" t="inlineStr">
        <is>
          <t>06/07/2011</t>
        </is>
      </c>
      <c r="B2011" s="8" t="n">
        <v>150.1320816402</v>
      </c>
      <c r="C2011" s="13" t="n"/>
      <c r="D2011" s="3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2">
      <c r="A2012" s="65" t="inlineStr">
        <is>
          <t>07/07/2011</t>
        </is>
      </c>
      <c r="B2012" s="8" t="n">
        <v>153.5569537784</v>
      </c>
      <c r="C2012" s="13" t="n"/>
      <c r="D2012" s="3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3">
      <c r="A2013" s="65" t="inlineStr">
        <is>
          <t>08/07/2011</t>
        </is>
      </c>
      <c r="B2013" s="8" t="n">
        <v>155.652771057</v>
      </c>
      <c r="C2013" s="13" t="n"/>
      <c r="D2013" s="3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4">
      <c r="A2014" s="65" t="inlineStr">
        <is>
          <t>11/07/2011</t>
        </is>
      </c>
      <c r="B2014" s="8" t="n">
        <v>157.6207945991</v>
      </c>
      <c r="C2014" s="13" t="n"/>
      <c r="D2014" s="3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5">
      <c r="A2015" s="65" t="inlineStr">
        <is>
          <t>12/07/2011</t>
        </is>
      </c>
      <c r="B2015" s="8" t="n">
        <v>161.786870409</v>
      </c>
      <c r="C2015" s="13" t="n"/>
      <c r="D2015" s="3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6">
      <c r="A2016" s="65" t="inlineStr">
        <is>
          <t>13/07/2011</t>
        </is>
      </c>
      <c r="B2016" s="8" t="n">
        <v>162.4513978388</v>
      </c>
      <c r="C2016" s="13" t="n"/>
      <c r="D2016" s="3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7">
      <c r="A2017" s="65" t="inlineStr">
        <is>
          <t>14/07/2011</t>
        </is>
      </c>
      <c r="B2017" s="8" t="n">
        <v>165.620682504</v>
      </c>
      <c r="C2017" s="13" t="n"/>
      <c r="D2017" s="3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8">
      <c r="A2018" s="65" t="inlineStr">
        <is>
          <t>15/07/2011</t>
        </is>
      </c>
      <c r="B2018" s="8" t="n">
        <v>166.3363274284</v>
      </c>
      <c r="C2018" s="13" t="n"/>
      <c r="D2018" s="3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9">
      <c r="A2019" s="65" t="inlineStr">
        <is>
          <t>18/07/2011</t>
        </is>
      </c>
      <c r="B2019" s="8" t="n">
        <v>167.3842360677</v>
      </c>
      <c r="C2019" s="13" t="n"/>
      <c r="D2019" s="3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0">
      <c r="A2020" s="65" t="inlineStr">
        <is>
          <t>19/07/2011</t>
        </is>
      </c>
      <c r="B2020" s="8" t="n">
        <v>169.198907126</v>
      </c>
      <c r="C2020" s="13" t="n"/>
      <c r="D2020" s="3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1">
      <c r="A2021" s="65" t="inlineStr">
        <is>
          <t>20/07/2011</t>
        </is>
      </c>
      <c r="B2021" s="8" t="n">
        <v>172.1126043182</v>
      </c>
      <c r="C2021" s="13" t="n"/>
      <c r="D2021" s="3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2">
      <c r="A2022" s="65" t="inlineStr">
        <is>
          <t>21/07/2011</t>
        </is>
      </c>
      <c r="B2022" s="8" t="n">
        <v>173.5950116616</v>
      </c>
      <c r="C2022" s="13" t="n"/>
      <c r="D2022" s="3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3">
      <c r="A2023" s="65" t="inlineStr">
        <is>
          <t>22/07/2011</t>
        </is>
      </c>
      <c r="B2023" s="8" t="n">
        <v>174.7707140374</v>
      </c>
      <c r="C2023" s="13" t="n"/>
      <c r="D2023" s="3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4">
      <c r="A2024" s="65" t="inlineStr">
        <is>
          <t>25/07/2011</t>
        </is>
      </c>
      <c r="B2024" s="8" t="n">
        <v>175.077419005</v>
      </c>
      <c r="C2024" s="13" t="n"/>
      <c r="D2024" s="3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5">
      <c r="A2025" s="65" t="inlineStr">
        <is>
          <t>26/07/2011</t>
        </is>
      </c>
      <c r="B2025" s="8" t="n">
        <v>175.1540952469</v>
      </c>
      <c r="C2025" s="13" t="n"/>
      <c r="D2025" s="3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6">
      <c r="A2026" s="65" t="inlineStr">
        <is>
          <t>27/07/2011</t>
        </is>
      </c>
      <c r="B2026" s="8" t="n">
        <v>175.6652701929</v>
      </c>
      <c r="C2026" s="13" t="n"/>
      <c r="D2026" s="3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7">
      <c r="A2027" s="65" t="inlineStr">
        <is>
          <t>28/07/2011</t>
        </is>
      </c>
      <c r="B2027" s="8" t="n">
        <v>176.4320326119</v>
      </c>
      <c r="C2027" s="13" t="n"/>
      <c r="D2027" s="3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8">
      <c r="A2028" s="65" t="inlineStr">
        <is>
          <t>29/07/2011</t>
        </is>
      </c>
      <c r="B2028" s="8" t="n">
        <v>177.9144399553</v>
      </c>
      <c r="C2028" s="13" t="n"/>
      <c r="D2028" s="3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9">
      <c r="A2029" s="65" t="inlineStr">
        <is>
          <t>01/08/2011</t>
        </is>
      </c>
      <c r="B2029" s="8" t="n">
        <v>177.4404073995</v>
      </c>
      <c r="C2029" s="13" t="n"/>
      <c r="D2029" s="3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0">
      <c r="A2030" s="65" t="inlineStr">
        <is>
          <t>02/08/2011</t>
        </is>
      </c>
      <c r="B2030" s="8" t="n">
        <v>178.1529172815</v>
      </c>
      <c r="C2030" s="13" t="n"/>
      <c r="D2030" s="3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1">
      <c r="A2031" s="65" t="inlineStr">
        <is>
          <t>03/08/2011</t>
        </is>
      </c>
      <c r="B2031" s="8" t="n">
        <v>175.8627069465</v>
      </c>
      <c r="C2031" s="13" t="n"/>
      <c r="D2031" s="3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2">
      <c r="A2032" s="65" t="inlineStr">
        <is>
          <t>04/08/2011</t>
        </is>
      </c>
      <c r="B2032" s="8" t="n">
        <v>176.142621543</v>
      </c>
      <c r="C2032" s="13" t="n"/>
      <c r="D2032" s="3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3">
      <c r="A2033" s="65" t="inlineStr">
        <is>
          <t>05/08/2011</t>
        </is>
      </c>
      <c r="B2033" s="8" t="n">
        <v>176.040834417</v>
      </c>
      <c r="C2033" s="13" t="n"/>
      <c r="D2033" s="3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4">
      <c r="A2034" s="65" t="inlineStr">
        <is>
          <t>08/08/2011</t>
        </is>
      </c>
      <c r="B2034" s="8" t="n">
        <v>175.328324535</v>
      </c>
      <c r="C2034" s="13" t="n"/>
      <c r="D2034" s="3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5">
      <c r="A2035" s="65" t="inlineStr">
        <is>
          <t>09/08/2011</t>
        </is>
      </c>
      <c r="B2035" s="8" t="n">
        <v>175.4555584425</v>
      </c>
      <c r="C2035" s="13" t="n"/>
      <c r="D2035" s="3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6">
      <c r="A2036" s="65" t="inlineStr">
        <is>
          <t>10/08/2011</t>
        </is>
      </c>
      <c r="B2036" s="8" t="n">
        <v>175.124750283</v>
      </c>
      <c r="C2036" s="13" t="n"/>
      <c r="D2036" s="3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7">
      <c r="A2037" s="65" t="inlineStr">
        <is>
          <t>11/08/2011</t>
        </is>
      </c>
      <c r="B2037" s="8" t="n">
        <v>174.9466228125</v>
      </c>
      <c r="C2037" s="13" t="n"/>
      <c r="D2037" s="3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8">
      <c r="A2038" s="65" t="inlineStr">
        <is>
          <t>12/08/2011</t>
        </is>
      </c>
      <c r="B2038" s="8" t="n">
        <v>175.022963157</v>
      </c>
      <c r="C2038" s="13" t="n"/>
      <c r="D2038" s="3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9">
      <c r="A2039" s="65" t="inlineStr">
        <is>
          <t>15/08/2011</t>
        </is>
      </c>
      <c r="B2039" s="8" t="n">
        <v>175.0484099385</v>
      </c>
      <c r="C2039" s="13" t="n"/>
      <c r="D2039" s="3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0">
      <c r="A2040" s="65" t="inlineStr">
        <is>
          <t>16/08/2011</t>
        </is>
      </c>
      <c r="B2040" s="8" t="n">
        <v>173.496156267</v>
      </c>
      <c r="C2040" s="13" t="n"/>
      <c r="D2040" s="3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1">
      <c r="A2041" s="65" t="inlineStr">
        <is>
          <t>17/08/2011</t>
        </is>
      </c>
      <c r="B2041" s="8" t="n">
        <v>172.1983704105</v>
      </c>
      <c r="C2041" s="13" t="n"/>
      <c r="D2041" s="3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2">
      <c r="A2042" s="65" t="inlineStr">
        <is>
          <t>18/08/2011</t>
        </is>
      </c>
      <c r="B2042" s="8" t="n">
        <v>172.9617738555</v>
      </c>
      <c r="C2042" s="13" t="n"/>
      <c r="D2042" s="3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3">
      <c r="A2043" s="65" t="inlineStr">
        <is>
          <t>19/08/2011</t>
        </is>
      </c>
      <c r="B2043" s="8" t="n">
        <v>173.241688452</v>
      </c>
      <c r="C2043" s="13" t="n"/>
      <c r="D2043" s="3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4">
      <c r="A2044" s="65" t="inlineStr">
        <is>
          <t>22/08/2011</t>
        </is>
      </c>
      <c r="B2044" s="8" t="n">
        <v>174.2341129305</v>
      </c>
      <c r="C2044" s="13" t="n"/>
      <c r="D2044" s="3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5">
      <c r="A2045" s="65" t="inlineStr">
        <is>
          <t>23/08/2011</t>
        </is>
      </c>
      <c r="B2045" s="8" t="n">
        <v>173.4707094855</v>
      </c>
      <c r="C2045" s="13" t="n"/>
      <c r="D2045" s="3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6">
      <c r="A2046" s="65" t="inlineStr">
        <is>
          <t>24/08/2011</t>
        </is>
      </c>
      <c r="B2046" s="8" t="n">
        <v>172.0456897215</v>
      </c>
      <c r="C2046" s="13" t="n"/>
      <c r="D2046" s="3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7">
      <c r="A2047" s="65" t="inlineStr">
        <is>
          <t>25/08/2011</t>
        </is>
      </c>
      <c r="B2047" s="8" t="n">
        <v>172.5037317885</v>
      </c>
      <c r="C2047" s="13" t="n"/>
      <c r="D2047" s="3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8">
      <c r="A2048" s="65" t="inlineStr">
        <is>
          <t>26/08/2011</t>
        </is>
      </c>
      <c r="B2048" s="8" t="n">
        <v>171.9947961585</v>
      </c>
      <c r="C2048" s="13" t="n"/>
      <c r="D2048" s="3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9">
      <c r="A2049" s="65" t="inlineStr">
        <is>
          <t>29/08/2011</t>
        </is>
      </c>
      <c r="B2049" s="8" t="n">
        <v>172.7581996035</v>
      </c>
      <c r="C2049" s="13" t="n"/>
      <c r="D2049" s="3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0">
      <c r="A2050" s="65" t="inlineStr">
        <is>
          <t>30/08/2011</t>
        </is>
      </c>
      <c r="B2050" s="8" t="n">
        <v>172.885433511</v>
      </c>
      <c r="C2050" s="13" t="n"/>
      <c r="D2050" s="3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1">
      <c r="A2051" s="65" t="inlineStr">
        <is>
          <t>31/08/2011</t>
        </is>
      </c>
      <c r="B2051" s="8" t="n">
        <v>172.1474768475</v>
      </c>
      <c r="C2051" s="13" t="n"/>
      <c r="D2051" s="3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2">
      <c r="A2052" s="65" t="inlineStr">
        <is>
          <t>01/09/2011</t>
        </is>
      </c>
      <c r="B2052" s="8" t="n">
        <v>170.5553780176</v>
      </c>
      <c r="C2052" s="13" t="n"/>
      <c r="D2052" s="3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3">
      <c r="A2053" s="65" t="inlineStr">
        <is>
          <t>02/09/2011</t>
        </is>
      </c>
      <c r="B2053" s="8" t="n">
        <v>170.5048131264</v>
      </c>
      <c r="C2053" s="13" t="n"/>
      <c r="D2053" s="3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4">
      <c r="A2054" s="65" t="inlineStr">
        <is>
          <t>05/09/2011</t>
        </is>
      </c>
      <c r="B2054" s="8" t="n">
        <v>169.4935153024</v>
      </c>
      <c r="C2054" s="13" t="n"/>
      <c r="D2054" s="3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5">
      <c r="A2055" s="65" t="inlineStr">
        <is>
          <t>06/09/2011</t>
        </is>
      </c>
      <c r="B2055" s="8" t="n">
        <v>169.4429504112</v>
      </c>
      <c r="C2055" s="13" t="n"/>
      <c r="D2055" s="3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6">
      <c r="A2056" s="65" t="inlineStr">
        <is>
          <t>08/09/2011</t>
        </is>
      </c>
      <c r="B2056" s="8" t="n">
        <v>169.3418206288</v>
      </c>
      <c r="C2056" s="13" t="n"/>
      <c r="D2056" s="3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7">
      <c r="A2057" s="65" t="inlineStr">
        <is>
          <t>09/09/2011</t>
        </is>
      </c>
      <c r="B2057" s="8" t="n">
        <v>167.749026556</v>
      </c>
      <c r="C2057" s="13" t="n"/>
      <c r="D2057" s="3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8">
      <c r="A2058" s="65" t="inlineStr">
        <is>
          <t>12/09/2011</t>
        </is>
      </c>
      <c r="B2058" s="8" t="n">
        <v>166.86414096</v>
      </c>
      <c r="C2058" s="13" t="n"/>
      <c r="D2058" s="3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9">
      <c r="A2059" s="65" t="inlineStr">
        <is>
          <t>13/09/2011</t>
        </is>
      </c>
      <c r="B2059" s="8" t="n">
        <v>166.990553188</v>
      </c>
      <c r="C2059" s="13" t="n"/>
      <c r="D2059" s="3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0">
      <c r="A2060" s="65" t="inlineStr">
        <is>
          <t>14/09/2011</t>
        </is>
      </c>
      <c r="B2060" s="8" t="n">
        <v>166.6365989496</v>
      </c>
      <c r="C2060" s="13" t="n"/>
      <c r="D2060" s="3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1">
      <c r="A2061" s="65" t="inlineStr">
        <is>
          <t>15/09/2011</t>
        </is>
      </c>
      <c r="B2061" s="8" t="n">
        <v>164.9426750944</v>
      </c>
      <c r="C2061" s="13" t="n"/>
      <c r="D2061" s="3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2">
      <c r="A2062" s="65" t="inlineStr">
        <is>
          <t>16/09/2011</t>
        </is>
      </c>
      <c r="B2062" s="8" t="n">
        <v>164.9173926488</v>
      </c>
      <c r="C2062" s="13" t="n"/>
      <c r="D2062" s="3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3">
      <c r="A2063" s="65" t="inlineStr">
        <is>
          <t>19/09/2011</t>
        </is>
      </c>
      <c r="B2063" s="8" t="n">
        <v>166.0803851464</v>
      </c>
      <c r="C2063" s="13" t="n"/>
      <c r="D2063" s="3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4">
      <c r="A2064" s="65" t="inlineStr">
        <is>
          <t>20/09/2011</t>
        </is>
      </c>
      <c r="B2064" s="8" t="n">
        <v>165.7517133536</v>
      </c>
      <c r="C2064" s="13" t="n"/>
      <c r="D2064" s="3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5">
      <c r="A2065" s="65" t="inlineStr">
        <is>
          <t>21/09/2011</t>
        </is>
      </c>
      <c r="B2065" s="8" t="n">
        <v>165.0185224312</v>
      </c>
      <c r="C2065" s="13" t="n"/>
      <c r="D2065" s="3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6">
      <c r="A2066" s="65" t="inlineStr">
        <is>
          <t>22/09/2011</t>
        </is>
      </c>
      <c r="B2066" s="8" t="n">
        <v>163.07177412</v>
      </c>
      <c r="C2066" s="13" t="n"/>
      <c r="D2066" s="3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7">
      <c r="A2067" s="65" t="inlineStr">
        <is>
          <t>23/09/2011</t>
        </is>
      </c>
      <c r="B2067" s="8" t="n">
        <v>159.6333615184</v>
      </c>
      <c r="C2067" s="13" t="n"/>
      <c r="D2067" s="3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8">
      <c r="A2068" s="65" t="inlineStr">
        <is>
          <t>26/09/2011</t>
        </is>
      </c>
      <c r="B2068" s="8" t="n">
        <v>161.049178472</v>
      </c>
      <c r="C2068" s="13" t="n"/>
      <c r="D2068" s="3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9">
      <c r="A2069" s="65" t="inlineStr">
        <is>
          <t>27/09/2011</t>
        </is>
      </c>
      <c r="B2069" s="8" t="n">
        <v>159.3046897256</v>
      </c>
      <c r="C2069" s="13" t="n"/>
      <c r="D2069" s="3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0">
      <c r="A2070" s="65" t="inlineStr">
        <is>
          <t>28/09/2011</t>
        </is>
      </c>
      <c r="B2070" s="8" t="n">
        <v>157.9900025544</v>
      </c>
      <c r="C2070" s="13" t="n"/>
      <c r="D2070" s="3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1">
      <c r="A2071" s="65" t="inlineStr">
        <is>
          <t>29/09/2011</t>
        </is>
      </c>
      <c r="B2071" s="8" t="n">
        <v>158.0658498912</v>
      </c>
      <c r="C2071" s="13" t="n"/>
      <c r="D2071" s="3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2">
      <c r="A2072" s="65" t="inlineStr">
        <is>
          <t>30/09/2011</t>
        </is>
      </c>
      <c r="B2072" s="8" t="n">
        <v>158.5714988032</v>
      </c>
      <c r="C2072" s="13" t="n"/>
      <c r="D2072" s="3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3">
      <c r="A2073" s="65" t="inlineStr">
        <is>
          <t>03/10/2011</t>
        </is>
      </c>
      <c r="B2073" s="8" t="n">
        <v>157.8360974076</v>
      </c>
      <c r="C2073" s="13" t="n"/>
      <c r="D2073" s="3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4">
      <c r="A2074" s="65" t="inlineStr">
        <is>
          <t>04/10/2011</t>
        </is>
      </c>
      <c r="B2074" s="8" t="n">
        <v>157.6600533219</v>
      </c>
      <c r="C2074" s="13" t="n"/>
      <c r="D2074" s="3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5">
      <c r="A2075" s="65" t="inlineStr">
        <is>
          <t>05/10/2011</t>
        </is>
      </c>
      <c r="B2075" s="8" t="n">
        <v>157.3582634607</v>
      </c>
      <c r="C2075" s="13" t="n"/>
      <c r="D2075" s="3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6">
      <c r="A2076" s="65" t="inlineStr">
        <is>
          <t>06/10/2011</t>
        </is>
      </c>
      <c r="B2076" s="8" t="n">
        <v>156.4528938771</v>
      </c>
      <c r="C2076" s="13" t="n"/>
      <c r="D2076" s="3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7">
      <c r="A2077" s="65" t="inlineStr">
        <is>
          <t>07/10/2011</t>
        </is>
      </c>
      <c r="B2077" s="8" t="n">
        <v>156.4528938771</v>
      </c>
      <c r="C2077" s="13" t="n"/>
      <c r="D2077" s="3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8">
      <c r="A2078" s="65" t="inlineStr">
        <is>
          <t>10/10/2011</t>
        </is>
      </c>
      <c r="B2078" s="8" t="n">
        <v>156.679236273</v>
      </c>
      <c r="C2078" s="13" t="n"/>
      <c r="D2078" s="3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9">
      <c r="A2079" s="65" t="inlineStr">
        <is>
          <t>11/10/2011</t>
        </is>
      </c>
      <c r="B2079" s="8" t="n">
        <v>156.0253582404</v>
      </c>
      <c r="C2079" s="13" t="n"/>
      <c r="D2079" s="3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0">
      <c r="A2080" s="65" t="inlineStr">
        <is>
          <t>13/10/2011</t>
        </is>
      </c>
      <c r="B2080" s="8" t="n">
        <v>155.1199886568</v>
      </c>
      <c r="C2080" s="13" t="n"/>
      <c r="D2080" s="3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1">
      <c r="A2081" s="65" t="inlineStr">
        <is>
          <t>14/10/2011</t>
        </is>
      </c>
      <c r="B2081" s="8" t="n">
        <v>156.7546837383</v>
      </c>
      <c r="C2081" s="13" t="n"/>
      <c r="D2081" s="3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2">
      <c r="A2082" s="65" t="inlineStr">
        <is>
          <t>17/10/2011</t>
        </is>
      </c>
      <c r="B2082" s="8" t="n">
        <v>156.8804295138</v>
      </c>
      <c r="C2082" s="13" t="n"/>
      <c r="D2082" s="3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3">
      <c r="A2083" s="65" t="inlineStr">
        <is>
          <t>18/10/2011</t>
        </is>
      </c>
      <c r="B2083" s="8" t="n">
        <v>157.5846058566</v>
      </c>
      <c r="C2083" s="13" t="n"/>
      <c r="D2083" s="3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4">
      <c r="A2084" s="65" t="inlineStr">
        <is>
          <t>19/10/2011</t>
        </is>
      </c>
      <c r="B2084" s="8" t="n">
        <v>158.2384838892</v>
      </c>
      <c r="C2084" s="13" t="n"/>
      <c r="D2084" s="3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5">
      <c r="A2085" s="65" t="inlineStr">
        <is>
          <t>20/10/2011</t>
        </is>
      </c>
      <c r="B2085" s="8" t="n">
        <v>157.685202477</v>
      </c>
      <c r="C2085" s="13" t="n"/>
      <c r="D2085" s="3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6">
      <c r="A2086" s="65" t="inlineStr">
        <is>
          <t>21/10/2011</t>
        </is>
      </c>
      <c r="B2086" s="8" t="n">
        <v>159.6216874197</v>
      </c>
      <c r="C2086" s="13" t="n"/>
      <c r="D2086" s="3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7">
      <c r="A2087" s="65" t="inlineStr">
        <is>
          <t>24/10/2011</t>
        </is>
      </c>
      <c r="B2087" s="8" t="n">
        <v>158.9175110769</v>
      </c>
      <c r="C2087" s="13" t="n"/>
      <c r="D2087" s="3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8">
      <c r="A2088" s="65" t="inlineStr">
        <is>
          <t>25/10/2011</t>
        </is>
      </c>
      <c r="B2088" s="8" t="n">
        <v>158.43967713</v>
      </c>
      <c r="C2088" s="13" t="n"/>
      <c r="D2088" s="3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9">
      <c r="A2089" s="65" t="inlineStr">
        <is>
          <t>26/10/2011</t>
        </is>
      </c>
      <c r="B2089" s="8" t="n">
        <v>159.1438534728</v>
      </c>
      <c r="C2089" s="13" t="n"/>
      <c r="D2089" s="3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0">
      <c r="A2090" s="65" t="inlineStr">
        <is>
          <t>27/10/2011</t>
        </is>
      </c>
      <c r="B2090" s="8" t="n">
        <v>159.7977315054</v>
      </c>
      <c r="C2090" s="13" t="n"/>
      <c r="D2090" s="3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1">
      <c r="A2091" s="65" t="inlineStr">
        <is>
          <t>28/10/2011</t>
        </is>
      </c>
      <c r="B2091" s="8" t="n">
        <v>158.8923619218</v>
      </c>
      <c r="C2091" s="13" t="n"/>
      <c r="D2091" s="3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2">
      <c r="A2092" s="65" t="inlineStr">
        <is>
          <t>31/10/2011</t>
        </is>
      </c>
      <c r="B2092" s="8" t="n">
        <v>159.445643334</v>
      </c>
      <c r="C2092" s="13" t="n"/>
      <c r="D2092" s="3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3">
      <c r="A2093" s="65" t="inlineStr">
        <is>
          <t>01/11/2011</t>
        </is>
      </c>
      <c r="B2093" s="8" t="n">
        <v>158.0267803935</v>
      </c>
      <c r="C2093" s="13" t="n"/>
      <c r="D2093" s="3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4">
      <c r="A2094" s="65" t="inlineStr">
        <is>
          <t>03/11/2011</t>
        </is>
      </c>
      <c r="B2094" s="8" t="n">
        <v>157.9517082888</v>
      </c>
      <c r="C2094" s="13" t="n"/>
      <c r="D2094" s="3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5">
      <c r="A2095" s="65" t="inlineStr">
        <is>
          <t>04/11/2011</t>
        </is>
      </c>
      <c r="B2095" s="8" t="n">
        <v>159.0027177546</v>
      </c>
      <c r="C2095" s="13" t="n"/>
      <c r="D2095" s="3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6">
      <c r="A2096" s="65" t="inlineStr">
        <is>
          <t>07/11/2011</t>
        </is>
      </c>
      <c r="B2096" s="8" t="n">
        <v>158.3020447774</v>
      </c>
      <c r="C2096" s="13" t="n"/>
      <c r="D2096" s="3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7">
      <c r="A2097" s="65" t="inlineStr">
        <is>
          <t>08/11/2011</t>
        </is>
      </c>
      <c r="B2097" s="8" t="n">
        <v>157.6764439049</v>
      </c>
      <c r="C2097" s="13" t="n"/>
      <c r="D2097" s="3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8">
      <c r="A2098" s="65" t="inlineStr">
        <is>
          <t>09/11/2011</t>
        </is>
      </c>
      <c r="B2098" s="8" t="n">
        <v>158.9526696848</v>
      </c>
      <c r="C2098" s="13" t="n"/>
      <c r="D2098" s="3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9">
      <c r="A2099" s="65" t="inlineStr">
        <is>
          <t>10/11/2011</t>
        </is>
      </c>
      <c r="B2099" s="8" t="n">
        <v>160.4541117788</v>
      </c>
      <c r="C2099" s="13" t="n"/>
      <c r="D2099" s="3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0">
      <c r="A2100" s="65" t="inlineStr">
        <is>
          <t>11/11/2011</t>
        </is>
      </c>
      <c r="B2100" s="8" t="n">
        <v>161.3049289654</v>
      </c>
      <c r="C2100" s="13" t="n"/>
      <c r="D2100" s="3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1">
      <c r="A2101" s="65" t="inlineStr">
        <is>
          <t>14/11/2011</t>
        </is>
      </c>
      <c r="B2101" s="8" t="n">
        <v>161.6052173842</v>
      </c>
      <c r="C2101" s="13" t="n"/>
      <c r="D2101" s="3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2">
      <c r="A2102" s="65" t="inlineStr">
        <is>
          <t>16/11/2011</t>
        </is>
      </c>
      <c r="B2102" s="8" t="n">
        <v>161.8054096634</v>
      </c>
      <c r="C2102" s="13" t="n"/>
      <c r="D2102" s="3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3">
      <c r="A2103" s="65" t="inlineStr">
        <is>
          <t>17/11/2011</t>
        </is>
      </c>
      <c r="B2103" s="8" t="n">
        <v>160.654304058</v>
      </c>
      <c r="C2103" s="13" t="n"/>
      <c r="D2103" s="3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4">
      <c r="A2104" s="65" t="inlineStr">
        <is>
          <t>18/11/2011</t>
        </is>
      </c>
      <c r="B2104" s="8" t="n">
        <v>159.7784628365</v>
      </c>
      <c r="C2104" s="13" t="n"/>
      <c r="D2104" s="3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5">
      <c r="A2105" s="65" t="inlineStr">
        <is>
          <t>21/11/2011</t>
        </is>
      </c>
      <c r="B2105" s="8" t="n">
        <v>160.2038714298</v>
      </c>
      <c r="C2105" s="13" t="n"/>
      <c r="D2105" s="3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6">
      <c r="A2106" s="65" t="inlineStr">
        <is>
          <t>22/11/2011</t>
        </is>
      </c>
      <c r="B2106" s="8" t="n">
        <v>160.0036791506</v>
      </c>
      <c r="C2106" s="13" t="n"/>
      <c r="D2106" s="3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7">
      <c r="A2107" s="65" t="inlineStr">
        <is>
          <t>23/11/2011</t>
        </is>
      </c>
      <c r="B2107" s="8" t="n">
        <v>160.1037752902</v>
      </c>
      <c r="C2107" s="13" t="n"/>
      <c r="D2107" s="3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8">
      <c r="A2108" s="65" t="inlineStr">
        <is>
          <t>24/11/2011</t>
        </is>
      </c>
      <c r="B2108" s="8" t="n">
        <v>160.5792319533</v>
      </c>
      <c r="C2108" s="13" t="n"/>
      <c r="D2108" s="3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9">
      <c r="A2109" s="65" t="inlineStr">
        <is>
          <t>25/11/2011</t>
        </is>
      </c>
      <c r="B2109" s="8" t="n">
        <v>160.1287993251</v>
      </c>
      <c r="C2109" s="13" t="n"/>
      <c r="D2109" s="3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0">
      <c r="A2110" s="65" t="inlineStr">
        <is>
          <t>28/11/2011</t>
        </is>
      </c>
      <c r="B2110" s="8" t="n">
        <v>160.4541117788</v>
      </c>
      <c r="C2110" s="13" t="n"/>
      <c r="D2110" s="3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1">
      <c r="A2111" s="65" t="inlineStr">
        <is>
          <t>29/11/2011</t>
        </is>
      </c>
      <c r="B2111" s="8" t="n">
        <v>160.7043521278</v>
      </c>
      <c r="C2111" s="13" t="n"/>
      <c r="D2111" s="3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2">
      <c r="A2112" s="65" t="inlineStr">
        <is>
          <t>30/11/2011</t>
        </is>
      </c>
      <c r="B2112" s="8" t="n">
        <v>161.0296645815</v>
      </c>
      <c r="C2112" s="13" t="n"/>
      <c r="D2112" s="3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3">
      <c r="A2113" s="65" t="inlineStr">
        <is>
          <t>01/12/2011</t>
        </is>
      </c>
      <c r="B2113" s="8" t="n">
        <v>160.8974289156</v>
      </c>
      <c r="C2113" s="13" t="n"/>
      <c r="D2113" s="3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4">
      <c r="A2114" s="65" t="inlineStr">
        <is>
          <t>02/12/2011</t>
        </is>
      </c>
      <c r="B2114" s="8" t="n">
        <v>160.1458059216</v>
      </c>
      <c r="C2114" s="13" t="n"/>
      <c r="D2114" s="3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5">
      <c r="A2115" s="65" t="inlineStr">
        <is>
          <t>05/12/2011</t>
        </is>
      </c>
      <c r="B2115" s="8" t="n">
        <v>160.7972125164</v>
      </c>
      <c r="C2115" s="13" t="n"/>
      <c r="D2115" s="3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6">
      <c r="A2116" s="65" t="inlineStr">
        <is>
          <t>06/12/2011</t>
        </is>
      </c>
      <c r="B2116" s="8" t="n">
        <v>160.1959141212</v>
      </c>
      <c r="C2116" s="13" t="n"/>
      <c r="D2116" s="3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7">
      <c r="A2117" s="65" t="inlineStr">
        <is>
          <t>07/12/2011</t>
        </is>
      </c>
      <c r="B2117" s="8" t="n">
        <v>159.4943993268</v>
      </c>
      <c r="C2117" s="13" t="n"/>
      <c r="D2117" s="3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8">
      <c r="A2118" s="65" t="inlineStr">
        <is>
          <t>08/12/2011</t>
        </is>
      </c>
      <c r="B2118" s="8" t="n">
        <v>160.6218338178</v>
      </c>
      <c r="C2118" s="13" t="n"/>
      <c r="D2118" s="3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9">
      <c r="A2119" s="65" t="inlineStr">
        <is>
          <t>09/12/2011</t>
        </is>
      </c>
      <c r="B2119" s="8" t="n">
        <v>159.7449403248</v>
      </c>
      <c r="C2119" s="13" t="n"/>
      <c r="D2119" s="3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0">
      <c r="A2120" s="65" t="inlineStr">
        <is>
          <t>12/12/2011</t>
        </is>
      </c>
      <c r="B2120" s="8" t="n">
        <v>159.6447239256</v>
      </c>
      <c r="C2120" s="13" t="n"/>
      <c r="D2120" s="3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1">
      <c r="A2121" s="65" t="inlineStr">
        <is>
          <t>13/12/2011</t>
        </is>
      </c>
      <c r="B2121" s="8" t="n">
        <v>160.1708600214</v>
      </c>
      <c r="C2121" s="13" t="n"/>
      <c r="D2121" s="3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2">
      <c r="A2122" s="65" t="inlineStr">
        <is>
          <t>14/12/2011</t>
        </is>
      </c>
      <c r="B2122" s="8" t="n">
        <v>159.1436419296</v>
      </c>
      <c r="C2122" s="13" t="n"/>
      <c r="D2122" s="3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3">
      <c r="A2123" s="65" t="inlineStr">
        <is>
          <t>15/12/2011</t>
        </is>
      </c>
      <c r="B2123" s="8" t="n">
        <v>159.9203190234</v>
      </c>
      <c r="C2123" s="13" t="n"/>
      <c r="D2123" s="3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4">
      <c r="A2124" s="65" t="inlineStr">
        <is>
          <t>16/12/2011</t>
        </is>
      </c>
      <c r="B2124" s="8" t="n">
        <v>159.0434255304</v>
      </c>
      <c r="C2124" s="13" t="n"/>
      <c r="D2124" s="3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5">
      <c r="A2125" s="65" t="inlineStr">
        <is>
          <t>19/12/2011</t>
        </is>
      </c>
      <c r="B2125" s="8" t="n">
        <v>159.3941829276</v>
      </c>
      <c r="C2125" s="13" t="n"/>
      <c r="D2125" s="3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6">
      <c r="A2126" s="65" t="inlineStr">
        <is>
          <t>20/12/2011</t>
        </is>
      </c>
      <c r="B2126" s="8" t="n">
        <v>159.344074728</v>
      </c>
      <c r="C2126" s="13" t="n"/>
      <c r="D2126" s="3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7">
      <c r="A2127" s="65" t="inlineStr">
        <is>
          <t>21/12/2011</t>
        </is>
      </c>
      <c r="B2127" s="8" t="n">
        <v>158.3168566362</v>
      </c>
      <c r="C2127" s="13" t="n"/>
      <c r="D2127" s="3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8">
      <c r="A2128" s="65" t="inlineStr">
        <is>
          <t>22/12/2011</t>
        </is>
      </c>
      <c r="B2128" s="8" t="n">
        <v>157.5151254426</v>
      </c>
      <c r="C2128" s="13" t="n"/>
      <c r="D2128" s="3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9">
      <c r="A2129" s="65" t="inlineStr">
        <is>
          <t>23/12/2011</t>
        </is>
      </c>
      <c r="B2129" s="8" t="n">
        <v>157.3146926442</v>
      </c>
      <c r="C2129" s="13" t="n"/>
      <c r="D2129" s="3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0">
      <c r="A2130" s="65" t="inlineStr">
        <is>
          <t>26/12/2011</t>
        </is>
      </c>
      <c r="B2130" s="8" t="n">
        <v>158.0663156382</v>
      </c>
      <c r="C2130" s="13" t="n"/>
      <c r="D2130" s="3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1">
      <c r="A2131" s="65" t="inlineStr">
        <is>
          <t>27/12/2011</t>
        </is>
      </c>
      <c r="B2131" s="8" t="n">
        <v>157.84082874</v>
      </c>
      <c r="C2131" s="13" t="n"/>
      <c r="D2131" s="3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2">
      <c r="A2132" s="65" t="inlineStr">
        <is>
          <t>28/12/2011</t>
        </is>
      </c>
      <c r="B2132" s="8" t="n">
        <v>158.4170730354</v>
      </c>
      <c r="C2132" s="13" t="n"/>
      <c r="D2132" s="3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3">
      <c r="A2133" s="65" t="inlineStr">
        <is>
          <t>29/12/2011</t>
        </is>
      </c>
      <c r="B2133" s="8" t="n">
        <v>158.8179386322</v>
      </c>
      <c r="C2133" s="13" t="n"/>
      <c r="D2133" s="3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4">
      <c r="A2134" s="65" t="inlineStr">
        <is>
          <t>02/01/2012</t>
        </is>
      </c>
      <c r="B2134" s="8" t="n">
        <v>157.8720679619</v>
      </c>
      <c r="C2134" s="13" t="n"/>
      <c r="D2134" s="3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5">
      <c r="A2135" s="65" t="inlineStr">
        <is>
          <t>03/01/2012</t>
        </is>
      </c>
      <c r="B2135" s="8" t="n">
        <v>157.9720344447</v>
      </c>
      <c r="C2135" s="13" t="n"/>
      <c r="D2135" s="3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6">
      <c r="A2136" s="65" t="inlineStr">
        <is>
          <t>04/01/2012</t>
        </is>
      </c>
      <c r="B2136" s="8" t="n">
        <v>158.3968919966</v>
      </c>
      <c r="C2136" s="13" t="n"/>
      <c r="D2136" s="3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7">
      <c r="A2137" s="65" t="inlineStr">
        <is>
          <t>05/01/2012</t>
        </is>
      </c>
      <c r="B2137" s="8" t="n">
        <v>157.3472439272</v>
      </c>
      <c r="C2137" s="13" t="n"/>
      <c r="D2137" s="3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8">
      <c r="A2138" s="65" t="inlineStr">
        <is>
          <t>06/01/2012</t>
        </is>
      </c>
      <c r="B2138" s="8" t="n">
        <v>157.197294203</v>
      </c>
      <c r="C2138" s="13" t="n"/>
      <c r="D2138" s="3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9">
      <c r="A2139" s="65" t="inlineStr">
        <is>
          <t>09/01/2012</t>
        </is>
      </c>
      <c r="B2139" s="8" t="n">
        <v>155.6478137196</v>
      </c>
      <c r="C2139" s="13" t="n"/>
      <c r="D2139" s="3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0">
      <c r="A2140" s="65" t="inlineStr">
        <is>
          <t>10/01/2012</t>
        </is>
      </c>
      <c r="B2140" s="8" t="n">
        <v>155.8227550645</v>
      </c>
      <c r="C2140" s="13" t="n"/>
      <c r="D2140" s="3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1">
      <c r="A2141" s="65" t="inlineStr">
        <is>
          <t>11/01/2012</t>
        </is>
      </c>
      <c r="B2141" s="8" t="n">
        <v>156.1476461336</v>
      </c>
      <c r="C2141" s="13" t="n"/>
      <c r="D2141" s="3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2">
      <c r="A2142" s="65" t="inlineStr">
        <is>
          <t>12/01/2012</t>
        </is>
      </c>
      <c r="B2142" s="8" t="n">
        <v>156.0476796508</v>
      </c>
      <c r="C2142" s="13" t="n"/>
      <c r="D2142" s="3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3">
      <c r="A2143" s="65" t="inlineStr">
        <is>
          <t>13/01/2012</t>
        </is>
      </c>
      <c r="B2143" s="8" t="n">
        <v>155.1229896849</v>
      </c>
      <c r="C2143" s="13" t="n"/>
      <c r="D2143" s="3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4">
      <c r="A2144" s="65" t="inlineStr">
        <is>
          <t>16/01/2012</t>
        </is>
      </c>
      <c r="B2144" s="8" t="n">
        <v>153.948383512</v>
      </c>
      <c r="C2144" s="13" t="n"/>
      <c r="D2144" s="3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5">
      <c r="A2145" s="65" t="inlineStr">
        <is>
          <t>17/01/2012</t>
        </is>
      </c>
      <c r="B2145" s="8" t="n">
        <v>153.0736767875</v>
      </c>
      <c r="C2145" s="13" t="n"/>
      <c r="D2145" s="3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6">
      <c r="A2146" s="65" t="inlineStr">
        <is>
          <t>18/01/2012</t>
        </is>
      </c>
      <c r="B2146" s="8" t="n">
        <v>152.9737103047</v>
      </c>
      <c r="C2146" s="13" t="n"/>
      <c r="D2146" s="3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7">
      <c r="A2147" s="65" t="inlineStr">
        <is>
          <t>19/01/2012</t>
        </is>
      </c>
      <c r="B2147" s="8" t="n">
        <v>153.2486181324</v>
      </c>
      <c r="C2147" s="13" t="n"/>
      <c r="D2147" s="3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8">
      <c r="A2148" s="65" t="inlineStr">
        <is>
          <t>20/01/2012</t>
        </is>
      </c>
      <c r="B2148" s="8" t="n">
        <v>153.4985343394</v>
      </c>
      <c r="C2148" s="13" t="n"/>
      <c r="D2148" s="3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9">
      <c r="A2149" s="65" t="inlineStr">
        <is>
          <t>23/01/2012</t>
        </is>
      </c>
      <c r="B2149" s="8" t="n">
        <v>153.5485175808</v>
      </c>
      <c r="C2149" s="13" t="n"/>
      <c r="D2149" s="3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0">
      <c r="A2150" s="65" t="inlineStr">
        <is>
          <t>24/01/2012</t>
        </is>
      </c>
      <c r="B2150" s="8" t="n">
        <v>152.9237270633</v>
      </c>
      <c r="C2150" s="13" t="n"/>
      <c r="D2150" s="3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1">
      <c r="A2151" s="65" t="inlineStr">
        <is>
          <t>25/01/2012</t>
        </is>
      </c>
      <c r="B2151" s="8" t="n">
        <v>153.698467305</v>
      </c>
      <c r="C2151" s="13" t="n"/>
      <c r="D2151" s="3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2">
      <c r="A2152" s="65" t="inlineStr">
        <is>
          <t>26/01/2012</t>
        </is>
      </c>
      <c r="B2152" s="8" t="n">
        <v>154.1483164776</v>
      </c>
      <c r="C2152" s="13" t="n"/>
      <c r="D2152" s="3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3">
      <c r="A2153" s="65" t="inlineStr">
        <is>
          <t>27/01/2012</t>
        </is>
      </c>
      <c r="B2153" s="8" t="n">
        <v>154.1733080983</v>
      </c>
      <c r="C2153" s="13" t="n"/>
      <c r="D2153" s="3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4">
      <c r="A2154" s="65" t="inlineStr">
        <is>
          <t>30/01/2012</t>
        </is>
      </c>
      <c r="B2154" s="8" t="n">
        <v>154.2482829604</v>
      </c>
      <c r="C2154" s="13" t="n"/>
      <c r="D2154" s="3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5">
      <c r="A2155" s="65" t="inlineStr">
        <is>
          <t>31/01/2012</t>
        </is>
      </c>
      <c r="B2155" s="8" t="n">
        <v>153.8484170292</v>
      </c>
      <c r="C2155" s="13" t="n"/>
      <c r="D2155" s="3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6">
      <c r="A2156" s="65" t="inlineStr">
        <is>
          <t>01/02/2012</t>
        </is>
      </c>
      <c r="B2156" s="8" t="n">
        <v>153.3156160357</v>
      </c>
      <c r="C2156" s="13" t="n"/>
      <c r="D2156" s="3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7">
      <c r="A2157" s="65" t="inlineStr">
        <is>
          <t>02/02/2012</t>
        </is>
      </c>
      <c r="B2157" s="8" t="n">
        <v>153.3656292851</v>
      </c>
      <c r="C2157" s="13" t="n"/>
      <c r="D2157" s="3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8">
      <c r="A2158" s="65" t="inlineStr">
        <is>
          <t>03/02/2012</t>
        </is>
      </c>
      <c r="B2158" s="8" t="n">
        <v>153.3906359098</v>
      </c>
      <c r="C2158" s="13" t="n"/>
      <c r="D2158" s="3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9">
      <c r="A2159" s="65" t="inlineStr">
        <is>
          <t>06/02/2012</t>
        </is>
      </c>
      <c r="B2159" s="8" t="n">
        <v>150.6649138175</v>
      </c>
      <c r="C2159" s="13" t="n"/>
      <c r="D2159" s="3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0">
      <c r="A2160" s="65" t="inlineStr">
        <is>
          <t>07/02/2012</t>
        </is>
      </c>
      <c r="B2160" s="8" t="n">
        <v>149.9147150765</v>
      </c>
      <c r="C2160" s="13" t="n"/>
      <c r="D2160" s="3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1">
      <c r="A2161" s="65" t="inlineStr">
        <is>
          <t>08/02/2012</t>
        </is>
      </c>
      <c r="B2161" s="8" t="n">
        <v>149.0144765873</v>
      </c>
      <c r="C2161" s="13" t="n"/>
      <c r="D2161" s="3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2">
      <c r="A2162" s="65" t="inlineStr">
        <is>
          <t>09/02/2012</t>
        </is>
      </c>
      <c r="B2162" s="8" t="n">
        <v>148.7394037156</v>
      </c>
      <c r="C2162" s="13" t="n"/>
      <c r="D2162" s="3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3">
      <c r="A2163" s="65" t="inlineStr">
        <is>
          <t>10/02/2012</t>
        </is>
      </c>
      <c r="B2163" s="8" t="n">
        <v>147.7141321029</v>
      </c>
      <c r="C2163" s="13" t="n"/>
      <c r="D2163" s="3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4">
      <c r="A2164" s="65" t="inlineStr">
        <is>
          <t>13/02/2012</t>
        </is>
      </c>
      <c r="B2164" s="8" t="n">
        <v>147.2139996089</v>
      </c>
      <c r="C2164" s="13" t="n"/>
      <c r="D2164" s="3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5">
      <c r="A2165" s="65" t="inlineStr">
        <is>
          <t>14/02/2012</t>
        </is>
      </c>
      <c r="B2165" s="8" t="n">
        <v>146.2137346209</v>
      </c>
      <c r="C2165" s="13" t="n"/>
      <c r="D2165" s="3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6">
      <c r="A2166" s="65" t="inlineStr">
        <is>
          <t>15/02/2012</t>
        </is>
      </c>
      <c r="B2166" s="8" t="n">
        <v>146.1887279962</v>
      </c>
      <c r="C2166" s="13" t="n"/>
      <c r="D2166" s="3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7">
      <c r="A2167" s="65" t="inlineStr">
        <is>
          <t>16/02/2012</t>
        </is>
      </c>
      <c r="B2167" s="8" t="n">
        <v>146.1637213715</v>
      </c>
      <c r="C2167" s="13" t="n"/>
      <c r="D2167" s="3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8">
      <c r="A2168" s="65" t="inlineStr">
        <is>
          <t>17/02/2012</t>
        </is>
      </c>
      <c r="B2168" s="8" t="n">
        <v>146.0636948727</v>
      </c>
      <c r="C2168" s="13" t="n"/>
      <c r="D2168" s="3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9">
      <c r="A2169" s="65" t="inlineStr">
        <is>
          <t>22/02/2012</t>
        </is>
      </c>
      <c r="B2169" s="8" t="n">
        <v>146.038688248</v>
      </c>
      <c r="C2169" s="13" t="n"/>
      <c r="D2169" s="3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0">
      <c r="A2170" s="65" t="inlineStr">
        <is>
          <t>23/02/2012</t>
        </is>
      </c>
      <c r="B2170" s="8" t="n">
        <v>145.6135756281</v>
      </c>
      <c r="C2170" s="13" t="n"/>
      <c r="D2170" s="3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1">
      <c r="A2171" s="65" t="inlineStr">
        <is>
          <t>24/02/2012</t>
        </is>
      </c>
      <c r="B2171" s="8" t="n">
        <v>145.4135226305</v>
      </c>
      <c r="C2171" s="13" t="n"/>
      <c r="D2171" s="3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2">
      <c r="A2172" s="65" t="inlineStr">
        <is>
          <t>27/02/2012</t>
        </is>
      </c>
      <c r="B2172" s="8" t="n">
        <v>144.788357013</v>
      </c>
      <c r="C2172" s="13" t="n"/>
      <c r="D2172" s="3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3">
      <c r="A2173" s="65" t="inlineStr">
        <is>
          <t>28/02/2012</t>
        </is>
      </c>
      <c r="B2173" s="8" t="n">
        <v>144.2632178943</v>
      </c>
      <c r="C2173" s="13" t="n"/>
      <c r="D2173" s="3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4">
      <c r="A2174" s="65" t="inlineStr">
        <is>
          <t>29/02/2012</t>
        </is>
      </c>
      <c r="B2174" s="8" t="n">
        <v>143.8381052744</v>
      </c>
      <c r="C2174" s="13" t="n"/>
      <c r="D2174" s="3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5">
      <c r="A2175" s="65" t="inlineStr">
        <is>
          <t>01/03/2012</t>
        </is>
      </c>
      <c r="B2175" s="8" t="n">
        <v>143.5957429122</v>
      </c>
      <c r="C2175" s="13" t="n"/>
      <c r="D2175" s="3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6">
      <c r="A2176" s="65" t="inlineStr">
        <is>
          <t>02/03/2012</t>
        </is>
      </c>
      <c r="B2176" s="8" t="n">
        <v>143.296948233</v>
      </c>
      <c r="C2176" s="13" t="n"/>
      <c r="D2176" s="3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7">
      <c r="A2177" s="65" t="inlineStr">
        <is>
          <t>05/03/2012</t>
        </is>
      </c>
      <c r="B2177" s="8" t="n">
        <v>143.047952667</v>
      </c>
      <c r="C2177" s="13" t="n"/>
      <c r="D2177" s="3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8">
      <c r="A2178" s="65" t="inlineStr">
        <is>
          <t>06/03/2012</t>
        </is>
      </c>
      <c r="B2178" s="8" t="n">
        <v>142.8736557708</v>
      </c>
      <c r="C2178" s="13" t="n"/>
      <c r="D2178" s="3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9">
      <c r="A2179" s="65" t="inlineStr">
        <is>
          <t>07/03/2012</t>
        </is>
      </c>
      <c r="B2179" s="8" t="n">
        <v>142.5250619784</v>
      </c>
      <c r="C2179" s="13" t="n"/>
      <c r="D2179" s="3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0">
      <c r="A2180" s="65" t="inlineStr">
        <is>
          <t>08/03/2012</t>
        </is>
      </c>
      <c r="B2180" s="8" t="n">
        <v>143.1475508934</v>
      </c>
      <c r="C2180" s="13" t="n"/>
      <c r="D2180" s="3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1">
      <c r="A2181" s="65" t="inlineStr">
        <is>
          <t>09/03/2012</t>
        </is>
      </c>
      <c r="B2181" s="8" t="n">
        <v>143.2471491198</v>
      </c>
      <c r="C2181" s="13" t="n"/>
      <c r="D2181" s="3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2">
      <c r="A2182" s="65" t="inlineStr">
        <is>
          <t>12/03/2012</t>
        </is>
      </c>
      <c r="B2182" s="8" t="n">
        <v>142.798957101</v>
      </c>
      <c r="C2182" s="13" t="n"/>
      <c r="D2182" s="3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3">
      <c r="A2183" s="65" t="inlineStr">
        <is>
          <t>13/03/2012</t>
        </is>
      </c>
      <c r="B2183" s="8" t="n">
        <v>141.9523721766</v>
      </c>
      <c r="C2183" s="13" t="n"/>
      <c r="D2183" s="3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4">
      <c r="A2184" s="65" t="inlineStr">
        <is>
          <t>14/03/2012</t>
        </is>
      </c>
      <c r="B2184" s="8" t="n">
        <v>141.3298832616</v>
      </c>
      <c r="C2184" s="13" t="n"/>
      <c r="D2184" s="3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5">
      <c r="A2185" s="65" t="inlineStr">
        <is>
          <t>15/03/2012</t>
        </is>
      </c>
      <c r="B2185" s="8" t="n">
        <v>141.429481488</v>
      </c>
      <c r="C2185" s="13" t="n"/>
      <c r="D2185" s="3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6">
      <c r="A2186" s="65" t="inlineStr">
        <is>
          <t>16/03/2012</t>
        </is>
      </c>
      <c r="B2186" s="8" t="n">
        <v>141.3796823748</v>
      </c>
      <c r="C2186" s="13" t="n"/>
      <c r="D2186" s="3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7">
      <c r="A2187" s="65" t="inlineStr">
        <is>
          <t>19/03/2012</t>
        </is>
      </c>
      <c r="B2187" s="8" t="n">
        <v>141.429481488</v>
      </c>
      <c r="C2187" s="13" t="n"/>
      <c r="D2187" s="3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8">
      <c r="A2188" s="65" t="inlineStr">
        <is>
          <t>20/03/2012</t>
        </is>
      </c>
      <c r="B2188" s="8" t="n">
        <v>141.6037783842</v>
      </c>
      <c r="C2188" s="13" t="n"/>
      <c r="D2188" s="3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9">
      <c r="A2189" s="65" t="inlineStr">
        <is>
          <t>21/03/2012</t>
        </is>
      </c>
      <c r="B2189" s="8" t="n">
        <v>141.9523721766</v>
      </c>
      <c r="C2189" s="13" t="n"/>
      <c r="D2189" s="3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0">
      <c r="A2190" s="65" t="inlineStr">
        <is>
          <t>22/03/2012</t>
        </is>
      </c>
      <c r="B2190" s="8" t="n">
        <v>142.4503633086</v>
      </c>
      <c r="C2190" s="13" t="n"/>
      <c r="D2190" s="3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1">
      <c r="A2191" s="65" t="inlineStr">
        <is>
          <t>23/03/2012</t>
        </is>
      </c>
      <c r="B2191" s="8" t="n">
        <v>143.0977517802</v>
      </c>
      <c r="C2191" s="13" t="n"/>
      <c r="D2191" s="3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2">
      <c r="A2192" s="65" t="inlineStr">
        <is>
          <t>26/03/2012</t>
        </is>
      </c>
      <c r="B2192" s="8" t="n">
        <v>143.3218477896</v>
      </c>
      <c r="C2192" s="13" t="n"/>
      <c r="D2192" s="3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3">
      <c r="A2193" s="65" t="inlineStr">
        <is>
          <t>27/03/2012</t>
        </is>
      </c>
      <c r="B2193" s="8" t="n">
        <v>143.3467473462</v>
      </c>
      <c r="C2193" s="13" t="n"/>
      <c r="D2193" s="3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4">
      <c r="A2194" s="65" t="inlineStr">
        <is>
          <t>28/03/2012</t>
        </is>
      </c>
      <c r="B2194" s="8" t="n">
        <v>143.919437148</v>
      </c>
      <c r="C2194" s="13" t="n"/>
      <c r="D2194" s="3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5">
      <c r="A2195" s="65" t="inlineStr">
        <is>
          <t>29/03/2012</t>
        </is>
      </c>
      <c r="B2195" s="8" t="n">
        <v>144.6166247328</v>
      </c>
      <c r="C2195" s="13" t="n"/>
      <c r="D2195" s="3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6">
      <c r="A2196" s="65" t="inlineStr">
        <is>
          <t>30/03/2012</t>
        </is>
      </c>
      <c r="B2196" s="8" t="n">
        <v>144.6913234026</v>
      </c>
      <c r="C2196" s="13" t="n"/>
      <c r="D2196" s="3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7">
      <c r="A2197" s="65" t="inlineStr">
        <is>
          <t>02/04/2012</t>
        </is>
      </c>
      <c r="B2197" s="8" t="n">
        <v>143.9162274918</v>
      </c>
      <c r="C2197" s="13" t="n"/>
      <c r="D2197" s="3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8">
      <c r="A2198" s="65" t="inlineStr">
        <is>
          <t>03/04/2012</t>
        </is>
      </c>
      <c r="B2198" s="8" t="n">
        <v>143.7680893266</v>
      </c>
      <c r="C2198" s="13" t="n"/>
      <c r="D2198" s="3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9">
      <c r="A2199" s="65" t="inlineStr">
        <is>
          <t>04/04/2012</t>
        </is>
      </c>
      <c r="B2199" s="8" t="n">
        <v>143.7927790208</v>
      </c>
      <c r="C2199" s="13" t="n"/>
      <c r="D2199" s="3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0">
      <c r="A2200" s="65" t="inlineStr">
        <is>
          <t>05/04/2012</t>
        </is>
      </c>
      <c r="B2200" s="8" t="n">
        <v>144.1137450454</v>
      </c>
      <c r="C2200" s="13" t="n"/>
      <c r="D2200" s="3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1">
      <c r="A2201" s="65" t="inlineStr">
        <is>
          <t>09/04/2012</t>
        </is>
      </c>
      <c r="B2201" s="8" t="n">
        <v>144.5087801526</v>
      </c>
      <c r="C2201" s="13" t="n"/>
      <c r="D2201" s="3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2">
      <c r="A2202" s="65" t="inlineStr">
        <is>
          <t>10/04/2012</t>
        </is>
      </c>
      <c r="B2202" s="8" t="n">
        <v>144.8544358714</v>
      </c>
      <c r="C2202" s="13" t="n"/>
      <c r="D2202" s="3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3">
      <c r="A2203" s="65" t="inlineStr">
        <is>
          <t>11/04/2012</t>
        </is>
      </c>
      <c r="B2203" s="8" t="n">
        <v>144.6569183178</v>
      </c>
      <c r="C2203" s="13" t="n"/>
      <c r="D2203" s="3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4">
      <c r="A2204" s="65" t="inlineStr">
        <is>
          <t>12/04/2012</t>
        </is>
      </c>
      <c r="B2204" s="8" t="n">
        <v>143.8421584092</v>
      </c>
      <c r="C2204" s="13" t="n"/>
      <c r="D2204" s="3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5">
      <c r="A2205" s="65" t="inlineStr">
        <is>
          <t>13/04/2012</t>
        </is>
      </c>
      <c r="B2205" s="8" t="n">
        <v>141.3731889892</v>
      </c>
      <c r="C2205" s="13" t="n"/>
      <c r="D2205" s="3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6">
      <c r="A2206" s="65" t="inlineStr">
        <is>
          <t>16/04/2012</t>
        </is>
      </c>
      <c r="B2206" s="8" t="n">
        <v>140.0646351966</v>
      </c>
      <c r="C2206" s="13" t="n"/>
      <c r="D2206" s="3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7">
      <c r="A2207" s="65" t="inlineStr">
        <is>
          <t>17/04/2012</t>
        </is>
      </c>
      <c r="B2207" s="8" t="n">
        <v>139.49677223</v>
      </c>
      <c r="C2207" s="13" t="n"/>
      <c r="D2207" s="3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8">
      <c r="A2208" s="65" t="inlineStr">
        <is>
          <t>18/04/2012</t>
        </is>
      </c>
      <c r="B2208" s="8" t="n">
        <v>138.8301504866</v>
      </c>
      <c r="C2208" s="13" t="n"/>
      <c r="D2208" s="3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9">
      <c r="A2209" s="65" t="inlineStr">
        <is>
          <t>19/04/2012</t>
        </is>
      </c>
      <c r="B2209" s="8" t="n">
        <v>137.2006306694</v>
      </c>
      <c r="C2209" s="13" t="n"/>
      <c r="D2209" s="3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0">
      <c r="A2210" s="65" t="inlineStr">
        <is>
          <t>20/04/2012</t>
        </is>
      </c>
      <c r="B2210" s="8" t="n">
        <v>135.9414562652</v>
      </c>
      <c r="C2210" s="13" t="n"/>
      <c r="D2210" s="3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1">
      <c r="A2211" s="65" t="inlineStr">
        <is>
          <t>23/04/2012</t>
        </is>
      </c>
      <c r="B2211" s="8" t="n">
        <v>135.0032478856</v>
      </c>
      <c r="C2211" s="13" t="n"/>
      <c r="D2211" s="3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2">
      <c r="A2212" s="65" t="inlineStr">
        <is>
          <t>24/04/2012</t>
        </is>
      </c>
      <c r="B2212" s="8" t="n">
        <v>134.2872467538</v>
      </c>
      <c r="C2212" s="13" t="n"/>
      <c r="D2212" s="3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3">
      <c r="A2213" s="65" t="inlineStr">
        <is>
          <t>25/04/2012</t>
        </is>
      </c>
      <c r="B2213" s="8" t="n">
        <v>134.0897292002</v>
      </c>
      <c r="C2213" s="13" t="n"/>
      <c r="D2213" s="3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4">
      <c r="A2214" s="65" t="inlineStr">
        <is>
          <t>26/04/2012</t>
        </is>
      </c>
      <c r="B2214" s="8" t="n">
        <v>133.1762105148</v>
      </c>
      <c r="C2214" s="13" t="n"/>
      <c r="D2214" s="3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5">
      <c r="A2215" s="65" t="inlineStr">
        <is>
          <t>27/04/2012</t>
        </is>
      </c>
      <c r="B2215" s="8" t="n">
        <v>132.0157948874</v>
      </c>
      <c r="C2215" s="13" t="n"/>
      <c r="D2215" s="3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6">
      <c r="A2216" s="65" t="inlineStr">
        <is>
          <t>30/04/2012</t>
        </is>
      </c>
      <c r="B2216" s="8" t="n">
        <v>131.9417258048</v>
      </c>
      <c r="C2216" s="13" t="n"/>
      <c r="D2216" s="3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7">
      <c r="A2217" s="65" t="inlineStr">
        <is>
          <t>02/05/2012</t>
        </is>
      </c>
      <c r="B2217" s="8" t="n">
        <v>129.9007371615</v>
      </c>
      <c r="C2217" s="13" t="n"/>
      <c r="D2217" s="3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8">
      <c r="A2218" s="65" t="inlineStr">
        <is>
          <t>03/05/2012</t>
        </is>
      </c>
      <c r="B2218" s="8" t="n">
        <v>130.3895452035</v>
      </c>
      <c r="C2218" s="13" t="n"/>
      <c r="D2218" s="3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9">
      <c r="A2219" s="65" t="inlineStr">
        <is>
          <t>04/05/2012</t>
        </is>
      </c>
      <c r="B2219" s="8" t="n">
        <v>130.8539128434</v>
      </c>
      <c r="C2219" s="13" t="n"/>
      <c r="D2219" s="3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0">
      <c r="A2220" s="65" t="inlineStr">
        <is>
          <t>07/05/2012</t>
        </is>
      </c>
      <c r="B2220" s="8" t="n">
        <v>131.6115653085</v>
      </c>
      <c r="C2220" s="13" t="n"/>
      <c r="D2220" s="3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1">
      <c r="A2221" s="65" t="inlineStr">
        <is>
          <t>08/05/2012</t>
        </is>
      </c>
      <c r="B2221" s="8" t="n">
        <v>132.0759329484</v>
      </c>
      <c r="C2221" s="13" t="n"/>
      <c r="D2221" s="3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2">
      <c r="A2222" s="65" t="inlineStr">
        <is>
          <t>09/05/2012</t>
        </is>
      </c>
      <c r="B2222" s="8" t="n">
        <v>132.711383403</v>
      </c>
      <c r="C2222" s="13" t="n"/>
      <c r="D2222" s="3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3">
      <c r="A2223" s="65" t="inlineStr">
        <is>
          <t>10/05/2012</t>
        </is>
      </c>
      <c r="B2223" s="8" t="n">
        <v>132.5891813925</v>
      </c>
      <c r="C2223" s="13" t="n"/>
      <c r="D2223" s="3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4">
      <c r="A2224" s="65" t="inlineStr">
        <is>
          <t>11/05/2012</t>
        </is>
      </c>
      <c r="B2224" s="8" t="n">
        <v>132.8335854135</v>
      </c>
      <c r="C2224" s="13" t="n"/>
      <c r="D2224" s="3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5">
      <c r="A2225" s="65" t="inlineStr">
        <is>
          <t>14/05/2012</t>
        </is>
      </c>
      <c r="B2225" s="8" t="n">
        <v>133.3712742597</v>
      </c>
      <c r="C2225" s="13" t="n"/>
      <c r="D2225" s="3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6">
      <c r="A2226" s="65" t="inlineStr">
        <is>
          <t>15/05/2012</t>
        </is>
      </c>
      <c r="B2226" s="8" t="n">
        <v>133.7623206933</v>
      </c>
      <c r="C2226" s="13" t="n"/>
      <c r="D2226" s="3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7">
      <c r="A2227" s="65" t="inlineStr">
        <is>
          <t>16/05/2012</t>
        </is>
      </c>
      <c r="B2227" s="8" t="n">
        <v>134.3488903437</v>
      </c>
      <c r="C2227" s="13" t="n"/>
      <c r="D2227" s="3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8">
      <c r="A2228" s="65" t="inlineStr">
        <is>
          <t>17/05/2012</t>
        </is>
      </c>
      <c r="B2228" s="8" t="n">
        <v>134.42221155</v>
      </c>
      <c r="C2228" s="13" t="n"/>
      <c r="D2228" s="3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9">
      <c r="A2229" s="65" t="inlineStr">
        <is>
          <t>18/05/2012</t>
        </is>
      </c>
      <c r="B2229" s="8" t="n">
        <v>134.4710923542</v>
      </c>
      <c r="C2229" s="13" t="n"/>
      <c r="D2229" s="3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0">
      <c r="A2230" s="65" t="inlineStr">
        <is>
          <t>21/05/2012</t>
        </is>
      </c>
      <c r="B2230" s="8" t="n">
        <v>134.6910559731</v>
      </c>
      <c r="C2230" s="13" t="n"/>
      <c r="D2230" s="3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1">
      <c r="A2231" s="65" t="inlineStr">
        <is>
          <t>22/05/2012</t>
        </is>
      </c>
      <c r="B2231" s="8" t="n">
        <v>134.8865791899</v>
      </c>
      <c r="C2231" s="13" t="n"/>
      <c r="D2231" s="3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2">
      <c r="A2232" s="65" t="inlineStr">
        <is>
          <t>23/05/2012</t>
        </is>
      </c>
      <c r="B2232" s="8" t="n">
        <v>134.3000095395</v>
      </c>
      <c r="C2232" s="13" t="n"/>
      <c r="D2232" s="3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3">
      <c r="A2233" s="65" t="inlineStr">
        <is>
          <t>24/05/2012</t>
        </is>
      </c>
      <c r="B2233" s="8" t="n">
        <v>134.3733307458</v>
      </c>
      <c r="C2233" s="13" t="n"/>
      <c r="D2233" s="3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4">
      <c r="A2234" s="65" t="inlineStr">
        <is>
          <t>25/05/2012</t>
        </is>
      </c>
      <c r="B2234" s="8" t="n">
        <v>134.5932943647</v>
      </c>
      <c r="C2234" s="13" t="n"/>
      <c r="D2234" s="3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5">
      <c r="A2235" s="65" t="inlineStr">
        <is>
          <t>28/05/2012</t>
        </is>
      </c>
      <c r="B2235" s="8" t="n">
        <v>134.3488903437</v>
      </c>
      <c r="C2235" s="13" t="n"/>
      <c r="D2235" s="3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6">
      <c r="A2236" s="65" t="inlineStr">
        <is>
          <t>29/05/2012</t>
        </is>
      </c>
      <c r="B2236" s="8" t="n">
        <v>134.5444135605</v>
      </c>
      <c r="C2236" s="13" t="n"/>
      <c r="D2236" s="3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7">
      <c r="A2237" s="65" t="inlineStr">
        <is>
          <t>30/05/2012</t>
        </is>
      </c>
      <c r="B2237" s="8" t="n">
        <v>134.5688539626</v>
      </c>
      <c r="C2237" s="13" t="n"/>
      <c r="D2237" s="3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8">
      <c r="A2238" s="65" t="inlineStr">
        <is>
          <t>31/05/2012</t>
        </is>
      </c>
      <c r="B2238" s="8" t="n">
        <v>135.1309832109</v>
      </c>
      <c r="C2238" s="13" t="n"/>
      <c r="D2238" s="3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9">
      <c r="A2239" s="65" t="inlineStr">
        <is>
          <t>01/06/2012</t>
        </is>
      </c>
      <c r="B2239" s="8" t="n">
        <v>134.5363283271</v>
      </c>
      <c r="C2239" s="13" t="n"/>
      <c r="D2239" s="3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0">
      <c r="A2240" s="65" t="inlineStr">
        <is>
          <t>04/06/2012</t>
        </is>
      </c>
      <c r="B2240" s="8" t="n">
        <v>133.5651222031</v>
      </c>
      <c r="C2240" s="13" t="n"/>
      <c r="D2240" s="3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1">
      <c r="A2241" s="65" t="inlineStr">
        <is>
          <t>05/06/2012</t>
        </is>
      </c>
      <c r="B2241" s="8" t="n">
        <v>133.8807641934</v>
      </c>
      <c r="C2241" s="13" t="n"/>
      <c r="D2241" s="3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2">
      <c r="A2242" s="65" t="inlineStr">
        <is>
          <t>06/06/2012</t>
        </is>
      </c>
      <c r="B2242" s="8" t="n">
        <v>132.8852779163</v>
      </c>
      <c r="C2242" s="13" t="n"/>
      <c r="D2242" s="3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3">
      <c r="A2243" s="65" t="inlineStr">
        <is>
          <t>08/06/2012</t>
        </is>
      </c>
      <c r="B2243" s="8" t="n">
        <v>132.9095580694</v>
      </c>
      <c r="C2243" s="13" t="n"/>
      <c r="D2243" s="3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4">
      <c r="A2244" s="65" t="inlineStr">
        <is>
          <t>11/06/2012</t>
        </is>
      </c>
      <c r="B2244" s="8" t="n">
        <v>133.7593634279</v>
      </c>
      <c r="C2244" s="13" t="n"/>
      <c r="D2244" s="3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5">
      <c r="A2245" s="65" t="inlineStr">
        <is>
          <t>12/06/2012</t>
        </is>
      </c>
      <c r="B2245" s="8" t="n">
        <v>134.8519703174</v>
      </c>
      <c r="C2245" s="13" t="n"/>
      <c r="D2245" s="3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6">
      <c r="A2246" s="65" t="inlineStr">
        <is>
          <t>13/06/2012</t>
        </is>
      </c>
      <c r="B2246" s="8" t="n">
        <v>134.6334489395</v>
      </c>
      <c r="C2246" s="13" t="n"/>
      <c r="D2246" s="3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7">
      <c r="A2247" s="65" t="inlineStr">
        <is>
          <t>14/06/2012</t>
        </is>
      </c>
      <c r="B2247" s="8" t="n">
        <v>134.1721260306</v>
      </c>
      <c r="C2247" s="13" t="n"/>
      <c r="D2247" s="3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8">
      <c r="A2248" s="65" t="inlineStr">
        <is>
          <t>15/06/2012</t>
        </is>
      </c>
      <c r="B2248" s="8" t="n">
        <v>133.7593634279</v>
      </c>
      <c r="C2248" s="13" t="n"/>
      <c r="D2248" s="3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9">
      <c r="A2249" s="65" t="inlineStr">
        <is>
          <t>18/06/2012</t>
        </is>
      </c>
      <c r="B2249" s="8" t="n">
        <v>133.6379626624</v>
      </c>
      <c r="C2249" s="13" t="n"/>
      <c r="D2249" s="3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0">
      <c r="A2250" s="65" t="inlineStr">
        <is>
          <t>19/06/2012</t>
        </is>
      </c>
      <c r="B2250" s="8" t="n">
        <v>133.5651222031</v>
      </c>
      <c r="C2250" s="13" t="n"/>
      <c r="D2250" s="3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1">
      <c r="A2251" s="65" t="inlineStr">
        <is>
          <t>20/06/2012</t>
        </is>
      </c>
      <c r="B2251" s="8" t="n">
        <v>133.2737603659</v>
      </c>
      <c r="C2251" s="13" t="n"/>
      <c r="D2251" s="3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2">
      <c r="A2252" s="65" t="inlineStr">
        <is>
          <t>21/06/2012</t>
        </is>
      </c>
      <c r="B2252" s="8" t="n">
        <v>133.6379626624</v>
      </c>
      <c r="C2252" s="13" t="n"/>
      <c r="D2252" s="3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3">
      <c r="A2253" s="65" t="inlineStr">
        <is>
          <t>22/06/2012</t>
        </is>
      </c>
      <c r="B2253" s="8" t="n">
        <v>134.1235657244</v>
      </c>
      <c r="C2253" s="13" t="n"/>
      <c r="D2253" s="3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4">
      <c r="A2254" s="65" t="inlineStr">
        <is>
          <t>25/06/2012</t>
        </is>
      </c>
      <c r="B2254" s="8" t="n">
        <v>134.3420871023</v>
      </c>
      <c r="C2254" s="13" t="n"/>
      <c r="D2254" s="3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5">
      <c r="A2255" s="65" t="inlineStr">
        <is>
          <t>26/06/2012</t>
        </is>
      </c>
      <c r="B2255" s="8" t="n">
        <v>133.4437214376</v>
      </c>
      <c r="C2255" s="13" t="n"/>
      <c r="D2255" s="3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6">
      <c r="A2256" s="65" t="inlineStr">
        <is>
          <t>27/06/2012</t>
        </is>
      </c>
      <c r="B2256" s="8" t="n">
        <v>133.6622428155</v>
      </c>
      <c r="C2256" s="13" t="n"/>
      <c r="D2256" s="3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7">
      <c r="A2257" s="65" t="inlineStr">
        <is>
          <t>28/06/2012</t>
        </is>
      </c>
      <c r="B2257" s="8" t="n">
        <v>134.0992855713</v>
      </c>
      <c r="C2257" s="13" t="n"/>
      <c r="D2257" s="3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8">
      <c r="A2258" s="65" t="inlineStr">
        <is>
          <t>29/06/2012</t>
        </is>
      </c>
      <c r="B2258" s="8" t="n">
        <v>133.9050443465</v>
      </c>
      <c r="C2258" s="13" t="n"/>
      <c r="D2258" s="3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9">
      <c r="A2259" s="65" t="inlineStr">
        <is>
          <t>02/07/2012</t>
        </is>
      </c>
      <c r="B2259" s="8" t="n">
        <v>132.9011343564</v>
      </c>
      <c r="C2259" s="13" t="n"/>
      <c r="D2259" s="3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0">
      <c r="A2260" s="65" t="inlineStr">
        <is>
          <t>03/07/2012</t>
        </is>
      </c>
      <c r="B2260" s="8" t="n">
        <v>132.0386067132</v>
      </c>
      <c r="C2260" s="13" t="n"/>
      <c r="D2260" s="3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1">
      <c r="A2261" s="65" t="inlineStr">
        <is>
          <t>04/07/2012</t>
        </is>
      </c>
      <c r="B2261" s="8" t="n">
        <v>131.4875473856</v>
      </c>
      <c r="C2261" s="13" t="n"/>
      <c r="D2261" s="3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2">
      <c r="A2262" s="65" t="inlineStr">
        <is>
          <t>05/07/2012</t>
        </is>
      </c>
      <c r="B2262" s="8" t="n">
        <v>130.5531424388</v>
      </c>
      <c r="C2262" s="13" t="n"/>
      <c r="D2262" s="3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3">
      <c r="A2263" s="65" t="inlineStr">
        <is>
          <t>06/07/2012</t>
        </is>
      </c>
      <c r="B2263" s="8" t="n">
        <v>130.217715022</v>
      </c>
      <c r="C2263" s="13" t="n"/>
      <c r="D2263" s="3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4">
      <c r="A2264" s="65" t="inlineStr">
        <is>
          <t>10/07/2012</t>
        </is>
      </c>
      <c r="B2264" s="8" t="n">
        <v>130.4333469328</v>
      </c>
      <c r="C2264" s="13" t="n"/>
      <c r="D2264" s="3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5">
      <c r="A2265" s="65" t="inlineStr">
        <is>
          <t>11/07/2012</t>
        </is>
      </c>
      <c r="B2265" s="8" t="n">
        <v>131.4635882844</v>
      </c>
      <c r="C2265" s="13" t="n"/>
      <c r="D2265" s="3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6">
      <c r="A2266" s="65" t="inlineStr">
        <is>
          <t>12/07/2012</t>
        </is>
      </c>
      <c r="B2266" s="8" t="n">
        <v>131.2719154748</v>
      </c>
      <c r="C2266" s="13" t="n"/>
      <c r="D2266" s="3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7">
      <c r="A2267" s="65" t="inlineStr">
        <is>
          <t>13/07/2012</t>
        </is>
      </c>
      <c r="B2267" s="8" t="n">
        <v>132.5417478384</v>
      </c>
      <c r="C2267" s="13" t="n"/>
      <c r="D2267" s="3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8">
      <c r="A2268" s="65" t="inlineStr">
        <is>
          <t>16/07/2012</t>
        </is>
      </c>
      <c r="B2268" s="8" t="n">
        <v>134.6980669464</v>
      </c>
      <c r="C2268" s="13" t="n"/>
      <c r="D2268" s="3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9">
      <c r="A2269" s="65" t="inlineStr">
        <is>
          <t>17/07/2012</t>
        </is>
      </c>
      <c r="B2269" s="8" t="n">
        <v>136.1835312208</v>
      </c>
      <c r="C2269" s="13" t="n"/>
      <c r="D2269" s="3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0">
      <c r="A2270" s="65" t="inlineStr">
        <is>
          <t>18/07/2012</t>
        </is>
      </c>
      <c r="B2270" s="8" t="n">
        <v>136.8304269532</v>
      </c>
      <c r="C2270" s="13" t="n"/>
      <c r="D2270" s="3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1">
      <c r="A2271" s="65" t="inlineStr">
        <is>
          <t>19/07/2012</t>
        </is>
      </c>
      <c r="B2271" s="8" t="n">
        <v>138.3877685312</v>
      </c>
      <c r="C2271" s="13" t="n"/>
      <c r="D2271" s="3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2">
      <c r="A2272" s="65" t="inlineStr">
        <is>
          <t>20/07/2012</t>
        </is>
      </c>
      <c r="B2272" s="8" t="n">
        <v>140.2086602224</v>
      </c>
      <c r="C2272" s="13" t="n"/>
      <c r="D2272" s="3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3">
      <c r="A2273" s="65" t="inlineStr">
        <is>
          <t>23/07/2012</t>
        </is>
      </c>
      <c r="B2273" s="8" t="n">
        <v>141.8857973064</v>
      </c>
      <c r="C2273" s="13" t="n"/>
      <c r="D2273" s="3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4">
      <c r="A2274" s="65" t="inlineStr">
        <is>
          <t>24/07/2012</t>
        </is>
      </c>
      <c r="B2274" s="8" t="n">
        <v>142.0055928124</v>
      </c>
      <c r="C2274" s="13" t="n"/>
      <c r="D2274" s="3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5">
      <c r="A2275" s="65" t="inlineStr">
        <is>
          <t>25/07/2012</t>
        </is>
      </c>
      <c r="B2275" s="8" t="n">
        <v>142.2691429256</v>
      </c>
      <c r="C2275" s="13" t="n"/>
      <c r="D2275" s="3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6">
      <c r="A2276" s="65" t="inlineStr">
        <is>
          <t>26/07/2012</t>
        </is>
      </c>
      <c r="B2276" s="8" t="n">
        <v>142.317061128</v>
      </c>
      <c r="C2276" s="13" t="n"/>
      <c r="D2276" s="3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7">
      <c r="A2277" s="65" t="inlineStr">
        <is>
          <t>27/07/2012</t>
        </is>
      </c>
      <c r="B2277" s="8" t="n">
        <v>142.436856634</v>
      </c>
      <c r="C2277" s="13" t="n"/>
      <c r="D2277" s="3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8">
      <c r="A2278" s="65" t="inlineStr">
        <is>
          <t>30/07/2012</t>
        </is>
      </c>
      <c r="B2278" s="8" t="n">
        <v>143.1316705688</v>
      </c>
      <c r="C2278" s="13" t="n"/>
      <c r="D2278" s="3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9">
      <c r="A2279" s="65" t="inlineStr">
        <is>
          <t>31/07/2012</t>
        </is>
      </c>
      <c r="B2279" s="8" t="n">
        <v>142.8202022532</v>
      </c>
      <c r="C2279" s="13" t="n"/>
      <c r="D2279" s="3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0">
      <c r="A2280" s="65" t="inlineStr">
        <is>
          <t>01/08/2012</t>
        </is>
      </c>
      <c r="B2280" s="8" t="n">
        <v>140.1925122405</v>
      </c>
      <c r="C2280" s="13" t="n"/>
      <c r="D2280" s="3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1">
      <c r="A2281" s="65" t="inlineStr">
        <is>
          <t>02/08/2012</t>
        </is>
      </c>
      <c r="B2281" s="8" t="n">
        <v>139.7200859145</v>
      </c>
      <c r="C2281" s="13" t="n"/>
      <c r="D2281" s="3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2">
      <c r="A2282" s="65" t="inlineStr">
        <is>
          <t>03/08/2012</t>
        </is>
      </c>
      <c r="B2282" s="8" t="n">
        <v>139.4130088026</v>
      </c>
      <c r="C2282" s="13" t="n"/>
      <c r="D2282" s="3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3">
      <c r="A2283" s="65" t="inlineStr">
        <is>
          <t>06/08/2012</t>
        </is>
      </c>
      <c r="B2283" s="8" t="n">
        <v>138.6098840484</v>
      </c>
      <c r="C2283" s="13" t="n"/>
      <c r="D2283" s="3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4">
      <c r="A2284" s="65" t="inlineStr">
        <is>
          <t>07/08/2012</t>
        </is>
      </c>
      <c r="B2284" s="8" t="n">
        <v>137.7358953453</v>
      </c>
      <c r="C2284" s="13" t="n"/>
      <c r="D2284" s="3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5">
      <c r="A2285" s="65" t="inlineStr">
        <is>
          <t>08/08/2012</t>
        </is>
      </c>
      <c r="B2285" s="8" t="n">
        <v>137.2870903356</v>
      </c>
      <c r="C2285" s="13" t="n"/>
      <c r="D2285" s="3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6">
      <c r="A2286" s="65" t="inlineStr">
        <is>
          <t>09/08/2012</t>
        </is>
      </c>
      <c r="B2286" s="8" t="n">
        <v>137.4288182334</v>
      </c>
      <c r="C2286" s="13" t="n"/>
      <c r="D2286" s="3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7">
      <c r="A2287" s="65" t="inlineStr">
        <is>
          <t>10/08/2012</t>
        </is>
      </c>
      <c r="B2287" s="8" t="n">
        <v>136.7910426933</v>
      </c>
      <c r="C2287" s="13" t="n"/>
      <c r="D2287" s="3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8">
      <c r="A2288" s="65" t="inlineStr">
        <is>
          <t>13/08/2012</t>
        </is>
      </c>
      <c r="B2288" s="8" t="n">
        <v>136.8146640096</v>
      </c>
      <c r="C2288" s="13" t="n"/>
      <c r="D2288" s="3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9">
      <c r="A2289" s="65" t="inlineStr">
        <is>
          <t>14/08/2012</t>
        </is>
      </c>
      <c r="B2289" s="8" t="n">
        <v>135.9170539902</v>
      </c>
      <c r="C2289" s="13" t="n"/>
      <c r="D2289" s="3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0">
      <c r="A2290" s="65" t="inlineStr">
        <is>
          <t>15/08/2012</t>
        </is>
      </c>
      <c r="B2290" s="8" t="n">
        <v>132.6573123408</v>
      </c>
      <c r="C2290" s="13" t="n"/>
      <c r="D2290" s="3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1">
      <c r="A2291" s="65" t="inlineStr">
        <is>
          <t>16/08/2012</t>
        </is>
      </c>
      <c r="B2291" s="8" t="n">
        <v>130.9093349346</v>
      </c>
      <c r="C2291" s="13" t="n"/>
      <c r="D2291" s="3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2">
      <c r="A2292" s="65" t="inlineStr">
        <is>
          <t>17/08/2012</t>
        </is>
      </c>
      <c r="B2292" s="8" t="n">
        <v>130.2243167619</v>
      </c>
      <c r="C2292" s="13" t="n"/>
      <c r="D2292" s="3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3">
      <c r="A2293" s="65" t="inlineStr">
        <is>
          <t>20/08/2012</t>
        </is>
      </c>
      <c r="B2293" s="8" t="n">
        <v>130.4841512412</v>
      </c>
      <c r="C2293" s="13" t="n"/>
      <c r="D2293" s="3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4">
      <c r="A2294" s="65" t="inlineStr">
        <is>
          <t>21/08/2012</t>
        </is>
      </c>
      <c r="B2294" s="8" t="n">
        <v>129.1141148958</v>
      </c>
      <c r="C2294" s="13" t="n"/>
      <c r="D2294" s="3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5">
      <c r="A2295" s="65" t="inlineStr">
        <is>
          <t>22/08/2012</t>
        </is>
      </c>
      <c r="B2295" s="8" t="n">
        <v>128.6416885698</v>
      </c>
      <c r="C2295" s="13" t="n"/>
      <c r="D2295" s="3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6">
      <c r="A2296" s="65" t="inlineStr">
        <is>
          <t>23/08/2012</t>
        </is>
      </c>
      <c r="B2296" s="8" t="n">
        <v>127.7440785504</v>
      </c>
      <c r="C2296" s="13" t="n"/>
      <c r="D2296" s="3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7">
      <c r="A2297" s="65" t="inlineStr">
        <is>
          <t>24/08/2012</t>
        </is>
      </c>
      <c r="B2297" s="8" t="n">
        <v>126.7519832658</v>
      </c>
      <c r="C2297" s="13" t="n"/>
      <c r="D2297" s="3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8">
      <c r="A2298" s="65" t="inlineStr">
        <is>
          <t>27/08/2012</t>
        </is>
      </c>
      <c r="B2298" s="8" t="n">
        <v>126.1850716746</v>
      </c>
      <c r="C2298" s="13" t="n"/>
      <c r="D2298" s="3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9">
      <c r="A2299" s="65" t="inlineStr">
        <is>
          <t>28/08/2012</t>
        </is>
      </c>
      <c r="B2299" s="8" t="n">
        <v>126.5630127354</v>
      </c>
      <c r="C2299" s="13" t="n"/>
      <c r="D2299" s="3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0">
      <c r="A2300" s="65" t="inlineStr">
        <is>
          <t>29/08/2012</t>
        </is>
      </c>
      <c r="B2300" s="8" t="n">
        <v>126.2559356235</v>
      </c>
      <c r="C2300" s="13" t="n"/>
      <c r="D2300" s="3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1">
      <c r="A2301" s="65" t="inlineStr">
        <is>
          <t>30/08/2012</t>
        </is>
      </c>
      <c r="B2301" s="8" t="n">
        <v>125.3110829715</v>
      </c>
      <c r="C2301" s="13" t="n"/>
      <c r="D2301" s="3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2">
      <c r="A2302" s="65" t="inlineStr">
        <is>
          <t>31/08/2012</t>
        </is>
      </c>
      <c r="B2302" s="8" t="n">
        <v>125.9961011442</v>
      </c>
      <c r="C2302" s="13" t="n"/>
      <c r="D2302" s="3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3">
      <c r="A2303" s="65" t="inlineStr">
        <is>
          <t>03/09/2012</t>
        </is>
      </c>
      <c r="B2303" s="8" t="n">
        <v>124.8558631659</v>
      </c>
      <c r="C2303" s="13" t="n"/>
      <c r="D2303" s="3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4">
      <c r="A2304" s="65" t="inlineStr">
        <is>
          <t>04/09/2012</t>
        </is>
      </c>
      <c r="B2304" s="8" t="n">
        <v>122.7737623936</v>
      </c>
      <c r="C2304" s="13" t="n"/>
      <c r="D2304" s="3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5">
      <c r="A2305" s="65" t="inlineStr">
        <is>
          <t>05/09/2012</t>
        </is>
      </c>
      <c r="B2305" s="8" t="n">
        <v>121.5338596865</v>
      </c>
      <c r="C2305" s="13" t="n"/>
      <c r="D2305" s="3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6">
      <c r="A2306" s="65" t="inlineStr">
        <is>
          <t>06/09/2012</t>
        </is>
      </c>
      <c r="B2306" s="8" t="n">
        <v>120.6682672306</v>
      </c>
      <c r="C2306" s="13" t="n"/>
      <c r="D2306" s="3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7">
      <c r="A2307" s="65" t="inlineStr">
        <is>
          <t>10/09/2012</t>
        </is>
      </c>
      <c r="B2307" s="8" t="n">
        <v>119.1242374444</v>
      </c>
      <c r="C2307" s="13" t="n"/>
      <c r="D2307" s="3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8">
      <c r="A2308" s="65" t="inlineStr">
        <is>
          <t>11/09/2012</t>
        </is>
      </c>
      <c r="B2308" s="8" t="n">
        <v>118.0714898629</v>
      </c>
      <c r="C2308" s="13" t="n"/>
      <c r="D2308" s="3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9">
      <c r="A2309" s="65" t="inlineStr">
        <is>
          <t>12/09/2012</t>
        </is>
      </c>
      <c r="B2309" s="8" t="n">
        <v>118.5393776769</v>
      </c>
      <c r="C2309" s="13" t="n"/>
      <c r="D2309" s="3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0">
      <c r="A2310" s="65" t="inlineStr">
        <is>
          <t>13/09/2012</t>
        </is>
      </c>
      <c r="B2310" s="8" t="n">
        <v>118.2820393792</v>
      </c>
      <c r="C2310" s="13" t="n"/>
      <c r="D2310" s="3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1">
      <c r="A2311" s="65" t="inlineStr">
        <is>
          <t>14/09/2012</t>
        </is>
      </c>
      <c r="B2311" s="8" t="n">
        <v>116.5274600767</v>
      </c>
      <c r="C2311" s="13" t="n"/>
      <c r="D2311" s="3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2">
      <c r="A2312" s="65" t="inlineStr">
        <is>
          <t>17/09/2012</t>
        </is>
      </c>
      <c r="B2312" s="8" t="n">
        <v>115.7320507929</v>
      </c>
      <c r="C2312" s="13" t="n"/>
      <c r="D2312" s="3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3">
      <c r="A2313" s="65" t="inlineStr">
        <is>
          <t>18/09/2012</t>
        </is>
      </c>
      <c r="B2313" s="8" t="n">
        <v>116.3169105604</v>
      </c>
      <c r="C2313" s="13" t="n"/>
      <c r="D2313" s="3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4">
      <c r="A2314" s="65" t="inlineStr">
        <is>
          <t>19/09/2012</t>
        </is>
      </c>
      <c r="B2314" s="8" t="n">
        <v>116.6444320302</v>
      </c>
      <c r="C2314" s="13" t="n"/>
      <c r="D2314" s="3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5">
      <c r="A2315" s="65" t="inlineStr">
        <is>
          <t>20/09/2012</t>
        </is>
      </c>
      <c r="B2315" s="8" t="n">
        <v>116.2467273883</v>
      </c>
      <c r="C2315" s="13" t="n"/>
      <c r="D2315" s="3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6">
      <c r="A2316" s="65" t="inlineStr">
        <is>
          <t>21/09/2012</t>
        </is>
      </c>
      <c r="B2316" s="8" t="n">
        <v>114.0944434439</v>
      </c>
      <c r="C2316" s="13" t="n"/>
      <c r="D2316" s="3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7">
      <c r="A2317" s="65" t="inlineStr">
        <is>
          <t>24/09/2012</t>
        </is>
      </c>
      <c r="B2317" s="8" t="n">
        <v>112.5036248763</v>
      </c>
      <c r="C2317" s="13" t="n"/>
      <c r="D2317" s="3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8">
      <c r="A2318" s="65" t="inlineStr">
        <is>
          <t>25/09/2012</t>
        </is>
      </c>
      <c r="B2318" s="8" t="n">
        <v>111.7783987646</v>
      </c>
      <c r="C2318" s="13" t="n"/>
      <c r="D2318" s="3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9">
      <c r="A2319" s="65" t="inlineStr">
        <is>
          <t>26/09/2012</t>
        </is>
      </c>
      <c r="B2319" s="8" t="n">
        <v>111.3806941227</v>
      </c>
      <c r="C2319" s="13" t="n"/>
      <c r="D2319" s="3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0">
      <c r="A2320" s="65" t="inlineStr">
        <is>
          <t>27/09/2012</t>
        </is>
      </c>
      <c r="B2320" s="8" t="n">
        <v>110.2343689784</v>
      </c>
      <c r="C2320" s="13" t="n"/>
      <c r="D2320" s="3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1">
      <c r="A2321" s="65" t="inlineStr">
        <is>
          <t>28/09/2012</t>
        </is>
      </c>
      <c r="B2321" s="8" t="n">
        <v>110.6086792296</v>
      </c>
      <c r="C2321" s="13" t="n"/>
      <c r="D2321" s="3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2">
      <c r="A2322" s="65" t="inlineStr">
        <is>
          <t>01/10/2012</t>
        </is>
      </c>
      <c r="B2322" s="8" t="n">
        <v>109.9082604472</v>
      </c>
      <c r="C2322" s="13" t="n"/>
      <c r="D2322" s="3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3">
      <c r="A2323" s="65" t="inlineStr">
        <is>
          <t>02/10/2012</t>
        </is>
      </c>
      <c r="B2323" s="8" t="n">
        <v>110.0252090112</v>
      </c>
      <c r="C2323" s="13" t="n"/>
      <c r="D2323" s="3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4">
      <c r="A2324" s="65" t="inlineStr">
        <is>
          <t>03/10/2012</t>
        </is>
      </c>
      <c r="B2324" s="8" t="n">
        <v>110.8906283848</v>
      </c>
      <c r="C2324" s="13" t="n"/>
      <c r="D2324" s="3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5">
      <c r="A2325" s="65" t="inlineStr">
        <is>
          <t>04/10/2012</t>
        </is>
      </c>
      <c r="B2325" s="8" t="n">
        <v>111.8963860352</v>
      </c>
      <c r="C2325" s="13" t="n"/>
      <c r="D2325" s="3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6">
      <c r="A2326" s="65" t="inlineStr">
        <is>
          <t>05/10/2012</t>
        </is>
      </c>
      <c r="B2326" s="8" t="n">
        <v>114.492644156</v>
      </c>
      <c r="C2326" s="13" t="n"/>
      <c r="D2326" s="3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7">
      <c r="A2327" s="65" t="inlineStr">
        <is>
          <t>08/10/2012</t>
        </is>
      </c>
      <c r="B2327" s="8" t="n">
        <v>116.3404314672</v>
      </c>
      <c r="C2327" s="13" t="n"/>
      <c r="D2327" s="3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8">
      <c r="A2328" s="65" t="inlineStr">
        <is>
          <t>09/10/2012</t>
        </is>
      </c>
      <c r="B2328" s="8" t="n">
        <v>116.4573800312</v>
      </c>
      <c r="C2328" s="13" t="n"/>
      <c r="D2328" s="3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9">
      <c r="A2329" s="65" t="inlineStr">
        <is>
          <t>10/10/2012</t>
        </is>
      </c>
      <c r="B2329" s="8" t="n">
        <v>117.1122919896</v>
      </c>
      <c r="C2329" s="13" t="n"/>
      <c r="D2329" s="3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0">
      <c r="A2330" s="65" t="inlineStr">
        <is>
          <t>11/10/2012</t>
        </is>
      </c>
      <c r="B2330" s="8" t="n">
        <v>119.0068587264</v>
      </c>
      <c r="C2330" s="13" t="n"/>
      <c r="D2330" s="3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1">
      <c r="A2331" s="65" t="inlineStr">
        <is>
          <t>15/10/2012</t>
        </is>
      </c>
      <c r="B2331" s="8" t="n">
        <v>120.5271900584</v>
      </c>
      <c r="C2331" s="13" t="n"/>
      <c r="D2331" s="3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2">
      <c r="A2332" s="65" t="inlineStr">
        <is>
          <t>16/10/2012</t>
        </is>
      </c>
      <c r="B2332" s="8" t="n">
        <v>121.392609432</v>
      </c>
      <c r="C2332" s="13" t="n"/>
      <c r="D2332" s="3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3">
      <c r="A2333" s="65" t="inlineStr">
        <is>
          <t>17/10/2012</t>
        </is>
      </c>
      <c r="B2333" s="8" t="n">
        <v>122.3749773696</v>
      </c>
      <c r="C2333" s="13" t="n"/>
      <c r="D2333" s="3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4">
      <c r="A2334" s="65" t="inlineStr">
        <is>
          <t>18/10/2012</t>
        </is>
      </c>
      <c r="B2334" s="8" t="n">
        <v>122.2346390928</v>
      </c>
      <c r="C2334" s="13" t="n"/>
      <c r="D2334" s="3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5">
      <c r="A2335" s="65" t="inlineStr">
        <is>
          <t>19/10/2012</t>
        </is>
      </c>
      <c r="B2335" s="8" t="n">
        <v>122.4685362208</v>
      </c>
      <c r="C2335" s="13" t="n"/>
      <c r="D2335" s="3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6">
      <c r="A2336" s="65" t="inlineStr">
        <is>
          <t>22/10/2012</t>
        </is>
      </c>
      <c r="B2336" s="8" t="n">
        <v>122.3983670824</v>
      </c>
      <c r="C2336" s="13" t="n"/>
      <c r="D2336" s="3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7">
      <c r="A2337" s="65" t="inlineStr">
        <is>
          <t>23/10/2012</t>
        </is>
      </c>
      <c r="B2337" s="8" t="n">
        <v>121.2522711552</v>
      </c>
      <c r="C2337" s="13" t="n"/>
      <c r="D2337" s="3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8">
      <c r="A2338" s="65" t="inlineStr">
        <is>
          <t>24/10/2012</t>
        </is>
      </c>
      <c r="B2338" s="8" t="n">
        <v>122.4685362208</v>
      </c>
      <c r="C2338" s="13" t="n"/>
      <c r="D2338" s="3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9">
      <c r="A2339" s="65" t="inlineStr">
        <is>
          <t>25/10/2012</t>
        </is>
      </c>
      <c r="B2339" s="8" t="n">
        <v>122.0475213904</v>
      </c>
      <c r="C2339" s="13" t="n"/>
      <c r="D2339" s="3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0">
      <c r="A2340" s="65" t="inlineStr">
        <is>
          <t>26/10/2012</t>
        </is>
      </c>
      <c r="B2340" s="8" t="n">
        <v>120.4804106328</v>
      </c>
      <c r="C2340" s="13" t="n"/>
      <c r="D2340" s="3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1">
      <c r="A2341" s="65" t="inlineStr">
        <is>
          <t>29/10/2012</t>
        </is>
      </c>
      <c r="B2341" s="8" t="n">
        <v>119.3577044184</v>
      </c>
      <c r="C2341" s="13" t="n"/>
      <c r="D2341" s="3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2">
      <c r="A2342" s="65" t="inlineStr">
        <is>
          <t>30/10/2012</t>
        </is>
      </c>
      <c r="B2342" s="8" t="n">
        <v>119.7085501104</v>
      </c>
      <c r="C2342" s="13" t="n"/>
      <c r="D2342" s="3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3">
      <c r="A2343" s="65" t="inlineStr">
        <is>
          <t>31/10/2012</t>
        </is>
      </c>
      <c r="B2343" s="8" t="n">
        <v>119.5682118336</v>
      </c>
      <c r="C2343" s="13" t="n"/>
      <c r="D2343" s="3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4">
      <c r="A2344" s="65" t="inlineStr">
        <is>
          <t>01/11/2012</t>
        </is>
      </c>
      <c r="B2344" s="8" t="n">
        <v>118.9021910076</v>
      </c>
      <c r="C2344" s="13" t="n"/>
      <c r="D2344" s="3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5">
      <c r="A2345" s="65" t="inlineStr">
        <is>
          <t>05/11/2012</t>
        </is>
      </c>
      <c r="B2345" s="8" t="n">
        <v>117.685560954</v>
      </c>
      <c r="C2345" s="13" t="n"/>
      <c r="D2345" s="3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6">
      <c r="A2346" s="65" t="inlineStr">
        <is>
          <t>06/11/2012</t>
        </is>
      </c>
      <c r="B2346" s="8" t="n">
        <v>117.9429250038</v>
      </c>
      <c r="C2346" s="13" t="n"/>
      <c r="D2346" s="3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7">
      <c r="A2347" s="65" t="inlineStr">
        <is>
          <t>07/11/2012</t>
        </is>
      </c>
      <c r="B2347" s="8" t="n">
        <v>117.8493380766</v>
      </c>
      <c r="C2347" s="13" t="n"/>
      <c r="D2347" s="3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8">
      <c r="A2348" s="65" t="inlineStr">
        <is>
          <t>08/11/2012</t>
        </is>
      </c>
      <c r="B2348" s="8" t="n">
        <v>116.3519472414</v>
      </c>
      <c r="C2348" s="13" t="n"/>
      <c r="D2348" s="3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9">
      <c r="A2349" s="65" t="inlineStr">
        <is>
          <t>09/11/2012</t>
        </is>
      </c>
      <c r="B2349" s="8" t="n">
        <v>116.1881701188</v>
      </c>
      <c r="C2349" s="13" t="n"/>
      <c r="D2349" s="3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0">
      <c r="A2350" s="65" t="inlineStr">
        <is>
          <t>12/11/2012</t>
        </is>
      </c>
      <c r="B2350" s="8" t="n">
        <v>116.3519472414</v>
      </c>
      <c r="C2350" s="13" t="n"/>
      <c r="D2350" s="3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1">
      <c r="A2351" s="65" t="inlineStr">
        <is>
          <t>13/11/2012</t>
        </is>
      </c>
      <c r="B2351" s="8" t="n">
        <v>116.749691682</v>
      </c>
      <c r="C2351" s="13" t="n"/>
      <c r="D2351" s="3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2">
      <c r="A2352" s="65" t="inlineStr">
        <is>
          <t>14/11/2012</t>
        </is>
      </c>
      <c r="B2352" s="8" t="n">
        <v>117.568577295</v>
      </c>
      <c r="C2352" s="13" t="n"/>
      <c r="D2352" s="3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3">
      <c r="A2353" s="65" t="inlineStr">
        <is>
          <t>16/11/2012</t>
        </is>
      </c>
      <c r="B2353" s="8" t="n">
        <v>118.387462908</v>
      </c>
      <c r="C2353" s="13" t="n"/>
      <c r="D2353" s="3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4">
      <c r="A2354" s="65" t="inlineStr">
        <is>
          <t>19/11/2012</t>
        </is>
      </c>
      <c r="B2354" s="8" t="n">
        <v>118.738413885</v>
      </c>
      <c r="C2354" s="13" t="n"/>
      <c r="D2354" s="3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5">
      <c r="A2355" s="65" t="inlineStr">
        <is>
          <t>20/11/2012</t>
        </is>
      </c>
      <c r="B2355" s="8" t="n">
        <v>118.9957779348</v>
      </c>
      <c r="C2355" s="13" t="n"/>
      <c r="D2355" s="3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6">
      <c r="A2356" s="65" t="inlineStr">
        <is>
          <t>21/11/2012</t>
        </is>
      </c>
      <c r="B2356" s="8" t="n">
        <v>118.504446567</v>
      </c>
      <c r="C2356" s="13" t="n"/>
      <c r="D2356" s="3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7">
      <c r="A2357" s="65" t="inlineStr">
        <is>
          <t>22/11/2012</t>
        </is>
      </c>
      <c r="B2357" s="8" t="n">
        <v>117.9897184674</v>
      </c>
      <c r="C2357" s="13" t="n"/>
      <c r="D2357" s="3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8">
      <c r="A2358" s="65" t="inlineStr">
        <is>
          <t>23/11/2012</t>
        </is>
      </c>
      <c r="B2358" s="8" t="n">
        <v>118.0599086628</v>
      </c>
      <c r="C2358" s="13" t="n"/>
      <c r="D2358" s="3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9">
      <c r="A2359" s="65" t="inlineStr">
        <is>
          <t>26/11/2012</t>
        </is>
      </c>
      <c r="B2359" s="8" t="n">
        <v>117.8259413448</v>
      </c>
      <c r="C2359" s="13" t="n"/>
      <c r="D2359" s="3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0">
      <c r="A2360" s="65" t="inlineStr">
        <is>
          <t>27/11/2012</t>
        </is>
      </c>
      <c r="B2360" s="8" t="n">
        <v>117.0304524636</v>
      </c>
      <c r="C2360" s="13" t="n"/>
      <c r="D2360" s="3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1">
      <c r="A2361" s="65" t="inlineStr">
        <is>
          <t>28/11/2012</t>
        </is>
      </c>
      <c r="B2361" s="8" t="n">
        <v>116.5859145594</v>
      </c>
      <c r="C2361" s="13" t="n"/>
      <c r="D2361" s="3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2">
      <c r="A2362" s="65" t="inlineStr">
        <is>
          <t>29/11/2012</t>
        </is>
      </c>
      <c r="B2362" s="8" t="n">
        <v>115.7202354828</v>
      </c>
      <c r="C2362" s="13" t="n"/>
      <c r="D2362" s="3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3">
      <c r="A2363" s="65" t="inlineStr">
        <is>
          <t>30/11/2012</t>
        </is>
      </c>
      <c r="B2363" s="8" t="n">
        <v>115.696838751</v>
      </c>
      <c r="C2363" s="13" t="n"/>
      <c r="D2363" s="3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4">
      <c r="A2364" s="65" t="inlineStr">
        <is>
          <t>03/12/2012</t>
        </is>
      </c>
      <c r="B2364" s="8" t="n">
        <v>115.0083688614</v>
      </c>
      <c r="C2364" s="13" t="n"/>
      <c r="D2364" s="3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5">
      <c r="A2365" s="65" t="inlineStr">
        <is>
          <t>04/12/2012</t>
        </is>
      </c>
      <c r="B2365" s="8" t="n">
        <v>114.9618914442</v>
      </c>
      <c r="C2365" s="13" t="n"/>
      <c r="D2365" s="3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6">
      <c r="A2366" s="65" t="inlineStr">
        <is>
          <t>05/12/2012</t>
        </is>
      </c>
      <c r="B2366" s="8" t="n">
        <v>114.7062656496</v>
      </c>
      <c r="C2366" s="13" t="n"/>
      <c r="D2366" s="3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7">
      <c r="A2367" s="65" t="inlineStr">
        <is>
          <t>06/12/2012</t>
        </is>
      </c>
      <c r="B2367" s="8" t="n">
        <v>114.102059226</v>
      </c>
      <c r="C2367" s="13" t="n"/>
      <c r="D2367" s="3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8">
      <c r="A2368" s="65" t="inlineStr">
        <is>
          <t>07/12/2012</t>
        </is>
      </c>
      <c r="B2368" s="8" t="n">
        <v>113.2654657164</v>
      </c>
      <c r="C2368" s="13" t="n"/>
      <c r="D2368" s="3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9">
      <c r="A2369" s="65" t="inlineStr">
        <is>
          <t>10/12/2012</t>
        </is>
      </c>
      <c r="B2369" s="8" t="n">
        <v>113.4746140938</v>
      </c>
      <c r="C2369" s="13" t="n"/>
      <c r="D2369" s="3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0">
      <c r="A2370" s="65" t="inlineStr">
        <is>
          <t>11/12/2012</t>
        </is>
      </c>
      <c r="B2370" s="8" t="n">
        <v>113.2189882992</v>
      </c>
      <c r="C2370" s="13" t="n"/>
      <c r="D2370" s="3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1">
      <c r="A2371" s="65" t="inlineStr">
        <is>
          <t>12/12/2012</t>
        </is>
      </c>
      <c r="B2371" s="8" t="n">
        <v>113.8231947228</v>
      </c>
      <c r="C2371" s="13" t="n"/>
      <c r="D2371" s="3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2">
      <c r="A2372" s="65" t="inlineStr">
        <is>
          <t>13/12/2012</t>
        </is>
      </c>
      <c r="B2372" s="8" t="n">
        <v>113.4513753852</v>
      </c>
      <c r="C2372" s="13" t="n"/>
      <c r="D2372" s="3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3">
      <c r="A2373" s="65" t="inlineStr">
        <is>
          <t>14/12/2012</t>
        </is>
      </c>
      <c r="B2373" s="8" t="n">
        <v>112.2662012466</v>
      </c>
      <c r="C2373" s="13" t="n"/>
      <c r="D2373" s="3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4">
      <c r="A2374" s="65" t="inlineStr">
        <is>
          <t>17/12/2012</t>
        </is>
      </c>
      <c r="B2374" s="8" t="n">
        <v>112.940123796</v>
      </c>
      <c r="C2374" s="13" t="n"/>
      <c r="D2374" s="3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5">
      <c r="A2375" s="65" t="inlineStr">
        <is>
          <t>18/12/2012</t>
        </is>
      </c>
      <c r="B2375" s="8" t="n">
        <v>113.637285054</v>
      </c>
      <c r="C2375" s="13" t="n"/>
      <c r="D2375" s="3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6">
      <c r="A2376" s="65" t="inlineStr">
        <is>
          <t>19/12/2012</t>
        </is>
      </c>
      <c r="B2376" s="8" t="n">
        <v>113.6837624712</v>
      </c>
      <c r="C2376" s="13" t="n"/>
      <c r="D2376" s="3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7">
      <c r="A2377" s="65" t="inlineStr">
        <is>
          <t>20/12/2012</t>
        </is>
      </c>
      <c r="B2377" s="8" t="n">
        <v>114.8689366098</v>
      </c>
      <c r="C2377" s="13" t="n"/>
      <c r="D2377" s="3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8">
      <c r="A2378" s="65" t="inlineStr">
        <is>
          <t>21/12/2012</t>
        </is>
      </c>
      <c r="B2378" s="8" t="n">
        <v>114.1950140604</v>
      </c>
      <c r="C2378" s="13" t="n"/>
      <c r="D2378" s="3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9">
      <c r="A2379" s="65" t="inlineStr">
        <is>
          <t>26/12/2012</t>
        </is>
      </c>
      <c r="B2379" s="8" t="n">
        <v>115.3104720732</v>
      </c>
      <c r="C2379" s="13" t="n"/>
      <c r="D2379" s="3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0">
      <c r="A2380" s="65" t="inlineStr">
        <is>
          <t>27/12/2012</t>
        </is>
      </c>
      <c r="B2380" s="8" t="n">
        <v>114.915414027</v>
      </c>
      <c r="C2380" s="13" t="n"/>
      <c r="D2380" s="3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1">
      <c r="A2381" s="65" t="inlineStr">
        <is>
          <t>28/12/2012</t>
        </is>
      </c>
      <c r="B2381" s="8" t="n">
        <v>116.8209881322</v>
      </c>
      <c r="C2381" s="13" t="n"/>
      <c r="D2381" s="3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2">
      <c r="A2382" s="65" t="inlineStr">
        <is>
          <t>02/01/2013</t>
        </is>
      </c>
      <c r="B2382" s="8" t="n">
        <v>114.410225618</v>
      </c>
      <c r="C2382" s="13" t="n"/>
      <c r="D2382" s="3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3">
      <c r="A2383" s="65" t="inlineStr">
        <is>
          <t>03/01/2013</t>
        </is>
      </c>
      <c r="B2383" s="8" t="n">
        <v>113.9701862887</v>
      </c>
      <c r="C2383" s="13" t="n"/>
      <c r="D2383" s="3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4">
      <c r="A2384" s="65" t="inlineStr">
        <is>
          <t>04/01/2013</t>
        </is>
      </c>
      <c r="B2384" s="8" t="n">
        <v>114.2017859357</v>
      </c>
      <c r="C2384" s="13" t="n"/>
      <c r="D2384" s="3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5">
      <c r="A2385" s="65" t="inlineStr">
        <is>
          <t>07/01/2013</t>
        </is>
      </c>
      <c r="B2385" s="8" t="n">
        <v>114.6649852297</v>
      </c>
      <c r="C2385" s="13" t="n"/>
      <c r="D2385" s="3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6">
      <c r="A2386" s="65" t="inlineStr">
        <is>
          <t>08/01/2013</t>
        </is>
      </c>
      <c r="B2386" s="8" t="n">
        <v>113.9701862887</v>
      </c>
      <c r="C2386" s="13" t="n"/>
      <c r="D2386" s="3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7">
      <c r="A2387" s="65" t="inlineStr">
        <is>
          <t>09/01/2013</t>
        </is>
      </c>
      <c r="B2387" s="8" t="n">
        <v>113.9007063946</v>
      </c>
      <c r="C2387" s="13" t="n"/>
      <c r="D2387" s="3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8">
      <c r="A2388" s="65" t="inlineStr">
        <is>
          <t>10/01/2013</t>
        </is>
      </c>
      <c r="B2388" s="8" t="n">
        <v>115.4292640648</v>
      </c>
      <c r="C2388" s="13" t="n"/>
      <c r="D2388" s="3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9">
      <c r="A2389" s="65" t="inlineStr">
        <is>
          <t>11/01/2013</t>
        </is>
      </c>
      <c r="B2389" s="8" t="n">
        <v>114.5955053356</v>
      </c>
      <c r="C2389" s="13" t="n"/>
      <c r="D2389" s="3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0">
      <c r="A2390" s="65" t="inlineStr">
        <is>
          <t>14/01/2013</t>
        </is>
      </c>
      <c r="B2390" s="8" t="n">
        <v>113.9238663593</v>
      </c>
      <c r="C2390" s="13" t="n"/>
      <c r="D2390" s="3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1">
      <c r="A2391" s="65" t="inlineStr">
        <is>
          <t>15/01/2013</t>
        </is>
      </c>
      <c r="B2391" s="8" t="n">
        <v>113.9238663593</v>
      </c>
      <c r="C2391" s="13" t="n"/>
      <c r="D2391" s="3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2">
      <c r="A2392" s="65" t="inlineStr">
        <is>
          <t>16/01/2013</t>
        </is>
      </c>
      <c r="B2392" s="8" t="n">
        <v>113.1364275595</v>
      </c>
      <c r="C2392" s="13" t="n"/>
      <c r="D2392" s="3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3">
      <c r="A2393" s="65" t="inlineStr">
        <is>
          <t>17/01/2013</t>
        </is>
      </c>
      <c r="B2393" s="8" t="n">
        <v>112.9511478419</v>
      </c>
      <c r="C2393" s="13" t="n"/>
      <c r="D2393" s="3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4">
      <c r="A2394" s="65" t="inlineStr">
        <is>
          <t>18/01/2013</t>
        </is>
      </c>
      <c r="B2394" s="8" t="n">
        <v>112.557428442</v>
      </c>
      <c r="C2394" s="13" t="n"/>
      <c r="D2394" s="3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5">
      <c r="A2395" s="65" t="inlineStr">
        <is>
          <t>21/01/2013</t>
        </is>
      </c>
      <c r="B2395" s="8" t="n">
        <v>112.5805884067</v>
      </c>
      <c r="C2395" s="13" t="n"/>
      <c r="D2395" s="3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6">
      <c r="A2396" s="65" t="inlineStr">
        <is>
          <t>22/01/2013</t>
        </is>
      </c>
      <c r="B2396" s="8" t="n">
        <v>111.9784293245</v>
      </c>
      <c r="C2396" s="13" t="n"/>
      <c r="D2396" s="3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7">
      <c r="A2397" s="65" t="inlineStr">
        <is>
          <t>23/01/2013</t>
        </is>
      </c>
      <c r="B2397" s="8" t="n">
        <v>112.0015892892</v>
      </c>
      <c r="C2397" s="13" t="n"/>
      <c r="D2397" s="3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8">
      <c r="A2398" s="65" t="inlineStr">
        <is>
          <t>24/01/2013</t>
        </is>
      </c>
      <c r="B2398" s="8" t="n">
        <v>111.9321093951</v>
      </c>
      <c r="C2398" s="13" t="n"/>
      <c r="D2398" s="3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9">
      <c r="A2399" s="65" t="inlineStr">
        <is>
          <t>25/01/2013</t>
        </is>
      </c>
      <c r="B2399" s="8" t="n">
        <v>111.6078698893</v>
      </c>
      <c r="C2399" s="13" t="n"/>
      <c r="D2399" s="3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0">
      <c r="A2400" s="65" t="inlineStr">
        <is>
          <t>28/01/2013</t>
        </is>
      </c>
      <c r="B2400" s="8" t="n">
        <v>111.2141504894</v>
      </c>
      <c r="C2400" s="13" t="n"/>
      <c r="D2400" s="3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1">
      <c r="A2401" s="65" t="inlineStr">
        <is>
          <t>29/01/2013</t>
        </is>
      </c>
      <c r="B2401" s="8" t="n">
        <v>110.8435910542</v>
      </c>
      <c r="C2401" s="13" t="n"/>
      <c r="D2401" s="3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2">
      <c r="A2402" s="65" t="inlineStr">
        <is>
          <t>30/01/2013</t>
        </is>
      </c>
      <c r="B2402" s="8" t="n">
        <v>111.1909905247</v>
      </c>
      <c r="C2402" s="13" t="n"/>
      <c r="D2402" s="3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3">
      <c r="A2403" s="65" t="inlineStr">
        <is>
          <t>31/01/2013</t>
        </is>
      </c>
      <c r="B2403" s="8" t="n">
        <v>111.5152300305</v>
      </c>
      <c r="C2403" s="13" t="n"/>
      <c r="D2403" s="3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4">
      <c r="A2404" s="65" t="inlineStr">
        <is>
          <t>01/02/2013</t>
        </is>
      </c>
      <c r="B2404" s="8" t="n">
        <v>111.793188795</v>
      </c>
      <c r="C2404" s="13" t="n"/>
      <c r="D2404" s="3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5">
      <c r="A2405" s="65" t="inlineStr">
        <is>
          <t>04/02/2013</t>
        </is>
      </c>
      <c r="B2405" s="8" t="n">
        <v>111.95483976</v>
      </c>
      <c r="C2405" s="13" t="n"/>
      <c r="D2405" s="3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6">
      <c r="A2406" s="65" t="inlineStr">
        <is>
          <t>05/02/2013</t>
        </is>
      </c>
      <c r="B2406" s="8" t="n">
        <v>110.684725035</v>
      </c>
      <c r="C2406" s="13" t="n"/>
      <c r="D2406" s="3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7">
      <c r="A2407" s="65" t="inlineStr">
        <is>
          <t>06/02/2013</t>
        </is>
      </c>
      <c r="B2407" s="8" t="n">
        <v>110.453795085</v>
      </c>
      <c r="C2407" s="13" t="n"/>
      <c r="D2407" s="3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8">
      <c r="A2408" s="65" t="inlineStr">
        <is>
          <t>07/02/2013</t>
        </is>
      </c>
      <c r="B2408" s="8" t="n">
        <v>110.56926006</v>
      </c>
      <c r="C2408" s="13" t="n"/>
      <c r="D2408" s="3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9">
      <c r="A2409" s="65" t="inlineStr">
        <is>
          <t>08/02/2013</t>
        </is>
      </c>
      <c r="B2409" s="8" t="n">
        <v>109.945749195</v>
      </c>
      <c r="C2409" s="13" t="n"/>
      <c r="D2409" s="3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0">
      <c r="A2410" s="65" t="inlineStr">
        <is>
          <t>13/02/2013</t>
        </is>
      </c>
      <c r="B2410" s="8" t="n">
        <v>110.56926006</v>
      </c>
      <c r="C2410" s="13" t="n"/>
      <c r="D2410" s="3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1">
      <c r="A2411" s="65" t="inlineStr">
        <is>
          <t>14/02/2013</t>
        </is>
      </c>
      <c r="B2411" s="8" t="n">
        <v>111.100398945</v>
      </c>
      <c r="C2411" s="13" t="n"/>
      <c r="D2411" s="3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2">
      <c r="A2412" s="65" t="inlineStr">
        <is>
          <t>15/02/2013</t>
        </is>
      </c>
      <c r="B2412" s="8" t="n">
        <v>110.56926006</v>
      </c>
      <c r="C2412" s="13" t="n"/>
      <c r="D2412" s="3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3">
      <c r="A2413" s="65" t="inlineStr">
        <is>
          <t>18/02/2013</t>
        </is>
      </c>
      <c r="B2413" s="8" t="n">
        <v>112.00102575</v>
      </c>
      <c r="C2413" s="13" t="n"/>
      <c r="D2413" s="3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4">
      <c r="A2414" s="65" t="inlineStr">
        <is>
          <t>19/02/2013</t>
        </is>
      </c>
      <c r="B2414" s="8" t="n">
        <v>110.89256199</v>
      </c>
      <c r="C2414" s="13" t="n"/>
      <c r="D2414" s="3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5">
      <c r="A2415" s="65" t="inlineStr">
        <is>
          <t>20/02/2013</t>
        </is>
      </c>
      <c r="B2415" s="8" t="n">
        <v>111.16967793</v>
      </c>
      <c r="C2415" s="13" t="n"/>
      <c r="D2415" s="3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6">
      <c r="A2416" s="65" t="inlineStr">
        <is>
          <t>21/02/2013</t>
        </is>
      </c>
      <c r="B2416" s="8" t="n">
        <v>110.730911025</v>
      </c>
      <c r="C2416" s="13" t="n"/>
      <c r="D2416" s="3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7">
      <c r="A2417" s="65" t="inlineStr">
        <is>
          <t>22/02/2013</t>
        </is>
      </c>
      <c r="B2417" s="8" t="n">
        <v>110.961840975</v>
      </c>
      <c r="C2417" s="13" t="n"/>
      <c r="D2417" s="3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8">
      <c r="A2418" s="65" t="inlineStr">
        <is>
          <t>25/02/2013</t>
        </is>
      </c>
      <c r="B2418" s="8" t="n">
        <v>110.315237115</v>
      </c>
      <c r="C2418" s="13" t="n"/>
      <c r="D2418" s="3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9">
      <c r="A2419" s="65" t="inlineStr">
        <is>
          <t>26/02/2013</t>
        </is>
      </c>
      <c r="B2419" s="8" t="n">
        <v>109.59935427</v>
      </c>
      <c r="C2419" s="13" t="n"/>
      <c r="D2419" s="3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0">
      <c r="A2420" s="65" t="inlineStr">
        <is>
          <t>27/02/2013</t>
        </is>
      </c>
      <c r="B2420" s="8" t="n">
        <v>110.176679145</v>
      </c>
      <c r="C2420" s="13" t="n"/>
      <c r="D2420" s="3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1">
      <c r="A2421" s="65" t="inlineStr">
        <is>
          <t>28/02/2013</t>
        </is>
      </c>
      <c r="B2421" s="8" t="n">
        <v>110.29214412</v>
      </c>
      <c r="C2421" s="13" t="n"/>
      <c r="D2421" s="3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2">
      <c r="A2422" s="65" t="inlineStr">
        <is>
          <t>01/03/2013</t>
        </is>
      </c>
      <c r="B2422" s="8" t="n">
        <v>110.0149270836</v>
      </c>
      <c r="C2422" s="13" t="n"/>
      <c r="D2422" s="3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3">
      <c r="A2423" s="65" t="inlineStr">
        <is>
          <t>04/03/2013</t>
        </is>
      </c>
      <c r="B2423" s="8" t="n">
        <v>110.5219083144</v>
      </c>
      <c r="C2423" s="13" t="n"/>
      <c r="D2423" s="3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4">
      <c r="A2424" s="65" t="inlineStr">
        <is>
          <t>05/03/2013</t>
        </is>
      </c>
      <c r="B2424" s="8" t="n">
        <v>110.4758191116</v>
      </c>
      <c r="C2424" s="13" t="n"/>
      <c r="D2424" s="3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5">
      <c r="A2425" s="65" t="inlineStr">
        <is>
          <t>06/03/2013</t>
        </is>
      </c>
      <c r="B2425" s="8" t="n">
        <v>109.9918824822</v>
      </c>
      <c r="C2425" s="13" t="n"/>
      <c r="D2425" s="3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6">
      <c r="A2426" s="65" t="inlineStr">
        <is>
          <t>07/03/2013</t>
        </is>
      </c>
      <c r="B2426" s="8" t="n">
        <v>109.2774998388</v>
      </c>
      <c r="C2426" s="13" t="n"/>
      <c r="D2426" s="3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7">
      <c r="A2427" s="65" t="inlineStr">
        <is>
          <t>08/03/2013</t>
        </is>
      </c>
      <c r="B2427" s="8" t="n">
        <v>109.0240092234</v>
      </c>
      <c r="C2427" s="13" t="n"/>
      <c r="D2427" s="3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8">
      <c r="A2428" s="65" t="inlineStr">
        <is>
          <t>11/03/2013</t>
        </is>
      </c>
      <c r="B2428" s="8" t="n">
        <v>109.8997040766</v>
      </c>
      <c r="C2428" s="13" t="n"/>
      <c r="D2428" s="3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9">
      <c r="A2429" s="65" t="inlineStr">
        <is>
          <t>12/03/2013</t>
        </is>
      </c>
      <c r="B2429" s="8" t="n">
        <v>109.2774998388</v>
      </c>
      <c r="C2429" s="13" t="n"/>
      <c r="D2429" s="3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0">
      <c r="A2430" s="65" t="inlineStr">
        <is>
          <t>13/03/2013</t>
        </is>
      </c>
      <c r="B2430" s="8" t="n">
        <v>104.7146687616</v>
      </c>
      <c r="C2430" s="13" t="n"/>
      <c r="D2430" s="3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1">
      <c r="A2431" s="65" t="inlineStr">
        <is>
          <t>14/03/2013</t>
        </is>
      </c>
      <c r="B2431" s="8" t="n">
        <v>102.318030216</v>
      </c>
      <c r="C2431" s="13" t="n"/>
      <c r="D2431" s="3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2">
      <c r="A2432" s="65" t="inlineStr">
        <is>
          <t>15/03/2013</t>
        </is>
      </c>
      <c r="B2432" s="8" t="n">
        <v>100.4053282998</v>
      </c>
      <c r="C2432" s="13" t="n"/>
      <c r="D2432" s="3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3">
      <c r="A2433" s="65" t="inlineStr">
        <is>
          <t>18/03/2013</t>
        </is>
      </c>
      <c r="B2433" s="8" t="n">
        <v>99.64485645360001</v>
      </c>
      <c r="C2433" s="13" t="n"/>
      <c r="D2433" s="3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4">
      <c r="A2434" s="65" t="inlineStr">
        <is>
          <t>19/03/2013</t>
        </is>
      </c>
      <c r="B2434" s="8" t="n">
        <v>98.99960761440001</v>
      </c>
      <c r="C2434" s="13" t="n"/>
      <c r="D2434" s="3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5">
      <c r="A2435" s="65" t="inlineStr">
        <is>
          <t>20/03/2013</t>
        </is>
      </c>
      <c r="B2435" s="8" t="n">
        <v>98.81525080320002</v>
      </c>
      <c r="C2435" s="13" t="n"/>
      <c r="D2435" s="3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6">
      <c r="A2436" s="65" t="inlineStr">
        <is>
          <t>21/03/2013</t>
        </is>
      </c>
      <c r="B2436" s="8" t="n">
        <v>98.3774033766</v>
      </c>
      <c r="C2436" s="13" t="n"/>
      <c r="D2436" s="3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7">
      <c r="A2437" s="65" t="inlineStr">
        <is>
          <t>22/03/2013</t>
        </is>
      </c>
      <c r="B2437" s="8" t="n">
        <v>98.2160911668</v>
      </c>
      <c r="C2437" s="13" t="n"/>
      <c r="D2437" s="3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8">
      <c r="A2438" s="65" t="inlineStr">
        <is>
          <t>25/03/2013</t>
        </is>
      </c>
      <c r="B2438" s="8" t="n">
        <v>98.56176018780002</v>
      </c>
      <c r="C2438" s="13" t="n"/>
      <c r="D2438" s="3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9">
      <c r="A2439" s="65" t="inlineStr">
        <is>
          <t>26/03/2013</t>
        </is>
      </c>
      <c r="B2439" s="8" t="n">
        <v>98.5387155864</v>
      </c>
      <c r="C2439" s="13" t="n"/>
      <c r="D2439" s="3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0">
      <c r="A2440" s="65" t="inlineStr">
        <is>
          <t>27/03/2013</t>
        </is>
      </c>
      <c r="B2440" s="8" t="n">
        <v>99.55267804800002</v>
      </c>
      <c r="C2440" s="13" t="n"/>
      <c r="D2440" s="3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1">
      <c r="A2441" s="65" t="inlineStr">
        <is>
          <t>28/03/2013</t>
        </is>
      </c>
      <c r="B2441" s="8" t="n">
        <v>99.39136583820002</v>
      </c>
      <c r="C2441" s="13" t="n"/>
      <c r="D2441" s="3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2">
      <c r="A2442" s="65" t="inlineStr">
        <is>
          <t>01/04/2013</t>
        </is>
      </c>
      <c r="B2442" s="8" t="n">
        <v>99.15046143580001</v>
      </c>
      <c r="C2442" s="13" t="n"/>
      <c r="D2442" s="3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3">
      <c r="A2443" s="65" t="inlineStr">
        <is>
          <t>02/04/2013</t>
        </is>
      </c>
      <c r="B2443" s="8" t="n">
        <v>98.78230005660001</v>
      </c>
      <c r="C2443" s="13" t="n"/>
      <c r="D2443" s="3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4">
      <c r="A2444" s="65" t="inlineStr">
        <is>
          <t>03/04/2013</t>
        </is>
      </c>
      <c r="B2444" s="8" t="n">
        <v>98.8053101428</v>
      </c>
      <c r="C2444" s="13" t="n"/>
      <c r="D2444" s="3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5">
      <c r="A2445" s="65" t="inlineStr">
        <is>
          <t>04/04/2013</t>
        </is>
      </c>
      <c r="B2445" s="8" t="n">
        <v>98.1610277292</v>
      </c>
      <c r="C2445" s="13" t="n"/>
      <c r="D2445" s="3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6">
      <c r="A2446" s="65" t="inlineStr">
        <is>
          <t>05/04/2013</t>
        </is>
      </c>
      <c r="B2446" s="8" t="n">
        <v>97.83888652240002</v>
      </c>
      <c r="C2446" s="13" t="n"/>
      <c r="D2446" s="3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7">
      <c r="A2447" s="65" t="inlineStr">
        <is>
          <t>08/04/2013</t>
        </is>
      </c>
      <c r="B2447" s="8" t="n">
        <v>98.34510841880001</v>
      </c>
      <c r="C2447" s="13" t="n"/>
      <c r="D2447" s="3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8">
      <c r="A2448" s="65" t="inlineStr">
        <is>
          <t>09/04/2013</t>
        </is>
      </c>
      <c r="B2448" s="8" t="n">
        <v>97.93092686720001</v>
      </c>
      <c r="C2448" s="13" t="n"/>
      <c r="D2448" s="3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9">
      <c r="A2449" s="65" t="inlineStr">
        <is>
          <t>10/04/2013</t>
        </is>
      </c>
      <c r="B2449" s="8" t="n">
        <v>98.8743404014</v>
      </c>
      <c r="C2449" s="13" t="n"/>
      <c r="D2449" s="3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0">
      <c r="A2450" s="65" t="inlineStr">
        <is>
          <t>11/04/2013</t>
        </is>
      </c>
      <c r="B2450" s="8" t="n">
        <v>99.10444126340001</v>
      </c>
      <c r="C2450" s="13" t="n"/>
      <c r="D2450" s="3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1">
      <c r="A2451" s="65" t="inlineStr">
        <is>
          <t>12/04/2013</t>
        </is>
      </c>
      <c r="B2451" s="8" t="n">
        <v>100.2319354872</v>
      </c>
      <c r="C2451" s="13" t="n"/>
      <c r="D2451" s="3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2">
      <c r="A2452" s="65" t="inlineStr">
        <is>
          <t>15/04/2013</t>
        </is>
      </c>
      <c r="B2452" s="8" t="n">
        <v>101.5665204868</v>
      </c>
      <c r="C2452" s="13" t="n"/>
      <c r="D2452" s="3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3">
      <c r="A2453" s="65" t="inlineStr">
        <is>
          <t>16/04/2013</t>
        </is>
      </c>
      <c r="B2453" s="8" t="n">
        <v>103.1312063484</v>
      </c>
      <c r="C2453" s="13" t="n"/>
      <c r="D2453" s="3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4">
      <c r="A2454" s="65" t="inlineStr">
        <is>
          <t>17/04/2013</t>
        </is>
      </c>
      <c r="B2454" s="8" t="n">
        <v>103.8675291068</v>
      </c>
      <c r="C2454" s="13" t="n"/>
      <c r="D2454" s="3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5">
      <c r="A2455" s="65" t="inlineStr">
        <is>
          <t>18/04/2013</t>
        </is>
      </c>
      <c r="B2455" s="8" t="n">
        <v>104.2126803998</v>
      </c>
      <c r="C2455" s="13" t="n"/>
      <c r="D2455" s="3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6">
      <c r="A2456" s="65" t="inlineStr">
        <is>
          <t>19/04/2013</t>
        </is>
      </c>
      <c r="B2456" s="8" t="n">
        <v>104.1436501412</v>
      </c>
      <c r="C2456" s="13" t="n"/>
      <c r="D2456" s="3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7">
      <c r="A2457" s="65" t="inlineStr">
        <is>
          <t>22/04/2013</t>
        </is>
      </c>
      <c r="B2457" s="8" t="n">
        <v>104.9720132444</v>
      </c>
      <c r="C2457" s="13" t="n"/>
      <c r="D2457" s="3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8">
      <c r="A2458" s="65" t="inlineStr">
        <is>
          <t>23/04/2013</t>
        </is>
      </c>
      <c r="B2458" s="8" t="n">
        <v>105.1791040202</v>
      </c>
      <c r="C2458" s="13" t="n"/>
      <c r="D2458" s="3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9">
      <c r="A2459" s="65" t="inlineStr">
        <is>
          <t>24/04/2013</t>
        </is>
      </c>
      <c r="B2459" s="8" t="n">
        <v>105.386194796</v>
      </c>
      <c r="C2459" s="13" t="n"/>
      <c r="D2459" s="3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0">
      <c r="A2460" s="65" t="inlineStr">
        <is>
          <t>25/04/2013</t>
        </is>
      </c>
      <c r="B2460" s="8" t="n">
        <v>104.810942641</v>
      </c>
      <c r="C2460" s="13" t="n"/>
      <c r="D2460" s="3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1">
      <c r="A2461" s="65" t="inlineStr">
        <is>
          <t>26/04/2013</t>
        </is>
      </c>
      <c r="B2461" s="8" t="n">
        <v>104.6728821238</v>
      </c>
      <c r="C2461" s="13" t="n"/>
      <c r="D2461" s="3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2">
      <c r="A2462" s="65" t="inlineStr">
        <is>
          <t>29/04/2013</t>
        </is>
      </c>
      <c r="B2462" s="8" t="n">
        <v>104.2126803998</v>
      </c>
      <c r="C2462" s="13" t="n"/>
      <c r="D2462" s="3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3">
      <c r="A2463" s="65" t="inlineStr">
        <is>
          <t>30/04/2013</t>
        </is>
      </c>
      <c r="B2463" s="8" t="n">
        <v>104.5118115204</v>
      </c>
      <c r="C2463" s="13" t="n"/>
      <c r="D2463" s="3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4">
      <c r="A2464" s="65" t="inlineStr">
        <is>
          <t>02/05/2013</t>
        </is>
      </c>
      <c r="B2464" s="8" t="n">
        <v>103.7064585034</v>
      </c>
      <c r="C2464" s="13" t="n"/>
      <c r="D2464" s="3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5">
      <c r="A2465" s="65" t="inlineStr">
        <is>
          <t>03/05/2013</t>
        </is>
      </c>
      <c r="B2465" s="8" t="n">
        <v>103.8445190206</v>
      </c>
      <c r="C2465" s="13" t="n"/>
      <c r="D2465" s="3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6">
      <c r="A2466" s="65" t="inlineStr">
        <is>
          <t>06/05/2013</t>
        </is>
      </c>
      <c r="B2466" s="8" t="n">
        <v>104.6728821238</v>
      </c>
      <c r="C2466" s="13" t="n"/>
      <c r="D2466" s="3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7">
      <c r="A2467" s="65" t="inlineStr">
        <is>
          <t>07/05/2013</t>
        </is>
      </c>
      <c r="B2467" s="8" t="n">
        <v>104.4888014342</v>
      </c>
      <c r="C2467" s="13" t="n"/>
      <c r="D2467" s="3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8">
      <c r="A2468" s="65" t="inlineStr">
        <is>
          <t>08/05/2013</t>
        </is>
      </c>
      <c r="B2468" s="8" t="n">
        <v>104.4888014342</v>
      </c>
      <c r="C2468" s="13" t="n"/>
      <c r="D2468" s="3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9">
      <c r="A2469" s="65" t="inlineStr">
        <is>
          <t>09/05/2013</t>
        </is>
      </c>
      <c r="B2469" s="8" t="n">
        <v>103.6144181586</v>
      </c>
      <c r="C2469" s="13" t="n"/>
      <c r="D2469" s="3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0">
      <c r="A2470" s="65" t="inlineStr">
        <is>
          <t>10/05/2013</t>
        </is>
      </c>
      <c r="B2470" s="8" t="n">
        <v>103.6144181586</v>
      </c>
      <c r="C2470" s="13" t="n"/>
      <c r="D2470" s="3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1">
      <c r="A2471" s="65" t="inlineStr">
        <is>
          <t>13/05/2013</t>
        </is>
      </c>
      <c r="B2471" s="8" t="n">
        <v>103.5914080724</v>
      </c>
      <c r="C2471" s="13" t="n"/>
      <c r="D2471" s="3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2">
      <c r="A2472" s="65" t="inlineStr">
        <is>
          <t>14/05/2013</t>
        </is>
      </c>
      <c r="B2472" s="8" t="n">
        <v>102.8320752278</v>
      </c>
      <c r="C2472" s="13" t="n"/>
      <c r="D2472" s="3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3">
      <c r="A2473" s="65" t="inlineStr">
        <is>
          <t>15/05/2013</t>
        </is>
      </c>
      <c r="B2473" s="8" t="n">
        <v>102.6940147106</v>
      </c>
      <c r="C2473" s="13" t="n"/>
      <c r="D2473" s="3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4">
      <c r="A2474" s="65" t="inlineStr">
        <is>
          <t>16/05/2013</t>
        </is>
      </c>
      <c r="B2474" s="8" t="n">
        <v>102.279833159</v>
      </c>
      <c r="C2474" s="13" t="n"/>
      <c r="D2474" s="3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5">
      <c r="A2475" s="65" t="inlineStr">
        <is>
          <t>17/05/2013</t>
        </is>
      </c>
      <c r="B2475" s="8" t="n">
        <v>101.5435104006</v>
      </c>
      <c r="C2475" s="13" t="n"/>
      <c r="D2475" s="3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6">
      <c r="A2476" s="65" t="inlineStr">
        <is>
          <t>20/05/2013</t>
        </is>
      </c>
      <c r="B2476" s="8" t="n">
        <v>101.1063187628</v>
      </c>
      <c r="C2476" s="13" t="n"/>
      <c r="D2476" s="3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7">
      <c r="A2477" s="65" t="inlineStr">
        <is>
          <t>21/05/2013</t>
        </is>
      </c>
      <c r="B2477" s="8" t="n">
        <v>100.6921372112</v>
      </c>
      <c r="C2477" s="13" t="n"/>
      <c r="D2477" s="3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8">
      <c r="A2478" s="65" t="inlineStr">
        <is>
          <t>22/05/2013</t>
        </is>
      </c>
      <c r="B2478" s="8" t="n">
        <v>100.6461170388</v>
      </c>
      <c r="C2478" s="13" t="n"/>
      <c r="D2478" s="3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9">
      <c r="A2479" s="65" t="inlineStr">
        <is>
          <t>23/05/2013</t>
        </is>
      </c>
      <c r="B2479" s="8" t="n">
        <v>100.5080565216</v>
      </c>
      <c r="C2479" s="13" t="n"/>
      <c r="D2479" s="3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0">
      <c r="A2480" s="65" t="inlineStr">
        <is>
          <t>24/05/2013</t>
        </is>
      </c>
      <c r="B2480" s="8" t="n">
        <v>100.8532078146</v>
      </c>
      <c r="C2480" s="13" t="n"/>
      <c r="D2480" s="3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1">
      <c r="A2481" s="65" t="inlineStr">
        <is>
          <t>27/05/2013</t>
        </is>
      </c>
      <c r="B2481" s="8" t="n">
        <v>101.3824397972</v>
      </c>
      <c r="C2481" s="13" t="n"/>
      <c r="D2481" s="3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2">
      <c r="A2482" s="65" t="inlineStr">
        <is>
          <t>28/05/2013</t>
        </is>
      </c>
      <c r="B2482" s="8" t="n">
        <v>101.6815709178</v>
      </c>
      <c r="C2482" s="13" t="n"/>
      <c r="D2482" s="3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3">
      <c r="A2483" s="65" t="inlineStr">
        <is>
          <t>29/05/2013</t>
        </is>
      </c>
      <c r="B2483" s="8" t="n">
        <v>101.9116717798</v>
      </c>
      <c r="C2483" s="13" t="n"/>
      <c r="D2483" s="3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4">
      <c r="A2484" s="65" t="inlineStr">
        <is>
          <t>31/05/2013</t>
        </is>
      </c>
      <c r="B2484" s="8" t="n">
        <v>102.4178936762</v>
      </c>
      <c r="C2484" s="13" t="n"/>
      <c r="D2484" s="3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5">
      <c r="A2485" s="65" t="inlineStr">
        <is>
          <t>03/06/2013</t>
        </is>
      </c>
      <c r="B2485" s="8" t="n">
        <v>102.4091581252</v>
      </c>
      <c r="C2485" s="13" t="n"/>
      <c r="D2485" s="3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6">
      <c r="A2486" s="65" t="inlineStr">
        <is>
          <t>04/06/2013</t>
        </is>
      </c>
      <c r="B2486" s="8" t="n">
        <v>101.4270899273</v>
      </c>
      <c r="C2486" s="13" t="n"/>
      <c r="D2486" s="3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7">
      <c r="A2487" s="65" t="inlineStr">
        <is>
          <t>05/06/2013</t>
        </is>
      </c>
      <c r="B2487" s="8" t="n">
        <v>100.719087273</v>
      </c>
      <c r="C2487" s="13" t="n"/>
      <c r="D2487" s="3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8">
      <c r="A2488" s="65" t="inlineStr">
        <is>
          <t>06/06/2013</t>
        </is>
      </c>
      <c r="B2488" s="8" t="n">
        <v>101.0159916119</v>
      </c>
      <c r="C2488" s="13" t="n"/>
      <c r="D2488" s="3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9">
      <c r="A2489" s="65" t="inlineStr">
        <is>
          <t>07/06/2013</t>
        </is>
      </c>
      <c r="B2489" s="8" t="n">
        <v>100.9931528166</v>
      </c>
      <c r="C2489" s="13" t="n"/>
      <c r="D2489" s="3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0">
      <c r="A2490" s="65" t="inlineStr">
        <is>
          <t>10/06/2013</t>
        </is>
      </c>
      <c r="B2490" s="8" t="n">
        <v>100.719087273</v>
      </c>
      <c r="C2490" s="13" t="n"/>
      <c r="D2490" s="3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1">
      <c r="A2491" s="65" t="inlineStr">
        <is>
          <t>11/06/2013</t>
        </is>
      </c>
      <c r="B2491" s="8" t="n">
        <v>100.1252785952</v>
      </c>
      <c r="C2491" s="13" t="n"/>
      <c r="D2491" s="3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2">
      <c r="A2492" s="65" t="inlineStr">
        <is>
          <t>12/06/2013</t>
        </is>
      </c>
      <c r="B2492" s="8" t="n">
        <v>100.1937949811</v>
      </c>
      <c r="C2492" s="13" t="n"/>
      <c r="D2492" s="3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3">
      <c r="A2493" s="65" t="inlineStr">
        <is>
          <t>13/06/2013</t>
        </is>
      </c>
      <c r="B2493" s="8" t="n">
        <v>99.73701907510001</v>
      </c>
      <c r="C2493" s="13" t="n"/>
      <c r="D2493" s="3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4">
      <c r="A2494" s="65" t="inlineStr">
        <is>
          <t>14/06/2013</t>
        </is>
      </c>
      <c r="B2494" s="8" t="n">
        <v>99.16604919260001</v>
      </c>
      <c r="C2494" s="13" t="n"/>
      <c r="D2494" s="3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5">
      <c r="A2495" s="65" t="inlineStr">
        <is>
          <t>17/06/2013</t>
        </is>
      </c>
      <c r="B2495" s="8" t="n">
        <v>99.48579232680001</v>
      </c>
      <c r="C2495" s="13" t="n"/>
      <c r="D2495" s="3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6">
      <c r="A2496" s="65" t="inlineStr">
        <is>
          <t>18/06/2013</t>
        </is>
      </c>
      <c r="B2496" s="8" t="n">
        <v>99.8740518469</v>
      </c>
      <c r="C2496" s="13" t="n"/>
      <c r="D2496" s="3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7">
      <c r="A2497" s="65" t="inlineStr">
        <is>
          <t>19/06/2013</t>
        </is>
      </c>
      <c r="B2497" s="8" t="n">
        <v>100.2851501623</v>
      </c>
      <c r="C2497" s="13" t="n"/>
      <c r="D2497" s="3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8">
      <c r="A2498" s="65" t="inlineStr">
        <is>
          <t>20/06/2013</t>
        </is>
      </c>
      <c r="B2498" s="8" t="n">
        <v>100.7647648636</v>
      </c>
      <c r="C2498" s="13" t="n"/>
      <c r="D2498" s="3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9">
      <c r="A2499" s="65" t="inlineStr">
        <is>
          <t>21/06/2013</t>
        </is>
      </c>
      <c r="B2499" s="8" t="n">
        <v>101.4270899273</v>
      </c>
      <c r="C2499" s="13" t="n"/>
      <c r="D2499" s="3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0">
      <c r="A2500" s="65" t="inlineStr">
        <is>
          <t>24/06/2013</t>
        </is>
      </c>
      <c r="B2500" s="8" t="n">
        <v>101.7925106521</v>
      </c>
      <c r="C2500" s="13" t="n"/>
      <c r="D2500" s="3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1">
      <c r="A2501" s="65" t="inlineStr">
        <is>
          <t>25/06/2013</t>
        </is>
      </c>
      <c r="B2501" s="8" t="n">
        <v>102.0437374004</v>
      </c>
      <c r="C2501" s="13" t="n"/>
      <c r="D2501" s="3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2">
      <c r="A2502" s="65" t="inlineStr">
        <is>
          <t>26/06/2013</t>
        </is>
      </c>
      <c r="B2502" s="8" t="n">
        <v>102.317802944</v>
      </c>
      <c r="C2502" s="13" t="n"/>
      <c r="D2502" s="3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3">
      <c r="A2503" s="65" t="inlineStr">
        <is>
          <t>27/06/2013</t>
        </is>
      </c>
      <c r="B2503" s="8" t="n">
        <v>103.0943219842</v>
      </c>
      <c r="C2503" s="13" t="n"/>
      <c r="D2503" s="3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4">
      <c r="A2504" s="65" t="inlineStr">
        <is>
          <t>28/06/2013</t>
        </is>
      </c>
      <c r="B2504" s="8" t="n">
        <v>102.8430952359</v>
      </c>
      <c r="C2504" s="13" t="n"/>
      <c r="D2504" s="3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5">
      <c r="A2505" s="65" t="inlineStr">
        <is>
          <t>01/07/2013</t>
        </is>
      </c>
      <c r="B2505" s="8" t="n">
        <v>102.621955642</v>
      </c>
      <c r="C2505" s="13" t="n"/>
      <c r="D2505" s="3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6">
      <c r="A2506" s="65" t="inlineStr">
        <is>
          <t>02/07/2013</t>
        </is>
      </c>
      <c r="B2506" s="8" t="n">
        <v>102.9408695996</v>
      </c>
      <c r="C2506" s="13" t="n"/>
      <c r="D2506" s="3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7">
      <c r="A2507" s="65" t="inlineStr">
        <is>
          <t>03/07/2013</t>
        </is>
      </c>
      <c r="B2507" s="8" t="n">
        <v>103.1231061468</v>
      </c>
      <c r="C2507" s="13" t="n"/>
      <c r="D2507" s="3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8">
      <c r="A2508" s="65" t="inlineStr">
        <is>
          <t>04/07/2013</t>
        </is>
      </c>
      <c r="B2508" s="8" t="n">
        <v>103.1686652836</v>
      </c>
      <c r="C2508" s="13" t="n"/>
      <c r="D2508" s="3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9">
      <c r="A2509" s="65" t="inlineStr">
        <is>
          <t>05/07/2013</t>
        </is>
      </c>
      <c r="B2509" s="8" t="n">
        <v>103.0547674416</v>
      </c>
      <c r="C2509" s="13" t="n"/>
      <c r="D2509" s="3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0">
      <c r="A2510" s="65" t="inlineStr">
        <is>
          <t>08/07/2013</t>
        </is>
      </c>
      <c r="B2510" s="8" t="n">
        <v>103.07754701</v>
      </c>
      <c r="C2510" s="13" t="n"/>
      <c r="D2510" s="3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1">
      <c r="A2511" s="65" t="inlineStr">
        <is>
          <t>10/07/2013</t>
        </is>
      </c>
      <c r="B2511" s="8" t="n">
        <v>103.1686652836</v>
      </c>
      <c r="C2511" s="13" t="n"/>
      <c r="D2511" s="3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2">
      <c r="A2512" s="65" t="inlineStr">
        <is>
          <t>11/07/2013</t>
        </is>
      </c>
      <c r="B2512" s="8" t="n">
        <v>102.1891438424</v>
      </c>
      <c r="C2512" s="13" t="n"/>
      <c r="D2512" s="3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3">
      <c r="A2513" s="65" t="inlineStr">
        <is>
          <t>12/07/2013</t>
        </is>
      </c>
      <c r="B2513" s="8" t="n">
        <v>102.2574825476</v>
      </c>
      <c r="C2513" s="13" t="n"/>
      <c r="D2513" s="3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4">
      <c r="A2514" s="65" t="inlineStr">
        <is>
          <t>15/07/2013</t>
        </is>
      </c>
      <c r="B2514" s="8" t="n">
        <v>101.3007406748</v>
      </c>
      <c r="C2514" s="13" t="n"/>
      <c r="D2514" s="3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5">
      <c r="A2515" s="65" t="inlineStr">
        <is>
          <t>16/07/2013</t>
        </is>
      </c>
      <c r="B2515" s="8" t="n">
        <v>100.8907084436</v>
      </c>
      <c r="C2515" s="13" t="n"/>
      <c r="D2515" s="3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6">
      <c r="A2516" s="65" t="inlineStr">
        <is>
          <t>17/07/2013</t>
        </is>
      </c>
      <c r="B2516" s="8" t="n">
        <v>100.3895579388</v>
      </c>
      <c r="C2516" s="13" t="n"/>
      <c r="D2516" s="3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7">
      <c r="A2517" s="65" t="inlineStr">
        <is>
          <t>18/07/2013</t>
        </is>
      </c>
      <c r="B2517" s="8" t="n">
        <v>100.0934235496</v>
      </c>
      <c r="C2517" s="13" t="n"/>
      <c r="D2517" s="3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8">
      <c r="A2518" s="65" t="inlineStr">
        <is>
          <t>19/07/2013</t>
        </is>
      </c>
      <c r="B2518" s="8" t="n">
        <v>100.1845418232</v>
      </c>
      <c r="C2518" s="13" t="n"/>
      <c r="D2518" s="3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9">
      <c r="A2519" s="65" t="inlineStr">
        <is>
          <t>22/07/2013</t>
        </is>
      </c>
      <c r="B2519" s="8" t="n">
        <v>100.23010096</v>
      </c>
      <c r="C2519" s="13" t="n"/>
      <c r="D2519" s="3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0">
      <c r="A2520" s="65" t="inlineStr">
        <is>
          <t>23/07/2013</t>
        </is>
      </c>
      <c r="B2520" s="8" t="n">
        <v>100.343998802</v>
      </c>
      <c r="C2520" s="13" t="n"/>
      <c r="D2520" s="3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1">
      <c r="A2521" s="65" t="inlineStr">
        <is>
          <t>24/07/2013</t>
        </is>
      </c>
      <c r="B2521" s="8" t="n">
        <v>99.77450959199999</v>
      </c>
      <c r="C2521" s="13" t="n"/>
      <c r="D2521" s="3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2">
      <c r="A2522" s="65" t="inlineStr">
        <is>
          <t>25/07/2013</t>
        </is>
      </c>
      <c r="B2522" s="8" t="n">
        <v>100.5034557808</v>
      </c>
      <c r="C2522" s="13" t="n"/>
      <c r="D2522" s="3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3">
      <c r="A2523" s="65" t="inlineStr">
        <is>
          <t>26/07/2013</t>
        </is>
      </c>
      <c r="B2523" s="8" t="n">
        <v>100.0934235496</v>
      </c>
      <c r="C2523" s="13" t="n"/>
      <c r="D2523" s="3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4">
      <c r="A2524" s="65" t="inlineStr">
        <is>
          <t>29/07/2013</t>
        </is>
      </c>
      <c r="B2524" s="8" t="n">
        <v>99.95674613920001</v>
      </c>
      <c r="C2524" s="13" t="n"/>
      <c r="D2524" s="3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5">
      <c r="A2525" s="65" t="inlineStr">
        <is>
          <t>30/07/2013</t>
        </is>
      </c>
      <c r="B2525" s="8" t="n">
        <v>99.318918224</v>
      </c>
      <c r="C2525" s="13" t="n"/>
      <c r="D2525" s="3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6">
      <c r="A2526" s="65" t="inlineStr">
        <is>
          <t>31/07/2013</t>
        </is>
      </c>
      <c r="B2526" s="8" t="n">
        <v>100.2984396652</v>
      </c>
      <c r="C2526" s="13" t="n"/>
      <c r="D2526" s="3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7">
      <c r="A2527" s="65" t="inlineStr">
        <is>
          <t>01/08/2013</t>
        </is>
      </c>
      <c r="B2527" s="8" t="n">
        <v>100.648617135</v>
      </c>
      <c r="C2527" s="13" t="n"/>
      <c r="D2527" s="3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8">
      <c r="A2528" s="65" t="inlineStr">
        <is>
          <t>02/08/2013</t>
        </is>
      </c>
      <c r="B2528" s="8" t="n">
        <v>100.7850898362</v>
      </c>
      <c r="C2528" s="13" t="n"/>
      <c r="D2528" s="3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9">
      <c r="A2529" s="65" t="inlineStr">
        <is>
          <t>05/08/2013</t>
        </is>
      </c>
      <c r="B2529" s="8" t="n">
        <v>101.1490170394</v>
      </c>
      <c r="C2529" s="13" t="n"/>
      <c r="D2529" s="3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0">
      <c r="A2530" s="65" t="inlineStr">
        <is>
          <t>06/08/2013</t>
        </is>
      </c>
      <c r="B2530" s="8" t="n">
        <v>100.2164535812</v>
      </c>
      <c r="C2530" s="13" t="n"/>
      <c r="D2530" s="3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1">
      <c r="A2531" s="65" t="inlineStr">
        <is>
          <t>07/08/2013</t>
        </is>
      </c>
      <c r="B2531" s="8" t="n">
        <v>99.7842900274</v>
      </c>
      <c r="C2531" s="13" t="n"/>
      <c r="D2531" s="3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2">
      <c r="A2532" s="65" t="inlineStr">
        <is>
          <t>08/08/2013</t>
        </is>
      </c>
      <c r="B2532" s="8" t="n">
        <v>98.41956301540002</v>
      </c>
      <c r="C2532" s="13" t="n"/>
      <c r="D2532" s="3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3">
      <c r="A2533" s="65" t="inlineStr">
        <is>
          <t>09/08/2013</t>
        </is>
      </c>
      <c r="B2533" s="8" t="n">
        <v>97.37327230620001</v>
      </c>
      <c r="C2533" s="13" t="n"/>
      <c r="D2533" s="3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4">
      <c r="A2534" s="65" t="inlineStr">
        <is>
          <t>12/08/2013</t>
        </is>
      </c>
      <c r="B2534" s="8" t="n">
        <v>96.82738150140001</v>
      </c>
      <c r="C2534" s="13" t="n"/>
      <c r="D2534" s="3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5">
      <c r="A2535" s="65" t="inlineStr">
        <is>
          <t>13/08/2013</t>
        </is>
      </c>
      <c r="B2535" s="8" t="n">
        <v>96.89561785200002</v>
      </c>
      <c r="C2535" s="13" t="n"/>
      <c r="D2535" s="3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6">
      <c r="A2536" s="65" t="inlineStr">
        <is>
          <t>14/08/2013</t>
        </is>
      </c>
      <c r="B2536" s="8" t="n">
        <v>97.32778140580001</v>
      </c>
      <c r="C2536" s="13" t="n"/>
      <c r="D2536" s="3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7">
      <c r="A2537" s="65" t="inlineStr">
        <is>
          <t>15/08/2013</t>
        </is>
      </c>
      <c r="B2537" s="8" t="n">
        <v>97.5097450074</v>
      </c>
      <c r="C2537" s="13" t="n"/>
      <c r="D2537" s="3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8">
      <c r="A2538" s="65" t="inlineStr">
        <is>
          <t>16/08/2013</t>
        </is>
      </c>
      <c r="B2538" s="8" t="n">
        <v>97.94190856120001</v>
      </c>
      <c r="C2538" s="13" t="n"/>
      <c r="D2538" s="3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9">
      <c r="A2539" s="65" t="inlineStr">
        <is>
          <t>19/08/2013</t>
        </is>
      </c>
      <c r="B2539" s="8" t="n">
        <v>98.35132666480001</v>
      </c>
      <c r="C2539" s="13" t="n"/>
      <c r="D2539" s="3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0">
      <c r="A2540" s="65" t="inlineStr">
        <is>
          <t>20/08/2013</t>
        </is>
      </c>
      <c r="B2540" s="8" t="n">
        <v>98.487799366</v>
      </c>
      <c r="C2540" s="13" t="n"/>
      <c r="D2540" s="3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1">
      <c r="A2541" s="65" t="inlineStr">
        <is>
          <t>21/08/2013</t>
        </is>
      </c>
      <c r="B2541" s="8" t="n">
        <v>99.12467197160001</v>
      </c>
      <c r="C2541" s="13" t="n"/>
      <c r="D2541" s="3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2">
      <c r="A2542" s="65" t="inlineStr">
        <is>
          <t>22/08/2013</t>
        </is>
      </c>
      <c r="B2542" s="8" t="n">
        <v>99.2611446728</v>
      </c>
      <c r="C2542" s="13" t="n"/>
      <c r="D2542" s="3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3">
      <c r="A2543" s="65" t="inlineStr">
        <is>
          <t>23/08/2013</t>
        </is>
      </c>
      <c r="B2543" s="8" t="n">
        <v>99.05643562100001</v>
      </c>
      <c r="C2543" s="13" t="n"/>
      <c r="D2543" s="3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4">
      <c r="A2544" s="65" t="inlineStr">
        <is>
          <t>26/08/2013</t>
        </is>
      </c>
      <c r="B2544" s="8" t="n">
        <v>99.39761737400001</v>
      </c>
      <c r="C2544" s="13" t="n"/>
      <c r="D2544" s="3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5">
      <c r="A2545" s="65" t="inlineStr">
        <is>
          <t>27/08/2013</t>
        </is>
      </c>
      <c r="B2545" s="8" t="n">
        <v>100.1709626808</v>
      </c>
      <c r="C2545" s="13" t="n"/>
      <c r="D2545" s="3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6">
      <c r="A2546" s="65" t="inlineStr">
        <is>
          <t>28/08/2013</t>
        </is>
      </c>
      <c r="B2546" s="8" t="n">
        <v>100.193708131</v>
      </c>
      <c r="C2546" s="13" t="n"/>
      <c r="D2546" s="3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7">
      <c r="A2547" s="65" t="inlineStr">
        <is>
          <t>29/08/2013</t>
        </is>
      </c>
      <c r="B2547" s="8" t="n">
        <v>100.0572354298</v>
      </c>
      <c r="C2547" s="13" t="n"/>
      <c r="D2547" s="3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8">
      <c r="A2548" s="65" t="inlineStr">
        <is>
          <t>30/08/2013</t>
        </is>
      </c>
      <c r="B2548" s="8" t="n">
        <v>100.0572354298</v>
      </c>
      <c r="C2548" s="13" t="n"/>
      <c r="D2548" s="3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9">
      <c r="A2549" s="65" t="inlineStr">
        <is>
          <t>02/09/2013</t>
        </is>
      </c>
      <c r="B2549" s="8" t="n">
        <v>99.09397147319999</v>
      </c>
      <c r="C2549" s="13" t="n"/>
      <c r="D2549" s="3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0">
      <c r="A2550" s="65" t="inlineStr">
        <is>
          <t>03/09/2013</t>
        </is>
      </c>
      <c r="B2550" s="8" t="n">
        <v>99.5421576852</v>
      </c>
      <c r="C2550" s="13" t="n"/>
      <c r="D2550" s="3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1">
      <c r="A2551" s="65" t="inlineStr">
        <is>
          <t>04/09/2013</t>
        </is>
      </c>
      <c r="B2551" s="8" t="n">
        <v>99.9231159654</v>
      </c>
      <c r="C2551" s="13" t="n"/>
      <c r="D2551" s="3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2">
      <c r="A2552" s="65" t="inlineStr">
        <is>
          <t>05/09/2013</t>
        </is>
      </c>
      <c r="B2552" s="8" t="n">
        <v>99.67661354879999</v>
      </c>
      <c r="C2552" s="13" t="n"/>
      <c r="D2552" s="3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3">
      <c r="A2553" s="65" t="inlineStr">
        <is>
          <t>06/09/2013</t>
        </is>
      </c>
      <c r="B2553" s="8" t="n">
        <v>99.74384148059998</v>
      </c>
      <c r="C2553" s="13" t="n"/>
      <c r="D2553" s="3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4">
      <c r="A2554" s="65" t="inlineStr">
        <is>
          <t>09/09/2013</t>
        </is>
      </c>
      <c r="B2554" s="8" t="n">
        <v>100.1247997608</v>
      </c>
      <c r="C2554" s="13" t="n"/>
      <c r="D2554" s="3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5">
      <c r="A2555" s="65" t="inlineStr">
        <is>
          <t>10/09/2013</t>
        </is>
      </c>
      <c r="B2555" s="8" t="n">
        <v>100.2144370032</v>
      </c>
      <c r="C2555" s="13" t="n"/>
      <c r="D2555" s="3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6">
      <c r="A2556" s="65" t="inlineStr">
        <is>
          <t>11/09/2013</t>
        </is>
      </c>
      <c r="B2556" s="8" t="n">
        <v>100.3488928668</v>
      </c>
      <c r="C2556" s="13" t="n"/>
      <c r="D2556" s="3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7">
      <c r="A2557" s="65" t="inlineStr">
        <is>
          <t>12/09/2013</t>
        </is>
      </c>
      <c r="B2557" s="8" t="n">
        <v>100.5729859728</v>
      </c>
      <c r="C2557" s="13" t="n"/>
      <c r="D2557" s="3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8">
      <c r="A2558" s="65" t="inlineStr">
        <is>
          <t>13/09/2013</t>
        </is>
      </c>
      <c r="B2558" s="8" t="n">
        <v>100.4833487304</v>
      </c>
      <c r="C2558" s="13" t="n"/>
      <c r="D2558" s="3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9">
      <c r="A2559" s="65" t="inlineStr">
        <is>
          <t>16/09/2013</t>
        </is>
      </c>
      <c r="B2559" s="8" t="n">
        <v>100.7970790788</v>
      </c>
      <c r="C2559" s="13" t="n"/>
      <c r="D2559" s="3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0">
      <c r="A2560" s="65" t="inlineStr">
        <is>
          <t>17/09/2013</t>
        </is>
      </c>
      <c r="B2560" s="8" t="n">
        <v>100.8418977</v>
      </c>
      <c r="C2560" s="13" t="n"/>
      <c r="D2560" s="3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1">
      <c r="A2561" s="65" t="inlineStr">
        <is>
          <t>18/09/2013</t>
        </is>
      </c>
      <c r="B2561" s="8" t="n">
        <v>101.3797211544</v>
      </c>
      <c r="C2561" s="13" t="n"/>
      <c r="D2561" s="3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2">
      <c r="A2562" s="65" t="inlineStr">
        <is>
          <t>19/09/2013</t>
        </is>
      </c>
      <c r="B2562" s="8" t="n">
        <v>102.1192284042</v>
      </c>
      <c r="C2562" s="13" t="n"/>
      <c r="D2562" s="3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3">
      <c r="A2563" s="65" t="inlineStr">
        <is>
          <t>20/09/2013</t>
        </is>
      </c>
      <c r="B2563" s="8" t="n">
        <v>102.1416377148</v>
      </c>
      <c r="C2563" s="13" t="n"/>
      <c r="D2563" s="3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4">
      <c r="A2564" s="65" t="inlineStr">
        <is>
          <t>23/09/2013</t>
        </is>
      </c>
      <c r="B2564" s="8" t="n">
        <v>103.1052380706</v>
      </c>
      <c r="C2564" s="13" t="n"/>
      <c r="D2564" s="3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5">
      <c r="A2565" s="65" t="inlineStr">
        <is>
          <t>24/09/2013</t>
        </is>
      </c>
      <c r="B2565" s="8" t="n">
        <v>103.4637870402</v>
      </c>
      <c r="C2565" s="13" t="n"/>
      <c r="D2565" s="3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6">
      <c r="A2566" s="65" t="inlineStr">
        <is>
          <t>25/09/2013</t>
        </is>
      </c>
      <c r="B2566" s="8" t="n">
        <v>104.2705222218</v>
      </c>
      <c r="C2566" s="13" t="n"/>
      <c r="D2566" s="3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7">
      <c r="A2567" s="65" t="inlineStr">
        <is>
          <t>26/09/2013</t>
        </is>
      </c>
      <c r="B2567" s="8" t="n">
        <v>105.2565318882</v>
      </c>
      <c r="C2567" s="13" t="n"/>
      <c r="D2567" s="3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8">
      <c r="A2568" s="65" t="inlineStr">
        <is>
          <t>27/09/2013</t>
        </is>
      </c>
      <c r="B2568" s="8" t="n">
        <v>105.1668946458</v>
      </c>
      <c r="C2568" s="13" t="n"/>
      <c r="D2568" s="3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9">
      <c r="A2569" s="65" t="inlineStr">
        <is>
          <t>30/09/2013</t>
        </is>
      </c>
      <c r="B2569" s="8" t="n">
        <v>105.5702622366</v>
      </c>
      <c r="C2569" s="13" t="n"/>
      <c r="D2569" s="3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0">
      <c r="A2570" s="65" t="inlineStr">
        <is>
          <t>01/10/2013</t>
        </is>
      </c>
      <c r="B2570" s="8" t="n">
        <v>105.5143923162</v>
      </c>
      <c r="C2570" s="13" t="n"/>
      <c r="D2570" s="3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1">
      <c r="A2571" s="65" t="inlineStr">
        <is>
          <t>02/10/2013</t>
        </is>
      </c>
      <c r="B2571" s="8" t="n">
        <v>107.4473786568</v>
      </c>
      <c r="C2571" s="13" t="n"/>
      <c r="D2571" s="3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2">
      <c r="A2572" s="65" t="inlineStr">
        <is>
          <t>03/10/2013</t>
        </is>
      </c>
      <c r="B2572" s="8" t="n">
        <v>107.5140333582</v>
      </c>
      <c r="C2572" s="13" t="n"/>
      <c r="D2572" s="3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3">
      <c r="A2573" s="65" t="inlineStr">
        <is>
          <t>04/10/2013</t>
        </is>
      </c>
      <c r="B2573" s="8" t="n">
        <v>108.3361080088</v>
      </c>
      <c r="C2573" s="13" t="n"/>
      <c r="D2573" s="3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4">
      <c r="A2574" s="65" t="inlineStr">
        <is>
          <t>07/10/2013</t>
        </is>
      </c>
      <c r="B2574" s="8" t="n">
        <v>109.7358567382</v>
      </c>
      <c r="C2574" s="13" t="n"/>
      <c r="D2574" s="3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5">
      <c r="A2575" s="65" t="inlineStr">
        <is>
          <t>08/10/2013</t>
        </is>
      </c>
      <c r="B2575" s="8" t="n">
        <v>110.0469120114</v>
      </c>
      <c r="C2575" s="13" t="n"/>
      <c r="D2575" s="3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6">
      <c r="A2576" s="65" t="inlineStr">
        <is>
          <t>09/10/2013</t>
        </is>
      </c>
      <c r="B2576" s="8" t="n">
        <v>110.2913125832</v>
      </c>
      <c r="C2576" s="13" t="n"/>
      <c r="D2576" s="3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7">
      <c r="A2577" s="65" t="inlineStr">
        <is>
          <t>10/10/2013</t>
        </is>
      </c>
      <c r="B2577" s="8" t="n">
        <v>110.9356413634</v>
      </c>
      <c r="C2577" s="13" t="n"/>
      <c r="D2577" s="3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8">
      <c r="A2578" s="65" t="inlineStr">
        <is>
          <t>11/10/2013</t>
        </is>
      </c>
      <c r="B2578" s="8" t="n">
        <v>111.0245142986</v>
      </c>
      <c r="C2578" s="13" t="n"/>
      <c r="D2578" s="3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9">
      <c r="A2579" s="65" t="inlineStr">
        <is>
          <t>14/10/2013</t>
        </is>
      </c>
      <c r="B2579" s="8" t="n">
        <v>111.7799342478</v>
      </c>
      <c r="C2579" s="13" t="n"/>
      <c r="D2579" s="3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0">
      <c r="A2580" s="65" t="inlineStr">
        <is>
          <t>15/10/2013</t>
        </is>
      </c>
      <c r="B2580" s="8" t="n">
        <v>111.424442507</v>
      </c>
      <c r="C2580" s="13" t="n"/>
      <c r="D2580" s="3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1">
      <c r="A2581" s="65" t="inlineStr">
        <is>
          <t>16/10/2013</t>
        </is>
      </c>
      <c r="B2581" s="8" t="n">
        <v>112.5131359632</v>
      </c>
      <c r="C2581" s="13" t="n"/>
      <c r="D2581" s="3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2">
      <c r="A2582" s="65" t="inlineStr">
        <is>
          <t>17/10/2013</t>
        </is>
      </c>
      <c r="B2582" s="8" t="n">
        <v>113.2241194448</v>
      </c>
      <c r="C2582" s="13" t="n"/>
      <c r="D2582" s="3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3">
      <c r="A2583" s="65" t="inlineStr">
        <is>
          <t>18/10/2013</t>
        </is>
      </c>
      <c r="B2583" s="8" t="n">
        <v>115.0015781488</v>
      </c>
      <c r="C2583" s="13" t="n"/>
      <c r="D2583" s="3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4">
      <c r="A2584" s="65" t="inlineStr">
        <is>
          <t>21/10/2013</t>
        </is>
      </c>
      <c r="B2584" s="8" t="n">
        <v>115.5570339938</v>
      </c>
      <c r="C2584" s="13" t="n"/>
      <c r="D2584" s="3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5">
      <c r="A2585" s="65" t="inlineStr">
        <is>
          <t>22/10/2013</t>
        </is>
      </c>
      <c r="B2585" s="8" t="n">
        <v>116.1569263064</v>
      </c>
      <c r="C2585" s="13" t="n"/>
      <c r="D2585" s="3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6">
      <c r="A2586" s="65" t="inlineStr">
        <is>
          <t>23/10/2013</t>
        </is>
      </c>
      <c r="B2586" s="8" t="n">
        <v>116.5790727486</v>
      </c>
      <c r="C2586" s="13" t="n"/>
      <c r="D2586" s="3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7">
      <c r="A2587" s="65" t="inlineStr">
        <is>
          <t>24/10/2013</t>
        </is>
      </c>
      <c r="B2587" s="8" t="n">
        <v>116.7346003852</v>
      </c>
      <c r="C2587" s="13" t="n"/>
      <c r="D2587" s="3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8">
      <c r="A2588" s="65" t="inlineStr">
        <is>
          <t>25/10/2013</t>
        </is>
      </c>
      <c r="B2588" s="8" t="n">
        <v>116.9123462556</v>
      </c>
      <c r="C2588" s="13" t="n"/>
      <c r="D2588" s="3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9">
      <c r="A2589" s="65" t="inlineStr">
        <is>
          <t>28/10/2013</t>
        </is>
      </c>
      <c r="B2589" s="8" t="n">
        <v>117.090092126</v>
      </c>
      <c r="C2589" s="13" t="n"/>
      <c r="D2589" s="3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0">
      <c r="A2590" s="65" t="inlineStr">
        <is>
          <t>29/10/2013</t>
        </is>
      </c>
      <c r="B2590" s="8" t="n">
        <v>116.979000957</v>
      </c>
      <c r="C2590" s="13" t="n"/>
      <c r="D2590" s="3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1">
      <c r="A2591" s="65" t="inlineStr">
        <is>
          <t>30/10/2013</t>
        </is>
      </c>
      <c r="B2591" s="8" t="n">
        <v>117.4011473992</v>
      </c>
      <c r="C2591" s="13" t="n"/>
      <c r="D2591" s="3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2">
      <c r="A2592" s="65" t="inlineStr">
        <is>
          <t>31/10/2013</t>
        </is>
      </c>
      <c r="B2592" s="8" t="n">
        <v>116.534636281</v>
      </c>
      <c r="C2592" s="13" t="n"/>
      <c r="D2592" s="3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3">
      <c r="A2593" s="65" t="inlineStr">
        <is>
          <t>01/11/2013</t>
        </is>
      </c>
      <c r="B2593" s="8" t="n">
        <v>115.7767371072</v>
      </c>
      <c r="C2593" s="13" t="n"/>
      <c r="D2593" s="3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4">
      <c r="A2594" s="65" t="inlineStr">
        <is>
          <t>04/11/2013</t>
        </is>
      </c>
      <c r="B2594" s="8" t="n">
        <v>116.2641248256</v>
      </c>
      <c r="C2594" s="13" t="n"/>
      <c r="D2594" s="3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5">
      <c r="A2595" s="65" t="inlineStr">
        <is>
          <t>05/11/2013</t>
        </is>
      </c>
      <c r="B2595" s="8" t="n">
        <v>115.422273312</v>
      </c>
      <c r="C2595" s="13" t="n"/>
      <c r="D2595" s="3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6">
      <c r="A2596" s="65" t="inlineStr">
        <is>
          <t>06/11/2013</t>
        </is>
      </c>
      <c r="B2596" s="8" t="n">
        <v>114.868423632</v>
      </c>
      <c r="C2596" s="13" t="n"/>
      <c r="D2596" s="3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7">
      <c r="A2597" s="65" t="inlineStr">
        <is>
          <t>07/11/2013</t>
        </is>
      </c>
      <c r="B2597" s="8" t="n">
        <v>114.3588819264</v>
      </c>
      <c r="C2597" s="13" t="n"/>
      <c r="D2597" s="3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8">
      <c r="A2598" s="65" t="inlineStr">
        <is>
          <t>08/11/2013</t>
        </is>
      </c>
      <c r="B2598" s="8" t="n">
        <v>114.1816500288</v>
      </c>
      <c r="C2598" s="13" t="n"/>
      <c r="D2598" s="3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9">
      <c r="A2599" s="65" t="inlineStr">
        <is>
          <t>11/11/2013</t>
        </is>
      </c>
      <c r="B2599" s="8" t="n">
        <v>114.4474978752</v>
      </c>
      <c r="C2599" s="13" t="n"/>
      <c r="D2599" s="3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0">
      <c r="A2600" s="65" t="inlineStr">
        <is>
          <t>12/11/2013</t>
        </is>
      </c>
      <c r="B2600" s="8" t="n">
        <v>114.8905776192</v>
      </c>
      <c r="C2600" s="13" t="n"/>
      <c r="D2600" s="3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1">
      <c r="A2601" s="65" t="inlineStr">
        <is>
          <t>13/11/2013</t>
        </is>
      </c>
      <c r="B2601" s="8" t="n">
        <v>115.5773512224</v>
      </c>
      <c r="C2601" s="13" t="n"/>
      <c r="D2601" s="3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2">
      <c r="A2602" s="65" t="inlineStr">
        <is>
          <t>14/11/2013</t>
        </is>
      </c>
      <c r="B2602" s="8" t="n">
        <v>115.6659671712</v>
      </c>
      <c r="C2602" s="13" t="n"/>
      <c r="D2602" s="3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3">
      <c r="A2603" s="65" t="inlineStr">
        <is>
          <t>18/11/2013</t>
        </is>
      </c>
      <c r="B2603" s="8" t="n">
        <v>115.5995052096</v>
      </c>
      <c r="C2603" s="13" t="n"/>
      <c r="D2603" s="3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4">
      <c r="A2604" s="65" t="inlineStr">
        <is>
          <t>19/11/2013</t>
        </is>
      </c>
      <c r="B2604" s="8" t="n">
        <v>115.1564254656</v>
      </c>
      <c r="C2604" s="13" t="n"/>
      <c r="D2604" s="3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5">
      <c r="A2605" s="65" t="inlineStr">
        <is>
          <t>21/11/2013</t>
        </is>
      </c>
      <c r="B2605" s="8" t="n">
        <v>114.6247297728</v>
      </c>
      <c r="C2605" s="13" t="n"/>
      <c r="D2605" s="3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6">
      <c r="A2606" s="65" t="inlineStr">
        <is>
          <t>22/11/2013</t>
        </is>
      </c>
      <c r="B2606" s="8" t="n">
        <v>114.9127316064</v>
      </c>
      <c r="C2606" s="13" t="n"/>
      <c r="D2606" s="3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7">
      <c r="A2607" s="65" t="inlineStr">
        <is>
          <t>25/11/2013</t>
        </is>
      </c>
      <c r="B2607" s="8" t="n">
        <v>114.64688376</v>
      </c>
      <c r="C2607" s="13" t="n"/>
      <c r="D2607" s="3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8">
      <c r="A2608" s="65" t="inlineStr">
        <is>
          <t>26/11/2013</t>
        </is>
      </c>
      <c r="B2608" s="8" t="n">
        <v>114.8462696448</v>
      </c>
      <c r="C2608" s="13" t="n"/>
      <c r="D2608" s="3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9">
      <c r="A2609" s="65" t="inlineStr">
        <is>
          <t>27/11/2013</t>
        </is>
      </c>
      <c r="B2609" s="8" t="n">
        <v>115.5773512224</v>
      </c>
      <c r="C2609" s="13" t="n"/>
      <c r="D2609" s="3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0">
      <c r="A2610" s="65" t="inlineStr">
        <is>
          <t>28/11/2013</t>
        </is>
      </c>
      <c r="B2610" s="8" t="n">
        <v>115.20073344</v>
      </c>
      <c r="C2610" s="13" t="n"/>
      <c r="D2610" s="3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1">
      <c r="A2611" s="65" t="inlineStr">
        <is>
          <t>29/11/2013</t>
        </is>
      </c>
      <c r="B2611" s="8" t="n">
        <v>114.3810359136</v>
      </c>
      <c r="C2611" s="13" t="n"/>
      <c r="D2611" s="3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2">
      <c r="A2612" s="65" t="inlineStr">
        <is>
          <t>02/12/2013</t>
        </is>
      </c>
      <c r="B2612" s="8" t="n">
        <v>113.8970397492</v>
      </c>
      <c r="C2612" s="13" t="n"/>
      <c r="D2612" s="3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3">
      <c r="A2613" s="65" t="inlineStr">
        <is>
          <t>03/12/2013</t>
        </is>
      </c>
      <c r="B2613" s="8" t="n">
        <v>114.0291708858</v>
      </c>
      <c r="C2613" s="13" t="n"/>
      <c r="D2613" s="3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4">
      <c r="A2614" s="65" t="inlineStr">
        <is>
          <t>04/12/2013</t>
        </is>
      </c>
      <c r="B2614" s="8" t="n">
        <v>113.8750178931</v>
      </c>
      <c r="C2614" s="13" t="n"/>
      <c r="D2614" s="3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5">
      <c r="A2615" s="65" t="inlineStr">
        <is>
          <t>05/12/2013</t>
        </is>
      </c>
      <c r="B2615" s="8" t="n">
        <v>113.3464933467</v>
      </c>
      <c r="C2615" s="13" t="n"/>
      <c r="D2615" s="3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6">
      <c r="A2616" s="65" t="inlineStr">
        <is>
          <t>06/12/2013</t>
        </is>
      </c>
      <c r="B2616" s="8" t="n">
        <v>112.8620125125</v>
      </c>
      <c r="C2616" s="13" t="n"/>
      <c r="D2616" s="3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7">
      <c r="A2617" s="65" t="inlineStr">
        <is>
          <t>09/12/2013</t>
        </is>
      </c>
      <c r="B2617" s="8" t="n">
        <v>112.3555098222</v>
      </c>
      <c r="C2617" s="13" t="n"/>
      <c r="D2617" s="3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8">
      <c r="A2618" s="65" t="inlineStr">
        <is>
          <t>10/12/2013</t>
        </is>
      </c>
      <c r="B2618" s="8" t="n">
        <v>112.4876409588</v>
      </c>
      <c r="C2618" s="13" t="n"/>
      <c r="D2618" s="3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9">
      <c r="A2619" s="65" t="inlineStr">
        <is>
          <t>11/12/2013</t>
        </is>
      </c>
      <c r="B2619" s="8" t="n">
        <v>112.5096628149</v>
      </c>
      <c r="C2619" s="13" t="n"/>
      <c r="D2619" s="3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0">
      <c r="A2620" s="65" t="inlineStr">
        <is>
          <t>12/12/2013</t>
        </is>
      </c>
      <c r="B2620" s="8" t="n">
        <v>112.7739250881</v>
      </c>
      <c r="C2620" s="13" t="n"/>
      <c r="D2620" s="3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1">
      <c r="A2621" s="65" t="inlineStr">
        <is>
          <t>13/12/2013</t>
        </is>
      </c>
      <c r="B2621" s="8" t="n">
        <v>111.871028988</v>
      </c>
      <c r="C2621" s="13" t="n"/>
      <c r="D2621" s="3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2">
      <c r="A2622" s="65" t="inlineStr">
        <is>
          <t>16/12/2013</t>
        </is>
      </c>
      <c r="B2622" s="8" t="n">
        <v>111.8269852758</v>
      </c>
      <c r="C2622" s="13" t="n"/>
      <c r="D2622" s="3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3">
      <c r="A2623" s="65" t="inlineStr">
        <is>
          <t>17/12/2013</t>
        </is>
      </c>
      <c r="B2623" s="8" t="n">
        <v>112.4656191027</v>
      </c>
      <c r="C2623" s="13" t="n"/>
      <c r="D2623" s="3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4">
      <c r="A2624" s="65" t="inlineStr">
        <is>
          <t>18/12/2013</t>
        </is>
      </c>
      <c r="B2624" s="8" t="n">
        <v>111.0121766001</v>
      </c>
      <c r="C2624" s="13" t="n"/>
      <c r="D2624" s="3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5">
      <c r="A2625" s="65" t="inlineStr">
        <is>
          <t>19/12/2013</t>
        </is>
      </c>
      <c r="B2625" s="8" t="n">
        <v>111.2984607294</v>
      </c>
      <c r="C2625" s="13" t="n"/>
      <c r="D2625" s="3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6">
      <c r="A2626" s="65" t="inlineStr">
        <is>
          <t>20/12/2013</t>
        </is>
      </c>
      <c r="B2626" s="8" t="n">
        <v>111.3865481538</v>
      </c>
      <c r="C2626" s="13" t="n"/>
      <c r="D2626" s="3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7">
      <c r="A2627" s="65" t="inlineStr">
        <is>
          <t>23/12/2013</t>
        </is>
      </c>
      <c r="B2627" s="8" t="n">
        <v>111.2544170172</v>
      </c>
      <c r="C2627" s="13" t="n"/>
      <c r="D2627" s="3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8">
      <c r="A2628" s="65" t="inlineStr">
        <is>
          <t>26/12/2013</t>
        </is>
      </c>
      <c r="B2628" s="8" t="n">
        <v>112.1352912612</v>
      </c>
      <c r="C2628" s="13" t="n"/>
      <c r="D2628" s="3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9">
      <c r="A2629" s="65" t="inlineStr">
        <is>
          <t>27/12/2013</t>
        </is>
      </c>
      <c r="B2629" s="8" t="n">
        <v>112.2894442539</v>
      </c>
      <c r="C2629" s="13" t="n"/>
      <c r="D2629" s="3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0">
      <c r="A2630" s="65" t="inlineStr">
        <is>
          <t>30/12/2013</t>
        </is>
      </c>
      <c r="B2630" s="8" t="n">
        <v>112.8179688003</v>
      </c>
      <c r="C2630" s="13" t="n"/>
      <c r="D2630" s="3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1">
      <c r="A2631" s="65" t="inlineStr">
        <is>
          <t>02/01/2014</t>
        </is>
      </c>
      <c r="B2631" s="8" t="n">
        <v>111.7311127978</v>
      </c>
      <c r="C2631" s="13" t="n"/>
      <c r="D2631" s="3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2">
      <c r="A2632" s="65" t="inlineStr">
        <is>
          <t>03/01/2014</t>
        </is>
      </c>
      <c r="B2632" s="8" t="n">
        <v>112.3666958247</v>
      </c>
      <c r="C2632" s="13" t="n"/>
      <c r="D2632" s="3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3">
      <c r="A2633" s="65" t="inlineStr">
        <is>
          <t>06/01/2014</t>
        </is>
      </c>
      <c r="B2633" s="8" t="n">
        <v>112.3886124808</v>
      </c>
      <c r="C2633" s="13" t="n"/>
      <c r="D2633" s="3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4">
      <c r="A2634" s="65" t="inlineStr">
        <is>
          <t>07/01/2014</t>
        </is>
      </c>
      <c r="B2634" s="8" t="n">
        <v>111.7968627661</v>
      </c>
      <c r="C2634" s="13" t="n"/>
      <c r="D2634" s="3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5">
      <c r="A2635" s="65" t="inlineStr">
        <is>
          <t>08/01/2014</t>
        </is>
      </c>
      <c r="B2635" s="8" t="n">
        <v>111.8406960783</v>
      </c>
      <c r="C2635" s="13" t="n"/>
      <c r="D2635" s="3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6">
      <c r="A2636" s="65" t="inlineStr">
        <is>
          <t>09/01/2014</t>
        </is>
      </c>
      <c r="B2636" s="8" t="n">
        <v>111.6215295173</v>
      </c>
      <c r="C2636" s="13" t="n"/>
      <c r="D2636" s="3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7">
      <c r="A2637" s="65" t="inlineStr">
        <is>
          <t>10/01/2014</t>
        </is>
      </c>
      <c r="B2637" s="8" t="n">
        <v>111.0078631465</v>
      </c>
      <c r="C2637" s="13" t="n"/>
      <c r="D2637" s="3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8">
      <c r="A2638" s="65" t="inlineStr">
        <is>
          <t>13/01/2014</t>
        </is>
      </c>
      <c r="B2638" s="8" t="n">
        <v>110.9640298343</v>
      </c>
      <c r="C2638" s="13" t="n"/>
      <c r="D2638" s="3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9">
      <c r="A2639" s="65" t="inlineStr">
        <is>
          <t>14/01/2014</t>
        </is>
      </c>
      <c r="B2639" s="8" t="n">
        <v>110.5914466806</v>
      </c>
      <c r="C2639" s="13" t="n"/>
      <c r="D2639" s="3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0">
      <c r="A2640" s="65" t="inlineStr">
        <is>
          <t>15/01/2014</t>
        </is>
      </c>
      <c r="B2640" s="8" t="n">
        <v>110.0435302781</v>
      </c>
      <c r="C2640" s="13" t="n"/>
      <c r="D2640" s="3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1">
      <c r="A2641" s="65" t="inlineStr">
        <is>
          <t>16/01/2014</t>
        </is>
      </c>
      <c r="B2641" s="8" t="n">
        <v>110.2188635269</v>
      </c>
      <c r="C2641" s="13" t="n"/>
      <c r="D2641" s="3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2">
      <c r="A2642" s="65" t="inlineStr">
        <is>
          <t>17/01/2014</t>
        </is>
      </c>
      <c r="B2642" s="8" t="n">
        <v>108.8600308487</v>
      </c>
      <c r="C2642" s="13" t="n"/>
      <c r="D2642" s="3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3">
      <c r="A2643" s="65" t="inlineStr">
        <is>
          <t>20/01/2014</t>
        </is>
      </c>
      <c r="B2643" s="8" t="n">
        <v>108.6408642877</v>
      </c>
      <c r="C2643" s="13" t="n"/>
      <c r="D2643" s="3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4">
      <c r="A2644" s="65" t="inlineStr">
        <is>
          <t>21/01/2014</t>
        </is>
      </c>
      <c r="B2644" s="8" t="n">
        <v>108.7504475682</v>
      </c>
      <c r="C2644" s="13" t="n"/>
      <c r="D2644" s="3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5">
      <c r="A2645" s="65" t="inlineStr">
        <is>
          <t>22/01/2014</t>
        </is>
      </c>
      <c r="B2645" s="8" t="n">
        <v>108.8381141926</v>
      </c>
      <c r="C2645" s="13" t="n"/>
      <c r="D2645" s="3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6">
      <c r="A2646" s="65" t="inlineStr">
        <is>
          <t>23/01/2014</t>
        </is>
      </c>
      <c r="B2646" s="8" t="n">
        <v>108.9696141292</v>
      </c>
      <c r="C2646" s="13" t="n"/>
      <c r="D2646" s="3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7">
      <c r="A2647" s="65" t="inlineStr">
        <is>
          <t>24/01/2014</t>
        </is>
      </c>
      <c r="B2647" s="8" t="n">
        <v>108.8819475048</v>
      </c>
      <c r="C2647" s="13" t="n"/>
      <c r="D2647" s="3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8">
      <c r="A2648" s="65" t="inlineStr">
        <is>
          <t>27/01/2014</t>
        </is>
      </c>
      <c r="B2648" s="8" t="n">
        <v>109.0791974097</v>
      </c>
      <c r="C2648" s="13" t="n"/>
      <c r="D2648" s="3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9">
      <c r="A2649" s="65" t="inlineStr">
        <is>
          <t>28/01/2014</t>
        </is>
      </c>
      <c r="B2649" s="8" t="n">
        <v>109.4517805634</v>
      </c>
      <c r="C2649" s="13" t="n"/>
      <c r="D2649" s="3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0">
      <c r="A2650" s="65" t="inlineStr">
        <is>
          <t>29/01/2014</t>
        </is>
      </c>
      <c r="B2650" s="8" t="n">
        <v>109.9777803098</v>
      </c>
      <c r="C2650" s="13" t="n"/>
      <c r="D2650" s="3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1">
      <c r="A2651" s="65" t="inlineStr">
        <is>
          <t>30/01/2014</t>
        </is>
      </c>
      <c r="B2651" s="8" t="n">
        <v>109.2326140024</v>
      </c>
      <c r="C2651" s="13" t="n"/>
      <c r="D2651" s="3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2">
      <c r="A2652" s="65" t="inlineStr">
        <is>
          <t>31/01/2014</t>
        </is>
      </c>
      <c r="B2652" s="8" t="n">
        <v>109.4736972195</v>
      </c>
      <c r="C2652" s="13" t="n"/>
      <c r="D2652" s="3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3">
      <c r="A2653" s="65" t="inlineStr">
        <is>
          <t>03/02/2014</t>
        </is>
      </c>
      <c r="B2653" s="8" t="n">
        <v>108.950103619</v>
      </c>
      <c r="C2653" s="13" t="n"/>
      <c r="D2653" s="3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4">
      <c r="A2654" s="65" t="inlineStr">
        <is>
          <t>04/02/2014</t>
        </is>
      </c>
      <c r="B2654" s="8" t="n">
        <v>108.7972678023</v>
      </c>
      <c r="C2654" s="13" t="n"/>
      <c r="D2654" s="3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5">
      <c r="A2655" s="65" t="inlineStr">
        <is>
          <t>05/02/2014</t>
        </is>
      </c>
      <c r="B2655" s="8" t="n">
        <v>108.731766738</v>
      </c>
      <c r="C2655" s="13" t="n"/>
      <c r="D2655" s="3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6">
      <c r="A2656" s="65" t="inlineStr">
        <is>
          <t>06/02/2014</t>
        </is>
      </c>
      <c r="B2656" s="8" t="n">
        <v>109.0374383714</v>
      </c>
      <c r="C2656" s="13" t="n"/>
      <c r="D2656" s="3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7">
      <c r="A2657" s="65" t="inlineStr">
        <is>
          <t>07/02/2014</t>
        </is>
      </c>
      <c r="B2657" s="8" t="n">
        <v>109.386777381</v>
      </c>
      <c r="C2657" s="13" t="n"/>
      <c r="D2657" s="3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8">
      <c r="A2658" s="65" t="inlineStr">
        <is>
          <t>10/02/2014</t>
        </is>
      </c>
      <c r="B2658" s="8" t="n">
        <v>109.5177795096</v>
      </c>
      <c r="C2658" s="13" t="n"/>
      <c r="D2658" s="3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9">
      <c r="A2659" s="65" t="inlineStr">
        <is>
          <t>11/02/2014</t>
        </is>
      </c>
      <c r="B2659" s="8" t="n">
        <v>108.731766738</v>
      </c>
      <c r="C2659" s="13" t="n"/>
      <c r="D2659" s="3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0">
      <c r="A2660" s="65" t="inlineStr">
        <is>
          <t>12/02/2014</t>
        </is>
      </c>
      <c r="B2660" s="8" t="n">
        <v>109.3212763167</v>
      </c>
      <c r="C2660" s="13" t="n"/>
      <c r="D2660" s="3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1">
      <c r="A2661" s="65" t="inlineStr">
        <is>
          <t>13/02/2014</t>
        </is>
      </c>
      <c r="B2661" s="8" t="n">
        <v>109.3649436929</v>
      </c>
      <c r="C2661" s="13" t="n"/>
      <c r="D2661" s="3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2">
      <c r="A2662" s="65" t="inlineStr">
        <is>
          <t>14/02/2014</t>
        </is>
      </c>
      <c r="B2662" s="8" t="n">
        <v>108.2077582236</v>
      </c>
      <c r="C2662" s="13" t="n"/>
      <c r="D2662" s="3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3">
      <c r="A2663" s="65" t="inlineStr">
        <is>
          <t>17/02/2014</t>
        </is>
      </c>
      <c r="B2663" s="8" t="n">
        <v>108.9719373071</v>
      </c>
      <c r="C2663" s="13" t="n"/>
      <c r="D2663" s="3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4">
      <c r="A2664" s="65" t="inlineStr">
        <is>
          <t>18/02/2014</t>
        </is>
      </c>
      <c r="B2664" s="8" t="n">
        <v>109.6487816382</v>
      </c>
      <c r="C2664" s="13" t="n"/>
      <c r="D2664" s="3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5">
      <c r="A2665" s="65" t="inlineStr">
        <is>
          <t>19/02/2014</t>
        </is>
      </c>
      <c r="B2665" s="8" t="n">
        <v>110.4129607217</v>
      </c>
      <c r="C2665" s="13" t="n"/>
      <c r="D2665" s="3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6">
      <c r="A2666" s="65" t="inlineStr">
        <is>
          <t>20/02/2014</t>
        </is>
      </c>
      <c r="B2666" s="8" t="n">
        <v>110.041788024</v>
      </c>
      <c r="C2666" s="13" t="n"/>
      <c r="D2666" s="3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7">
      <c r="A2667" s="65" t="inlineStr">
        <is>
          <t>21/02/2014</t>
        </is>
      </c>
      <c r="B2667" s="8" t="n">
        <v>110.1291227764</v>
      </c>
      <c r="C2667" s="13" t="n"/>
      <c r="D2667" s="3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8">
      <c r="A2668" s="65" t="inlineStr">
        <is>
          <t>24/02/2014</t>
        </is>
      </c>
      <c r="B2668" s="8" t="n">
        <v>111.1989734933</v>
      </c>
      <c r="C2668" s="13" t="n"/>
      <c r="D2668" s="3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9">
      <c r="A2669" s="65" t="inlineStr">
        <is>
          <t>25/02/2014</t>
        </is>
      </c>
      <c r="B2669" s="8" t="n">
        <v>111.8976515125</v>
      </c>
      <c r="C2669" s="13" t="n"/>
      <c r="D2669" s="3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0">
      <c r="A2670" s="65" t="inlineStr">
        <is>
          <t>26/02/2014</t>
        </is>
      </c>
      <c r="B2670" s="8" t="n">
        <v>112.3343252745</v>
      </c>
      <c r="C2670" s="13" t="n"/>
      <c r="D2670" s="3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1">
      <c r="A2671" s="65" t="inlineStr">
        <is>
          <t>27/02/2014</t>
        </is>
      </c>
      <c r="B2671" s="8" t="n">
        <v>112.7054979722</v>
      </c>
      <c r="C2671" s="13" t="n"/>
      <c r="D2671" s="3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2">
      <c r="A2672" s="65" t="inlineStr">
        <is>
          <t>28/02/2014</t>
        </is>
      </c>
      <c r="B2672" s="8" t="n">
        <v>112.4216600269</v>
      </c>
      <c r="C2672" s="13" t="n"/>
      <c r="D2672" s="3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3">
      <c r="A2673" s="65" t="inlineStr">
        <is>
          <t>05/03/2014</t>
        </is>
      </c>
      <c r="B2673" s="8" t="n">
        <v>111.1978332366</v>
      </c>
      <c r="C2673" s="13" t="n"/>
      <c r="D2673" s="3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4">
      <c r="A2674" s="65" t="inlineStr">
        <is>
          <t>06/03/2014</t>
        </is>
      </c>
      <c r="B2674" s="8" t="n">
        <v>111.2193082913</v>
      </c>
      <c r="C2674" s="13" t="n"/>
      <c r="D2674" s="3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5">
      <c r="A2675" s="65" t="inlineStr">
        <is>
          <t>07/03/2014</t>
        </is>
      </c>
      <c r="B2675" s="8" t="n">
        <v>111.3052085101</v>
      </c>
      <c r="C2675" s="13" t="n"/>
      <c r="D2675" s="3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6">
      <c r="A2676" s="65" t="inlineStr">
        <is>
          <t>10/03/2014</t>
        </is>
      </c>
      <c r="B2676" s="8" t="n">
        <v>111.6488093853</v>
      </c>
      <c r="C2676" s="13" t="n"/>
      <c r="D2676" s="3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7">
      <c r="A2677" s="65" t="inlineStr">
        <is>
          <t>11/03/2014</t>
        </is>
      </c>
      <c r="B2677" s="8" t="n">
        <v>111.3696336742</v>
      </c>
      <c r="C2677" s="13" t="n"/>
      <c r="D2677" s="3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8">
      <c r="A2678" s="65" t="inlineStr">
        <is>
          <t>12/03/2014</t>
        </is>
      </c>
      <c r="B2678" s="8" t="n">
        <v>111.1119330178</v>
      </c>
      <c r="C2678" s="13" t="n"/>
      <c r="D2678" s="3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9">
      <c r="A2679" s="65" t="inlineStr">
        <is>
          <t>13/03/2014</t>
        </is>
      </c>
      <c r="B2679" s="8" t="n">
        <v>111.4984840024</v>
      </c>
      <c r="C2679" s="13" t="n"/>
      <c r="D2679" s="3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0">
      <c r="A2680" s="65" t="inlineStr">
        <is>
          <t>14/03/2014</t>
        </is>
      </c>
      <c r="B2680" s="8" t="n">
        <v>111.1978332366</v>
      </c>
      <c r="C2680" s="13" t="n"/>
      <c r="D2680" s="3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1">
      <c r="A2681" s="65" t="inlineStr">
        <is>
          <t>17/03/2014</t>
        </is>
      </c>
      <c r="B2681" s="8" t="n">
        <v>110.9401325802</v>
      </c>
      <c r="C2681" s="13" t="n"/>
      <c r="D2681" s="3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2">
      <c r="A2682" s="65" t="inlineStr">
        <is>
          <t>18/03/2014</t>
        </is>
      </c>
      <c r="B2682" s="8" t="n">
        <v>111.4340588383</v>
      </c>
      <c r="C2682" s="13" t="n"/>
      <c r="D2682" s="3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3">
      <c r="A2683" s="65" t="inlineStr">
        <is>
          <t>19/03/2014</t>
        </is>
      </c>
      <c r="B2683" s="8" t="n">
        <v>111.5414341118</v>
      </c>
      <c r="C2683" s="13" t="n"/>
      <c r="D2683" s="3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4">
      <c r="A2684" s="65" t="inlineStr">
        <is>
          <t>20/03/2014</t>
        </is>
      </c>
      <c r="B2684" s="8" t="n">
        <v>111.5843842212</v>
      </c>
      <c r="C2684" s="13" t="n"/>
      <c r="D2684" s="3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5">
      <c r="A2685" s="65" t="inlineStr">
        <is>
          <t>21/03/2014</t>
        </is>
      </c>
      <c r="B2685" s="8" t="n">
        <v>111.4984840024</v>
      </c>
      <c r="C2685" s="13" t="n"/>
      <c r="D2685" s="3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6">
      <c r="A2686" s="65" t="inlineStr">
        <is>
          <t>24/03/2014</t>
        </is>
      </c>
      <c r="B2686" s="8" t="n">
        <v>111.7561846588</v>
      </c>
      <c r="C2686" s="13" t="n"/>
      <c r="D2686" s="3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7">
      <c r="A2687" s="65" t="inlineStr">
        <is>
          <t>25/03/2014</t>
        </is>
      </c>
      <c r="B2687" s="8" t="n">
        <v>111.7347096041</v>
      </c>
      <c r="C2687" s="13" t="n"/>
      <c r="D2687" s="3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8">
      <c r="A2688" s="65" t="inlineStr">
        <is>
          <t>26/03/2014</t>
        </is>
      </c>
      <c r="B2688" s="8" t="n">
        <v>110.6824319238</v>
      </c>
      <c r="C2688" s="13" t="n"/>
      <c r="D2688" s="3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9">
      <c r="A2689" s="65" t="inlineStr">
        <is>
          <t>27/03/2014</t>
        </is>
      </c>
      <c r="B2689" s="8" t="n">
        <v>111.240783346</v>
      </c>
      <c r="C2689" s="13" t="n"/>
      <c r="D2689" s="3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0">
      <c r="A2690" s="65" t="inlineStr">
        <is>
          <t>28/03/2014</t>
        </is>
      </c>
      <c r="B2690" s="8" t="n">
        <v>111.5629091665</v>
      </c>
      <c r="C2690" s="13" t="n"/>
      <c r="D2690" s="3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1">
      <c r="A2691" s="65" t="inlineStr">
        <is>
          <t>31/03/2014</t>
        </is>
      </c>
      <c r="B2691" s="8" t="n">
        <v>111.3696336742</v>
      </c>
      <c r="C2691" s="13" t="n"/>
      <c r="D2691" s="3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2">
      <c r="A2692" s="65" t="inlineStr">
        <is>
          <t>01/04/2014</t>
        </is>
      </c>
      <c r="B2692" s="8" t="n">
        <v>110.2945853432</v>
      </c>
      <c r="C2692" s="13" t="n"/>
      <c r="D2692" s="3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3">
      <c r="A2693" s="65" t="inlineStr">
        <is>
          <t>02/04/2014</t>
        </is>
      </c>
      <c r="B2693" s="8" t="n">
        <v>110.3158941889</v>
      </c>
      <c r="C2693" s="13" t="n"/>
      <c r="D2693" s="3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4">
      <c r="A2694" s="65" t="inlineStr">
        <is>
          <t>03/04/2014</t>
        </is>
      </c>
      <c r="B2694" s="8" t="n">
        <v>110.9764684056</v>
      </c>
      <c r="C2694" s="13" t="n"/>
      <c r="D2694" s="3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5">
      <c r="A2695" s="65" t="inlineStr">
        <is>
          <t>04/04/2014</t>
        </is>
      </c>
      <c r="B2695" s="8" t="n">
        <v>110.9125418685</v>
      </c>
      <c r="C2695" s="13" t="n"/>
      <c r="D2695" s="3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6">
      <c r="A2696" s="65" t="inlineStr">
        <is>
          <t>07/04/2014</t>
        </is>
      </c>
      <c r="B2696" s="8" t="n">
        <v>110.592909183</v>
      </c>
      <c r="C2696" s="13" t="n"/>
      <c r="D2696" s="3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7">
      <c r="A2697" s="65" t="inlineStr">
        <is>
          <t>08/04/2014</t>
        </is>
      </c>
      <c r="B2697" s="8" t="n">
        <v>110.1028057319</v>
      </c>
      <c r="C2697" s="13" t="n"/>
      <c r="D2697" s="3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8">
      <c r="A2698" s="65" t="inlineStr">
        <is>
          <t>09/04/2014</t>
        </is>
      </c>
      <c r="B2698" s="8" t="n">
        <v>110.0388791948</v>
      </c>
      <c r="C2698" s="13" t="n"/>
      <c r="D2698" s="3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9">
      <c r="A2699" s="65" t="inlineStr">
        <is>
          <t>10/04/2014</t>
        </is>
      </c>
      <c r="B2699" s="8" t="n">
        <v>109.5487757437</v>
      </c>
      <c r="C2699" s="13" t="n"/>
      <c r="D2699" s="3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0">
      <c r="A2700" s="65" t="inlineStr">
        <is>
          <t>11/04/2014</t>
        </is>
      </c>
      <c r="B2700" s="8" t="n">
        <v>109.2717607496</v>
      </c>
      <c r="C2700" s="13" t="n"/>
      <c r="D2700" s="3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1">
      <c r="A2701" s="65" t="inlineStr">
        <is>
          <t>14/04/2014</t>
        </is>
      </c>
      <c r="B2701" s="8" t="n">
        <v>109.7192465093</v>
      </c>
      <c r="C2701" s="13" t="n"/>
      <c r="D2701" s="3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2">
      <c r="A2702" s="65" t="inlineStr">
        <is>
          <t>15/04/2014</t>
        </is>
      </c>
      <c r="B2702" s="8" t="n">
        <v>109.3356872867</v>
      </c>
      <c r="C2702" s="13" t="n"/>
      <c r="D2702" s="3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3">
      <c r="A2703" s="65" t="inlineStr">
        <is>
          <t>16/04/2014</t>
        </is>
      </c>
      <c r="B2703" s="8" t="n">
        <v>110.1880411147</v>
      </c>
      <c r="C2703" s="13" t="n"/>
      <c r="D2703" s="3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4">
      <c r="A2704" s="65" t="inlineStr">
        <is>
          <t>17/04/2014</t>
        </is>
      </c>
      <c r="B2704" s="8" t="n">
        <v>110.3158941889</v>
      </c>
      <c r="C2704" s="13" t="n"/>
      <c r="D2704" s="3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5">
      <c r="A2705" s="65" t="inlineStr">
        <is>
          <t>22/04/2014</t>
        </is>
      </c>
      <c r="B2705" s="8" t="n">
        <v>109.8470995835</v>
      </c>
      <c r="C2705" s="13" t="n"/>
      <c r="D2705" s="3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6">
      <c r="A2706" s="65" t="inlineStr">
        <is>
          <t>23/04/2014</t>
        </is>
      </c>
      <c r="B2706" s="8" t="n">
        <v>110.3585118803</v>
      </c>
      <c r="C2706" s="13" t="n"/>
      <c r="D2706" s="3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7">
      <c r="A2707" s="65" t="inlineStr">
        <is>
          <t>24/04/2014</t>
        </is>
      </c>
      <c r="B2707" s="8" t="n">
        <v>109.8470995835</v>
      </c>
      <c r="C2707" s="13" t="n"/>
      <c r="D2707" s="3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8">
      <c r="A2708" s="65" t="inlineStr">
        <is>
          <t>25/04/2014</t>
        </is>
      </c>
      <c r="B2708" s="8" t="n">
        <v>110.9125418685</v>
      </c>
      <c r="C2708" s="13" t="n"/>
      <c r="D2708" s="3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9">
      <c r="A2709" s="65" t="inlineStr">
        <is>
          <t>28/04/2014</t>
        </is>
      </c>
      <c r="B2709" s="8" t="n">
        <v>110.5289826459</v>
      </c>
      <c r="C2709" s="13" t="n"/>
      <c r="D2709" s="3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0">
      <c r="A2710" s="65" t="inlineStr">
        <is>
          <t>29/04/2014</t>
        </is>
      </c>
      <c r="B2710" s="8" t="n">
        <v>110.3372030346</v>
      </c>
      <c r="C2710" s="13" t="n"/>
      <c r="D2710" s="3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1">
      <c r="A2711" s="65" t="inlineStr">
        <is>
          <t>30/04/2014</t>
        </is>
      </c>
      <c r="B2711" s="8" t="n">
        <v>109.9962615034</v>
      </c>
      <c r="C2711" s="13" t="n"/>
      <c r="D2711" s="3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2">
      <c r="A2712" s="65" t="inlineStr">
        <is>
          <t>02/05/2014</t>
        </is>
      </c>
      <c r="B2712" s="8" t="n">
        <v>109.9687498128</v>
      </c>
      <c r="C2712" s="13" t="n"/>
      <c r="D2712" s="3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3">
      <c r="A2713" s="65" t="inlineStr">
        <is>
          <t>05/05/2014</t>
        </is>
      </c>
      <c r="B2713" s="8" t="n">
        <v>110.5661741424</v>
      </c>
      <c r="C2713" s="13" t="n"/>
      <c r="D2713" s="3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4">
      <c r="A2714" s="65" t="inlineStr">
        <is>
          <t>06/05/2014</t>
        </is>
      </c>
      <c r="B2714" s="8" t="n">
        <v>110.843549724</v>
      </c>
      <c r="C2714" s="13" t="n"/>
      <c r="D2714" s="3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5">
      <c r="A2715" s="65" t="inlineStr">
        <is>
          <t>07/05/2014</t>
        </is>
      </c>
      <c r="B2715" s="8" t="n">
        <v>110.7795399744</v>
      </c>
      <c r="C2715" s="13" t="n"/>
      <c r="D2715" s="3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6">
      <c r="A2716" s="65" t="inlineStr">
        <is>
          <t>08/05/2014</t>
        </is>
      </c>
      <c r="B2716" s="8" t="n">
        <v>110.4381546432</v>
      </c>
      <c r="C2716" s="13" t="n"/>
      <c r="D2716" s="3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7">
      <c r="A2717" s="65" t="inlineStr">
        <is>
          <t>09/05/2014</t>
        </is>
      </c>
      <c r="B2717" s="8" t="n">
        <v>110.41681806</v>
      </c>
      <c r="C2717" s="13" t="n"/>
      <c r="D2717" s="3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8">
      <c r="A2718" s="65" t="inlineStr">
        <is>
          <t>12/05/2014</t>
        </is>
      </c>
      <c r="B2718" s="8" t="n">
        <v>110.3741448936</v>
      </c>
      <c r="C2718" s="13" t="n"/>
      <c r="D2718" s="3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9">
      <c r="A2719" s="65" t="inlineStr">
        <is>
          <t>13/05/2014</t>
        </is>
      </c>
      <c r="B2719" s="8" t="n">
        <v>109.8407303136</v>
      </c>
      <c r="C2719" s="13" t="n"/>
      <c r="D2719" s="3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0">
      <c r="A2720" s="65" t="inlineStr">
        <is>
          <t>14/05/2014</t>
        </is>
      </c>
      <c r="B2720" s="8" t="n">
        <v>109.4139986496</v>
      </c>
      <c r="C2720" s="13" t="n"/>
      <c r="D2720" s="3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1">
      <c r="A2721" s="65" t="inlineStr">
        <is>
          <t>15/05/2014</t>
        </is>
      </c>
      <c r="B2721" s="8" t="n">
        <v>110.0114229792</v>
      </c>
      <c r="C2721" s="13" t="n"/>
      <c r="D2721" s="3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2">
      <c r="A2722" s="65" t="inlineStr">
        <is>
          <t>16/05/2014</t>
        </is>
      </c>
      <c r="B2722" s="8" t="n">
        <v>110.096769312</v>
      </c>
      <c r="C2722" s="13" t="n"/>
      <c r="D2722" s="3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3">
      <c r="A2723" s="65" t="inlineStr">
        <is>
          <t>19/05/2014</t>
        </is>
      </c>
      <c r="B2723" s="8" t="n">
        <v>109.136623068</v>
      </c>
      <c r="C2723" s="13" t="n"/>
      <c r="D2723" s="3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4">
      <c r="A2724" s="65" t="inlineStr">
        <is>
          <t>20/05/2014</t>
        </is>
      </c>
      <c r="B2724" s="8" t="n">
        <v>109.6060278984</v>
      </c>
      <c r="C2724" s="13" t="n"/>
      <c r="D2724" s="3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5">
      <c r="A2725" s="65" t="inlineStr">
        <is>
          <t>21/05/2014</t>
        </is>
      </c>
      <c r="B2725" s="8" t="n">
        <v>109.3073157336</v>
      </c>
      <c r="C2725" s="13" t="n"/>
      <c r="D2725" s="3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6">
      <c r="A2726" s="65" t="inlineStr">
        <is>
          <t>22/05/2014</t>
        </is>
      </c>
      <c r="B2726" s="8" t="n">
        <v>109.6060278984</v>
      </c>
      <c r="C2726" s="13" t="n"/>
      <c r="D2726" s="3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7">
      <c r="A2727" s="65" t="inlineStr">
        <is>
          <t>23/05/2014</t>
        </is>
      </c>
      <c r="B2727" s="8" t="n">
        <v>109.7980571472</v>
      </c>
      <c r="C2727" s="13" t="n"/>
      <c r="D2727" s="3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8">
      <c r="A2728" s="65" t="inlineStr">
        <is>
          <t>26/05/2014</t>
        </is>
      </c>
      <c r="B2728" s="8" t="n">
        <v>110.3741448936</v>
      </c>
      <c r="C2728" s="13" t="n"/>
      <c r="D2728" s="3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9">
      <c r="A2729" s="65" t="inlineStr">
        <is>
          <t>27/05/2014</t>
        </is>
      </c>
      <c r="B2729" s="8" t="n">
        <v>109.990086396</v>
      </c>
      <c r="C2729" s="13" t="n"/>
      <c r="D2729" s="3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0">
      <c r="A2730" s="65" t="inlineStr">
        <is>
          <t>28/05/2014</t>
        </is>
      </c>
      <c r="B2730" s="8" t="n">
        <v>109.8620668968</v>
      </c>
      <c r="C2730" s="13" t="n"/>
      <c r="D2730" s="3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1">
      <c r="A2731" s="65" t="inlineStr">
        <is>
          <t>29/05/2014</t>
        </is>
      </c>
      <c r="B2731" s="8" t="n">
        <v>108.1124670744</v>
      </c>
      <c r="C2731" s="13" t="n"/>
      <c r="D2731" s="3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2">
      <c r="A2732" s="65" t="inlineStr">
        <is>
          <t>30/05/2014</t>
        </is>
      </c>
      <c r="B2732" s="8" t="n">
        <v>108.7525645704</v>
      </c>
      <c r="C2732" s="13" t="n"/>
      <c r="D2732" s="3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3">
      <c r="A2733" s="65" t="inlineStr">
        <is>
          <t>02/06/2014</t>
        </is>
      </c>
      <c r="B2733" s="8" t="n">
        <v>110.0147423298</v>
      </c>
      <c r="C2733" s="13" t="n"/>
      <c r="D2733" s="3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4">
      <c r="A2734" s="65" t="inlineStr">
        <is>
          <t>03/06/2014</t>
        </is>
      </c>
      <c r="B2734" s="8" t="n">
        <v>109.1764119369</v>
      </c>
      <c r="C2734" s="13" t="n"/>
      <c r="D2734" s="3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5">
      <c r="A2735" s="65" t="inlineStr">
        <is>
          <t>04/06/2014</t>
        </is>
      </c>
      <c r="B2735" s="8" t="n">
        <v>108.1016293819</v>
      </c>
      <c r="C2735" s="13" t="n"/>
      <c r="D2735" s="3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6">
      <c r="A2736" s="65" t="inlineStr">
        <is>
          <t>05/06/2014</t>
        </is>
      </c>
      <c r="B2736" s="8" t="n">
        <v>107.693212011</v>
      </c>
      <c r="C2736" s="13" t="n"/>
      <c r="D2736" s="3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7">
      <c r="A2737" s="65" t="inlineStr">
        <is>
          <t>06/06/2014</t>
        </is>
      </c>
      <c r="B2737" s="8" t="n">
        <v>107.8436815687</v>
      </c>
      <c r="C2737" s="13" t="n"/>
      <c r="D2737" s="3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8">
      <c r="A2738" s="65" t="inlineStr">
        <is>
          <t>09/06/2014</t>
        </is>
      </c>
      <c r="B2738" s="8" t="n">
        <v>107.263298989</v>
      </c>
      <c r="C2738" s="13" t="n"/>
      <c r="D2738" s="3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9">
      <c r="A2739" s="65" t="inlineStr">
        <is>
          <t>10/06/2014</t>
        </is>
      </c>
      <c r="B2739" s="8" t="n">
        <v>107.1773163846</v>
      </c>
      <c r="C2739" s="13" t="n"/>
      <c r="D2739" s="3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0">
      <c r="A2740" s="65" t="inlineStr">
        <is>
          <t>11/06/2014</t>
        </is>
      </c>
      <c r="B2740" s="8" t="n">
        <v>106.9623598736</v>
      </c>
      <c r="C2740" s="13" t="n"/>
      <c r="D2740" s="3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1">
      <c r="A2741" s="65" t="inlineStr">
        <is>
          <t>13/06/2014</t>
        </is>
      </c>
      <c r="B2741" s="8" t="n">
        <v>106.5754381538</v>
      </c>
      <c r="C2741" s="13" t="n"/>
      <c r="D2741" s="3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2">
      <c r="A2742" s="65" t="inlineStr">
        <is>
          <t>16/06/2014</t>
        </is>
      </c>
      <c r="B2742" s="8" t="n">
        <v>105.6081338543</v>
      </c>
      <c r="C2742" s="13" t="n"/>
      <c r="D2742" s="3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3">
      <c r="A2743" s="65" t="inlineStr">
        <is>
          <t>17/06/2014</t>
        </is>
      </c>
      <c r="B2743" s="8" t="n">
        <v>105.973559923</v>
      </c>
      <c r="C2743" s="13" t="n"/>
      <c r="D2743" s="3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4">
      <c r="A2744" s="65" t="inlineStr">
        <is>
          <t>18/06/2014</t>
        </is>
      </c>
      <c r="B2744" s="8" t="n">
        <v>105.3716816922</v>
      </c>
      <c r="C2744" s="13" t="n"/>
      <c r="D2744" s="3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5">
      <c r="A2745" s="65" t="inlineStr">
        <is>
          <t>20/06/2014</t>
        </is>
      </c>
      <c r="B2745" s="8" t="n">
        <v>105.8445860164</v>
      </c>
      <c r="C2745" s="13" t="n"/>
      <c r="D2745" s="3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6">
      <c r="A2746" s="65" t="inlineStr">
        <is>
          <t>23/06/2014</t>
        </is>
      </c>
      <c r="B2746" s="8" t="n">
        <v>104.898777368</v>
      </c>
      <c r="C2746" s="13" t="n"/>
      <c r="D2746" s="3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7">
      <c r="A2747" s="65" t="inlineStr">
        <is>
          <t>24/06/2014</t>
        </is>
      </c>
      <c r="B2747" s="8" t="n">
        <v>105.113733879</v>
      </c>
      <c r="C2747" s="13" t="n"/>
      <c r="D2747" s="3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8">
      <c r="A2748" s="65" t="inlineStr">
        <is>
          <t>25/06/2014</t>
        </is>
      </c>
      <c r="B2748" s="8" t="n">
        <v>104.1464295795</v>
      </c>
      <c r="C2748" s="13" t="n"/>
      <c r="D2748" s="3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9">
      <c r="A2749" s="65" t="inlineStr">
        <is>
          <t>26/06/2014</t>
        </is>
      </c>
      <c r="B2749" s="8" t="n">
        <v>104.8557860658</v>
      </c>
      <c r="C2749" s="13" t="n"/>
      <c r="D2749" s="3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0">
      <c r="A2750" s="65" t="inlineStr">
        <is>
          <t>27/06/2014</t>
        </is>
      </c>
      <c r="B2750" s="8" t="n">
        <v>105.3501860411</v>
      </c>
      <c r="C2750" s="13" t="n"/>
      <c r="D2750" s="3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1">
      <c r="A2751" s="65" t="inlineStr">
        <is>
          <t>30/06/2014</t>
        </is>
      </c>
      <c r="B2751" s="8" t="n">
        <v>105.1567251812</v>
      </c>
      <c r="C2751" s="13" t="n"/>
      <c r="D2751" s="3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2">
      <c r="A2752" s="65" t="inlineStr">
        <is>
          <t>01/07/2014</t>
        </is>
      </c>
      <c r="B2752" s="8" t="n">
        <v>104.7207389706</v>
      </c>
      <c r="C2752" s="13" t="n"/>
      <c r="D2752" s="3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3">
      <c r="A2753" s="65" t="inlineStr">
        <is>
          <t>02/07/2014</t>
        </is>
      </c>
      <c r="B2753" s="8" t="n">
        <v>104.9370147636</v>
      </c>
      <c r="C2753" s="13" t="n"/>
      <c r="D2753" s="3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4">
      <c r="A2754" s="65" t="inlineStr">
        <is>
          <t>03/07/2014</t>
        </is>
      </c>
      <c r="B2754" s="8" t="n">
        <v>105.1965457152</v>
      </c>
      <c r="C2754" s="13" t="n"/>
      <c r="D2754" s="3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5">
      <c r="A2755" s="65" t="inlineStr">
        <is>
          <t>04/07/2014</t>
        </is>
      </c>
      <c r="B2755" s="8" t="n">
        <v>104.3746977018</v>
      </c>
      <c r="C2755" s="13" t="n"/>
      <c r="D2755" s="3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6">
      <c r="A2756" s="65" t="inlineStr">
        <is>
          <t>07/07/2014</t>
        </is>
      </c>
      <c r="B2756" s="8" t="n">
        <v>103.7907530607</v>
      </c>
      <c r="C2756" s="13" t="n"/>
      <c r="D2756" s="3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7">
      <c r="A2757" s="65" t="inlineStr">
        <is>
          <t>08/07/2014</t>
        </is>
      </c>
      <c r="B2757" s="8" t="n">
        <v>103.2068084196</v>
      </c>
      <c r="C2757" s="13" t="n"/>
      <c r="D2757" s="3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8">
      <c r="A2758" s="65" t="inlineStr">
        <is>
          <t>10/07/2014</t>
        </is>
      </c>
      <c r="B2758" s="8" t="n">
        <v>103.7474979021</v>
      </c>
      <c r="C2758" s="13" t="n"/>
      <c r="D2758" s="3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9">
      <c r="A2759" s="65" t="inlineStr">
        <is>
          <t>11/07/2014</t>
        </is>
      </c>
      <c r="B2759" s="8" t="n">
        <v>103.2284359989</v>
      </c>
      <c r="C2759" s="13" t="n"/>
      <c r="D2759" s="3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0">
      <c r="A2760" s="65" t="inlineStr">
        <is>
          <t>14/07/2014</t>
        </is>
      </c>
      <c r="B2760" s="8" t="n">
        <v>102.1038018753</v>
      </c>
      <c r="C2760" s="13" t="n"/>
      <c r="D2760" s="3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1">
      <c r="A2761" s="65" t="inlineStr">
        <is>
          <t>15/07/2014</t>
        </is>
      </c>
      <c r="B2761" s="8" t="n">
        <v>101.1738159654</v>
      </c>
      <c r="C2761" s="13" t="n"/>
      <c r="D2761" s="3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2">
      <c r="A2762" s="65" t="inlineStr">
        <is>
          <t>16/07/2014</t>
        </is>
      </c>
      <c r="B2762" s="8" t="n">
        <v>100.4384782692</v>
      </c>
      <c r="C2762" s="13" t="n"/>
      <c r="D2762" s="3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3">
      <c r="A2763" s="65" t="inlineStr">
        <is>
          <t>17/07/2014</t>
        </is>
      </c>
      <c r="B2763" s="8" t="n">
        <v>100.8494022759</v>
      </c>
      <c r="C2763" s="13" t="n"/>
      <c r="D2763" s="3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4">
      <c r="A2764" s="65" t="inlineStr">
        <is>
          <t>18/07/2014</t>
        </is>
      </c>
      <c r="B2764" s="8" t="n">
        <v>100.9575401724</v>
      </c>
      <c r="C2764" s="13" t="n"/>
      <c r="D2764" s="3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5">
      <c r="A2765" s="65" t="inlineStr">
        <is>
          <t>21/07/2014</t>
        </is>
      </c>
      <c r="B2765" s="8" t="n">
        <v>100.8710298552</v>
      </c>
      <c r="C2765" s="13" t="n"/>
      <c r="D2765" s="3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6">
      <c r="A2766" s="65" t="inlineStr">
        <is>
          <t>22/07/2014</t>
        </is>
      </c>
      <c r="B2766" s="8" t="n">
        <v>100.2005748969</v>
      </c>
      <c r="C2766" s="13" t="n"/>
      <c r="D2766" s="3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7">
      <c r="A2767" s="65" t="inlineStr">
        <is>
          <t>23/07/2014</t>
        </is>
      </c>
      <c r="B2767" s="8" t="n">
        <v>100.6763816415</v>
      </c>
      <c r="C2767" s="13" t="n"/>
      <c r="D2767" s="3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8">
      <c r="A2768" s="65" t="inlineStr">
        <is>
          <t>24/07/2014</t>
        </is>
      </c>
      <c r="B2768" s="8" t="n">
        <v>100.568243745</v>
      </c>
      <c r="C2768" s="13" t="n"/>
      <c r="D2768" s="3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9">
      <c r="A2769" s="65" t="inlineStr">
        <is>
          <t>25/07/2014</t>
        </is>
      </c>
      <c r="B2769" s="8" t="n">
        <v>99.8977887867</v>
      </c>
      <c r="C2769" s="13" t="n"/>
      <c r="D2769" s="3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0">
      <c r="A2770" s="65" t="inlineStr">
        <is>
          <t>28/07/2014</t>
        </is>
      </c>
      <c r="B2770" s="8" t="n">
        <v>100.1140645797</v>
      </c>
      <c r="C2770" s="13" t="n"/>
      <c r="D2770" s="3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1">
      <c r="A2771" s="65" t="inlineStr">
        <is>
          <t>29/07/2014</t>
        </is>
      </c>
      <c r="B2771" s="8" t="n">
        <v>99.65988541440001</v>
      </c>
      <c r="C2771" s="13" t="n"/>
      <c r="D2771" s="3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2">
      <c r="A2772" s="65" t="inlineStr">
        <is>
          <t>30/07/2014</t>
        </is>
      </c>
      <c r="B2772" s="8" t="n">
        <v>99.31384414560002</v>
      </c>
      <c r="C2772" s="13" t="n"/>
      <c r="D2772" s="3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3">
      <c r="A2773" s="65" t="inlineStr">
        <is>
          <t>31/07/2014</t>
        </is>
      </c>
      <c r="B2773" s="8" t="n">
        <v>99.68151299370001</v>
      </c>
      <c r="C2773" s="13" t="n"/>
      <c r="D2773" s="3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4">
      <c r="A2774" s="65" t="inlineStr">
        <is>
          <t>01/08/2014</t>
        </is>
      </c>
      <c r="B2774" s="8" t="n">
        <v>99.8212646754</v>
      </c>
      <c r="C2774" s="13" t="n"/>
      <c r="D2774" s="3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5">
      <c r="A2775" s="65" t="inlineStr">
        <is>
          <t>04/08/2014</t>
        </is>
      </c>
      <c r="B2775" s="8" t="n">
        <v>99.2791113804</v>
      </c>
      <c r="C2775" s="13" t="n"/>
      <c r="D2775" s="3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6">
      <c r="A2776" s="65" t="inlineStr">
        <is>
          <t>05/08/2014</t>
        </is>
      </c>
      <c r="B2776" s="8" t="n">
        <v>99.32248364399999</v>
      </c>
      <c r="C2776" s="13" t="n"/>
      <c r="D2776" s="3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7">
      <c r="A2777" s="65" t="inlineStr">
        <is>
          <t>06/08/2014</t>
        </is>
      </c>
      <c r="B2777" s="8" t="n">
        <v>99.7128340164</v>
      </c>
      <c r="C2777" s="13" t="n"/>
      <c r="D2777" s="3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8">
      <c r="A2778" s="65" t="inlineStr">
        <is>
          <t>07/08/2014</t>
        </is>
      </c>
      <c r="B2778" s="8" t="n">
        <v>98.780330349</v>
      </c>
      <c r="C2778" s="13" t="n"/>
      <c r="D2778" s="3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9">
      <c r="A2779" s="65" t="inlineStr">
        <is>
          <t>08/08/2014</t>
        </is>
      </c>
      <c r="B2779" s="8" t="n">
        <v>98.45503837199999</v>
      </c>
      <c r="C2779" s="13" t="n"/>
      <c r="D2779" s="3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0">
      <c r="A2780" s="65" t="inlineStr">
        <is>
          <t>11/08/2014</t>
        </is>
      </c>
      <c r="B2780" s="8" t="n">
        <v>98.71527195360001</v>
      </c>
      <c r="C2780" s="13" t="n"/>
      <c r="D2780" s="3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1">
      <c r="A2781" s="65" t="inlineStr">
        <is>
          <t>12/08/2014</t>
        </is>
      </c>
      <c r="B2781" s="8" t="n">
        <v>99.0622500624</v>
      </c>
      <c r="C2781" s="13" t="n"/>
      <c r="D2781" s="3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2">
      <c r="A2782" s="65" t="inlineStr">
        <is>
          <t>13/08/2014</t>
        </is>
      </c>
      <c r="B2782" s="8" t="n">
        <v>98.43335224019999</v>
      </c>
      <c r="C2782" s="13" t="n"/>
      <c r="D2782" s="3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3">
      <c r="A2783" s="65" t="inlineStr">
        <is>
          <t>14/08/2014</t>
        </is>
      </c>
      <c r="B2783" s="8" t="n">
        <v>98.58515516279999</v>
      </c>
      <c r="C2783" s="13" t="n"/>
      <c r="D2783" s="3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4">
      <c r="A2784" s="65" t="inlineStr">
        <is>
          <t>15/08/2014</t>
        </is>
      </c>
      <c r="B2784" s="8" t="n">
        <v>98.9538194034</v>
      </c>
      <c r="C2784" s="13" t="n"/>
      <c r="D2784" s="3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5">
      <c r="A2785" s="65" t="inlineStr">
        <is>
          <t>18/08/2014</t>
        </is>
      </c>
      <c r="B2785" s="8" t="n">
        <v>98.69358582179999</v>
      </c>
      <c r="C2785" s="13" t="n"/>
      <c r="D2785" s="3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6">
      <c r="A2786" s="65" t="inlineStr">
        <is>
          <t>19/08/2014</t>
        </is>
      </c>
      <c r="B2786" s="8" t="n">
        <v>98.23817705399999</v>
      </c>
      <c r="C2786" s="13" t="n"/>
      <c r="D2786" s="3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7">
      <c r="A2787" s="65" t="inlineStr">
        <is>
          <t>20/08/2014</t>
        </is>
      </c>
      <c r="B2787" s="8" t="n">
        <v>98.69358582179999</v>
      </c>
      <c r="C2787" s="13" t="n"/>
      <c r="D2787" s="3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8">
      <c r="A2788" s="65" t="inlineStr">
        <is>
          <t>21/08/2014</t>
        </is>
      </c>
      <c r="B2788" s="8" t="n">
        <v>98.8237026126</v>
      </c>
      <c r="C2788" s="13" t="n"/>
      <c r="D2788" s="3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9">
      <c r="A2789" s="65" t="inlineStr">
        <is>
          <t>22/08/2014</t>
        </is>
      </c>
      <c r="B2789" s="8" t="n">
        <v>98.38997997659999</v>
      </c>
      <c r="C2789" s="13" t="n"/>
      <c r="D2789" s="3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0">
      <c r="A2790" s="65" t="inlineStr">
        <is>
          <t>25/08/2014</t>
        </is>
      </c>
      <c r="B2790" s="8" t="n">
        <v>98.7586442172</v>
      </c>
      <c r="C2790" s="13" t="n"/>
      <c r="D2790" s="3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1">
      <c r="A2791" s="65" t="inlineStr">
        <is>
          <t>26/08/2014</t>
        </is>
      </c>
      <c r="B2791" s="8" t="n">
        <v>98.60684129459999</v>
      </c>
      <c r="C2791" s="13" t="n"/>
      <c r="D2791" s="3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2">
      <c r="A2792" s="65" t="inlineStr">
        <is>
          <t>27/08/2014</t>
        </is>
      </c>
      <c r="B2792" s="8" t="n">
        <v>98.4116661084</v>
      </c>
      <c r="C2792" s="13" t="n"/>
      <c r="D2792" s="3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3">
      <c r="A2793" s="65" t="inlineStr">
        <is>
          <t>28/08/2014</t>
        </is>
      </c>
      <c r="B2793" s="8" t="n">
        <v>98.38997997659999</v>
      </c>
      <c r="C2793" s="13" t="n"/>
      <c r="D2793" s="3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4">
      <c r="A2794" s="65" t="inlineStr">
        <is>
          <t>29/08/2014</t>
        </is>
      </c>
      <c r="B2794" s="8" t="n">
        <v>97.8261405498</v>
      </c>
      <c r="C2794" s="13" t="n"/>
      <c r="D2794" s="3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5">
      <c r="A2795" s="65" t="inlineStr">
        <is>
          <t>01/09/2014</t>
        </is>
      </c>
      <c r="B2795" s="8" t="n">
        <v>97.609236362</v>
      </c>
      <c r="C2795" s="13" t="n"/>
      <c r="D2795" s="3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6">
      <c r="A2796" s="65" t="inlineStr">
        <is>
          <t>02/09/2014</t>
        </is>
      </c>
      <c r="B2796" s="8" t="n">
        <v>97.91223620880001</v>
      </c>
      <c r="C2796" s="13" t="n"/>
      <c r="D2796" s="3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7">
      <c r="A2797" s="65" t="inlineStr">
        <is>
          <t>03/09/2014</t>
        </is>
      </c>
      <c r="B2797" s="8" t="n">
        <v>98.51823590240001</v>
      </c>
      <c r="C2797" s="13" t="n"/>
      <c r="D2797" s="3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8">
      <c r="A2798" s="65" t="inlineStr">
        <is>
          <t>04/09/2014</t>
        </is>
      </c>
      <c r="B2798" s="8" t="n">
        <v>97.6741649006</v>
      </c>
      <c r="C2798" s="13" t="n"/>
      <c r="D2798" s="3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9">
      <c r="A2799" s="65" t="inlineStr">
        <is>
          <t>05/09/2014</t>
        </is>
      </c>
      <c r="B2799" s="8" t="n">
        <v>97.501022131</v>
      </c>
      <c r="C2799" s="13" t="n"/>
      <c r="D2799" s="3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0">
      <c r="A2800" s="65" t="inlineStr">
        <is>
          <t>08/09/2014</t>
        </is>
      </c>
      <c r="B2800" s="8" t="n">
        <v>97.39280790000001</v>
      </c>
      <c r="C2800" s="13" t="n"/>
      <c r="D2800" s="3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1">
      <c r="A2801" s="65" t="inlineStr">
        <is>
          <t>09/09/2014</t>
        </is>
      </c>
      <c r="B2801" s="8" t="n">
        <v>96.7218796678</v>
      </c>
      <c r="C2801" s="13" t="n"/>
      <c r="D2801" s="3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2">
      <c r="A2802" s="65" t="inlineStr">
        <is>
          <t>10/09/2014</t>
        </is>
      </c>
      <c r="B2802" s="8" t="n">
        <v>96.7651653602</v>
      </c>
      <c r="C2802" s="13" t="n"/>
      <c r="D2802" s="3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3">
      <c r="A2803" s="65" t="inlineStr">
        <is>
          <t>11/09/2014</t>
        </is>
      </c>
      <c r="B2803" s="8" t="n">
        <v>96.98159382220001</v>
      </c>
      <c r="C2803" s="13" t="n"/>
      <c r="D2803" s="3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4">
      <c r="A2804" s="65" t="inlineStr">
        <is>
          <t>12/09/2014</t>
        </is>
      </c>
      <c r="B2804" s="8" t="n">
        <v>96.094237128</v>
      </c>
      <c r="C2804" s="13" t="n"/>
      <c r="D2804" s="3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5">
      <c r="A2805" s="65" t="inlineStr">
        <is>
          <t>15/09/2014</t>
        </is>
      </c>
      <c r="B2805" s="8" t="n">
        <v>96.33230843619999</v>
      </c>
      <c r="C2805" s="13" t="n"/>
      <c r="D2805" s="3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6">
      <c r="A2806" s="65" t="inlineStr">
        <is>
          <t>16/09/2014</t>
        </is>
      </c>
      <c r="B2806" s="8" t="n">
        <v>95.8561658198</v>
      </c>
      <c r="C2806" s="13" t="n"/>
      <c r="D2806" s="3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7">
      <c r="A2807" s="65" t="inlineStr">
        <is>
          <t>17/09/2014</t>
        </is>
      </c>
      <c r="B2807" s="8" t="n">
        <v>96.2457370514</v>
      </c>
      <c r="C2807" s="13" t="n"/>
      <c r="D2807" s="3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8">
      <c r="A2808" s="65" t="inlineStr">
        <is>
          <t>18/09/2014</t>
        </is>
      </c>
      <c r="B2808" s="8" t="n">
        <v>95.74795158880001</v>
      </c>
      <c r="C2808" s="13" t="n"/>
      <c r="D2808" s="3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9">
      <c r="A2809" s="65" t="inlineStr">
        <is>
          <t>19/09/2014</t>
        </is>
      </c>
      <c r="B2809" s="8" t="n">
        <v>96.1591656666</v>
      </c>
      <c r="C2809" s="13" t="n"/>
      <c r="D2809" s="3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0">
      <c r="A2810" s="65" t="inlineStr">
        <is>
          <t>22/09/2014</t>
        </is>
      </c>
      <c r="B2810" s="8" t="n">
        <v>95.74795158880001</v>
      </c>
      <c r="C2810" s="13" t="n"/>
      <c r="D2810" s="3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1">
      <c r="A2811" s="65" t="inlineStr">
        <is>
          <t>23/09/2014</t>
        </is>
      </c>
      <c r="B2811" s="8" t="n">
        <v>95.7263087426</v>
      </c>
      <c r="C2811" s="13" t="n"/>
      <c r="D2811" s="3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2">
      <c r="A2812" s="65" t="inlineStr">
        <is>
          <t>24/09/2014</t>
        </is>
      </c>
      <c r="B2812" s="8" t="n">
        <v>95.46659458820001</v>
      </c>
      <c r="C2812" s="13" t="n"/>
      <c r="D2812" s="3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3">
      <c r="A2813" s="65" t="inlineStr">
        <is>
          <t>25/09/2014</t>
        </is>
      </c>
      <c r="B2813" s="8" t="n">
        <v>96.2457370514</v>
      </c>
      <c r="C2813" s="13" t="n"/>
      <c r="D2813" s="3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4">
      <c r="A2814" s="65" t="inlineStr">
        <is>
          <t>26/09/2014</t>
        </is>
      </c>
      <c r="B2814" s="8" t="n">
        <v>97.0248795146</v>
      </c>
      <c r="C2814" s="13" t="n"/>
      <c r="D2814" s="3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5">
      <c r="A2815" s="65" t="inlineStr">
        <is>
          <t>29/09/2014</t>
        </is>
      </c>
      <c r="B2815" s="8" t="n">
        <v>98.4100216714</v>
      </c>
      <c r="C2815" s="13" t="n"/>
      <c r="D2815" s="3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6">
      <c r="A2816" s="65" t="inlineStr">
        <is>
          <t>30/09/2014</t>
        </is>
      </c>
      <c r="B2816" s="8" t="n">
        <v>98.6264501334</v>
      </c>
      <c r="C2816" s="13" t="n"/>
      <c r="D2816" s="3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7">
      <c r="A2817" s="65" t="inlineStr">
        <is>
          <t>01/10/2014</t>
        </is>
      </c>
      <c r="B2817" s="8" t="n">
        <v>98.11366040840001</v>
      </c>
      <c r="C2817" s="13" t="n"/>
      <c r="D2817" s="3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8">
      <c r="A2818" s="65" t="inlineStr">
        <is>
          <t>02/10/2014</t>
        </is>
      </c>
      <c r="B2818" s="8" t="n">
        <v>99.0848691014</v>
      </c>
      <c r="C2818" s="13" t="n"/>
      <c r="D2818" s="3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9">
      <c r="A2819" s="65" t="inlineStr">
        <is>
          <t>03/10/2014</t>
        </is>
      </c>
      <c r="B2819" s="8" t="n">
        <v>99.43018774780001</v>
      </c>
      <c r="C2819" s="13" t="n"/>
      <c r="D2819" s="3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0">
      <c r="A2820" s="65" t="inlineStr">
        <is>
          <t>06/10/2014</t>
        </is>
      </c>
      <c r="B2820" s="8" t="n">
        <v>100.2071547022</v>
      </c>
      <c r="C2820" s="13" t="n"/>
      <c r="D2820" s="3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1">
      <c r="A2821" s="65" t="inlineStr">
        <is>
          <t>07/10/2014</t>
        </is>
      </c>
      <c r="B2821" s="8" t="n">
        <v>100.4229788562</v>
      </c>
      <c r="C2821" s="13" t="n"/>
      <c r="D2821" s="3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2">
      <c r="A2822" s="65" t="inlineStr">
        <is>
          <t>08/10/2014</t>
        </is>
      </c>
      <c r="B2822" s="8" t="n">
        <v>100.7467150872</v>
      </c>
      <c r="C2822" s="13" t="n"/>
      <c r="D2822" s="3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3">
      <c r="A2823" s="65" t="inlineStr">
        <is>
          <t>09/10/2014</t>
        </is>
      </c>
      <c r="B2823" s="8" t="n">
        <v>100.8762095796</v>
      </c>
      <c r="C2823" s="13" t="n"/>
      <c r="D2823" s="3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4">
      <c r="A2824" s="65" t="inlineStr">
        <is>
          <t>10/10/2014</t>
        </is>
      </c>
      <c r="B2824" s="8" t="n">
        <v>100.9841216566</v>
      </c>
      <c r="C2824" s="13" t="n"/>
      <c r="D2824" s="3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5">
      <c r="A2825" s="65" t="inlineStr">
        <is>
          <t>13/10/2014</t>
        </is>
      </c>
      <c r="B2825" s="8" t="n">
        <v>101.4157699646</v>
      </c>
      <c r="C2825" s="13" t="n"/>
      <c r="D2825" s="3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6">
      <c r="A2826" s="65" t="inlineStr">
        <is>
          <t>14/10/2014</t>
        </is>
      </c>
      <c r="B2826" s="8" t="n">
        <v>101.9121655188</v>
      </c>
      <c r="C2826" s="13" t="n"/>
      <c r="D2826" s="3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7">
      <c r="A2827" s="65" t="inlineStr">
        <is>
          <t>15/10/2014</t>
        </is>
      </c>
      <c r="B2827" s="8" t="n">
        <v>102.300648996</v>
      </c>
      <c r="C2827" s="13" t="n"/>
      <c r="D2827" s="3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8">
      <c r="A2828" s="65" t="inlineStr">
        <is>
          <t>16/10/2014</t>
        </is>
      </c>
      <c r="B2828" s="8" t="n">
        <v>102.9049566272</v>
      </c>
      <c r="C2828" s="13" t="n"/>
      <c r="D2828" s="3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9">
      <c r="A2829" s="65" t="inlineStr">
        <is>
          <t>17/10/2014</t>
        </is>
      </c>
      <c r="B2829" s="8" t="n">
        <v>103.163945612</v>
      </c>
      <c r="C2829" s="13" t="n"/>
      <c r="D2829" s="3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0">
      <c r="A2830" s="65" t="inlineStr">
        <is>
          <t>20/10/2014</t>
        </is>
      </c>
      <c r="B2830" s="8" t="n">
        <v>103.6819235816</v>
      </c>
      <c r="C2830" s="13" t="n"/>
      <c r="D2830" s="3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1">
      <c r="A2831" s="65" t="inlineStr">
        <is>
          <t>21/10/2014</t>
        </is>
      </c>
      <c r="B2831" s="8" t="n">
        <v>104.566802613</v>
      </c>
      <c r="C2831" s="13" t="n"/>
      <c r="D2831" s="3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2">
      <c r="A2832" s="65" t="inlineStr">
        <is>
          <t>22/10/2014</t>
        </is>
      </c>
      <c r="B2832" s="8" t="n">
        <v>104.8257915978</v>
      </c>
      <c r="C2832" s="13" t="n"/>
      <c r="D2832" s="3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3">
      <c r="A2833" s="65" t="inlineStr">
        <is>
          <t>23/10/2014</t>
        </is>
      </c>
      <c r="B2833" s="8" t="n">
        <v>105.0847805826</v>
      </c>
      <c r="C2833" s="13" t="n"/>
      <c r="D2833" s="3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4">
      <c r="A2834" s="65" t="inlineStr">
        <is>
          <t>24/10/2014</t>
        </is>
      </c>
      <c r="B2834" s="8" t="n">
        <v>104.9768685056</v>
      </c>
      <c r="C2834" s="13" t="n"/>
      <c r="D2834" s="3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5">
      <c r="A2835" s="65" t="inlineStr">
        <is>
          <t>27/10/2014</t>
        </is>
      </c>
      <c r="B2835" s="8" t="n">
        <v>105.1711102442</v>
      </c>
      <c r="C2835" s="13" t="n"/>
      <c r="D2835" s="3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6">
      <c r="A2836" s="65" t="inlineStr">
        <is>
          <t>28/10/2014</t>
        </is>
      </c>
      <c r="B2836" s="8" t="n">
        <v>106.1207365218</v>
      </c>
      <c r="C2836" s="13" t="n"/>
      <c r="D2836" s="3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7">
      <c r="A2837" s="65" t="inlineStr">
        <is>
          <t>29/10/2014</t>
        </is>
      </c>
      <c r="B2837" s="8" t="n">
        <v>106.1639013526</v>
      </c>
      <c r="C2837" s="13" t="n"/>
      <c r="D2837" s="3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8">
      <c r="A2838" s="65" t="inlineStr">
        <is>
          <t>30/10/2014</t>
        </is>
      </c>
      <c r="B2838" s="8" t="n">
        <v>106.1423189372</v>
      </c>
      <c r="C2838" s="13" t="n"/>
      <c r="D2838" s="3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9">
      <c r="A2839" s="65" t="inlineStr">
        <is>
          <t>31/10/2014</t>
        </is>
      </c>
      <c r="B2839" s="8" t="n">
        <v>105.9480771986</v>
      </c>
      <c r="C2839" s="13" t="n"/>
      <c r="D2839" s="3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0">
      <c r="A2840" s="65" t="inlineStr">
        <is>
          <t>03/11/2014</t>
        </is>
      </c>
      <c r="B2840" s="8" t="n">
        <v>105.7106621384</v>
      </c>
      <c r="C2840" s="13" t="n"/>
      <c r="D2840" s="3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1">
      <c r="A2841" s="65" t="inlineStr">
        <is>
          <t>04/11/2014</t>
        </is>
      </c>
      <c r="B2841" s="8" t="n">
        <v>105.8175269404</v>
      </c>
      <c r="C2841" s="13" t="n"/>
      <c r="D2841" s="3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2">
      <c r="A2842" s="65" t="inlineStr">
        <is>
          <t>05/11/2014</t>
        </is>
      </c>
      <c r="B2842" s="8" t="n">
        <v>105.6679162176</v>
      </c>
      <c r="C2842" s="13" t="n"/>
      <c r="D2842" s="3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3">
      <c r="A2843" s="65" t="inlineStr">
        <is>
          <t>06/11/2014</t>
        </is>
      </c>
      <c r="B2843" s="8" t="n">
        <v>106.8006831188</v>
      </c>
      <c r="C2843" s="13" t="n"/>
      <c r="D2843" s="3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4">
      <c r="A2844" s="65" t="inlineStr">
        <is>
          <t>07/11/2014</t>
        </is>
      </c>
      <c r="B2844" s="8" t="n">
        <v>107.3350071288</v>
      </c>
      <c r="C2844" s="13" t="n"/>
      <c r="D2844" s="3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5">
      <c r="A2845" s="65" t="inlineStr">
        <is>
          <t>10/11/2014</t>
        </is>
      </c>
      <c r="B2845" s="8" t="n">
        <v>108.2326714656</v>
      </c>
      <c r="C2845" s="13" t="n"/>
      <c r="D2845" s="3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6">
      <c r="A2846" s="65" t="inlineStr">
        <is>
          <t>11/11/2014</t>
        </is>
      </c>
      <c r="B2846" s="8" t="n">
        <v>108.574638832</v>
      </c>
      <c r="C2846" s="13" t="n"/>
      <c r="D2846" s="3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7">
      <c r="A2847" s="65" t="inlineStr">
        <is>
          <t>12/11/2014</t>
        </is>
      </c>
      <c r="B2847" s="8" t="n">
        <v>108.7028765944</v>
      </c>
      <c r="C2847" s="13" t="n"/>
      <c r="D2847" s="3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8">
      <c r="A2848" s="65" t="inlineStr">
        <is>
          <t>13/11/2014</t>
        </is>
      </c>
      <c r="B2848" s="8" t="n">
        <v>108.4036551488</v>
      </c>
      <c r="C2848" s="13" t="n"/>
      <c r="D2848" s="3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9">
      <c r="A2849" s="65" t="inlineStr">
        <is>
          <t>14/11/2014</t>
        </is>
      </c>
      <c r="B2849" s="8" t="n">
        <v>108.3822821884</v>
      </c>
      <c r="C2849" s="13" t="n"/>
      <c r="D2849" s="3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0">
      <c r="A2850" s="65" t="inlineStr">
        <is>
          <t>17/11/2014</t>
        </is>
      </c>
      <c r="B2850" s="8" t="n">
        <v>109.429557248</v>
      </c>
      <c r="C2850" s="13" t="n"/>
      <c r="D2850" s="3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1">
      <c r="A2851" s="65" t="inlineStr">
        <is>
          <t>18/11/2014</t>
        </is>
      </c>
      <c r="B2851" s="8" t="n">
        <v>110.3272215848</v>
      </c>
      <c r="C2851" s="13" t="n"/>
      <c r="D2851" s="3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2">
      <c r="A2852" s="65" t="inlineStr">
        <is>
          <t>19/11/2014</t>
        </is>
      </c>
      <c r="B2852" s="8" t="n">
        <v>110.284475664</v>
      </c>
      <c r="C2852" s="13" t="n"/>
      <c r="D2852" s="3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3">
      <c r="A2853" s="65" t="inlineStr">
        <is>
          <t>21/11/2014</t>
        </is>
      </c>
      <c r="B2853" s="8" t="n">
        <v>110.6905619116</v>
      </c>
      <c r="C2853" s="13" t="n"/>
      <c r="D2853" s="3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4">
      <c r="A2854" s="65" t="inlineStr">
        <is>
          <t>24/11/2014</t>
        </is>
      </c>
      <c r="B2854" s="8" t="n">
        <v>110.8401726344</v>
      </c>
      <c r="C2854" s="13" t="n"/>
      <c r="D2854" s="3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5">
      <c r="A2855" s="65" t="inlineStr">
        <is>
          <t>25/11/2014</t>
        </is>
      </c>
      <c r="B2855" s="8" t="n">
        <v>110.9684103968</v>
      </c>
      <c r="C2855" s="13" t="n"/>
      <c r="D2855" s="3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6">
      <c r="A2856" s="65" t="inlineStr">
        <is>
          <t>26/11/2014</t>
        </is>
      </c>
      <c r="B2856" s="8" t="n">
        <v>111.1180211196</v>
      </c>
      <c r="C2856" s="13" t="n"/>
      <c r="D2856" s="3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7">
      <c r="A2857" s="65" t="inlineStr">
        <is>
          <t>27/11/2014</t>
        </is>
      </c>
      <c r="B2857" s="8" t="n">
        <v>111.3958696048</v>
      </c>
      <c r="C2857" s="13" t="n"/>
      <c r="D2857" s="3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8">
      <c r="A2858" s="65" t="inlineStr">
        <is>
          <t>28/11/2014</t>
        </is>
      </c>
      <c r="B2858" s="8" t="n">
        <v>111.13939408</v>
      </c>
      <c r="C2858" s="13" t="n"/>
      <c r="D2858" s="3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9">
      <c r="A2859" s="65" t="inlineStr">
        <is>
          <t>01/12/2014</t>
        </is>
      </c>
      <c r="B2859" s="8" t="n">
        <v>110.8581594255</v>
      </c>
      <c r="C2859" s="13" t="n"/>
      <c r="D2859" s="3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0">
      <c r="A2860" s="65" t="inlineStr">
        <is>
          <t>02/12/2014</t>
        </is>
      </c>
      <c r="B2860" s="8" t="n">
        <v>110.3908516065</v>
      </c>
      <c r="C2860" s="13" t="n"/>
      <c r="D2860" s="3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1">
      <c r="A2861" s="65" t="inlineStr">
        <is>
          <t>03/12/2014</t>
        </is>
      </c>
      <c r="B2861" s="8" t="n">
        <v>110.6457467805</v>
      </c>
      <c r="C2861" s="13" t="n"/>
      <c r="D2861" s="3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2">
      <c r="A2862" s="65" t="inlineStr">
        <is>
          <t>04/12/2014</t>
        </is>
      </c>
      <c r="B2862" s="8" t="n">
        <v>110.964365748</v>
      </c>
      <c r="C2862" s="13" t="n"/>
      <c r="D2862" s="3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3">
      <c r="A2863" s="65" t="inlineStr">
        <is>
          <t>05/12/2014</t>
        </is>
      </c>
      <c r="B2863" s="8" t="n">
        <v>111.1980196575</v>
      </c>
      <c r="C2863" s="13" t="n"/>
      <c r="D2863" s="3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4">
      <c r="A2864" s="65" t="inlineStr">
        <is>
          <t>08/12/2014</t>
        </is>
      </c>
      <c r="B2864" s="8" t="n">
        <v>110.9006419545</v>
      </c>
      <c r="C2864" s="13" t="n"/>
      <c r="D2864" s="3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5">
      <c r="A2865" s="65" t="inlineStr">
        <is>
          <t>09/12/2014</t>
        </is>
      </c>
      <c r="B2865" s="8" t="n">
        <v>110.87940069</v>
      </c>
      <c r="C2865" s="13" t="n"/>
      <c r="D2865" s="3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6">
      <c r="A2866" s="65" t="inlineStr">
        <is>
          <t>10/12/2014</t>
        </is>
      </c>
      <c r="B2866" s="8" t="n">
        <v>111.4104323025</v>
      </c>
      <c r="C2866" s="13" t="n"/>
      <c r="D2866" s="3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7">
      <c r="A2867" s="65" t="inlineStr">
        <is>
          <t>11/12/2014</t>
        </is>
      </c>
      <c r="B2867" s="8" t="n">
        <v>111.1130545995</v>
      </c>
      <c r="C2867" s="13" t="n"/>
      <c r="D2867" s="3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8">
      <c r="A2868" s="65" t="inlineStr">
        <is>
          <t>12/12/2014</t>
        </is>
      </c>
      <c r="B2868" s="8" t="n">
        <v>110.5607817225</v>
      </c>
      <c r="C2868" s="13" t="n"/>
      <c r="D2868" s="3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9">
      <c r="A2869" s="65" t="inlineStr">
        <is>
          <t>15/12/2014</t>
        </is>
      </c>
      <c r="B2869" s="8" t="n">
        <v>110.582022987</v>
      </c>
      <c r="C2869" s="13" t="n"/>
      <c r="D2869" s="3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0">
      <c r="A2870" s="65" t="inlineStr">
        <is>
          <t>16/12/2014</t>
        </is>
      </c>
      <c r="B2870" s="8" t="n">
        <v>110.369610342</v>
      </c>
      <c r="C2870" s="13" t="n"/>
      <c r="D2870" s="3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1">
      <c r="A2871" s="65" t="inlineStr">
        <is>
          <t>17/12/2014</t>
        </is>
      </c>
      <c r="B2871" s="8" t="n">
        <v>110.539540458</v>
      </c>
      <c r="C2871" s="13" t="n"/>
      <c r="D2871" s="3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2">
      <c r="A2872" s="65" t="inlineStr">
        <is>
          <t>18/12/2014</t>
        </is>
      </c>
      <c r="B2872" s="8" t="n">
        <v>110.7731943675</v>
      </c>
      <c r="C2872" s="13" t="n"/>
      <c r="D2872" s="3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3">
      <c r="A2873" s="65" t="inlineStr">
        <is>
          <t>19/12/2014</t>
        </is>
      </c>
      <c r="B2873" s="8" t="n">
        <v>110.6882293095</v>
      </c>
      <c r="C2873" s="13" t="n"/>
      <c r="D2873" s="3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4">
      <c r="A2874" s="65" t="inlineStr">
        <is>
          <t>22/12/2014</t>
        </is>
      </c>
      <c r="B2874" s="8" t="n">
        <v>110.624505516</v>
      </c>
      <c r="C2874" s="13" t="n"/>
      <c r="D2874" s="3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5">
      <c r="A2875" s="65" t="inlineStr">
        <is>
          <t>23/12/2014</t>
        </is>
      </c>
      <c r="B2875" s="8" t="n">
        <v>110.497057929</v>
      </c>
      <c r="C2875" s="13" t="n"/>
      <c r="D2875" s="3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6">
      <c r="A2876" s="65" t="inlineStr">
        <is>
          <t>26/12/2014</t>
        </is>
      </c>
      <c r="B2876" s="8" t="n">
        <v>110.02975011</v>
      </c>
      <c r="C2876" s="13" t="n"/>
      <c r="D2876" s="3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7">
      <c r="A2877" s="65" t="inlineStr">
        <is>
          <t>29/12/2014</t>
        </is>
      </c>
      <c r="B2877" s="8" t="n">
        <v>110.327127813</v>
      </c>
      <c r="C2877" s="13" t="n"/>
      <c r="D2877" s="3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8">
      <c r="A2878" s="65" t="inlineStr">
        <is>
          <t>30/12/2014</t>
        </is>
      </c>
      <c r="B2878" s="8" t="n">
        <v>110.6882293095</v>
      </c>
      <c r="C2878" s="13" t="n"/>
      <c r="D2878" s="3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9">
      <c r="A2879" s="65" t="inlineStr">
        <is>
          <t>02/01/2015</t>
        </is>
      </c>
      <c r="B2879" s="8" t="n">
        <v>109.726857963</v>
      </c>
      <c r="C2879" s="13" t="n"/>
      <c r="D2879" s="3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0">
      <c r="A2880" s="65" t="inlineStr">
        <is>
          <t>05/01/2015</t>
        </is>
      </c>
      <c r="B2880" s="8" t="n">
        <v>109.305236991</v>
      </c>
      <c r="C2880" s="13" t="n"/>
      <c r="D2880" s="3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1">
      <c r="A2881" s="65" t="inlineStr">
        <is>
          <t>06/01/2015</t>
        </is>
      </c>
      <c r="B2881" s="8" t="n">
        <v>108.6306434358</v>
      </c>
      <c r="C2881" s="13" t="n"/>
      <c r="D2881" s="3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2">
      <c r="A2882" s="65" t="inlineStr">
        <is>
          <t>07/01/2015</t>
        </is>
      </c>
      <c r="B2882" s="8" t="n">
        <v>108.1036172208</v>
      </c>
      <c r="C2882" s="13" t="n"/>
      <c r="D2882" s="3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3">
      <c r="A2883" s="65" t="inlineStr">
        <is>
          <t>08/01/2015</t>
        </is>
      </c>
      <c r="B2883" s="8" t="n">
        <v>107.618753103</v>
      </c>
      <c r="C2883" s="13" t="n"/>
      <c r="D2883" s="3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4">
      <c r="A2884" s="65" t="inlineStr">
        <is>
          <t>09/01/2015</t>
        </is>
      </c>
      <c r="B2884" s="8" t="n">
        <v>107.7452393946</v>
      </c>
      <c r="C2884" s="13" t="n"/>
      <c r="D2884" s="3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5">
      <c r="A2885" s="65" t="inlineStr">
        <is>
          <t>12/01/2015</t>
        </is>
      </c>
      <c r="B2885" s="8" t="n">
        <v>107.5555099572</v>
      </c>
      <c r="C2885" s="13" t="n"/>
      <c r="D2885" s="3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6">
      <c r="A2886" s="65" t="inlineStr">
        <is>
          <t>13/01/2015</t>
        </is>
      </c>
      <c r="B2886" s="8" t="n">
        <v>106.9441595478</v>
      </c>
      <c r="C2886" s="13" t="n"/>
      <c r="D2886" s="3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7">
      <c r="A2887" s="65" t="inlineStr">
        <is>
          <t>14/01/2015</t>
        </is>
      </c>
      <c r="B2887" s="8" t="n">
        <v>107.5765910058</v>
      </c>
      <c r="C2887" s="13" t="n"/>
      <c r="D2887" s="3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8">
      <c r="A2888" s="65" t="inlineStr">
        <is>
          <t>15/01/2015</t>
        </is>
      </c>
      <c r="B2888" s="8" t="n">
        <v>106.5857817216</v>
      </c>
      <c r="C2888" s="13" t="n"/>
      <c r="D2888" s="3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9">
      <c r="A2889" s="65" t="inlineStr">
        <is>
          <t>16/01/2015</t>
        </is>
      </c>
      <c r="B2889" s="8" t="n">
        <v>107.0074026936</v>
      </c>
      <c r="C2889" s="13" t="n"/>
      <c r="D2889" s="3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0">
      <c r="A2890" s="65" t="inlineStr">
        <is>
          <t>19/01/2015</t>
        </is>
      </c>
      <c r="B2890" s="8" t="n">
        <v>106.4382143814</v>
      </c>
      <c r="C2890" s="13" t="n"/>
      <c r="D2890" s="3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1">
      <c r="A2891" s="65" t="inlineStr">
        <is>
          <t>20/01/2015</t>
        </is>
      </c>
      <c r="B2891" s="8" t="n">
        <v>106.5857817216</v>
      </c>
      <c r="C2891" s="13" t="n"/>
      <c r="D2891" s="3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2">
      <c r="A2892" s="65" t="inlineStr">
        <is>
          <t>21/01/2015</t>
        </is>
      </c>
      <c r="B2892" s="8" t="n">
        <v>107.3236184226</v>
      </c>
      <c r="C2892" s="13" t="n"/>
      <c r="D2892" s="3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3">
      <c r="A2893" s="65" t="inlineStr">
        <is>
          <t>22/01/2015</t>
        </is>
      </c>
      <c r="B2893" s="8" t="n">
        <v>107.829563589</v>
      </c>
      <c r="C2893" s="13" t="n"/>
      <c r="D2893" s="3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4">
      <c r="A2894" s="65" t="inlineStr">
        <is>
          <t>23/01/2015</t>
        </is>
      </c>
      <c r="B2894" s="8" t="n">
        <v>107.6819962488</v>
      </c>
      <c r="C2894" s="13" t="n"/>
      <c r="D2894" s="3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5">
      <c r="A2895" s="65" t="inlineStr">
        <is>
          <t>26/01/2015</t>
        </is>
      </c>
      <c r="B2895" s="8" t="n">
        <v>107.8717256862</v>
      </c>
      <c r="C2895" s="13" t="n"/>
      <c r="D2895" s="3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6">
      <c r="A2896" s="65" t="inlineStr">
        <is>
          <t>27/01/2015</t>
        </is>
      </c>
      <c r="B2896" s="8" t="n">
        <v>107.3236184226</v>
      </c>
      <c r="C2896" s="13" t="n"/>
      <c r="D2896" s="3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7">
      <c r="A2897" s="65" t="inlineStr">
        <is>
          <t>28/01/2015</t>
        </is>
      </c>
      <c r="B2897" s="8" t="n">
        <v>107.2392942282</v>
      </c>
      <c r="C2897" s="13" t="n"/>
      <c r="D2897" s="3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8">
      <c r="A2898" s="65" t="inlineStr">
        <is>
          <t>29/01/2015</t>
        </is>
      </c>
      <c r="B2898" s="8" t="n">
        <v>107.2603752768</v>
      </c>
      <c r="C2898" s="13" t="n"/>
      <c r="D2898" s="3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9">
      <c r="A2899" s="65" t="inlineStr">
        <is>
          <t>30/01/2015</t>
        </is>
      </c>
      <c r="B2899" s="8" t="n">
        <v>107.51334786</v>
      </c>
      <c r="C2899" s="13" t="n"/>
      <c r="D2899" s="3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0">
      <c r="A2900" s="65" t="inlineStr">
        <is>
          <t>02/02/2015</t>
        </is>
      </c>
      <c r="B2900" s="8" t="n">
        <v>106.298774848</v>
      </c>
      <c r="C2900" s="13" t="n"/>
      <c r="D2900" s="3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1">
      <c r="A2901" s="65" t="inlineStr">
        <is>
          <t>03/02/2015</t>
        </is>
      </c>
      <c r="B2901" s="8" t="n">
        <v>106.509017678</v>
      </c>
      <c r="C2901" s="13" t="n"/>
      <c r="D2901" s="3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2">
      <c r="A2902" s="65" t="inlineStr">
        <is>
          <t>04/02/2015</t>
        </is>
      </c>
      <c r="B2902" s="8" t="n">
        <v>106.004434886</v>
      </c>
      <c r="C2902" s="13" t="n"/>
      <c r="D2902" s="3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3">
      <c r="A2903" s="65" t="inlineStr">
        <is>
          <t>05/02/2015</t>
        </is>
      </c>
      <c r="B2903" s="8" t="n">
        <v>105.415754962</v>
      </c>
      <c r="C2903" s="13" t="n"/>
      <c r="D2903" s="3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4">
      <c r="A2904" s="65" t="inlineStr">
        <is>
          <t>06/02/2015</t>
        </is>
      </c>
      <c r="B2904" s="8" t="n">
        <v>105.100390717</v>
      </c>
      <c r="C2904" s="13" t="n"/>
      <c r="D2904" s="3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5">
      <c r="A2905" s="65" t="inlineStr">
        <is>
          <t>09/02/2015</t>
        </is>
      </c>
      <c r="B2905" s="8" t="n">
        <v>105.142439283</v>
      </c>
      <c r="C2905" s="13" t="n"/>
      <c r="D2905" s="3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6">
      <c r="A2906" s="65" t="inlineStr">
        <is>
          <t>10/02/2015</t>
        </is>
      </c>
      <c r="B2906" s="8" t="n">
        <v>104.890147887</v>
      </c>
      <c r="C2906" s="13" t="n"/>
      <c r="D2906" s="3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7">
      <c r="A2907" s="65" t="inlineStr">
        <is>
          <t>11/02/2015</t>
        </is>
      </c>
      <c r="B2907" s="8" t="n">
        <v>104.953220736</v>
      </c>
      <c r="C2907" s="13" t="n"/>
      <c r="D2907" s="3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8">
      <c r="A2908" s="65" t="inlineStr">
        <is>
          <t>12/02/2015</t>
        </is>
      </c>
      <c r="B2908" s="8" t="n">
        <v>105.058342151</v>
      </c>
      <c r="C2908" s="13" t="n"/>
      <c r="D2908" s="3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9">
      <c r="A2909" s="65" t="inlineStr">
        <is>
          <t>13/02/2015</t>
        </is>
      </c>
      <c r="B2909" s="8" t="n">
        <v>105.499852094</v>
      </c>
      <c r="C2909" s="13" t="n"/>
      <c r="D2909" s="3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0">
      <c r="A2910" s="65" t="inlineStr">
        <is>
          <t>18/02/2015</t>
        </is>
      </c>
      <c r="B2910" s="8" t="n">
        <v>105.100390717</v>
      </c>
      <c r="C2910" s="13" t="n"/>
      <c r="D2910" s="3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1">
      <c r="A2911" s="65" t="inlineStr">
        <is>
          <t>19/02/2015</t>
        </is>
      </c>
      <c r="B2911" s="8" t="n">
        <v>105.457803528</v>
      </c>
      <c r="C2911" s="13" t="n"/>
      <c r="D2911" s="3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2">
      <c r="A2912" s="65" t="inlineStr">
        <is>
          <t>20/02/2015</t>
        </is>
      </c>
      <c r="B2912" s="8" t="n">
        <v>105.121415</v>
      </c>
      <c r="C2912" s="13" t="n"/>
      <c r="D2912" s="3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3">
      <c r="A2913" s="65" t="inlineStr">
        <is>
          <t>23/02/2015</t>
        </is>
      </c>
      <c r="B2913" s="8" t="n">
        <v>105.668046358</v>
      </c>
      <c r="C2913" s="13" t="n"/>
      <c r="D2913" s="3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4">
      <c r="A2914" s="65" t="inlineStr">
        <is>
          <t>24/02/2015</t>
        </is>
      </c>
      <c r="B2914" s="8" t="n">
        <v>105.058342151</v>
      </c>
      <c r="C2914" s="13" t="n"/>
      <c r="D2914" s="3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5">
      <c r="A2915" s="65" t="inlineStr">
        <is>
          <t>25/02/2015</t>
        </is>
      </c>
      <c r="B2915" s="8" t="n">
        <v>105.163463566</v>
      </c>
      <c r="C2915" s="13" t="n"/>
      <c r="D2915" s="3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6">
      <c r="A2916" s="65" t="inlineStr">
        <is>
          <t>26/02/2015</t>
        </is>
      </c>
      <c r="B2916" s="8" t="n">
        <v>104.995269302</v>
      </c>
      <c r="C2916" s="13" t="n"/>
      <c r="D2916" s="3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7">
      <c r="A2917" s="65" t="inlineStr">
        <is>
          <t>27/02/2015</t>
        </is>
      </c>
      <c r="B2917" s="8" t="n">
        <v>104.953220736</v>
      </c>
      <c r="C2917" s="13" t="n"/>
      <c r="D2917" s="3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8">
      <c r="A2918" s="65" t="inlineStr">
        <is>
          <t>02/03/2015</t>
        </is>
      </c>
      <c r="B2918" s="8" t="n">
        <v>104.934032784</v>
      </c>
      <c r="C2918" s="13" t="n"/>
      <c r="D2918" s="3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9">
      <c r="A2919" s="65" t="inlineStr">
        <is>
          <t>03/03/2015</t>
        </is>
      </c>
      <c r="B2919" s="8" t="n">
        <v>105.2255162084</v>
      </c>
      <c r="C2919" s="13" t="n"/>
      <c r="D2919" s="3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0">
      <c r="A2920" s="65" t="inlineStr">
        <is>
          <t>04/03/2015</t>
        </is>
      </c>
      <c r="B2920" s="8" t="n">
        <v>105.246336453</v>
      </c>
      <c r="C2920" s="13" t="n"/>
      <c r="D2920" s="3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1">
      <c r="A2921" s="65" t="inlineStr">
        <is>
          <t>05/03/2015</t>
        </is>
      </c>
      <c r="B2921" s="8" t="n">
        <v>104.7466505826</v>
      </c>
      <c r="C2921" s="13" t="n"/>
      <c r="D2921" s="3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2">
      <c r="A2922" s="65" t="inlineStr">
        <is>
          <t>06/03/2015</t>
        </is>
      </c>
      <c r="B2922" s="8" t="n">
        <v>105.14223523</v>
      </c>
      <c r="C2922" s="13" t="n"/>
      <c r="D2922" s="3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3">
      <c r="A2923" s="65" t="inlineStr">
        <is>
          <t>09/03/2015</t>
        </is>
      </c>
      <c r="B2923" s="8" t="n">
        <v>105.8293033018</v>
      </c>
      <c r="C2923" s="13" t="n"/>
      <c r="D2923" s="3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4">
      <c r="A2924" s="65" t="inlineStr">
        <is>
          <t>10/03/2015</t>
        </is>
      </c>
      <c r="B2924" s="8" t="n">
        <v>106.1624272154</v>
      </c>
      <c r="C2924" s="13" t="n"/>
      <c r="D2924" s="3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5">
      <c r="A2925" s="65" t="inlineStr">
        <is>
          <t>11/03/2015</t>
        </is>
      </c>
      <c r="B2925" s="8" t="n">
        <v>106.703753575</v>
      </c>
      <c r="C2925" s="13" t="n"/>
      <c r="D2925" s="3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6">
      <c r="A2926" s="65" t="inlineStr">
        <is>
          <t>12/03/2015</t>
        </is>
      </c>
      <c r="B2926" s="8" t="n">
        <v>106.6412928412</v>
      </c>
      <c r="C2926" s="13" t="n"/>
      <c r="D2926" s="3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7">
      <c r="A2927" s="65" t="inlineStr">
        <is>
          <t>13/03/2015</t>
        </is>
      </c>
      <c r="B2927" s="8" t="n">
        <v>106.6621130858</v>
      </c>
      <c r="C2927" s="13" t="n"/>
      <c r="D2927" s="3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8">
      <c r="A2928" s="65" t="inlineStr">
        <is>
          <t>16/03/2015</t>
        </is>
      </c>
      <c r="B2928" s="8" t="n">
        <v>107.0993382224</v>
      </c>
      <c r="C2928" s="13" t="n"/>
      <c r="D2928" s="3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9">
      <c r="A2929" s="65" t="inlineStr">
        <is>
          <t>17/03/2015</t>
        </is>
      </c>
      <c r="B2929" s="8" t="n">
        <v>106.287348683</v>
      </c>
      <c r="C2929" s="13" t="n"/>
      <c r="D2929" s="3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0">
      <c r="A2930" s="65" t="inlineStr">
        <is>
          <t>18/03/2015</t>
        </is>
      </c>
      <c r="B2930" s="8" t="n">
        <v>106.2248879492</v>
      </c>
      <c r="C2930" s="13" t="n"/>
      <c r="D2930" s="3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1">
      <c r="A2931" s="65" t="inlineStr">
        <is>
          <t>19/03/2015</t>
        </is>
      </c>
      <c r="B2931" s="8" t="n">
        <v>106.5371916182</v>
      </c>
      <c r="C2931" s="13" t="n"/>
      <c r="D2931" s="3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2">
      <c r="A2932" s="65" t="inlineStr">
        <is>
          <t>20/03/2015</t>
        </is>
      </c>
      <c r="B2932" s="8" t="n">
        <v>106.7662143088</v>
      </c>
      <c r="C2932" s="13" t="n"/>
      <c r="D2932" s="3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3">
      <c r="A2933" s="65" t="inlineStr">
        <is>
          <t>23/03/2015</t>
        </is>
      </c>
      <c r="B2933" s="8" t="n">
        <v>106.3081689276</v>
      </c>
      <c r="C2933" s="13" t="n"/>
      <c r="D2933" s="3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4">
      <c r="A2934" s="65" t="inlineStr">
        <is>
          <t>24/03/2015</t>
        </is>
      </c>
      <c r="B2934" s="8" t="n">
        <v>105.9958652586</v>
      </c>
      <c r="C2934" s="13" t="n"/>
      <c r="D2934" s="3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5">
      <c r="A2935" s="65" t="inlineStr">
        <is>
          <t>25/03/2015</t>
        </is>
      </c>
      <c r="B2935" s="8" t="n">
        <v>106.1207867262</v>
      </c>
      <c r="C2935" s="13" t="n"/>
      <c r="D2935" s="3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6">
      <c r="A2936" s="65" t="inlineStr">
        <is>
          <t>26/03/2015</t>
        </is>
      </c>
      <c r="B2936" s="8" t="n">
        <v>106.0583259924</v>
      </c>
      <c r="C2936" s="13" t="n"/>
      <c r="D2936" s="3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7">
      <c r="A2937" s="65" t="inlineStr">
        <is>
          <t>27/03/2015</t>
        </is>
      </c>
      <c r="B2937" s="8" t="n">
        <v>106.5371916182</v>
      </c>
      <c r="C2937" s="13" t="n"/>
      <c r="D2937" s="3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8">
      <c r="A2938" s="65" t="inlineStr">
        <is>
          <t>30/03/2015</t>
        </is>
      </c>
      <c r="B2938" s="8" t="n">
        <v>106.5788321074</v>
      </c>
      <c r="C2938" s="13" t="n"/>
      <c r="D2938" s="3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9">
      <c r="A2939" s="65" t="inlineStr">
        <is>
          <t>31/03/2015</t>
        </is>
      </c>
      <c r="B2939" s="8" t="n">
        <v>106.8494952872</v>
      </c>
      <c r="C2939" s="13" t="n"/>
      <c r="D2939" s="3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0">
      <c r="A2940" s="65" t="inlineStr">
        <is>
          <t>01/04/2015</t>
        </is>
      </c>
      <c r="B2940" s="8" t="n">
        <v>106.1694594191</v>
      </c>
      <c r="C2940" s="13" t="n"/>
      <c r="D2940" s="3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1">
      <c r="A2941" s="65" t="inlineStr">
        <is>
          <t>02/04/2015</t>
        </is>
      </c>
      <c r="B2941" s="8" t="n">
        <v>106.395833533</v>
      </c>
      <c r="C2941" s="13" t="n"/>
      <c r="D2941" s="3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2">
      <c r="A2942" s="65" t="inlineStr">
        <is>
          <t>06/04/2015</t>
        </is>
      </c>
      <c r="B2942" s="8" t="n">
        <v>106.601628182</v>
      </c>
      <c r="C2942" s="13" t="n"/>
      <c r="D2942" s="3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3">
      <c r="A2943" s="65" t="inlineStr">
        <is>
          <t>07/04/2015</t>
        </is>
      </c>
      <c r="B2943" s="8" t="n">
        <v>107.0543764098</v>
      </c>
      <c r="C2943" s="13" t="n"/>
      <c r="D2943" s="3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4">
      <c r="A2944" s="65" t="inlineStr">
        <is>
          <t>08/04/2015</t>
        </is>
      </c>
      <c r="B2944" s="8" t="n">
        <v>106.1077210244</v>
      </c>
      <c r="C2944" s="13" t="n"/>
      <c r="D2944" s="3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5">
      <c r="A2945" s="65" t="inlineStr">
        <is>
          <t>09/04/2015</t>
        </is>
      </c>
      <c r="B2945" s="8" t="n">
        <v>105.984244235</v>
      </c>
      <c r="C2945" s="13" t="n"/>
      <c r="D2945" s="3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6">
      <c r="A2946" s="65" t="inlineStr">
        <is>
          <t>10/04/2015</t>
        </is>
      </c>
      <c r="B2946" s="8" t="n">
        <v>106.1283004893</v>
      </c>
      <c r="C2946" s="13" t="n"/>
      <c r="D2946" s="3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7">
      <c r="A2947" s="65" t="inlineStr">
        <is>
          <t>13/04/2015</t>
        </is>
      </c>
      <c r="B2947" s="8" t="n">
        <v>105.778449586</v>
      </c>
      <c r="C2947" s="13" t="n"/>
      <c r="D2947" s="3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8">
      <c r="A2948" s="65" t="inlineStr">
        <is>
          <t>14/04/2015</t>
        </is>
      </c>
      <c r="B2948" s="8" t="n">
        <v>105.8607674456</v>
      </c>
      <c r="C2948" s="13" t="n"/>
      <c r="D2948" s="3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9">
      <c r="A2949" s="65" t="inlineStr">
        <is>
          <t>15/04/2015</t>
        </is>
      </c>
      <c r="B2949" s="8" t="n">
        <v>106.1283004893</v>
      </c>
      <c r="C2949" s="13" t="n"/>
      <c r="D2949" s="3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0">
      <c r="A2950" s="65" t="inlineStr">
        <is>
          <t>16/04/2015</t>
        </is>
      </c>
      <c r="B2950" s="8" t="n">
        <v>105.7990290509</v>
      </c>
      <c r="C2950" s="13" t="n"/>
      <c r="D2950" s="3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1">
      <c r="A2951" s="65" t="inlineStr">
        <is>
          <t>17/04/2015</t>
        </is>
      </c>
      <c r="B2951" s="8" t="n">
        <v>105.3462808231</v>
      </c>
      <c r="C2951" s="13" t="n"/>
      <c r="D2951" s="3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2">
      <c r="A2952" s="65" t="inlineStr">
        <is>
          <t>20/04/2015</t>
        </is>
      </c>
      <c r="B2952" s="8" t="n">
        <v>106.0254031648</v>
      </c>
      <c r="C2952" s="13" t="n"/>
      <c r="D2952" s="3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3">
      <c r="A2953" s="65" t="inlineStr">
        <is>
          <t>22/04/2015</t>
        </is>
      </c>
      <c r="B2953" s="8" t="n">
        <v>106.0871415595</v>
      </c>
      <c r="C2953" s="13" t="n"/>
      <c r="D2953" s="3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4">
      <c r="A2954" s="65" t="inlineStr">
        <is>
          <t>23/04/2015</t>
        </is>
      </c>
      <c r="B2954" s="8" t="n">
        <v>106.3135156734</v>
      </c>
      <c r="C2954" s="13" t="n"/>
      <c r="D2954" s="3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5">
      <c r="A2955" s="65" t="inlineStr">
        <is>
          <t>24/04/2015</t>
        </is>
      </c>
      <c r="B2955" s="8" t="n">
        <v>106.4575719277</v>
      </c>
      <c r="C2955" s="13" t="n"/>
      <c r="D2955" s="3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6">
      <c r="A2956" s="65" t="inlineStr">
        <is>
          <t>27/04/2015</t>
        </is>
      </c>
      <c r="B2956" s="8" t="n">
        <v>106.1077210244</v>
      </c>
      <c r="C2956" s="13" t="n"/>
      <c r="D2956" s="3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7">
      <c r="A2957" s="65" t="inlineStr">
        <is>
          <t>28/04/2015</t>
        </is>
      </c>
      <c r="B2957" s="8" t="n">
        <v>106.4575719277</v>
      </c>
      <c r="C2957" s="13" t="n"/>
      <c r="D2957" s="3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8">
      <c r="A2958" s="65" t="inlineStr">
        <is>
          <t>29/04/2015</t>
        </is>
      </c>
      <c r="B2958" s="8" t="n">
        <v>106.0665620946</v>
      </c>
      <c r="C2958" s="13" t="n"/>
      <c r="D2958" s="3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9">
      <c r="A2959" s="65" t="inlineStr">
        <is>
          <t>30/04/2015</t>
        </is>
      </c>
      <c r="B2959" s="8" t="n">
        <v>105.8607674456</v>
      </c>
      <c r="C2959" s="13" t="n"/>
      <c r="D2959" s="3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0">
      <c r="A2960" s="65" t="inlineStr">
        <is>
          <t>04/05/2015</t>
        </is>
      </c>
      <c r="B2960" s="8" t="n">
        <v>105.6334647744</v>
      </c>
      <c r="C2960" s="13" t="n"/>
      <c r="D2960" s="3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1">
      <c r="A2961" s="65" t="inlineStr">
        <is>
          <t>05/05/2015</t>
        </is>
      </c>
      <c r="B2961" s="8" t="n">
        <v>105.4695013056</v>
      </c>
      <c r="C2961" s="13" t="n"/>
      <c r="D2961" s="3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2">
      <c r="A2962" s="65" t="inlineStr">
        <is>
          <t>06/05/2015</t>
        </is>
      </c>
      <c r="B2962" s="8" t="n">
        <v>105.4899967392</v>
      </c>
      <c r="C2962" s="13" t="n"/>
      <c r="D2962" s="3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3">
      <c r="A2963" s="65" t="inlineStr">
        <is>
          <t>07/05/2015</t>
        </is>
      </c>
      <c r="B2963" s="8" t="n">
        <v>105.0595926336</v>
      </c>
      <c r="C2963" s="13" t="n"/>
      <c r="D2963" s="3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4">
      <c r="A2964" s="65" t="inlineStr">
        <is>
          <t>08/05/2015</t>
        </is>
      </c>
      <c r="B2964" s="8" t="n">
        <v>104.7931519968</v>
      </c>
      <c r="C2964" s="13" t="n"/>
      <c r="D2964" s="3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5">
      <c r="A2965" s="65" t="inlineStr">
        <is>
          <t>11/05/2015</t>
        </is>
      </c>
      <c r="B2965" s="8" t="n">
        <v>105.346528704</v>
      </c>
      <c r="C2965" s="13" t="n"/>
      <c r="D2965" s="3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6">
      <c r="A2966" s="65" t="inlineStr">
        <is>
          <t>12/05/2015</t>
        </is>
      </c>
      <c r="B2966" s="8" t="n">
        <v>105.4695013056</v>
      </c>
      <c r="C2966" s="13" t="n"/>
      <c r="D2966" s="3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7">
      <c r="A2967" s="65" t="inlineStr">
        <is>
          <t>13/05/2015</t>
        </is>
      </c>
      <c r="B2967" s="8" t="n">
        <v>105.2235561024</v>
      </c>
      <c r="C2967" s="13" t="n"/>
      <c r="D2967" s="3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8">
      <c r="A2968" s="65" t="inlineStr">
        <is>
          <t>14/05/2015</t>
        </is>
      </c>
      <c r="B2968" s="8" t="n">
        <v>105.4899967392</v>
      </c>
      <c r="C2968" s="13" t="n"/>
      <c r="D2968" s="3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9">
      <c r="A2969" s="65" t="inlineStr">
        <is>
          <t>15/05/2015</t>
        </is>
      </c>
      <c r="B2969" s="8" t="n">
        <v>105.7154465088</v>
      </c>
      <c r="C2969" s="13" t="n"/>
      <c r="D2969" s="3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0">
      <c r="A2970" s="65" t="inlineStr">
        <is>
          <t>18/05/2015</t>
        </is>
      </c>
      <c r="B2970" s="8" t="n">
        <v>105.3055378368</v>
      </c>
      <c r="C2970" s="13" t="n"/>
      <c r="D2970" s="3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1">
      <c r="A2971" s="65" t="inlineStr">
        <is>
          <t>19/05/2015</t>
        </is>
      </c>
      <c r="B2971" s="8" t="n">
        <v>105.961391712</v>
      </c>
      <c r="C2971" s="13" t="n"/>
      <c r="D2971" s="3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2">
      <c r="A2972" s="65" t="inlineStr">
        <is>
          <t>20/05/2015</t>
        </is>
      </c>
      <c r="B2972" s="8" t="n">
        <v>105.858914544</v>
      </c>
      <c r="C2972" s="13" t="n"/>
      <c r="D2972" s="3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3">
      <c r="A2973" s="65" t="inlineStr">
        <is>
          <t>21/05/2015</t>
        </is>
      </c>
      <c r="B2973" s="8" t="n">
        <v>105.3055378368</v>
      </c>
      <c r="C2973" s="13" t="n"/>
      <c r="D2973" s="3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4">
      <c r="A2974" s="65" t="inlineStr">
        <is>
          <t>22/05/2015</t>
        </is>
      </c>
      <c r="B2974" s="8" t="n">
        <v>104.6906748288</v>
      </c>
      <c r="C2974" s="13" t="n"/>
      <c r="D2974" s="3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5">
      <c r="A2975" s="65" t="inlineStr">
        <is>
          <t>25/05/2015</t>
        </is>
      </c>
      <c r="B2975" s="8" t="n">
        <v>104.629188528</v>
      </c>
      <c r="C2975" s="13" t="n"/>
      <c r="D2975" s="3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6">
      <c r="A2976" s="65" t="inlineStr">
        <is>
          <t>26/05/2015</t>
        </is>
      </c>
      <c r="B2976" s="8" t="n">
        <v>104.01432552</v>
      </c>
      <c r="C2976" s="13" t="n"/>
      <c r="D2976" s="3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7">
      <c r="A2977" s="65" t="inlineStr">
        <is>
          <t>27/05/2015</t>
        </is>
      </c>
      <c r="B2977" s="8" t="n">
        <v>103.4199579456</v>
      </c>
      <c r="C2977" s="13" t="n"/>
      <c r="D2977" s="3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8">
      <c r="A2978" s="65" t="inlineStr">
        <is>
          <t>28/05/2015</t>
        </is>
      </c>
      <c r="B2978" s="8" t="n">
        <v>103.0715355744</v>
      </c>
      <c r="C2978" s="13" t="n"/>
      <c r="D2978" s="3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9">
      <c r="A2979" s="65" t="inlineStr">
        <is>
          <t>29/05/2015</t>
        </is>
      </c>
      <c r="B2979" s="8" t="n">
        <v>102.579645168</v>
      </c>
      <c r="C2979" s="13" t="n"/>
      <c r="D2979" s="3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0">
      <c r="A2980" s="65" t="inlineStr">
        <is>
          <t>01/06/2015</t>
        </is>
      </c>
      <c r="B2980" s="8" t="n">
        <v>101.8154995281</v>
      </c>
      <c r="C2980" s="13" t="n"/>
      <c r="D2980" s="3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1">
      <c r="A2981" s="65" t="inlineStr">
        <is>
          <t>02/06/2015</t>
        </is>
      </c>
      <c r="B2981" s="8" t="n">
        <v>101.9376536967</v>
      </c>
      <c r="C2981" s="13" t="n"/>
      <c r="D2981" s="3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2">
      <c r="A2982" s="65" t="inlineStr">
        <is>
          <t>03/06/2015</t>
        </is>
      </c>
      <c r="B2982" s="8" t="n">
        <v>102.2226800901</v>
      </c>
      <c r="C2982" s="13" t="n"/>
      <c r="D2982" s="3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3">
      <c r="A2983" s="65" t="inlineStr">
        <is>
          <t>05/06/2015</t>
        </is>
      </c>
      <c r="B2983" s="8" t="n">
        <v>102.6705787083</v>
      </c>
      <c r="C2983" s="13" t="n"/>
      <c r="D2983" s="3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4">
      <c r="A2984" s="65" t="inlineStr">
        <is>
          <t>08/06/2015</t>
        </is>
      </c>
      <c r="B2984" s="8" t="n">
        <v>103.1795544108</v>
      </c>
      <c r="C2984" s="13" t="n"/>
      <c r="D2984" s="3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5">
      <c r="A2985" s="65" t="inlineStr">
        <is>
          <t>09/06/2015</t>
        </is>
      </c>
      <c r="B2985" s="8" t="n">
        <v>103.3017085794</v>
      </c>
      <c r="C2985" s="13" t="n"/>
      <c r="D2985" s="3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6">
      <c r="A2986" s="65" t="inlineStr">
        <is>
          <t>10/06/2015</t>
        </is>
      </c>
      <c r="B2986" s="8" t="n">
        <v>102.7723738488</v>
      </c>
      <c r="C2986" s="13" t="n"/>
      <c r="D2986" s="3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7">
      <c r="A2987" s="65" t="inlineStr">
        <is>
          <t>11/06/2015</t>
        </is>
      </c>
      <c r="B2987" s="8" t="n">
        <v>102.2837571744</v>
      </c>
      <c r="C2987" s="13" t="n"/>
      <c r="D2987" s="3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8">
      <c r="A2988" s="65" t="inlineStr">
        <is>
          <t>12/06/2015</t>
        </is>
      </c>
      <c r="B2988" s="8" t="n">
        <v>101.591550219</v>
      </c>
      <c r="C2988" s="13" t="n"/>
      <c r="D2988" s="3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9">
      <c r="A2989" s="65" t="inlineStr">
        <is>
          <t>15/06/2015</t>
        </is>
      </c>
      <c r="B2989" s="8" t="n">
        <v>100.980779376</v>
      </c>
      <c r="C2989" s="13" t="n"/>
      <c r="D2989" s="3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0">
      <c r="A2990" s="65" t="inlineStr">
        <is>
          <t>16/06/2015</t>
        </is>
      </c>
      <c r="B2990" s="8" t="n">
        <v>100.2071363082</v>
      </c>
      <c r="C2990" s="13" t="n"/>
      <c r="D2990" s="3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1">
      <c r="A2991" s="65" t="inlineStr">
        <is>
          <t>17/06/2015</t>
        </is>
      </c>
      <c r="B2991" s="8" t="n">
        <v>99.555647409</v>
      </c>
      <c r="C2991" s="13" t="n"/>
      <c r="D2991" s="3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2">
      <c r="A2992" s="65" t="inlineStr">
        <is>
          <t>18/06/2015</t>
        </is>
      </c>
      <c r="B2992" s="8" t="n">
        <v>98.0287203015</v>
      </c>
      <c r="C2992" s="13" t="n"/>
      <c r="D2992" s="3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3">
      <c r="A2993" s="65" t="inlineStr">
        <is>
          <t>19/06/2015</t>
        </is>
      </c>
      <c r="B2993" s="8" t="n">
        <v>97.56046265520001</v>
      </c>
      <c r="C2993" s="13" t="n"/>
      <c r="D2993" s="3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4">
      <c r="A2994" s="65" t="inlineStr">
        <is>
          <t>22/06/2015</t>
        </is>
      </c>
      <c r="B2994" s="8" t="n">
        <v>97.27543626180001</v>
      </c>
      <c r="C2994" s="13" t="n"/>
      <c r="D2994" s="3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5">
      <c r="A2995" s="65" t="inlineStr">
        <is>
          <t>23/06/2015</t>
        </is>
      </c>
      <c r="B2995" s="8" t="n">
        <v>97.1329230651</v>
      </c>
      <c r="C2995" s="13" t="n"/>
      <c r="D2995" s="3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6">
      <c r="A2996" s="65" t="inlineStr">
        <is>
          <t>24/06/2015</t>
        </is>
      </c>
      <c r="B2996" s="8" t="n">
        <v>96.80717861549999</v>
      </c>
      <c r="C2996" s="13" t="n"/>
      <c r="D2996" s="3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7">
      <c r="A2997" s="65" t="inlineStr">
        <is>
          <t>25/06/2015</t>
        </is>
      </c>
      <c r="B2997" s="8" t="n">
        <v>96.74610153120001</v>
      </c>
      <c r="C2997" s="13" t="n"/>
      <c r="D2997" s="3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8">
      <c r="A2998" s="65" t="inlineStr">
        <is>
          <t>26/06/2015</t>
        </is>
      </c>
      <c r="B2998" s="8" t="n">
        <v>97.0514869527</v>
      </c>
      <c r="C2998" s="13" t="n"/>
      <c r="D2998" s="3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9">
      <c r="A2999" s="65" t="inlineStr">
        <is>
          <t>29/06/2015</t>
        </is>
      </c>
      <c r="B2999" s="8" t="n">
        <v>96.88861472790001</v>
      </c>
      <c r="C2999" s="13" t="n"/>
      <c r="D2999" s="3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0">
      <c r="A3000" s="65" t="inlineStr">
        <is>
          <t>30/06/2015</t>
        </is>
      </c>
      <c r="B3000" s="8" t="n">
        <v>96.37963902540001</v>
      </c>
      <c r="C3000" s="13" t="n"/>
      <c r="D3000" s="3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1">
      <c r="A3001" s="65" t="inlineStr">
        <is>
          <t>01/07/2015</t>
        </is>
      </c>
      <c r="B3001" s="8" t="n">
        <v>95.3350061525</v>
      </c>
      <c r="C3001" s="13" t="n"/>
      <c r="D3001" s="3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2">
      <c r="A3002" s="65" t="inlineStr">
        <is>
          <t>02/07/2015</t>
        </is>
      </c>
      <c r="B3002" s="8" t="n">
        <v>95.59785982800001</v>
      </c>
      <c r="C3002" s="13" t="n"/>
      <c r="D3002" s="3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3">
      <c r="A3003" s="65" t="inlineStr">
        <is>
          <t>03/07/2015</t>
        </is>
      </c>
      <c r="B3003" s="8" t="n">
        <v>96.12356717900001</v>
      </c>
      <c r="C3003" s="13" t="n"/>
      <c r="D3003" s="3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4">
      <c r="A3004" s="65" t="inlineStr">
        <is>
          <t>06/07/2015</t>
        </is>
      </c>
      <c r="B3004" s="8" t="n">
        <v>96.1437866925</v>
      </c>
      <c r="C3004" s="13" t="n"/>
      <c r="D3004" s="3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5">
      <c r="A3005" s="65" t="inlineStr">
        <is>
          <t>07/07/2015</t>
        </is>
      </c>
      <c r="B3005" s="8" t="n">
        <v>96.73015258400001</v>
      </c>
      <c r="C3005" s="13" t="n"/>
      <c r="D3005" s="3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6">
      <c r="A3006" s="65" t="inlineStr">
        <is>
          <t>08/07/2015</t>
        </is>
      </c>
      <c r="B3006" s="8" t="n">
        <v>96.73015258400001</v>
      </c>
      <c r="C3006" s="13" t="n"/>
      <c r="D3006" s="3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7">
      <c r="A3007" s="65" t="inlineStr">
        <is>
          <t>10/07/2015</t>
        </is>
      </c>
      <c r="B3007" s="8" t="n">
        <v>97.31651847550002</v>
      </c>
      <c r="C3007" s="13" t="n"/>
      <c r="D3007" s="3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8">
      <c r="A3008" s="65" t="inlineStr">
        <is>
          <t>13/07/2015</t>
        </is>
      </c>
      <c r="B3008" s="8" t="n">
        <v>98.04442096150001</v>
      </c>
      <c r="C3008" s="13" t="n"/>
      <c r="D3008" s="3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9">
      <c r="A3009" s="65" t="inlineStr">
        <is>
          <t>14/07/2015</t>
        </is>
      </c>
      <c r="B3009" s="8" t="n">
        <v>98.10507950200001</v>
      </c>
      <c r="C3009" s="13" t="n"/>
      <c r="D3009" s="3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0">
      <c r="A3010" s="65" t="inlineStr">
        <is>
          <t>15/07/2015</t>
        </is>
      </c>
      <c r="B3010" s="8" t="n">
        <v>98.024201448</v>
      </c>
      <c r="C3010" s="13" t="n"/>
      <c r="D3010" s="3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1">
      <c r="A3011" s="65" t="inlineStr">
        <is>
          <t>16/07/2015</t>
        </is>
      </c>
      <c r="B3011" s="8" t="n">
        <v>97.90288436700001</v>
      </c>
      <c r="C3011" s="13" t="n"/>
      <c r="D3011" s="3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2">
      <c r="A3012" s="65" t="inlineStr">
        <is>
          <t>17/07/2015</t>
        </is>
      </c>
      <c r="B3012" s="8" t="n">
        <v>97.98376242100001</v>
      </c>
      <c r="C3012" s="13" t="n"/>
      <c r="D3012" s="3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3">
      <c r="A3013" s="65" t="inlineStr">
        <is>
          <t>20/07/2015</t>
        </is>
      </c>
      <c r="B3013" s="8" t="n">
        <v>98.0848599885</v>
      </c>
      <c r="C3013" s="13" t="n"/>
      <c r="D3013" s="3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4">
      <c r="A3014" s="65" t="inlineStr">
        <is>
          <t>21/07/2015</t>
        </is>
      </c>
      <c r="B3014" s="8" t="n">
        <v>97.78156728600001</v>
      </c>
      <c r="C3014" s="13" t="n"/>
      <c r="D3014" s="3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5">
      <c r="A3015" s="65" t="inlineStr">
        <is>
          <t>22/07/2015</t>
        </is>
      </c>
      <c r="B3015" s="8" t="n">
        <v>96.85146966500001</v>
      </c>
      <c r="C3015" s="13" t="n"/>
      <c r="D3015" s="3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6">
      <c r="A3016" s="65" t="inlineStr">
        <is>
          <t>23/07/2015</t>
        </is>
      </c>
      <c r="B3016" s="8" t="n">
        <v>96.42685988150001</v>
      </c>
      <c r="C3016" s="13" t="n"/>
      <c r="D3016" s="3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7">
      <c r="A3017" s="65" t="inlineStr">
        <is>
          <t>24/07/2015</t>
        </is>
      </c>
      <c r="B3017" s="8" t="n">
        <v>96.2651037735</v>
      </c>
      <c r="C3017" s="13" t="n"/>
      <c r="D3017" s="3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8">
      <c r="A3018" s="65" t="inlineStr">
        <is>
          <t>27/07/2015</t>
        </is>
      </c>
      <c r="B3018" s="8" t="n">
        <v>96.02246961150001</v>
      </c>
      <c r="C3018" s="13" t="n"/>
      <c r="D3018" s="3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9">
      <c r="A3019" s="65" t="inlineStr">
        <is>
          <t>28/07/2015</t>
        </is>
      </c>
      <c r="B3019" s="8" t="n">
        <v>95.94159155750002</v>
      </c>
      <c r="C3019" s="13" t="n"/>
      <c r="D3019" s="3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0">
      <c r="A3020" s="65" t="inlineStr">
        <is>
          <t>29/07/2015</t>
        </is>
      </c>
      <c r="B3020" s="8" t="n">
        <v>95.43610372000002</v>
      </c>
      <c r="C3020" s="13" t="n"/>
      <c r="D3020" s="3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1">
      <c r="A3021" s="65" t="inlineStr">
        <is>
          <t>30/07/2015</t>
        </is>
      </c>
      <c r="B3021" s="8" t="n">
        <v>95.7798354495</v>
      </c>
      <c r="C3021" s="13" t="n"/>
      <c r="D3021" s="3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2">
      <c r="A3022" s="65" t="inlineStr">
        <is>
          <t>31/07/2015</t>
        </is>
      </c>
      <c r="B3022" s="8" t="n">
        <v>95.73939642250001</v>
      </c>
      <c r="C3022" s="13" t="n"/>
      <c r="D3022" s="3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3">
      <c r="A3023" s="65" t="inlineStr">
        <is>
          <t>03/08/2015</t>
        </is>
      </c>
      <c r="B3023" s="8" t="n">
        <v>95.0284871697</v>
      </c>
      <c r="C3023" s="13" t="n"/>
      <c r="D3023" s="3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4">
      <c r="A3024" s="65" t="inlineStr">
        <is>
          <t>04/08/2015</t>
        </is>
      </c>
      <c r="B3024" s="8" t="n">
        <v>94.8268566007</v>
      </c>
      <c r="C3024" s="13" t="n"/>
      <c r="D3024" s="3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5">
      <c r="A3025" s="65" t="inlineStr">
        <is>
          <t>05/08/2015</t>
        </is>
      </c>
      <c r="B3025" s="8" t="n">
        <v>95.00832411279998</v>
      </c>
      <c r="C3025" s="13" t="n"/>
      <c r="D3025" s="3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6">
      <c r="A3026" s="65" t="inlineStr">
        <is>
          <t>06/08/2015</t>
        </is>
      </c>
      <c r="B3026" s="8" t="n">
        <v>94.3026171213</v>
      </c>
      <c r="C3026" s="13" t="n"/>
      <c r="D3026" s="3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7">
      <c r="A3027" s="65" t="inlineStr">
        <is>
          <t>07/08/2015</t>
        </is>
      </c>
      <c r="B3027" s="8" t="n">
        <v>94.1009865523</v>
      </c>
      <c r="C3027" s="13" t="n"/>
      <c r="D3027" s="3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8">
      <c r="A3028" s="65" t="inlineStr">
        <is>
          <t>10/08/2015</t>
        </is>
      </c>
      <c r="B3028" s="8" t="n">
        <v>93.7380515281</v>
      </c>
      <c r="C3028" s="13" t="n"/>
      <c r="D3028" s="3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9">
      <c r="A3029" s="65" t="inlineStr">
        <is>
          <t>11/08/2015</t>
        </is>
      </c>
      <c r="B3029" s="8" t="n">
        <v>93.27430121939999</v>
      </c>
      <c r="C3029" s="13" t="n"/>
      <c r="D3029" s="3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0">
      <c r="A3030" s="65" t="inlineStr">
        <is>
          <t>12/08/2015</t>
        </is>
      </c>
      <c r="B3030" s="8" t="n">
        <v>93.85902986949999</v>
      </c>
      <c r="C3030" s="13" t="n"/>
      <c r="D3030" s="3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1">
      <c r="A3031" s="65" t="inlineStr">
        <is>
          <t>13/08/2015</t>
        </is>
      </c>
      <c r="B3031" s="8" t="n">
        <v>94.32278017819999</v>
      </c>
      <c r="C3031" s="13" t="n"/>
      <c r="D3031" s="3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2">
      <c r="A3032" s="65" t="inlineStr">
        <is>
          <t>14/08/2015</t>
        </is>
      </c>
      <c r="B3032" s="8" t="n">
        <v>94.6655521455</v>
      </c>
      <c r="C3032" s="13" t="n"/>
      <c r="D3032" s="3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3">
      <c r="A3033" s="65" t="inlineStr">
        <is>
          <t>17/08/2015</t>
        </is>
      </c>
      <c r="B3033" s="8" t="n">
        <v>94.56473686099999</v>
      </c>
      <c r="C3033" s="13" t="n"/>
      <c r="D3033" s="3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4">
      <c r="A3034" s="65" t="inlineStr">
        <is>
          <t>18/08/2015</t>
        </is>
      </c>
      <c r="B3034" s="8" t="n">
        <v>94.4639215765</v>
      </c>
      <c r="C3034" s="13" t="n"/>
      <c r="D3034" s="3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5">
      <c r="A3035" s="65" t="inlineStr">
        <is>
          <t>19/08/2015</t>
        </is>
      </c>
      <c r="B3035" s="8" t="n">
        <v>94.58489991789999</v>
      </c>
      <c r="C3035" s="13" t="n"/>
      <c r="D3035" s="3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6">
      <c r="A3036" s="65" t="inlineStr">
        <is>
          <t>20/08/2015</t>
        </is>
      </c>
      <c r="B3036" s="8" t="n">
        <v>94.98816105589999</v>
      </c>
      <c r="C3036" s="13" t="n"/>
      <c r="D3036" s="3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7">
      <c r="A3037" s="65" t="inlineStr">
        <is>
          <t>21/08/2015</t>
        </is>
      </c>
      <c r="B3037" s="8" t="n">
        <v>94.7462043731</v>
      </c>
      <c r="C3037" s="13" t="n"/>
      <c r="D3037" s="3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8">
      <c r="A3038" s="65" t="inlineStr">
        <is>
          <t>24/08/2015</t>
        </is>
      </c>
      <c r="B3038" s="8" t="n">
        <v>94.88734577139999</v>
      </c>
      <c r="C3038" s="13" t="n"/>
      <c r="D3038" s="3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9">
      <c r="A3039" s="65" t="inlineStr">
        <is>
          <t>25/08/2015</t>
        </is>
      </c>
      <c r="B3039" s="8" t="n">
        <v>94.4639215765</v>
      </c>
      <c r="C3039" s="13" t="n"/>
      <c r="D3039" s="3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0">
      <c r="A3040" s="65" t="inlineStr">
        <is>
          <t>26/08/2015</t>
        </is>
      </c>
      <c r="B3040" s="8" t="n">
        <v>94.7462043731</v>
      </c>
      <c r="C3040" s="13" t="n"/>
      <c r="D3040" s="3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1">
      <c r="A3041" s="65" t="inlineStr">
        <is>
          <t>27/08/2015</t>
        </is>
      </c>
      <c r="B3041" s="8" t="n">
        <v>95.20995468179999</v>
      </c>
      <c r="C3041" s="13" t="n"/>
      <c r="D3041" s="3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2">
      <c r="A3042" s="65" t="inlineStr">
        <is>
          <t>28/08/2015</t>
        </is>
      </c>
      <c r="B3042" s="8" t="n">
        <v>95.27044385249999</v>
      </c>
      <c r="C3042" s="13" t="n"/>
      <c r="D3042" s="3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3">
      <c r="A3043" s="65" t="inlineStr">
        <is>
          <t>31/08/2015</t>
        </is>
      </c>
      <c r="B3043" s="8" t="n">
        <v>95.00832411279998</v>
      </c>
      <c r="C3043" s="13" t="n"/>
      <c r="D3043" s="3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4">
      <c r="A3044" s="65" t="inlineStr">
        <is>
          <t>01/09/2015</t>
        </is>
      </c>
      <c r="B3044" s="8" t="n">
        <v>94.67349177</v>
      </c>
      <c r="C3044" s="13" t="n"/>
      <c r="D3044" s="3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5">
      <c r="A3045" s="65" t="inlineStr">
        <is>
          <t>02/09/2015</t>
        </is>
      </c>
      <c r="B3045" s="8" t="n">
        <v>95.352584327</v>
      </c>
      <c r="C3045" s="13" t="n"/>
      <c r="D3045" s="3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6">
      <c r="A3046" s="65" t="inlineStr">
        <is>
          <t>03/09/2015</t>
        </is>
      </c>
      <c r="B3046" s="8" t="n">
        <v>96.07162350500001</v>
      </c>
      <c r="C3046" s="13" t="n"/>
      <c r="D3046" s="3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7">
      <c r="A3047" s="65" t="inlineStr">
        <is>
          <t>04/09/2015</t>
        </is>
      </c>
      <c r="B3047" s="8" t="n">
        <v>96.6907961305</v>
      </c>
      <c r="C3047" s="13" t="n"/>
      <c r="D3047" s="3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8">
      <c r="A3048" s="65" t="inlineStr">
        <is>
          <t>08/09/2015</t>
        </is>
      </c>
      <c r="B3048" s="8" t="n">
        <v>97.5296751715</v>
      </c>
      <c r="C3048" s="13" t="n"/>
      <c r="D3048" s="3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9">
      <c r="A3049" s="65" t="inlineStr">
        <is>
          <t>09/09/2015</t>
        </is>
      </c>
      <c r="B3049" s="8" t="n">
        <v>98.76802042250002</v>
      </c>
      <c r="C3049" s="13" t="n"/>
      <c r="D3049" s="3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0">
      <c r="A3050" s="65" t="inlineStr">
        <is>
          <t>10/09/2015</t>
        </is>
      </c>
      <c r="B3050" s="8" t="n">
        <v>99.746712637</v>
      </c>
      <c r="C3050" s="13" t="n"/>
      <c r="D3050" s="3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1">
      <c r="A3051" s="65" t="inlineStr">
        <is>
          <t>11/09/2015</t>
        </is>
      </c>
      <c r="B3051" s="8" t="n">
        <v>100.705431541</v>
      </c>
      <c r="C3051" s="13" t="n"/>
      <c r="D3051" s="3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2">
      <c r="A3052" s="65" t="inlineStr">
        <is>
          <t>14/09/2015</t>
        </is>
      </c>
      <c r="B3052" s="8" t="n">
        <v>101.1648176825</v>
      </c>
      <c r="C3052" s="13" t="n"/>
      <c r="D3052" s="3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3">
      <c r="A3053" s="65" t="inlineStr">
        <is>
          <t>15/09/2015</t>
        </is>
      </c>
      <c r="B3053" s="8" t="n">
        <v>101.3645507875</v>
      </c>
      <c r="C3053" s="13" t="n"/>
      <c r="D3053" s="3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4">
      <c r="A3054" s="65" t="inlineStr">
        <is>
          <t>16/09/2015</t>
        </is>
      </c>
      <c r="B3054" s="8" t="n">
        <v>102.0436433445</v>
      </c>
      <c r="C3054" s="13" t="n"/>
      <c r="D3054" s="3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5">
      <c r="A3055" s="65" t="inlineStr">
        <is>
          <t>17/09/2015</t>
        </is>
      </c>
      <c r="B3055" s="8" t="n">
        <v>102.6428426595</v>
      </c>
      <c r="C3055" s="13" t="n"/>
      <c r="D3055" s="3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6">
      <c r="A3056" s="65" t="inlineStr">
        <is>
          <t>18/09/2015</t>
        </is>
      </c>
      <c r="B3056" s="8" t="n">
        <v>103.5616149425</v>
      </c>
      <c r="C3056" s="13" t="n"/>
      <c r="D3056" s="3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7">
      <c r="A3057" s="65" t="inlineStr">
        <is>
          <t>21/09/2015</t>
        </is>
      </c>
      <c r="B3057" s="8" t="n">
        <v>104.420467294</v>
      </c>
      <c r="C3057" s="13" t="n"/>
      <c r="D3057" s="3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8">
      <c r="A3058" s="65" t="inlineStr">
        <is>
          <t>22/09/2015</t>
        </is>
      </c>
      <c r="B3058" s="8" t="n">
        <v>104.779986883</v>
      </c>
      <c r="C3058" s="13" t="n"/>
      <c r="D3058" s="3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9">
      <c r="A3059" s="65" t="inlineStr">
        <is>
          <t>23/09/2015</t>
        </is>
      </c>
      <c r="B3059" s="8" t="n">
        <v>105.4790527505</v>
      </c>
      <c r="C3059" s="13" t="n"/>
      <c r="D3059" s="3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0">
      <c r="A3060" s="65" t="inlineStr">
        <is>
          <t>24/09/2015</t>
        </is>
      </c>
      <c r="B3060" s="8" t="n">
        <v>105.6787858555</v>
      </c>
      <c r="C3060" s="13" t="n"/>
      <c r="D3060" s="3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1">
      <c r="A3061" s="65" t="inlineStr">
        <is>
          <t>25/09/2015</t>
        </is>
      </c>
      <c r="B3061" s="8" t="n">
        <v>106.417798344</v>
      </c>
      <c r="C3061" s="13" t="n"/>
      <c r="D3061" s="3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2">
      <c r="A3062" s="65" t="inlineStr">
        <is>
          <t>28/09/2015</t>
        </is>
      </c>
      <c r="B3062" s="8" t="n">
        <v>107.45641049</v>
      </c>
      <c r="C3062" s="13" t="n"/>
      <c r="D3062" s="3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3">
      <c r="A3063" s="65" t="inlineStr">
        <is>
          <t>29/09/2015</t>
        </is>
      </c>
      <c r="B3063" s="8" t="n">
        <v>108.5948891885</v>
      </c>
      <c r="C3063" s="13" t="n"/>
      <c r="D3063" s="3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4">
      <c r="A3064" s="65" t="inlineStr">
        <is>
          <t>30/09/2015</t>
        </is>
      </c>
      <c r="B3064" s="8" t="n">
        <v>108.694755741</v>
      </c>
      <c r="C3064" s="13" t="n"/>
      <c r="D3064" s="3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5">
      <c r="A3065" s="65" t="inlineStr">
        <is>
          <t>01/10/2015</t>
        </is>
      </c>
      <c r="B3065" s="8" t="n">
        <v>109.4229256104</v>
      </c>
      <c r="C3065" s="13" t="n"/>
      <c r="D3065" s="3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6">
      <c r="A3066" s="65" t="inlineStr">
        <is>
          <t>02/10/2015</t>
        </is>
      </c>
      <c r="B3066" s="8" t="n">
        <v>110.1874354812</v>
      </c>
      <c r="C3066" s="13" t="n"/>
      <c r="D3066" s="3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7">
      <c r="A3067" s="65" t="inlineStr">
        <is>
          <t>05/10/2015</t>
        </is>
      </c>
      <c r="B3067" s="8" t="n">
        <v>112.0104974808</v>
      </c>
      <c r="C3067" s="13" t="n"/>
      <c r="D3067" s="3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8">
      <c r="A3068" s="65" t="inlineStr">
        <is>
          <t>06/10/2015</t>
        </is>
      </c>
      <c r="B3068" s="8" t="n">
        <v>114.5392608996</v>
      </c>
      <c r="C3068" s="13" t="n"/>
      <c r="D3068" s="3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9">
      <c r="A3069" s="65" t="inlineStr">
        <is>
          <t>07/10/2015</t>
        </is>
      </c>
      <c r="B3069" s="8" t="n">
        <v>117.2444496732</v>
      </c>
      <c r="C3069" s="13" t="n"/>
      <c r="D3069" s="3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0">
      <c r="A3070" s="65" t="inlineStr">
        <is>
          <t>08/10/2015</t>
        </is>
      </c>
      <c r="B3070" s="8" t="n">
        <v>119.08711449</v>
      </c>
      <c r="C3070" s="13" t="n"/>
      <c r="D3070" s="3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1">
      <c r="A3071" s="65" t="inlineStr">
        <is>
          <t>09/10/2015</t>
        </is>
      </c>
      <c r="B3071" s="8" t="n">
        <v>120.4005032424</v>
      </c>
      <c r="C3071" s="13" t="n"/>
      <c r="D3071" s="3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2">
      <c r="A3072" s="65" t="inlineStr">
        <is>
          <t>13/10/2015</t>
        </is>
      </c>
      <c r="B3072" s="8" t="n">
        <v>122.6548272204</v>
      </c>
      <c r="C3072" s="13" t="n"/>
      <c r="D3072" s="3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3">
      <c r="A3073" s="65" t="inlineStr">
        <is>
          <t>14/10/2015</t>
        </is>
      </c>
      <c r="B3073" s="8" t="n">
        <v>125.2423990908</v>
      </c>
      <c r="C3073" s="13" t="n"/>
      <c r="D3073" s="3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4">
      <c r="A3074" s="65" t="inlineStr">
        <is>
          <t>15/10/2015</t>
        </is>
      </c>
      <c r="B3074" s="8" t="n">
        <v>126.4185681228</v>
      </c>
      <c r="C3074" s="13" t="n"/>
      <c r="D3074" s="3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5">
      <c r="A3075" s="65" t="inlineStr">
        <is>
          <t>16/10/2015</t>
        </is>
      </c>
      <c r="B3075" s="8" t="n">
        <v>128.0652047676</v>
      </c>
      <c r="C3075" s="13" t="n"/>
      <c r="D3075" s="3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6">
      <c r="A3076" s="65" t="inlineStr">
        <is>
          <t>19/10/2015</t>
        </is>
      </c>
      <c r="B3076" s="8" t="n">
        <v>128.2808357568</v>
      </c>
      <c r="C3076" s="13" t="n"/>
      <c r="D3076" s="3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7">
      <c r="A3077" s="65" t="inlineStr">
        <is>
          <t>20/10/2015</t>
        </is>
      </c>
      <c r="B3077" s="8" t="n">
        <v>131.4564921432</v>
      </c>
      <c r="C3077" s="13" t="n"/>
      <c r="D3077" s="3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8">
      <c r="A3078" s="65" t="inlineStr">
        <is>
          <t>21/10/2015</t>
        </is>
      </c>
      <c r="B3078" s="8" t="n">
        <v>133.397171046</v>
      </c>
      <c r="C3078" s="13" t="n"/>
      <c r="D3078" s="3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9">
      <c r="A3079" s="65" t="inlineStr">
        <is>
          <t>22/10/2015</t>
        </is>
      </c>
      <c r="B3079" s="8" t="n">
        <v>134.0048583792</v>
      </c>
      <c r="C3079" s="13" t="n"/>
      <c r="D3079" s="3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0">
      <c r="A3080" s="65" t="inlineStr">
        <is>
          <t>23/10/2015</t>
        </is>
      </c>
      <c r="B3080" s="8" t="n">
        <v>136.3964020776</v>
      </c>
      <c r="C3080" s="13" t="n"/>
      <c r="D3080" s="3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1">
      <c r="A3081" s="65" t="inlineStr">
        <is>
          <t>26/10/2015</t>
        </is>
      </c>
      <c r="B3081" s="8" t="n">
        <v>138.8663570448</v>
      </c>
      <c r="C3081" s="13" t="n"/>
      <c r="D3081" s="3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2">
      <c r="A3082" s="65" t="inlineStr">
        <is>
          <t>27/10/2015</t>
        </is>
      </c>
      <c r="B3082" s="8" t="n">
        <v>139.6504697328</v>
      </c>
      <c r="C3082" s="13" t="n"/>
      <c r="D3082" s="3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3">
      <c r="A3083" s="65" t="inlineStr">
        <is>
          <t>28/10/2015</t>
        </is>
      </c>
      <c r="B3083" s="8" t="n">
        <v>141.3951204636</v>
      </c>
      <c r="C3083" s="13" t="n"/>
      <c r="D3083" s="3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4">
      <c r="A3084" s="65" t="inlineStr">
        <is>
          <t>29/10/2015</t>
        </is>
      </c>
      <c r="B3084" s="8" t="n">
        <v>142.2576444204</v>
      </c>
      <c r="C3084" s="13" t="n"/>
      <c r="D3084" s="3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5">
      <c r="A3085" s="65" t="inlineStr">
        <is>
          <t>30/10/2015</t>
        </is>
      </c>
      <c r="B3085" s="8" t="n">
        <v>144.0022951512</v>
      </c>
      <c r="C3085" s="13" t="n"/>
      <c r="D3085" s="3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6">
      <c r="A3086" s="65" t="inlineStr">
        <is>
          <t>03/11/2015</t>
        </is>
      </c>
      <c r="B3086" s="8" t="n">
        <v>142.3868932344</v>
      </c>
      <c r="C3086" s="13" t="n"/>
      <c r="D3086" s="3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7">
      <c r="A3087" s="65" t="inlineStr">
        <is>
          <t>04/11/2015</t>
        </is>
      </c>
      <c r="B3087" s="8" t="n">
        <v>142.7537702308</v>
      </c>
      <c r="C3087" s="13" t="n"/>
      <c r="D3087" s="3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8">
      <c r="A3088" s="65" t="inlineStr">
        <is>
          <t>05/11/2015</t>
        </is>
      </c>
      <c r="B3088" s="8" t="n">
        <v>143.9123291668</v>
      </c>
      <c r="C3088" s="13" t="n"/>
      <c r="D3088" s="3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9">
      <c r="A3089" s="65" t="inlineStr">
        <is>
          <t>06/11/2015</t>
        </is>
      </c>
      <c r="B3089" s="8" t="n">
        <v>144.6653924752</v>
      </c>
      <c r="C3089" s="13" t="n"/>
      <c r="D3089" s="3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0">
      <c r="A3090" s="65" t="inlineStr">
        <is>
          <t>09/11/2015</t>
        </is>
      </c>
      <c r="B3090" s="8" t="n">
        <v>144.8584856312</v>
      </c>
      <c r="C3090" s="13" t="n"/>
      <c r="D3090" s="3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1">
      <c r="A3091" s="65" t="inlineStr">
        <is>
          <t>10/11/2015</t>
        </is>
      </c>
      <c r="B3091" s="8" t="n">
        <v>145.8625700424</v>
      </c>
      <c r="C3091" s="13" t="n"/>
      <c r="D3091" s="3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2">
      <c r="A3092" s="65" t="inlineStr">
        <is>
          <t>11/11/2015</t>
        </is>
      </c>
      <c r="B3092" s="8" t="n">
        <v>146.6928706132</v>
      </c>
      <c r="C3092" s="13" t="n"/>
      <c r="D3092" s="3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3">
      <c r="A3093" s="65" t="inlineStr">
        <is>
          <t>12/11/2015</t>
        </is>
      </c>
      <c r="B3093" s="8" t="n">
        <v>146.7314892444</v>
      </c>
      <c r="C3093" s="13" t="n"/>
      <c r="D3093" s="3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4">
      <c r="A3094" s="65" t="inlineStr">
        <is>
          <t>13/11/2015</t>
        </is>
      </c>
      <c r="B3094" s="8" t="n">
        <v>147.8514295492</v>
      </c>
      <c r="C3094" s="13" t="n"/>
      <c r="D3094" s="3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5">
      <c r="A3095" s="65" t="inlineStr">
        <is>
          <t>16/11/2015</t>
        </is>
      </c>
      <c r="B3095" s="8" t="n">
        <v>148.6431114888</v>
      </c>
      <c r="C3095" s="13" t="n"/>
      <c r="D3095" s="3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6">
      <c r="A3096" s="65" t="inlineStr">
        <is>
          <t>17/11/2015</t>
        </is>
      </c>
      <c r="B3096" s="8" t="n">
        <v>148.971369854</v>
      </c>
      <c r="C3096" s="13" t="n"/>
      <c r="D3096" s="3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7">
      <c r="A3097" s="65" t="inlineStr">
        <is>
          <t>18/11/2015</t>
        </is>
      </c>
      <c r="B3097" s="8" t="n">
        <v>148.7396580668</v>
      </c>
      <c r="C3097" s="13" t="n"/>
      <c r="D3097" s="3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8">
      <c r="A3098" s="65" t="inlineStr">
        <is>
          <t>19/11/2015</t>
        </is>
      </c>
      <c r="B3098" s="8" t="n">
        <v>149.4154841128</v>
      </c>
      <c r="C3098" s="13" t="n"/>
      <c r="D3098" s="3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9">
      <c r="A3099" s="65" t="inlineStr">
        <is>
          <t>23/11/2015</t>
        </is>
      </c>
      <c r="B3099" s="8" t="n">
        <v>149.6858145312</v>
      </c>
      <c r="C3099" s="13" t="n"/>
      <c r="D3099" s="3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0">
      <c r="A3100" s="65" t="inlineStr">
        <is>
          <t>24/11/2015</t>
        </is>
      </c>
      <c r="B3100" s="8" t="n">
        <v>149.9754542652</v>
      </c>
      <c r="C3100" s="13" t="n"/>
      <c r="D3100" s="3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1">
      <c r="A3101" s="65" t="inlineStr">
        <is>
          <t>25/11/2015</t>
        </is>
      </c>
      <c r="B3101" s="8" t="n">
        <v>150.3616405772</v>
      </c>
      <c r="C3101" s="13" t="n"/>
      <c r="D3101" s="3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2">
      <c r="A3102" s="65" t="inlineStr">
        <is>
          <t>26/11/2015</t>
        </is>
      </c>
      <c r="B3102" s="8" t="n">
        <v>150.4388778396</v>
      </c>
      <c r="C3102" s="13" t="n"/>
      <c r="D3102" s="3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3">
      <c r="A3103" s="65" t="inlineStr">
        <is>
          <t>27/11/2015</t>
        </is>
      </c>
      <c r="B3103" s="8" t="n">
        <v>151.2112504636</v>
      </c>
      <c r="C3103" s="13" t="n"/>
      <c r="D3103" s="3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4">
      <c r="A3104" s="65" t="inlineStr">
        <is>
          <t>30/11/2015</t>
        </is>
      </c>
      <c r="B3104" s="8" t="n">
        <v>151.4043436196</v>
      </c>
      <c r="C3104" s="13" t="n"/>
      <c r="D3104" s="3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5">
      <c r="A3105" s="65" t="inlineStr">
        <is>
          <t>01/12/2015</t>
        </is>
      </c>
      <c r="B3105" s="8" t="n">
        <v>150.8198010437</v>
      </c>
      <c r="C3105" s="13" t="n"/>
      <c r="D3105" s="3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6">
      <c r="A3106" s="65" t="inlineStr">
        <is>
          <t>02/12/2015</t>
        </is>
      </c>
      <c r="B3106" s="8" t="n">
        <v>150.839016205</v>
      </c>
      <c r="C3106" s="13" t="n"/>
      <c r="D3106" s="3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7">
      <c r="A3107" s="65" t="inlineStr">
        <is>
          <t>03/12/2015</t>
        </is>
      </c>
      <c r="B3107" s="8" t="n">
        <v>151.1656739471</v>
      </c>
      <c r="C3107" s="13" t="n"/>
      <c r="D3107" s="3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8">
      <c r="A3108" s="65" t="inlineStr">
        <is>
          <t>04/12/2015</t>
        </is>
      </c>
      <c r="B3108" s="8" t="n">
        <v>152.1456471734</v>
      </c>
      <c r="C3108" s="13" t="n"/>
      <c r="D3108" s="3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9">
      <c r="A3109" s="65" t="inlineStr">
        <is>
          <t>07/12/2015</t>
        </is>
      </c>
      <c r="B3109" s="8" t="n">
        <v>152.7989626576</v>
      </c>
      <c r="C3109" s="13" t="n"/>
      <c r="D3109" s="3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0">
      <c r="A3110" s="65" t="inlineStr">
        <is>
          <t>08/12/2015</t>
        </is>
      </c>
      <c r="B3110" s="8" t="n">
        <v>152.9718991093</v>
      </c>
      <c r="C3110" s="13" t="n"/>
      <c r="D3110" s="3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1">
      <c r="A3111" s="65" t="inlineStr">
        <is>
          <t>09/12/2015</t>
        </is>
      </c>
      <c r="B3111" s="8" t="n">
        <v>153.2216962062</v>
      </c>
      <c r="C3111" s="13" t="n"/>
      <c r="D3111" s="3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2">
      <c r="A3112" s="65" t="inlineStr">
        <is>
          <t>10/12/2015</t>
        </is>
      </c>
      <c r="B3112" s="8" t="n">
        <v>153.4330629805</v>
      </c>
      <c r="C3112" s="13" t="n"/>
      <c r="D3112" s="3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3">
      <c r="A3113" s="65" t="inlineStr">
        <is>
          <t>11/12/2015</t>
        </is>
      </c>
      <c r="B3113" s="8" t="n">
        <v>154.0863784647</v>
      </c>
      <c r="C3113" s="13" t="n"/>
      <c r="D3113" s="3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4">
      <c r="A3114" s="65" t="inlineStr">
        <is>
          <t>14/12/2015</t>
        </is>
      </c>
      <c r="B3114" s="8" t="n">
        <v>155.1624274975</v>
      </c>
      <c r="C3114" s="13" t="n"/>
      <c r="D3114" s="3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5">
      <c r="A3115" s="65" t="inlineStr">
        <is>
          <t>15/12/2015</t>
        </is>
      </c>
      <c r="B3115" s="8" t="n">
        <v>155.7196671752</v>
      </c>
      <c r="C3115" s="13" t="n"/>
      <c r="D3115" s="3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6">
      <c r="A3116" s="65" t="inlineStr">
        <is>
          <t>16/12/2015</t>
        </is>
      </c>
      <c r="B3116" s="8" t="n">
        <v>156.3729826594</v>
      </c>
      <c r="C3116" s="13" t="n"/>
      <c r="D3116" s="3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7">
      <c r="A3117" s="65" t="inlineStr">
        <is>
          <t>17/12/2015</t>
        </is>
      </c>
      <c r="B3117" s="8" t="n">
        <v>156.2769068529</v>
      </c>
      <c r="C3117" s="13" t="n"/>
      <c r="D3117" s="3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8">
      <c r="A3118" s="65" t="inlineStr">
        <is>
          <t>18/12/2015</t>
        </is>
      </c>
      <c r="B3118" s="8" t="n">
        <v>156.9686526597</v>
      </c>
      <c r="C3118" s="13" t="n"/>
      <c r="D3118" s="3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9">
      <c r="A3119" s="65" t="inlineStr">
        <is>
          <t>21/12/2015</t>
        </is>
      </c>
      <c r="B3119" s="8" t="n">
        <v>156.7572858854</v>
      </c>
      <c r="C3119" s="13" t="n"/>
      <c r="D3119" s="3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0">
      <c r="A3120" s="65" t="inlineStr">
        <is>
          <t>22/12/2015</t>
        </is>
      </c>
      <c r="B3120" s="8" t="n">
        <v>156.8725768532</v>
      </c>
      <c r="C3120" s="13" t="n"/>
      <c r="D3120" s="3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1">
      <c r="A3121" s="65" t="inlineStr">
        <is>
          <t>23/12/2015</t>
        </is>
      </c>
      <c r="B3121" s="8" t="n">
        <v>157.1223739501</v>
      </c>
      <c r="C3121" s="13" t="n"/>
      <c r="D3121" s="3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2">
      <c r="A3122" s="65" t="inlineStr">
        <is>
          <t>28/12/2015</t>
        </is>
      </c>
      <c r="B3122" s="8" t="n">
        <v>157.4490316922</v>
      </c>
      <c r="C3122" s="13" t="n"/>
      <c r="D3122" s="3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3">
      <c r="A3123" s="65" t="inlineStr">
        <is>
          <t>29/12/2015</t>
        </is>
      </c>
      <c r="B3123" s="8" t="n">
        <v>158.0831320151</v>
      </c>
      <c r="C3123" s="13" t="n"/>
      <c r="D3123" s="3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4">
      <c r="A3124" s="65" t="inlineStr">
        <is>
          <t>30/12/2015</t>
        </is>
      </c>
      <c r="B3124" s="8" t="n">
        <v>157.8717652408</v>
      </c>
      <c r="C3124" s="13" t="n"/>
      <c r="D3124" s="3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5">
      <c r="A3125" s="65" t="inlineStr">
        <is>
          <t>04/01/2016</t>
        </is>
      </c>
      <c r="B3125" s="8" t="n">
        <v>157.00424446</v>
      </c>
      <c r="C3125" s="13" t="n"/>
      <c r="D3125" s="3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6">
      <c r="A3126" s="65" t="inlineStr">
        <is>
          <t>05/01/2016</t>
        </is>
      </c>
      <c r="B3126" s="8" t="n">
        <v>157.8211832925</v>
      </c>
      <c r="C3126" s="13" t="n"/>
      <c r="D3126" s="3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7">
      <c r="A3127" s="65" t="inlineStr">
        <is>
          <t>06/01/2016</t>
        </is>
      </c>
      <c r="B3127" s="8" t="n">
        <v>157.23222739</v>
      </c>
      <c r="C3127" s="13" t="n"/>
      <c r="D3127" s="3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8">
      <c r="A3128" s="65" t="inlineStr">
        <is>
          <t>07/01/2016</t>
        </is>
      </c>
      <c r="B3128" s="8" t="n">
        <v>157.5932003625</v>
      </c>
      <c r="C3128" s="13" t="n"/>
      <c r="D3128" s="3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9">
      <c r="A3129" s="65" t="inlineStr">
        <is>
          <t>08/01/2016</t>
        </is>
      </c>
      <c r="B3129" s="8" t="n">
        <v>157.53620463</v>
      </c>
      <c r="C3129" s="13" t="n"/>
      <c r="D3129" s="3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0">
      <c r="A3130" s="65" t="inlineStr">
        <is>
          <t>11/01/2016</t>
        </is>
      </c>
      <c r="B3130" s="8" t="n">
        <v>158.6191235475</v>
      </c>
      <c r="C3130" s="13" t="n"/>
      <c r="D3130" s="3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1">
      <c r="A3131" s="65" t="inlineStr">
        <is>
          <t>12/01/2016</t>
        </is>
      </c>
      <c r="B3131" s="8" t="n">
        <v>159.6450467325</v>
      </c>
      <c r="C3131" s="13" t="n"/>
      <c r="D3131" s="3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2">
      <c r="A3132" s="65" t="inlineStr">
        <is>
          <t>13/01/2016</t>
        </is>
      </c>
      <c r="B3132" s="8" t="n">
        <v>160.4049898325</v>
      </c>
      <c r="C3132" s="13" t="n"/>
      <c r="D3132" s="3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3">
      <c r="A3133" s="65" t="inlineStr">
        <is>
          <t>14/01/2016</t>
        </is>
      </c>
      <c r="B3133" s="8" t="n">
        <v>159.5690524225</v>
      </c>
      <c r="C3133" s="13" t="n"/>
      <c r="D3133" s="3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4">
      <c r="A3134" s="65" t="inlineStr">
        <is>
          <t>15/01/2016</t>
        </is>
      </c>
      <c r="B3134" s="8" t="n">
        <v>160.49998272</v>
      </c>
      <c r="C3134" s="13" t="n"/>
      <c r="D3134" s="3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5">
      <c r="A3135" s="65" t="inlineStr">
        <is>
          <t>18/01/2016</t>
        </is>
      </c>
      <c r="B3135" s="8" t="n">
        <v>160.689968495</v>
      </c>
      <c r="C3135" s="13" t="n"/>
      <c r="D3135" s="3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6">
      <c r="A3136" s="65" t="inlineStr">
        <is>
          <t>19/01/2016</t>
        </is>
      </c>
      <c r="B3136" s="8" t="n">
        <v>160.5189812975</v>
      </c>
      <c r="C3136" s="13" t="n"/>
      <c r="D3136" s="3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7">
      <c r="A3137" s="65" t="inlineStr">
        <is>
          <t>20/01/2016</t>
        </is>
      </c>
      <c r="B3137" s="8" t="n">
        <v>160.72796565</v>
      </c>
      <c r="C3137" s="13" t="n"/>
      <c r="D3137" s="3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8">
      <c r="A3138" s="65" t="inlineStr">
        <is>
          <t>21/01/2016</t>
        </is>
      </c>
      <c r="B3138" s="8" t="n">
        <v>160.993945735</v>
      </c>
      <c r="C3138" s="13" t="n"/>
      <c r="D3138" s="3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9">
      <c r="A3139" s="65" t="inlineStr">
        <is>
          <t>22/01/2016</t>
        </is>
      </c>
      <c r="B3139" s="8" t="n">
        <v>160.4809841425</v>
      </c>
      <c r="C3139" s="13" t="n"/>
      <c r="D3139" s="3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0">
      <c r="A3140" s="65" t="inlineStr">
        <is>
          <t>25/01/2016</t>
        </is>
      </c>
      <c r="B3140" s="8" t="n">
        <v>159.8730296625</v>
      </c>
      <c r="C3140" s="13" t="n"/>
      <c r="D3140" s="3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1">
      <c r="A3141" s="65" t="inlineStr">
        <is>
          <t>26/01/2016</t>
        </is>
      </c>
      <c r="B3141" s="8" t="n">
        <v>158.3151463075</v>
      </c>
      <c r="C3141" s="13" t="n"/>
      <c r="D3141" s="3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2">
      <c r="A3142" s="65" t="inlineStr">
        <is>
          <t>27/01/2016</t>
        </is>
      </c>
      <c r="B3142" s="8" t="n">
        <v>157.6691946725</v>
      </c>
      <c r="C3142" s="13" t="n"/>
      <c r="D3142" s="3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3">
      <c r="A3143" s="65" t="inlineStr">
        <is>
          <t>28/01/2016</t>
        </is>
      </c>
      <c r="B3143" s="8" t="n">
        <v>158.52413066</v>
      </c>
      <c r="C3143" s="13" t="n"/>
      <c r="D3143" s="3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4">
      <c r="A3144" s="65" t="inlineStr">
        <is>
          <t>29/01/2016</t>
        </is>
      </c>
      <c r="B3144" s="8" t="n">
        <v>158.3531434625</v>
      </c>
      <c r="C3144" s="13" t="n"/>
      <c r="D3144" s="3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5">
      <c r="A3145" s="65" t="inlineStr">
        <is>
          <t>01/02/2016</t>
        </is>
      </c>
      <c r="B3145" s="8" t="n">
        <v>155.6986793772</v>
      </c>
      <c r="C3145" s="13" t="n"/>
      <c r="D3145" s="3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6">
      <c r="A3146" s="65" t="inlineStr">
        <is>
          <t>02/02/2016</t>
        </is>
      </c>
      <c r="B3146" s="8" t="n">
        <v>154.7420919</v>
      </c>
      <c r="C3146" s="13" t="n"/>
      <c r="D3146" s="3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7">
      <c r="A3147" s="65" t="inlineStr">
        <is>
          <t>03/02/2016</t>
        </is>
      </c>
      <c r="B3147" s="8" t="n">
        <v>154.5170124936</v>
      </c>
      <c r="C3147" s="13" t="n"/>
      <c r="D3147" s="3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8">
      <c r="A3148" s="65" t="inlineStr">
        <is>
          <t>04/02/2016</t>
        </is>
      </c>
      <c r="B3148" s="8" t="n">
        <v>154.1981500012</v>
      </c>
      <c r="C3148" s="13" t="n"/>
      <c r="D3148" s="3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9">
      <c r="A3149" s="65" t="inlineStr">
        <is>
          <t>05/02/2016</t>
        </is>
      </c>
      <c r="B3149" s="8" t="n">
        <v>154.366959556</v>
      </c>
      <c r="C3149" s="13" t="n"/>
      <c r="D3149" s="3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0">
      <c r="A3150" s="65" t="inlineStr">
        <is>
          <t>10/02/2016</t>
        </is>
      </c>
      <c r="B3150" s="8" t="n">
        <v>153.8417742744</v>
      </c>
      <c r="C3150" s="13" t="n"/>
      <c r="D3150" s="3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1">
      <c r="A3151" s="65" t="inlineStr">
        <is>
          <t>11/02/2016</t>
        </is>
      </c>
      <c r="B3151" s="8" t="n">
        <v>153.4478853132</v>
      </c>
      <c r="C3151" s="13" t="n"/>
      <c r="D3151" s="3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2">
      <c r="A3152" s="65" t="inlineStr">
        <is>
          <t>12/02/2016</t>
        </is>
      </c>
      <c r="B3152" s="8" t="n">
        <v>153.0352397348</v>
      </c>
      <c r="C3152" s="13" t="n"/>
      <c r="D3152" s="3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3">
      <c r="A3153" s="65" t="inlineStr">
        <is>
          <t>15/02/2016</t>
        </is>
      </c>
      <c r="B3153" s="8" t="n">
        <v>152.6413507736</v>
      </c>
      <c r="C3153" s="13" t="n"/>
      <c r="D3153" s="3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4">
      <c r="A3154" s="65" t="inlineStr">
        <is>
          <t>16/02/2016</t>
        </is>
      </c>
      <c r="B3154" s="8" t="n">
        <v>152.6225941564</v>
      </c>
      <c r="C3154" s="13" t="n"/>
      <c r="D3154" s="3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5">
      <c r="A3155" s="65" t="inlineStr">
        <is>
          <t>17/02/2016</t>
        </is>
      </c>
      <c r="B3155" s="8" t="n">
        <v>151.4034140384</v>
      </c>
      <c r="C3155" s="13" t="n"/>
      <c r="D3155" s="3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6">
      <c r="A3156" s="65" t="inlineStr">
        <is>
          <t>18/02/2016</t>
        </is>
      </c>
      <c r="B3156" s="8" t="n">
        <v>151.5159537416</v>
      </c>
      <c r="C3156" s="13" t="n"/>
      <c r="D3156" s="3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7">
      <c r="A3157" s="65" t="inlineStr">
        <is>
          <t>19/02/2016</t>
        </is>
      </c>
      <c r="B3157" s="8" t="n">
        <v>151.4971971244</v>
      </c>
      <c r="C3157" s="13" t="n"/>
      <c r="D3157" s="3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8">
      <c r="A3158" s="65" t="inlineStr">
        <is>
          <t>22/02/2016</t>
        </is>
      </c>
      <c r="B3158" s="8" t="n">
        <v>151.9661125544</v>
      </c>
      <c r="C3158" s="13" t="n"/>
      <c r="D3158" s="3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9">
      <c r="A3159" s="65" t="inlineStr">
        <is>
          <t>23/02/2016</t>
        </is>
      </c>
      <c r="B3159" s="8" t="n">
        <v>151.553466976</v>
      </c>
      <c r="C3159" s="13" t="n"/>
      <c r="D3159" s="3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0">
      <c r="A3160" s="65" t="inlineStr">
        <is>
          <t>24/02/2016</t>
        </is>
      </c>
      <c r="B3160" s="8" t="n">
        <v>150.2967736236</v>
      </c>
      <c r="C3160" s="13" t="n"/>
      <c r="D3160" s="3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1">
      <c r="A3161" s="65" t="inlineStr">
        <is>
          <t>25/02/2016</t>
        </is>
      </c>
      <c r="B3161" s="8" t="n">
        <v>149.5277523184</v>
      </c>
      <c r="C3161" s="13" t="n"/>
      <c r="D3161" s="3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2">
      <c r="A3162" s="65" t="inlineStr">
        <is>
          <t>26/02/2016</t>
        </is>
      </c>
      <c r="B3162" s="8" t="n">
        <v>149.7903449592</v>
      </c>
      <c r="C3162" s="13" t="n"/>
      <c r="D3162" s="3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3">
      <c r="A3163" s="65" t="inlineStr">
        <is>
          <t>29/02/2016</t>
        </is>
      </c>
      <c r="B3163" s="8" t="n">
        <v>148.9838104196</v>
      </c>
      <c r="C3163" s="13" t="n"/>
      <c r="D3163" s="3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4">
      <c r="A3164" s="65" t="inlineStr">
        <is>
          <t>01/03/2016</t>
        </is>
      </c>
      <c r="B3164" s="8" t="n">
        <v>147.4067445762</v>
      </c>
      <c r="C3164" s="13" t="n"/>
      <c r="D3164" s="3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5">
      <c r="A3165" s="65" t="inlineStr">
        <is>
          <t>02/03/2016</t>
        </is>
      </c>
      <c r="B3165" s="8" t="n">
        <v>147.2201301382</v>
      </c>
      <c r="C3165" s="13" t="n"/>
      <c r="D3165" s="3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6">
      <c r="A3166" s="65" t="inlineStr">
        <is>
          <t>03/03/2016</t>
        </is>
      </c>
      <c r="B3166" s="8" t="n">
        <v>146.6976097118</v>
      </c>
      <c r="C3166" s="13" t="n"/>
      <c r="D3166" s="3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7">
      <c r="A3167" s="65" t="inlineStr">
        <is>
          <t>04/03/2016</t>
        </is>
      </c>
      <c r="B3167" s="8" t="n">
        <v>146.399026611</v>
      </c>
      <c r="C3167" s="13" t="n"/>
      <c r="D3167" s="3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8">
      <c r="A3168" s="65" t="inlineStr">
        <is>
          <t>07/03/2016</t>
        </is>
      </c>
      <c r="B3168" s="8" t="n">
        <v>146.0631206226</v>
      </c>
      <c r="C3168" s="13" t="n"/>
      <c r="D3168" s="3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9">
      <c r="A3169" s="65" t="inlineStr">
        <is>
          <t>08/03/2016</t>
        </is>
      </c>
      <c r="B3169" s="8" t="n">
        <v>145.9511519598</v>
      </c>
      <c r="C3169" s="13" t="n"/>
      <c r="D3169" s="3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0">
      <c r="A3170" s="65" t="inlineStr">
        <is>
          <t>09/03/2016</t>
        </is>
      </c>
      <c r="B3170" s="8" t="n">
        <v>145.6898917466</v>
      </c>
      <c r="C3170" s="13" t="n"/>
      <c r="D3170" s="3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1">
      <c r="A3171" s="65" t="inlineStr">
        <is>
          <t>10/03/2016</t>
        </is>
      </c>
      <c r="B3171" s="8" t="n">
        <v>146.1004435102</v>
      </c>
      <c r="C3171" s="13" t="n"/>
      <c r="D3171" s="3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2">
      <c r="A3172" s="65" t="inlineStr">
        <is>
          <t>11/03/2016</t>
        </is>
      </c>
      <c r="B3172" s="8" t="n">
        <v>145.1487098764</v>
      </c>
      <c r="C3172" s="13" t="n"/>
      <c r="D3172" s="3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3">
      <c r="A3173" s="65" t="inlineStr">
        <is>
          <t>14/03/2016</t>
        </is>
      </c>
      <c r="B3173" s="8" t="n">
        <v>145.3913086458</v>
      </c>
      <c r="C3173" s="13" t="n"/>
      <c r="D3173" s="3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4">
      <c r="A3174" s="65" t="inlineStr">
        <is>
          <t>15/03/2016</t>
        </is>
      </c>
      <c r="B3174" s="8" t="n">
        <v>144.812803888</v>
      </c>
      <c r="C3174" s="13" t="n"/>
      <c r="D3174" s="3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5">
      <c r="A3175" s="65" t="inlineStr">
        <is>
          <t>16/03/2016</t>
        </is>
      </c>
      <c r="B3175" s="8" t="n">
        <v>143.599810041</v>
      </c>
      <c r="C3175" s="13" t="n"/>
      <c r="D3175" s="3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6">
      <c r="A3176" s="65" t="inlineStr">
        <is>
          <t>17/03/2016</t>
        </is>
      </c>
      <c r="B3176" s="8" t="n">
        <v>142.8906751766</v>
      </c>
      <c r="C3176" s="13" t="n"/>
      <c r="D3176" s="3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7">
      <c r="A3177" s="65" t="inlineStr">
        <is>
          <t>18/03/2016</t>
        </is>
      </c>
      <c r="B3177" s="8" t="n">
        <v>142.3681547502</v>
      </c>
      <c r="C3177" s="13" t="n"/>
      <c r="D3177" s="3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8">
      <c r="A3178" s="65" t="inlineStr">
        <is>
          <t>21/03/2016</t>
        </is>
      </c>
      <c r="B3178" s="8" t="n">
        <v>143.0586281708</v>
      </c>
      <c r="C3178" s="13" t="n"/>
      <c r="D3178" s="3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9">
      <c r="A3179" s="65" t="inlineStr">
        <is>
          <t>22/03/2016</t>
        </is>
      </c>
      <c r="B3179" s="8" t="n">
        <v>142.7973679576</v>
      </c>
      <c r="C3179" s="13" t="n"/>
      <c r="D3179" s="3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0">
      <c r="A3180" s="65" t="inlineStr">
        <is>
          <t>23/03/2016</t>
        </is>
      </c>
      <c r="B3180" s="8" t="n">
        <v>142.4614619692</v>
      </c>
      <c r="C3180" s="13" t="n"/>
      <c r="D3180" s="3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1">
      <c r="A3181" s="65" t="inlineStr">
        <is>
          <t>24/03/2016</t>
        </is>
      </c>
      <c r="B3181" s="8" t="n">
        <v>143.3572112716</v>
      </c>
      <c r="C3181" s="13" t="n"/>
      <c r="D3181" s="3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2">
      <c r="A3182" s="65" t="inlineStr">
        <is>
          <t>28/03/2016</t>
        </is>
      </c>
      <c r="B3182" s="8" t="n">
        <v>143.3945341592</v>
      </c>
      <c r="C3182" s="13" t="n"/>
      <c r="D3182" s="3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3">
      <c r="A3183" s="65" t="inlineStr">
        <is>
          <t>29/03/2016</t>
        </is>
      </c>
      <c r="B3183" s="8" t="n">
        <v>143.133273946</v>
      </c>
      <c r="C3183" s="13" t="n"/>
      <c r="D3183" s="3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4">
      <c r="A3184" s="65" t="inlineStr">
        <is>
          <t>30/03/2016</t>
        </is>
      </c>
      <c r="B3184" s="8" t="n">
        <v>143.0959510584</v>
      </c>
      <c r="C3184" s="13" t="n"/>
      <c r="D3184" s="3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5">
      <c r="A3185" s="65" t="inlineStr">
        <is>
          <t>31/03/2016</t>
        </is>
      </c>
      <c r="B3185" s="8" t="n">
        <v>143.0213052832</v>
      </c>
      <c r="C3185" s="13" t="n"/>
      <c r="D3185" s="3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6">
      <c r="A3186" s="65" t="inlineStr">
        <is>
          <t>01/04/2016</t>
        </is>
      </c>
      <c r="B3186" s="8" t="n">
        <v>142.5508874304</v>
      </c>
      <c r="C3186" s="13" t="n"/>
      <c r="D3186" s="3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7">
      <c r="A3187" s="65" t="inlineStr">
        <is>
          <t>04/04/2016</t>
        </is>
      </c>
      <c r="B3187" s="8" t="n">
        <v>142.1416860312</v>
      </c>
      <c r="C3187" s="13" t="n"/>
      <c r="D3187" s="3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8">
      <c r="A3188" s="65" t="inlineStr">
        <is>
          <t>05/04/2016</t>
        </is>
      </c>
      <c r="B3188" s="8" t="n">
        <v>142.3462867308</v>
      </c>
      <c r="C3188" s="13" t="n"/>
      <c r="D3188" s="3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9">
      <c r="A3189" s="65" t="inlineStr">
        <is>
          <t>06/04/2016</t>
        </is>
      </c>
      <c r="B3189" s="8" t="n">
        <v>141.6766844412</v>
      </c>
      <c r="C3189" s="13" t="n"/>
      <c r="D3189" s="3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0">
      <c r="A3190" s="65" t="inlineStr">
        <is>
          <t>07/04/2016</t>
        </is>
      </c>
      <c r="B3190" s="8" t="n">
        <v>141.8812851408</v>
      </c>
      <c r="C3190" s="13" t="n"/>
      <c r="D3190" s="3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1">
      <c r="A3191" s="65" t="inlineStr">
        <is>
          <t>08/04/2016</t>
        </is>
      </c>
      <c r="B3191" s="8" t="n">
        <v>141.5092838688</v>
      </c>
      <c r="C3191" s="13" t="n"/>
      <c r="D3191" s="3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2">
      <c r="A3192" s="65" t="inlineStr">
        <is>
          <t>11/04/2016</t>
        </is>
      </c>
      <c r="B3192" s="8" t="n">
        <v>140.7280811976</v>
      </c>
      <c r="C3192" s="13" t="n"/>
      <c r="D3192" s="3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3">
      <c r="A3193" s="65" t="inlineStr">
        <is>
          <t>12/04/2016</t>
        </is>
      </c>
      <c r="B3193" s="8" t="n">
        <v>141.174482724</v>
      </c>
      <c r="C3193" s="13" t="n"/>
      <c r="D3193" s="3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4">
      <c r="A3194" s="65" t="inlineStr">
        <is>
          <t>13/04/2016</t>
        </is>
      </c>
      <c r="B3194" s="8" t="n">
        <v>141.1372825968</v>
      </c>
      <c r="C3194" s="13" t="n"/>
      <c r="D3194" s="3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5">
      <c r="A3195" s="65" t="inlineStr">
        <is>
          <t>14/04/2016</t>
        </is>
      </c>
      <c r="B3195" s="8" t="n">
        <v>140.616480816</v>
      </c>
      <c r="C3195" s="13" t="n"/>
      <c r="D3195" s="3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6">
      <c r="A3196" s="65" t="inlineStr">
        <is>
          <t>15/04/2016</t>
        </is>
      </c>
      <c r="B3196" s="8" t="n">
        <v>141.1372825968</v>
      </c>
      <c r="C3196" s="13" t="n"/>
      <c r="D3196" s="3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7">
      <c r="A3197" s="65" t="inlineStr">
        <is>
          <t>18/04/2016</t>
        </is>
      </c>
      <c r="B3197" s="8" t="n">
        <v>142.2160862856</v>
      </c>
      <c r="C3197" s="13" t="n"/>
      <c r="D3197" s="3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8">
      <c r="A3198" s="65" t="inlineStr">
        <is>
          <t>19/04/2016</t>
        </is>
      </c>
      <c r="B3198" s="8" t="n">
        <v>141.36048336</v>
      </c>
      <c r="C3198" s="13" t="n"/>
      <c r="D3198" s="3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9">
      <c r="A3199" s="65" t="inlineStr">
        <is>
          <t>20/04/2016</t>
        </is>
      </c>
      <c r="B3199" s="8" t="n">
        <v>140.6350808796</v>
      </c>
      <c r="C3199" s="13" t="n"/>
      <c r="D3199" s="3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0">
      <c r="A3200" s="65" t="inlineStr">
        <is>
          <t>22/04/2016</t>
        </is>
      </c>
      <c r="B3200" s="8" t="n">
        <v>141.081482406</v>
      </c>
      <c r="C3200" s="13" t="n"/>
      <c r="D3200" s="3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1">
      <c r="A3201" s="65" t="inlineStr">
        <is>
          <t>25/04/2016</t>
        </is>
      </c>
      <c r="B3201" s="8" t="n">
        <v>141.82548495</v>
      </c>
      <c r="C3201" s="13" t="n"/>
      <c r="D3201" s="3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2">
      <c r="A3202" s="65" t="inlineStr">
        <is>
          <t>26/04/2016</t>
        </is>
      </c>
      <c r="B3202" s="8" t="n">
        <v>141.7510846956</v>
      </c>
      <c r="C3202" s="13" t="n"/>
      <c r="D3202" s="3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3">
      <c r="A3203" s="65" t="inlineStr">
        <is>
          <t>27/04/2016</t>
        </is>
      </c>
      <c r="B3203" s="8" t="n">
        <v>141.1186825332</v>
      </c>
      <c r="C3203" s="13" t="n"/>
      <c r="D3203" s="3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4">
      <c r="A3204" s="65" t="inlineStr">
        <is>
          <t>28/04/2016</t>
        </is>
      </c>
      <c r="B3204" s="8" t="n">
        <v>140.3002797348</v>
      </c>
      <c r="C3204" s="13" t="n"/>
      <c r="D3204" s="3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5">
      <c r="A3205" s="65" t="inlineStr">
        <is>
          <t>29/04/2016</t>
        </is>
      </c>
      <c r="B3205" s="8" t="n">
        <v>139.8352781448</v>
      </c>
      <c r="C3205" s="13" t="n"/>
      <c r="D3205" s="3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6">
      <c r="A3206" s="65" t="inlineStr">
        <is>
          <t>02/05/2016</t>
        </is>
      </c>
      <c r="B3206" s="8" t="n">
        <v>139.2145210456</v>
      </c>
      <c r="C3206" s="13" t="n"/>
      <c r="D3206" s="3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7">
      <c r="A3207" s="65" t="inlineStr">
        <is>
          <t>03/05/2016</t>
        </is>
      </c>
      <c r="B3207" s="8" t="n">
        <v>138.1075940296</v>
      </c>
      <c r="C3207" s="13" t="n"/>
      <c r="D3207" s="3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8">
      <c r="A3208" s="65" t="inlineStr">
        <is>
          <t>04/05/2016</t>
        </is>
      </c>
      <c r="B3208" s="8" t="n">
        <v>138.642608754</v>
      </c>
      <c r="C3208" s="13" t="n"/>
      <c r="D3208" s="3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9">
      <c r="A3209" s="65" t="inlineStr">
        <is>
          <t>05/05/2016</t>
        </is>
      </c>
      <c r="B3209" s="8" t="n">
        <v>138.6057111868</v>
      </c>
      <c r="C3209" s="13" t="n"/>
      <c r="D3209" s="3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0">
      <c r="A3210" s="65" t="inlineStr">
        <is>
          <t>06/05/2016</t>
        </is>
      </c>
      <c r="B3210" s="8" t="n">
        <v>138.9562380752</v>
      </c>
      <c r="C3210" s="13" t="n"/>
      <c r="D3210" s="3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1">
      <c r="A3211" s="65" t="inlineStr">
        <is>
          <t>09/05/2016</t>
        </is>
      </c>
      <c r="B3211" s="8" t="n">
        <v>139.28831618</v>
      </c>
      <c r="C3211" s="13" t="n"/>
      <c r="D3211" s="3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2">
      <c r="A3212" s="65" t="inlineStr">
        <is>
          <t>10/05/2016</t>
        </is>
      </c>
      <c r="B3212" s="8" t="n">
        <v>138.7717502392</v>
      </c>
      <c r="C3212" s="13" t="n"/>
      <c r="D3212" s="3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3">
      <c r="A3213" s="65" t="inlineStr">
        <is>
          <t>11/05/2016</t>
        </is>
      </c>
      <c r="B3213" s="8" t="n">
        <v>138.7901990228</v>
      </c>
      <c r="C3213" s="13" t="n"/>
      <c r="D3213" s="3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4">
      <c r="A3214" s="65" t="inlineStr">
        <is>
          <t>12/05/2016</t>
        </is>
      </c>
      <c r="B3214" s="8" t="n">
        <v>138.6057111868</v>
      </c>
      <c r="C3214" s="13" t="n"/>
      <c r="D3214" s="3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5">
      <c r="A3215" s="65" t="inlineStr">
        <is>
          <t>13/05/2016</t>
        </is>
      </c>
      <c r="B3215" s="8" t="n">
        <v>138.1444915968</v>
      </c>
      <c r="C3215" s="13" t="n"/>
      <c r="D3215" s="3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6">
      <c r="A3216" s="65" t="inlineStr">
        <is>
          <t>16/05/2016</t>
        </is>
      </c>
      <c r="B3216" s="8" t="n">
        <v>139.1591746948</v>
      </c>
      <c r="C3216" s="13" t="n"/>
      <c r="D3216" s="3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7">
      <c r="A3217" s="65" t="inlineStr">
        <is>
          <t>17/05/2016</t>
        </is>
      </c>
      <c r="B3217" s="8" t="n">
        <v>139.1776234784</v>
      </c>
      <c r="C3217" s="13" t="n"/>
      <c r="D3217" s="3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8">
      <c r="A3218" s="65" t="inlineStr">
        <is>
          <t>18/05/2016</t>
        </is>
      </c>
      <c r="B3218" s="8" t="n">
        <v>139.6941894192</v>
      </c>
      <c r="C3218" s="13" t="n"/>
      <c r="D3218" s="3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9">
      <c r="A3219" s="65" t="inlineStr">
        <is>
          <t>19/05/2016</t>
        </is>
      </c>
      <c r="B3219" s="8" t="n">
        <v>139.7126382028</v>
      </c>
      <c r="C3219" s="13" t="n"/>
      <c r="D3219" s="3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0">
      <c r="A3220" s="65" t="inlineStr">
        <is>
          <t>20/05/2016</t>
        </is>
      </c>
      <c r="B3220" s="8" t="n">
        <v>140.2476529272</v>
      </c>
      <c r="C3220" s="13" t="n"/>
      <c r="D3220" s="3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1">
      <c r="A3221" s="65" t="inlineStr">
        <is>
          <t>23/05/2016</t>
        </is>
      </c>
      <c r="B3221" s="8" t="n">
        <v>140.7826676516</v>
      </c>
      <c r="C3221" s="13" t="n"/>
      <c r="D3221" s="3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2">
      <c r="A3222" s="65" t="inlineStr">
        <is>
          <t>24/05/2016</t>
        </is>
      </c>
      <c r="B3222" s="8" t="n">
        <v>140.21075536</v>
      </c>
      <c r="C3222" s="13" t="n"/>
      <c r="D3222" s="3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3">
      <c r="A3223" s="65" t="inlineStr">
        <is>
          <t>25/05/2016</t>
        </is>
      </c>
      <c r="B3223" s="8" t="n">
        <v>140.5981798156</v>
      </c>
      <c r="C3223" s="13" t="n"/>
      <c r="D3223" s="3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4">
      <c r="A3224" s="65" t="inlineStr">
        <is>
          <t>27/05/2016</t>
        </is>
      </c>
      <c r="B3224" s="8" t="n">
        <v>140.8933603532</v>
      </c>
      <c r="C3224" s="13" t="n"/>
      <c r="D3224" s="3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5">
      <c r="A3225" s="65" t="inlineStr">
        <is>
          <t>30/05/2016</t>
        </is>
      </c>
      <c r="B3225" s="8" t="n">
        <v>141.963389802</v>
      </c>
      <c r="C3225" s="13" t="n"/>
      <c r="D3225" s="3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6">
      <c r="A3226" s="65" t="inlineStr">
        <is>
          <t>31/05/2016</t>
        </is>
      </c>
      <c r="B3226" s="8" t="n">
        <v>142.5537508772</v>
      </c>
      <c r="C3226" s="13" t="n"/>
      <c r="D3226" s="3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7">
      <c r="A3227" s="65" t="inlineStr">
        <is>
          <t>01/06/2016</t>
        </is>
      </c>
      <c r="B3227" s="8" t="n">
        <v>140.5474738829</v>
      </c>
      <c r="C3227" s="13" t="n"/>
      <c r="D3227" s="3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8">
      <c r="A3228" s="65" t="inlineStr">
        <is>
          <t>02/06/2016</t>
        </is>
      </c>
      <c r="B3228" s="8" t="n">
        <v>142.0169905196</v>
      </c>
      <c r="C3228" s="13" t="n"/>
      <c r="D3228" s="3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9">
      <c r="A3229" s="65" t="inlineStr">
        <is>
          <t>03/06/2016</t>
        </is>
      </c>
      <c r="B3229" s="8" t="n">
        <v>143.32322753</v>
      </c>
      <c r="C3229" s="13" t="n"/>
      <c r="D3229" s="3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0">
      <c r="A3230" s="65" t="inlineStr">
        <is>
          <t>06/06/2016</t>
        </is>
      </c>
      <c r="B3230" s="8" t="n">
        <v>144.8653128895</v>
      </c>
      <c r="C3230" s="13" t="n"/>
      <c r="D3230" s="3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1">
      <c r="A3231" s="65" t="inlineStr">
        <is>
          <t>07/06/2016</t>
        </is>
      </c>
      <c r="B3231" s="8" t="n">
        <v>145.5184313947</v>
      </c>
      <c r="C3231" s="13" t="n"/>
      <c r="D3231" s="3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2">
      <c r="A3232" s="65" t="inlineStr">
        <is>
          <t>08/06/2016</t>
        </is>
      </c>
      <c r="B3232" s="8" t="n">
        <v>146.8065262244</v>
      </c>
      <c r="C3232" s="13" t="n"/>
      <c r="D3232" s="3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3">
      <c r="A3233" s="65" t="inlineStr">
        <is>
          <t>09/06/2016</t>
        </is>
      </c>
      <c r="B3233" s="8" t="n">
        <v>149.3645737031</v>
      </c>
      <c r="C3233" s="13" t="n"/>
      <c r="D3233" s="3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4">
      <c r="A3234" s="65" t="inlineStr">
        <is>
          <t>10/06/2016</t>
        </is>
      </c>
      <c r="B3234" s="8" t="n">
        <v>149.8362704013</v>
      </c>
      <c r="C3234" s="13" t="n"/>
      <c r="D3234" s="3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5">
      <c r="A3235" s="65" t="inlineStr">
        <is>
          <t>13/06/2016</t>
        </is>
      </c>
      <c r="B3235" s="8" t="n">
        <v>150.7796637977</v>
      </c>
      <c r="C3235" s="13" t="n"/>
      <c r="D3235" s="3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6">
      <c r="A3236" s="65" t="inlineStr">
        <is>
          <t>14/06/2016</t>
        </is>
      </c>
      <c r="B3236" s="8" t="n">
        <v>152.575739687</v>
      </c>
      <c r="C3236" s="13" t="n"/>
      <c r="D3236" s="3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7">
      <c r="A3237" s="65" t="inlineStr">
        <is>
          <t>15/06/2016</t>
        </is>
      </c>
      <c r="B3237" s="8" t="n">
        <v>152.9022989396</v>
      </c>
      <c r="C3237" s="13" t="n"/>
      <c r="D3237" s="3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8">
      <c r="A3238" s="65" t="inlineStr">
        <is>
          <t>16/06/2016</t>
        </is>
      </c>
      <c r="B3238" s="8" t="n">
        <v>153.9908297816</v>
      </c>
      <c r="C3238" s="13" t="n"/>
      <c r="D3238" s="3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9">
      <c r="A3239" s="65" t="inlineStr">
        <is>
          <t>17/06/2016</t>
        </is>
      </c>
      <c r="B3239" s="8" t="n">
        <v>154.7346591903</v>
      </c>
      <c r="C3239" s="13" t="n"/>
      <c r="D3239" s="3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0">
      <c r="A3240" s="65" t="inlineStr">
        <is>
          <t>20/06/2016</t>
        </is>
      </c>
      <c r="B3240" s="8" t="n">
        <v>156.1134649235</v>
      </c>
      <c r="C3240" s="13" t="n"/>
      <c r="D3240" s="3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1">
      <c r="A3241" s="65" t="inlineStr">
        <is>
          <t>21/06/2016</t>
        </is>
      </c>
      <c r="B3241" s="8" t="n">
        <v>157.0568583199</v>
      </c>
      <c r="C3241" s="13" t="n"/>
      <c r="D3241" s="3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2">
      <c r="A3242" s="65" t="inlineStr">
        <is>
          <t>22/06/2016</t>
        </is>
      </c>
      <c r="B3242" s="8" t="n">
        <v>157.0750005006</v>
      </c>
      <c r="C3242" s="13" t="n"/>
      <c r="D3242" s="3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3">
      <c r="A3243" s="65" t="inlineStr">
        <is>
          <t>23/06/2016</t>
        </is>
      </c>
      <c r="B3243" s="8" t="n">
        <v>157.6011237409</v>
      </c>
      <c r="C3243" s="13" t="n"/>
      <c r="D3243" s="3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4">
      <c r="A3244" s="65" t="inlineStr">
        <is>
          <t>24/06/2016</t>
        </is>
      </c>
      <c r="B3244" s="8" t="n">
        <v>158.562659318</v>
      </c>
      <c r="C3244" s="13" t="n"/>
      <c r="D3244" s="3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5">
      <c r="A3245" s="65" t="inlineStr">
        <is>
          <t>27/06/2016</t>
        </is>
      </c>
      <c r="B3245" s="8" t="n">
        <v>158.3630953303</v>
      </c>
      <c r="C3245" s="13" t="n"/>
      <c r="D3245" s="3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6">
      <c r="A3246" s="65" t="inlineStr">
        <is>
          <t>28/06/2016</t>
        </is>
      </c>
      <c r="B3246" s="8" t="n">
        <v>158.9617872934</v>
      </c>
      <c r="C3246" s="13" t="n"/>
      <c r="D3246" s="3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7">
      <c r="A3247" s="65" t="inlineStr">
        <is>
          <t>29/06/2016</t>
        </is>
      </c>
      <c r="B3247" s="8" t="n">
        <v>159.8870385091</v>
      </c>
      <c r="C3247" s="13" t="n"/>
      <c r="D3247" s="3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8">
      <c r="A3248" s="65" t="inlineStr">
        <is>
          <t>30/06/2016</t>
        </is>
      </c>
      <c r="B3248" s="8" t="n">
        <v>159.3971996302</v>
      </c>
      <c r="C3248" s="13" t="n"/>
      <c r="D3248" s="3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9">
      <c r="A3249" s="65" t="inlineStr">
        <is>
          <t>01/07/2016</t>
        </is>
      </c>
      <c r="B3249" s="8" t="n">
        <v>159.183238965</v>
      </c>
      <c r="C3249" s="13" t="n"/>
      <c r="D3249" s="3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0">
      <c r="A3250" s="65" t="inlineStr">
        <is>
          <t>04/07/2016</t>
        </is>
      </c>
      <c r="B3250" s="8" t="n">
        <v>159.3643348</v>
      </c>
      <c r="C3250" s="13" t="n"/>
      <c r="D3250" s="3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1">
      <c r="A3251" s="65" t="inlineStr">
        <is>
          <t>05/07/2016</t>
        </is>
      </c>
      <c r="B3251" s="8" t="n">
        <v>159.8532935545</v>
      </c>
      <c r="C3251" s="13" t="n"/>
      <c r="D3251" s="3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2">
      <c r="A3252" s="65" t="inlineStr">
        <is>
          <t>06/07/2016</t>
        </is>
      </c>
      <c r="B3252" s="8" t="n">
        <v>158.748608961</v>
      </c>
      <c r="C3252" s="13" t="n"/>
      <c r="D3252" s="3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3">
      <c r="A3253" s="65" t="inlineStr">
        <is>
          <t>07/07/2016</t>
        </is>
      </c>
      <c r="B3253" s="8" t="n">
        <v>158.6942802105</v>
      </c>
      <c r="C3253" s="13" t="n"/>
      <c r="D3253" s="3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4">
      <c r="A3254" s="65" t="inlineStr">
        <is>
          <t>08/07/2016</t>
        </is>
      </c>
      <c r="B3254" s="8" t="n">
        <v>157.517157283</v>
      </c>
      <c r="C3254" s="13" t="n"/>
      <c r="D3254" s="3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5">
      <c r="A3255" s="65" t="inlineStr">
        <is>
          <t>11/07/2016</t>
        </is>
      </c>
      <c r="B3255" s="8" t="n">
        <v>157.3541710315</v>
      </c>
      <c r="C3255" s="13" t="n"/>
      <c r="D3255" s="3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6">
      <c r="A3256" s="65" t="inlineStr">
        <is>
          <t>12/07/2016</t>
        </is>
      </c>
      <c r="B3256" s="8" t="n">
        <v>156.1951576875</v>
      </c>
      <c r="C3256" s="13" t="n"/>
      <c r="D3256" s="3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7">
      <c r="A3257" s="65" t="inlineStr">
        <is>
          <t>13/07/2016</t>
        </is>
      </c>
      <c r="B3257" s="8" t="n">
        <v>155.995952269</v>
      </c>
      <c r="C3257" s="13" t="n"/>
      <c r="D3257" s="3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8">
      <c r="A3258" s="65" t="inlineStr">
        <is>
          <t>14/07/2016</t>
        </is>
      </c>
      <c r="B3258" s="8" t="n">
        <v>155.9778426855</v>
      </c>
      <c r="C3258" s="13" t="n"/>
      <c r="D3258" s="3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9">
      <c r="A3259" s="65" t="inlineStr">
        <is>
          <t>15/07/2016</t>
        </is>
      </c>
      <c r="B3259" s="8" t="n">
        <v>156.4486918565</v>
      </c>
      <c r="C3259" s="13" t="n"/>
      <c r="D3259" s="3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0">
      <c r="A3260" s="65" t="inlineStr">
        <is>
          <t>18/07/2016</t>
        </is>
      </c>
      <c r="B3260" s="8" t="n">
        <v>155.525103098</v>
      </c>
      <c r="C3260" s="13" t="n"/>
      <c r="D3260" s="3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1">
      <c r="A3261" s="65" t="inlineStr">
        <is>
          <t>19/07/2016</t>
        </is>
      </c>
      <c r="B3261" s="8" t="n">
        <v>155.959733102</v>
      </c>
      <c r="C3261" s="13" t="n"/>
      <c r="D3261" s="3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2">
      <c r="A3262" s="65" t="inlineStr">
        <is>
          <t>20/07/2016</t>
        </is>
      </c>
      <c r="B3262" s="8" t="n">
        <v>155.9416235185</v>
      </c>
      <c r="C3262" s="13" t="n"/>
      <c r="D3262" s="3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3">
      <c r="A3263" s="65" t="inlineStr">
        <is>
          <t>21/07/2016</t>
        </is>
      </c>
      <c r="B3263" s="8" t="n">
        <v>156.82899311</v>
      </c>
      <c r="C3263" s="13" t="n"/>
      <c r="D3263" s="3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4">
      <c r="A3264" s="65" t="inlineStr">
        <is>
          <t>22/07/2016</t>
        </is>
      </c>
      <c r="B3264" s="8" t="n">
        <v>157.154965613</v>
      </c>
      <c r="C3264" s="13" t="n"/>
      <c r="D3264" s="3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5">
      <c r="A3265" s="65" t="inlineStr">
        <is>
          <t>25/07/2016</t>
        </is>
      </c>
      <c r="B3265" s="8" t="n">
        <v>156.3038151885</v>
      </c>
      <c r="C3265" s="13" t="n"/>
      <c r="D3265" s="3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6">
      <c r="A3266" s="65" t="inlineStr">
        <is>
          <t>26/07/2016</t>
        </is>
      </c>
      <c r="B3266" s="8" t="n">
        <v>155.7243085165</v>
      </c>
      <c r="C3266" s="13" t="n"/>
      <c r="D3266" s="3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7">
      <c r="A3267" s="65" t="inlineStr">
        <is>
          <t>27/07/2016</t>
        </is>
      </c>
      <c r="B3267" s="8" t="n">
        <v>155.271568929</v>
      </c>
      <c r="C3267" s="13" t="n"/>
      <c r="D3267" s="3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8">
      <c r="A3268" s="65" t="inlineStr">
        <is>
          <t>28/07/2016</t>
        </is>
      </c>
      <c r="B3268" s="8" t="n">
        <v>155.923513935</v>
      </c>
      <c r="C3268" s="13" t="n"/>
      <c r="D3268" s="3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9">
      <c r="A3269" s="65" t="inlineStr">
        <is>
          <t>29/07/2016</t>
        </is>
      </c>
      <c r="B3269" s="8" t="n">
        <v>155.5069935145</v>
      </c>
      <c r="C3269" s="13" t="n"/>
      <c r="D3269" s="3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0">
      <c r="A3270" s="65" t="inlineStr">
        <is>
          <t>01/08/2016</t>
        </is>
      </c>
      <c r="B3270" s="8" t="n">
        <v>154.2252996342</v>
      </c>
      <c r="C3270" s="13" t="n"/>
      <c r="D3270" s="3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1">
      <c r="A3271" s="65" t="inlineStr">
        <is>
          <t>02/08/2016</t>
        </is>
      </c>
      <c r="B3271" s="8" t="n">
        <v>154.2976294734</v>
      </c>
      <c r="C3271" s="13" t="n"/>
      <c r="D3271" s="3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2">
      <c r="A3272" s="65" t="inlineStr">
        <is>
          <t>03/08/2016</t>
        </is>
      </c>
      <c r="B3272" s="8" t="n">
        <v>154.2795470136</v>
      </c>
      <c r="C3272" s="13" t="n"/>
      <c r="D3272" s="3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3">
      <c r="A3273" s="65" t="inlineStr">
        <is>
          <t>04/08/2016</t>
        </is>
      </c>
      <c r="B3273" s="8" t="n">
        <v>154.9847629458</v>
      </c>
      <c r="C3273" s="13" t="n"/>
      <c r="D3273" s="3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4">
      <c r="A3274" s="65" t="inlineStr">
        <is>
          <t>05/08/2016</t>
        </is>
      </c>
      <c r="B3274" s="8" t="n">
        <v>154.9124331066</v>
      </c>
      <c r="C3274" s="13" t="n"/>
      <c r="D3274" s="3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5">
      <c r="A3275" s="65" t="inlineStr">
        <is>
          <t>08/08/2016</t>
        </is>
      </c>
      <c r="B3275" s="8" t="n">
        <v>154.785855888</v>
      </c>
      <c r="C3275" s="13" t="n"/>
      <c r="D3275" s="3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6">
      <c r="A3276" s="65" t="inlineStr">
        <is>
          <t>09/08/2016</t>
        </is>
      </c>
      <c r="B3276" s="8" t="n">
        <v>155.0028454056</v>
      </c>
      <c r="C3276" s="13" t="n"/>
      <c r="D3276" s="3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7">
      <c r="A3277" s="65" t="inlineStr">
        <is>
          <t>10/08/2016</t>
        </is>
      </c>
      <c r="B3277" s="8" t="n">
        <v>155.3644946016</v>
      </c>
      <c r="C3277" s="13" t="n"/>
      <c r="D3277" s="3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8">
      <c r="A3278" s="65" t="inlineStr">
        <is>
          <t>11/08/2016</t>
        </is>
      </c>
      <c r="B3278" s="8" t="n">
        <v>154.9847629458</v>
      </c>
      <c r="C3278" s="13" t="n"/>
      <c r="D3278" s="3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9">
      <c r="A3279" s="65" t="inlineStr">
        <is>
          <t>12/08/2016</t>
        </is>
      </c>
      <c r="B3279" s="8" t="n">
        <v>155.3464121418</v>
      </c>
      <c r="C3279" s="13" t="n"/>
      <c r="D3279" s="3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0">
      <c r="A3280" s="65" t="inlineStr">
        <is>
          <t>15/08/2016</t>
        </is>
      </c>
      <c r="B3280" s="8" t="n">
        <v>155.7442262574</v>
      </c>
      <c r="C3280" s="13" t="n"/>
      <c r="D3280" s="3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1">
      <c r="A3281" s="65" t="inlineStr">
        <is>
          <t>16/08/2016</t>
        </is>
      </c>
      <c r="B3281" s="8" t="n">
        <v>156.4313597298</v>
      </c>
      <c r="C3281" s="13" t="n"/>
      <c r="D3281" s="3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2">
      <c r="A3282" s="65" t="inlineStr">
        <is>
          <t>17/08/2016</t>
        </is>
      </c>
      <c r="B3282" s="8" t="n">
        <v>155.5814841192</v>
      </c>
      <c r="C3282" s="13" t="n"/>
      <c r="D3282" s="3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3">
      <c r="A3283" s="65" t="inlineStr">
        <is>
          <t>18/08/2016</t>
        </is>
      </c>
      <c r="B3283" s="8" t="n">
        <v>154.8581857272</v>
      </c>
      <c r="C3283" s="13" t="n"/>
      <c r="D3283" s="3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4">
      <c r="A3284" s="65" t="inlineStr">
        <is>
          <t>19/08/2016</t>
        </is>
      </c>
      <c r="B3284" s="8" t="n">
        <v>154.7677734282</v>
      </c>
      <c r="C3284" s="13" t="n"/>
      <c r="D3284" s="3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5">
      <c r="A3285" s="65" t="inlineStr">
        <is>
          <t>22/08/2016</t>
        </is>
      </c>
      <c r="B3285" s="8" t="n">
        <v>155.0390103252</v>
      </c>
      <c r="C3285" s="13" t="n"/>
      <c r="D3285" s="3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6">
      <c r="A3286" s="65" t="inlineStr">
        <is>
          <t>23/08/2016</t>
        </is>
      </c>
      <c r="B3286" s="8" t="n">
        <v>155.6176490388</v>
      </c>
      <c r="C3286" s="13" t="n"/>
      <c r="D3286" s="3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7">
      <c r="A3287" s="65" t="inlineStr">
        <is>
          <t>24/08/2016</t>
        </is>
      </c>
      <c r="B3287" s="8" t="n">
        <v>155.9250508554</v>
      </c>
      <c r="C3287" s="13" t="n"/>
      <c r="D3287" s="3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8">
      <c r="A3288" s="65" t="inlineStr">
        <is>
          <t>25/08/2016</t>
        </is>
      </c>
      <c r="B3288" s="8" t="n">
        <v>155.3464121418</v>
      </c>
      <c r="C3288" s="13" t="n"/>
      <c r="D3288" s="3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9">
      <c r="A3289" s="65" t="inlineStr">
        <is>
          <t>26/08/2016</t>
        </is>
      </c>
      <c r="B3289" s="8" t="n">
        <v>156.8472563052</v>
      </c>
      <c r="C3289" s="13" t="n"/>
      <c r="D3289" s="3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0">
      <c r="A3290" s="65" t="inlineStr">
        <is>
          <t>29/08/2016</t>
        </is>
      </c>
      <c r="B3290" s="8" t="n">
        <v>155.8346385564</v>
      </c>
      <c r="C3290" s="13" t="n"/>
      <c r="D3290" s="3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1">
      <c r="A3291" s="65" t="inlineStr">
        <is>
          <t>30/08/2016</t>
        </is>
      </c>
      <c r="B3291" s="8" t="n">
        <v>156.2867000514</v>
      </c>
      <c r="C3291" s="13" t="n"/>
      <c r="D3291" s="3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2">
      <c r="A3292" s="65" t="inlineStr">
        <is>
          <t>31/08/2016</t>
        </is>
      </c>
      <c r="B3292" s="8" t="n">
        <v>155.5453191996</v>
      </c>
      <c r="C3292" s="13" t="n"/>
      <c r="D3292" s="3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3">
      <c r="A3293" s="65" t="inlineStr">
        <is>
          <t>01/09/2016</t>
        </is>
      </c>
      <c r="B3293" s="8" t="n">
        <v>155.992796348</v>
      </c>
      <c r="C3293" s="13" t="n"/>
      <c r="D3293" s="3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4">
      <c r="A3294" s="65" t="inlineStr">
        <is>
          <t>02/09/2016</t>
        </is>
      </c>
      <c r="B3294" s="8" t="n">
        <v>154.747597025</v>
      </c>
      <c r="C3294" s="13" t="n"/>
      <c r="D3294" s="3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5">
      <c r="A3295" s="65" t="inlineStr">
        <is>
          <t>05/09/2016</t>
        </is>
      </c>
      <c r="B3295" s="8" t="n">
        <v>155.487498072</v>
      </c>
      <c r="C3295" s="13" t="n"/>
      <c r="D3295" s="3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6">
      <c r="A3296" s="65" t="inlineStr">
        <is>
          <t>06/09/2016</t>
        </is>
      </c>
      <c r="B3296" s="8" t="n">
        <v>154.801736126</v>
      </c>
      <c r="C3296" s="13" t="n"/>
      <c r="D3296" s="3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7">
      <c r="A3297" s="65" t="inlineStr">
        <is>
          <t>08/09/2016</t>
        </is>
      </c>
      <c r="B3297" s="8" t="n">
        <v>156.173260018</v>
      </c>
      <c r="C3297" s="13" t="n"/>
      <c r="D3297" s="3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8">
      <c r="A3298" s="65" t="inlineStr">
        <is>
          <t>09/09/2016</t>
        </is>
      </c>
      <c r="B3298" s="8" t="n">
        <v>155.812332678</v>
      </c>
      <c r="C3298" s="13" t="n"/>
      <c r="D3298" s="3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9">
      <c r="A3299" s="65" t="inlineStr">
        <is>
          <t>12/09/2016</t>
        </is>
      </c>
      <c r="B3299" s="8" t="n">
        <v>156.335677321</v>
      </c>
      <c r="C3299" s="13" t="n"/>
      <c r="D3299" s="3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0">
      <c r="A3300" s="65" t="inlineStr">
        <is>
          <t>13/09/2016</t>
        </is>
      </c>
      <c r="B3300" s="8" t="n">
        <v>156.407862789</v>
      </c>
      <c r="C3300" s="13" t="n"/>
      <c r="D3300" s="3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1">
      <c r="A3301" s="65" t="inlineStr">
        <is>
          <t>14/09/2016</t>
        </is>
      </c>
      <c r="B3301" s="8" t="n">
        <v>154.891967961</v>
      </c>
      <c r="C3301" s="13" t="n"/>
      <c r="D3301" s="3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2">
      <c r="A3302" s="65" t="inlineStr">
        <is>
          <t>15/09/2016</t>
        </is>
      </c>
      <c r="B3302" s="8" t="n">
        <v>155.523590806</v>
      </c>
      <c r="C3302" s="13" t="n"/>
      <c r="D3302" s="3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3">
      <c r="A3303" s="65" t="inlineStr">
        <is>
          <t>16/09/2016</t>
        </is>
      </c>
      <c r="B3303" s="8" t="n">
        <v>154.891967961</v>
      </c>
      <c r="C3303" s="13" t="n"/>
      <c r="D3303" s="3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4">
      <c r="A3304" s="65" t="inlineStr">
        <is>
          <t>19/09/2016</t>
        </is>
      </c>
      <c r="B3304" s="8" t="n">
        <v>156.083028183</v>
      </c>
      <c r="C3304" s="13" t="n"/>
      <c r="D3304" s="3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5">
      <c r="A3305" s="65" t="inlineStr">
        <is>
          <t>20/09/2016</t>
        </is>
      </c>
      <c r="B3305" s="8" t="n">
        <v>156.010842715</v>
      </c>
      <c r="C3305" s="13" t="n"/>
      <c r="D3305" s="3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6">
      <c r="A3306" s="65" t="inlineStr">
        <is>
          <t>21/09/2016</t>
        </is>
      </c>
      <c r="B3306" s="8" t="n">
        <v>156.64246556</v>
      </c>
      <c r="C3306" s="13" t="n"/>
      <c r="D3306" s="3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7">
      <c r="A3307" s="65" t="inlineStr">
        <is>
          <t>22/09/2016</t>
        </is>
      </c>
      <c r="B3307" s="8" t="n">
        <v>159.078725105</v>
      </c>
      <c r="C3307" s="13" t="n"/>
      <c r="D3307" s="3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8">
      <c r="A3308" s="65" t="inlineStr">
        <is>
          <t>23/09/2016</t>
        </is>
      </c>
      <c r="B3308" s="8" t="n">
        <v>159.981043455</v>
      </c>
      <c r="C3308" s="13" t="n"/>
      <c r="D3308" s="3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9">
      <c r="A3309" s="65" t="inlineStr">
        <is>
          <t>26/09/2016</t>
        </is>
      </c>
      <c r="B3309" s="8" t="n">
        <v>160.720944502</v>
      </c>
      <c r="C3309" s="13" t="n"/>
      <c r="D3309" s="3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0">
      <c r="A3310" s="65" t="inlineStr">
        <is>
          <t>27/09/2016</t>
        </is>
      </c>
      <c r="B3310" s="8" t="n">
        <v>162.417303</v>
      </c>
      <c r="C3310" s="13" t="n"/>
      <c r="D3310" s="3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1">
      <c r="A3311" s="65" t="inlineStr">
        <is>
          <t>28/09/2016</t>
        </is>
      </c>
      <c r="B3311" s="8" t="n">
        <v>165.160350784</v>
      </c>
      <c r="C3311" s="13" t="n"/>
      <c r="D3311" s="3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2">
      <c r="A3312" s="65" t="inlineStr">
        <is>
          <t>29/09/2016</t>
        </is>
      </c>
      <c r="B3312" s="8" t="n">
        <v>170.646446352</v>
      </c>
      <c r="C3312" s="13" t="n"/>
      <c r="D3312" s="3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3">
      <c r="A3313" s="65" t="inlineStr">
        <is>
          <t>30/09/2016</t>
        </is>
      </c>
      <c r="B3313" s="8" t="n">
        <v>170.89909549</v>
      </c>
      <c r="C3313" s="13" t="n"/>
      <c r="D3313" s="3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4">
      <c r="A3314" s="65" t="inlineStr">
        <is>
          <t>03/10/2016</t>
        </is>
      </c>
      <c r="B3314" s="8" t="n">
        <v>169.72521738</v>
      </c>
      <c r="C3314" s="13" t="n"/>
      <c r="D3314" s="3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5">
      <c r="A3315" s="65" t="inlineStr">
        <is>
          <t>04/10/2016</t>
        </is>
      </c>
      <c r="B3315" s="8" t="n">
        <v>170.049533082</v>
      </c>
      <c r="C3315" s="13" t="n"/>
      <c r="D3315" s="3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6">
      <c r="A3316" s="65" t="inlineStr">
        <is>
          <t>05/10/2016</t>
        </is>
      </c>
      <c r="B3316" s="8" t="n">
        <v>171.328778351</v>
      </c>
      <c r="C3316" s="13" t="n"/>
      <c r="D3316" s="3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7">
      <c r="A3317" s="65" t="inlineStr">
        <is>
          <t>06/10/2016</t>
        </is>
      </c>
      <c r="B3317" s="8" t="n">
        <v>172.06749745</v>
      </c>
      <c r="C3317" s="13" t="n"/>
      <c r="D3317" s="3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8">
      <c r="A3318" s="65" t="inlineStr">
        <is>
          <t>07/10/2016</t>
        </is>
      </c>
      <c r="B3318" s="8" t="n">
        <v>173.851233811</v>
      </c>
      <c r="C3318" s="13" t="n"/>
      <c r="D3318" s="3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9">
      <c r="A3319" s="65" t="inlineStr">
        <is>
          <t>10/10/2016</t>
        </is>
      </c>
      <c r="B3319" s="8" t="n">
        <v>173.743128577</v>
      </c>
      <c r="C3319" s="13" t="n"/>
      <c r="D3319" s="3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0">
      <c r="A3320" s="65" t="inlineStr">
        <is>
          <t>11/10/2016</t>
        </is>
      </c>
      <c r="B3320" s="8" t="n">
        <v>174.842198456</v>
      </c>
      <c r="C3320" s="13" t="n"/>
      <c r="D3320" s="3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1">
      <c r="A3321" s="65" t="inlineStr">
        <is>
          <t>13/10/2016</t>
        </is>
      </c>
      <c r="B3321" s="8" t="n">
        <v>174.734093222</v>
      </c>
      <c r="C3321" s="13" t="n"/>
      <c r="D3321" s="3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2">
      <c r="A3322" s="65" t="inlineStr">
        <is>
          <t>14/10/2016</t>
        </is>
      </c>
      <c r="B3322" s="8" t="n">
        <v>175.833163101</v>
      </c>
      <c r="C3322" s="13" t="n"/>
      <c r="D3322" s="3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3">
      <c r="A3323" s="65" t="inlineStr">
        <is>
          <t>17/10/2016</t>
        </is>
      </c>
      <c r="B3323" s="8" t="n">
        <v>177.076373292</v>
      </c>
      <c r="C3323" s="13" t="n"/>
      <c r="D3323" s="3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4">
      <c r="A3324" s="65" t="inlineStr">
        <is>
          <t>18/10/2016</t>
        </is>
      </c>
      <c r="B3324" s="8" t="n">
        <v>177.130425909</v>
      </c>
      <c r="C3324" s="13" t="n"/>
      <c r="D3324" s="3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5">
      <c r="A3325" s="65" t="inlineStr">
        <is>
          <t>19/10/2016</t>
        </is>
      </c>
      <c r="B3325" s="8" t="n">
        <v>177.761039774</v>
      </c>
      <c r="C3325" s="13" t="n"/>
      <c r="D3325" s="3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6">
      <c r="A3326" s="65" t="inlineStr">
        <is>
          <t>20/10/2016</t>
        </is>
      </c>
      <c r="B3326" s="8" t="n">
        <v>177.598881923</v>
      </c>
      <c r="C3326" s="13" t="n"/>
      <c r="D3326" s="3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7">
      <c r="A3327" s="65" t="inlineStr">
        <is>
          <t>21/10/2016</t>
        </is>
      </c>
      <c r="B3327" s="8" t="n">
        <v>176.93223298</v>
      </c>
      <c r="C3327" s="13" t="n"/>
      <c r="D3327" s="3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8">
      <c r="A3328" s="65" t="inlineStr">
        <is>
          <t>24/10/2016</t>
        </is>
      </c>
      <c r="B3328" s="8" t="n">
        <v>178.986232426</v>
      </c>
      <c r="C3328" s="13" t="n"/>
      <c r="D3328" s="3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9">
      <c r="A3329" s="65" t="inlineStr">
        <is>
          <t>25/10/2016</t>
        </is>
      </c>
      <c r="B3329" s="8" t="n">
        <v>180.842038943</v>
      </c>
      <c r="C3329" s="13" t="n"/>
      <c r="D3329" s="3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0">
      <c r="A3330" s="65" t="inlineStr">
        <is>
          <t>26/10/2016</t>
        </is>
      </c>
      <c r="B3330" s="8" t="n">
        <v>181.400582652</v>
      </c>
      <c r="C3330" s="13" t="n"/>
      <c r="D3330" s="3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1">
      <c r="A3331" s="65" t="inlineStr">
        <is>
          <t>27/10/2016</t>
        </is>
      </c>
      <c r="B3331" s="8" t="n">
        <v>181.25644234</v>
      </c>
      <c r="C3331" s="13" t="n"/>
      <c r="D3331" s="3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2">
      <c r="A3332" s="65" t="inlineStr">
        <is>
          <t>28/10/2016</t>
        </is>
      </c>
      <c r="B3332" s="8" t="n">
        <v>181.833003588</v>
      </c>
      <c r="C3332" s="13" t="n"/>
      <c r="D3332" s="3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3">
      <c r="A3333" s="65" t="inlineStr">
        <is>
          <t>31/10/2016</t>
        </is>
      </c>
      <c r="B3333" s="8" t="n">
        <v>181.760933432</v>
      </c>
      <c r="C3333" s="13" t="n"/>
      <c r="D3333" s="3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4">
      <c r="A3334" s="65" t="inlineStr">
        <is>
          <t>01/11/2016</t>
        </is>
      </c>
      <c r="B3334" s="8" t="n">
        <v>181.491065213</v>
      </c>
      <c r="C3334" s="13" t="n"/>
      <c r="D3334" s="3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5">
      <c r="A3335" s="65" t="inlineStr">
        <is>
          <t>03/11/2016</t>
        </is>
      </c>
      <c r="B3335" s="8" t="n">
        <v>180.6259638098</v>
      </c>
      <c r="C3335" s="13" t="n"/>
      <c r="D3335" s="3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6">
      <c r="A3336" s="65" t="inlineStr">
        <is>
          <t>04/11/2016</t>
        </is>
      </c>
      <c r="B3336" s="8" t="n">
        <v>181.2387439704</v>
      </c>
      <c r="C3336" s="13" t="n"/>
      <c r="D3336" s="3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7">
      <c r="A3337" s="65" t="inlineStr">
        <is>
          <t>07/11/2016</t>
        </is>
      </c>
      <c r="B3337" s="8" t="n">
        <v>181.5631569966</v>
      </c>
      <c r="C3337" s="13" t="n"/>
      <c r="D3337" s="3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8">
      <c r="A3338" s="65" t="inlineStr">
        <is>
          <t>08/11/2016</t>
        </is>
      </c>
      <c r="B3338" s="8" t="n">
        <v>180.7881703229</v>
      </c>
      <c r="C3338" s="13" t="n"/>
      <c r="D3338" s="3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9">
      <c r="A3339" s="65" t="inlineStr">
        <is>
          <t>09/11/2016</t>
        </is>
      </c>
      <c r="B3339" s="8" t="n">
        <v>180.229459</v>
      </c>
      <c r="C3339" s="13" t="n"/>
      <c r="D3339" s="3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0">
      <c r="A3340" s="65" t="inlineStr">
        <is>
          <t>10/11/2016</t>
        </is>
      </c>
      <c r="B3340" s="8" t="n">
        <v>179.9050459738</v>
      </c>
      <c r="C3340" s="13" t="n"/>
      <c r="D3340" s="3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1">
      <c r="A3341" s="65" t="inlineStr">
        <is>
          <t>11/11/2016</t>
        </is>
      </c>
      <c r="B3341" s="8" t="n">
        <v>180.3556196213</v>
      </c>
      <c r="C3341" s="13" t="n"/>
      <c r="D3341" s="3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2">
      <c r="A3342" s="65" t="inlineStr">
        <is>
          <t>14/11/2016</t>
        </is>
      </c>
      <c r="B3342" s="8" t="n">
        <v>178.8416921657</v>
      </c>
      <c r="C3342" s="13" t="n"/>
      <c r="D3342" s="3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3">
      <c r="A3343" s="65" t="inlineStr">
        <is>
          <t>16/11/2016</t>
        </is>
      </c>
      <c r="B3343" s="8" t="n">
        <v>178.3370496805</v>
      </c>
      <c r="C3343" s="13" t="n"/>
      <c r="D3343" s="3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4">
      <c r="A3344" s="65" t="inlineStr">
        <is>
          <t>17/11/2016</t>
        </is>
      </c>
      <c r="B3344" s="8" t="n">
        <v>177.2016040888</v>
      </c>
      <c r="C3344" s="13" t="n"/>
      <c r="D3344" s="3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5">
      <c r="A3345" s="65" t="inlineStr">
        <is>
          <t>18/11/2016</t>
        </is>
      </c>
      <c r="B3345" s="8" t="n">
        <v>176.3905715233</v>
      </c>
      <c r="C3345" s="13" t="n"/>
      <c r="D3345" s="3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6">
      <c r="A3346" s="65" t="inlineStr">
        <is>
          <t>21/11/2016</t>
        </is>
      </c>
      <c r="B3346" s="8" t="n">
        <v>175.7777913627</v>
      </c>
      <c r="C3346" s="13" t="n"/>
      <c r="D3346" s="3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7">
      <c r="A3347" s="65" t="inlineStr">
        <is>
          <t>22/11/2016</t>
        </is>
      </c>
      <c r="B3347" s="8" t="n">
        <v>173.5789919629</v>
      </c>
      <c r="C3347" s="13" t="n"/>
      <c r="D3347" s="3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8">
      <c r="A3348" s="65" t="inlineStr">
        <is>
          <t>23/11/2016</t>
        </is>
      </c>
      <c r="B3348" s="8" t="n">
        <v>172.840051181</v>
      </c>
      <c r="C3348" s="13" t="n"/>
      <c r="D3348" s="3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9">
      <c r="A3349" s="65" t="inlineStr">
        <is>
          <t>24/11/2016</t>
        </is>
      </c>
      <c r="B3349" s="8" t="n">
        <v>171.7947203188</v>
      </c>
      <c r="C3349" s="13" t="n"/>
      <c r="D3349" s="3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0">
      <c r="A3350" s="65" t="inlineStr">
        <is>
          <t>25/11/2016</t>
        </is>
      </c>
      <c r="B3350" s="8" t="n">
        <v>171.3081007795</v>
      </c>
      <c r="C3350" s="13" t="n"/>
      <c r="D3350" s="3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1">
      <c r="A3351" s="65" t="inlineStr">
        <is>
          <t>28/11/2016</t>
        </is>
      </c>
      <c r="B3351" s="8" t="n">
        <v>171.9028579942</v>
      </c>
      <c r="C3351" s="13" t="n"/>
      <c r="D3351" s="3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2">
      <c r="A3352" s="65" t="inlineStr">
        <is>
          <t>29/11/2016</t>
        </is>
      </c>
      <c r="B3352" s="8" t="n">
        <v>170.2267240255</v>
      </c>
      <c r="C3352" s="13" t="n"/>
      <c r="D3352" s="3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3">
      <c r="A3353" s="65" t="inlineStr">
        <is>
          <t>30/11/2016</t>
        </is>
      </c>
      <c r="B3353" s="8" t="n">
        <v>170.2988158091</v>
      </c>
      <c r="C3353" s="13" t="n"/>
      <c r="D3353" s="3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4">
      <c r="A3354" s="65" t="inlineStr">
        <is>
          <t>01/12/2016</t>
        </is>
      </c>
      <c r="B3354" s="8" t="n">
        <v>168.3802771671</v>
      </c>
      <c r="C3354" s="13" t="n"/>
      <c r="D3354" s="3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5">
      <c r="A3355" s="65" t="inlineStr">
        <is>
          <t>02/12/2016</t>
        </is>
      </c>
      <c r="B3355" s="8" t="n">
        <v>169.0973229551</v>
      </c>
      <c r="C3355" s="13" t="n"/>
      <c r="D3355" s="3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6">
      <c r="A3356" s="65" t="inlineStr">
        <is>
          <t>05/12/2016</t>
        </is>
      </c>
      <c r="B3356" s="8" t="n">
        <v>167.9500496943</v>
      </c>
      <c r="C3356" s="13" t="n"/>
      <c r="D3356" s="3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7">
      <c r="A3357" s="65" t="inlineStr">
        <is>
          <t>06/12/2016</t>
        </is>
      </c>
      <c r="B3357" s="8" t="n">
        <v>168.0217542731</v>
      </c>
      <c r="C3357" s="13" t="n"/>
      <c r="D3357" s="3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8">
      <c r="A3358" s="65" t="inlineStr">
        <is>
          <t>07/12/2016</t>
        </is>
      </c>
      <c r="B3358" s="8" t="n">
        <v>167.7528621026</v>
      </c>
      <c r="C3358" s="13" t="n"/>
      <c r="D3358" s="3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9">
      <c r="A3359" s="65" t="inlineStr">
        <is>
          <t>08/12/2016</t>
        </is>
      </c>
      <c r="B3359" s="8" t="n">
        <v>166.7669241441</v>
      </c>
      <c r="C3359" s="13" t="n"/>
      <c r="D3359" s="3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0">
      <c r="A3360" s="65" t="inlineStr">
        <is>
          <t>09/12/2016</t>
        </is>
      </c>
      <c r="B3360" s="8" t="n">
        <v>166.3187705266</v>
      </c>
      <c r="C3360" s="13" t="n"/>
      <c r="D3360" s="3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1">
      <c r="A3361" s="65" t="inlineStr">
        <is>
          <t>12/12/2016</t>
        </is>
      </c>
      <c r="B3361" s="8" t="n">
        <v>166.1215829349</v>
      </c>
      <c r="C3361" s="13" t="n"/>
      <c r="D3361" s="3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2">
      <c r="A3362" s="65" t="inlineStr">
        <is>
          <t>13/12/2016</t>
        </is>
      </c>
      <c r="B3362" s="8" t="n">
        <v>164.8309005165</v>
      </c>
      <c r="C3362" s="13" t="n"/>
      <c r="D3362" s="3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3">
      <c r="A3363" s="65" t="inlineStr">
        <is>
          <t>14/12/2016</t>
        </is>
      </c>
      <c r="B3363" s="8" t="n">
        <v>164.4365253331</v>
      </c>
      <c r="C3363" s="13" t="n"/>
      <c r="D3363" s="3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4">
      <c r="A3364" s="65" t="inlineStr">
        <is>
          <t>15/12/2016</t>
        </is>
      </c>
      <c r="B3364" s="8" t="n">
        <v>165.3149064234</v>
      </c>
      <c r="C3364" s="13" t="n"/>
      <c r="D3364" s="3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5">
      <c r="A3365" s="65" t="inlineStr">
        <is>
          <t>16/12/2016</t>
        </is>
      </c>
      <c r="B3365" s="8" t="n">
        <v>164.8667528059</v>
      </c>
      <c r="C3365" s="13" t="n"/>
      <c r="D3365" s="3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6">
      <c r="A3366" s="65" t="inlineStr">
        <is>
          <t>19/12/2016</t>
        </is>
      </c>
      <c r="B3366" s="8" t="n">
        <v>163.7194795451</v>
      </c>
      <c r="C3366" s="13" t="n"/>
      <c r="D3366" s="3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7">
      <c r="A3367" s="65" t="inlineStr">
        <is>
          <t>20/12/2016</t>
        </is>
      </c>
      <c r="B3367" s="8" t="n">
        <v>163.8628887027</v>
      </c>
      <c r="C3367" s="13" t="n"/>
      <c r="D3367" s="3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8">
      <c r="A3368" s="65" t="inlineStr">
        <is>
          <t>21/12/2016</t>
        </is>
      </c>
      <c r="B3368" s="8" t="n">
        <v>162.6618370078</v>
      </c>
      <c r="C3368" s="13" t="n"/>
      <c r="D3368" s="3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9">
      <c r="A3369" s="65" t="inlineStr">
        <is>
          <t>22/12/2016</t>
        </is>
      </c>
      <c r="B3369" s="8" t="n">
        <v>162.4467232714</v>
      </c>
      <c r="C3369" s="13" t="n"/>
      <c r="D3369" s="3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0">
      <c r="A3370" s="65" t="inlineStr">
        <is>
          <t>23/12/2016</t>
        </is>
      </c>
      <c r="B3370" s="8" t="n">
        <v>162.7514677313</v>
      </c>
      <c r="C3370" s="13" t="n"/>
      <c r="D3370" s="3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1">
      <c r="A3371" s="65" t="inlineStr">
        <is>
          <t>26/12/2016</t>
        </is>
      </c>
      <c r="B3371" s="8" t="n">
        <v>162.2853879691</v>
      </c>
      <c r="C3371" s="13" t="n"/>
      <c r="D3371" s="3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2">
      <c r="A3372" s="65" t="inlineStr">
        <is>
          <t>27/12/2016</t>
        </is>
      </c>
      <c r="B3372" s="8" t="n">
        <v>163.5402180981</v>
      </c>
      <c r="C3372" s="13" t="n"/>
      <c r="D3372" s="3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3">
      <c r="A3373" s="65" t="inlineStr">
        <is>
          <t>28/12/2016</t>
        </is>
      </c>
      <c r="B3373" s="8" t="n">
        <v>162.3750186926</v>
      </c>
      <c r="C3373" s="13" t="n"/>
      <c r="D3373" s="3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4">
      <c r="A3374" s="65" t="inlineStr">
        <is>
          <t>29/12/2016</t>
        </is>
      </c>
      <c r="B3374" s="8" t="n">
        <v>162.052348088</v>
      </c>
      <c r="C3374" s="13" t="n"/>
      <c r="D3374" s="3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5">
      <c r="A3375" s="65" t="inlineStr">
        <is>
          <t>02/01/2017</t>
        </is>
      </c>
      <c r="B3375" s="8" t="n">
        <v>160.131200631</v>
      </c>
      <c r="C3375" s="13" t="n"/>
      <c r="D3375" s="3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6">
      <c r="A3376" s="65" t="inlineStr">
        <is>
          <t>03/01/2017</t>
        </is>
      </c>
      <c r="B3376" s="8" t="n">
        <v>160.0777641903</v>
      </c>
      <c r="C3376" s="13" t="n"/>
      <c r="D3376" s="3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7">
      <c r="A3377" s="65" t="inlineStr">
        <is>
          <t>04/01/2017</t>
        </is>
      </c>
      <c r="B3377" s="8" t="n">
        <v>159.2227811391</v>
      </c>
      <c r="C3377" s="13" t="n"/>
      <c r="D3377" s="3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8">
      <c r="A3378" s="65" t="inlineStr">
        <is>
          <t>05/01/2017</t>
        </is>
      </c>
      <c r="B3378" s="8" t="n">
        <v>158.5102952631</v>
      </c>
      <c r="C3378" s="13" t="n"/>
      <c r="D3378" s="3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9">
      <c r="A3379" s="65" t="inlineStr">
        <is>
          <t>06/01/2017</t>
        </is>
      </c>
      <c r="B3379" s="8" t="n">
        <v>158.8665382011</v>
      </c>
      <c r="C3379" s="13" t="n"/>
      <c r="D3379" s="3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0">
      <c r="A3380" s="65" t="inlineStr">
        <is>
          <t>09/01/2017</t>
        </is>
      </c>
      <c r="B3380" s="8" t="n">
        <v>158.9912232294</v>
      </c>
      <c r="C3380" s="13" t="n"/>
      <c r="D3380" s="3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1">
      <c r="A3381" s="65" t="inlineStr">
        <is>
          <t>10/01/2017</t>
        </is>
      </c>
      <c r="B3381" s="8" t="n">
        <v>159.2584054329</v>
      </c>
      <c r="C3381" s="13" t="n"/>
      <c r="D3381" s="3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2">
      <c r="A3382" s="65" t="inlineStr">
        <is>
          <t>11/01/2017</t>
        </is>
      </c>
      <c r="B3382" s="8" t="n">
        <v>158.4212345286</v>
      </c>
      <c r="C3382" s="13" t="n"/>
      <c r="D3382" s="3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3">
      <c r="A3383" s="65" t="inlineStr">
        <is>
          <t>12/01/2017</t>
        </is>
      </c>
      <c r="B3383" s="8" t="n">
        <v>158.7240410259</v>
      </c>
      <c r="C3383" s="13" t="n"/>
      <c r="D3383" s="3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4">
      <c r="A3384" s="65" t="inlineStr">
        <is>
          <t>13/01/2017</t>
        </is>
      </c>
      <c r="B3384" s="8" t="n">
        <v>158.1006158844</v>
      </c>
      <c r="C3384" s="13" t="n"/>
      <c r="D3384" s="3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5">
      <c r="A3385" s="65" t="inlineStr">
        <is>
          <t>16/01/2017</t>
        </is>
      </c>
      <c r="B3385" s="8" t="n">
        <v>157.6909365057</v>
      </c>
      <c r="C3385" s="13" t="n"/>
      <c r="D3385" s="3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6">
      <c r="A3386" s="65" t="inlineStr">
        <is>
          <t>17/01/2017</t>
        </is>
      </c>
      <c r="B3386" s="8" t="n">
        <v>156.9072020421</v>
      </c>
      <c r="C3386" s="13" t="n"/>
      <c r="D3386" s="3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7">
      <c r="A3387" s="65" t="inlineStr">
        <is>
          <t>18/01/2017</t>
        </is>
      </c>
      <c r="B3387" s="8" t="n">
        <v>157.103135658</v>
      </c>
      <c r="C3387" s="13" t="n"/>
      <c r="D3387" s="3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8">
      <c r="A3388" s="65" t="inlineStr">
        <is>
          <t>19/01/2017</t>
        </is>
      </c>
      <c r="B3388" s="8" t="n">
        <v>156.4084619289</v>
      </c>
      <c r="C3388" s="13" t="n"/>
      <c r="D3388" s="3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9">
      <c r="A3389" s="65" t="inlineStr">
        <is>
          <t>20/01/2017</t>
        </is>
      </c>
      <c r="B3389" s="8" t="n">
        <v>155.6247274653</v>
      </c>
      <c r="C3389" s="13" t="n"/>
      <c r="D3389" s="3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0">
      <c r="A3390" s="65" t="inlineStr">
        <is>
          <t>23/01/2017</t>
        </is>
      </c>
      <c r="B3390" s="8" t="n">
        <v>154.8588051486</v>
      </c>
      <c r="C3390" s="13" t="n"/>
      <c r="D3390" s="3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1">
      <c r="A3391" s="65" t="inlineStr">
        <is>
          <t>24/01/2017</t>
        </is>
      </c>
      <c r="B3391" s="8" t="n">
        <v>155.0013023238</v>
      </c>
      <c r="C3391" s="13" t="n"/>
      <c r="D3391" s="3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2">
      <c r="A3392" s="65" t="inlineStr">
        <is>
          <t>25/01/2017</t>
        </is>
      </c>
      <c r="B3392" s="8" t="n">
        <v>153.9681978036</v>
      </c>
      <c r="C3392" s="13" t="n"/>
      <c r="D3392" s="3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3">
      <c r="A3393" s="65" t="inlineStr">
        <is>
          <t>26/01/2017</t>
        </is>
      </c>
      <c r="B3393" s="8" t="n">
        <v>153.0241540179</v>
      </c>
      <c r="C3393" s="13" t="n"/>
      <c r="D3393" s="3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4">
      <c r="A3394" s="65" t="inlineStr">
        <is>
          <t>27/01/2017</t>
        </is>
      </c>
      <c r="B3394" s="8" t="n">
        <v>152.7213475206</v>
      </c>
      <c r="C3394" s="13" t="n"/>
      <c r="D3394" s="3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5">
      <c r="A3395" s="65" t="inlineStr">
        <is>
          <t>30/01/2017</t>
        </is>
      </c>
      <c r="B3395" s="8" t="n">
        <v>153.0954026055</v>
      </c>
      <c r="C3395" s="13" t="n"/>
      <c r="D3395" s="3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6">
      <c r="A3396" s="65" t="inlineStr">
        <is>
          <t>31/01/2017</t>
        </is>
      </c>
      <c r="B3396" s="8" t="n">
        <v>152.5610381985</v>
      </c>
      <c r="C3396" s="13" t="n"/>
      <c r="D3396" s="3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7">
      <c r="A3397" s="65" t="inlineStr">
        <is>
          <t>01/02/2017</t>
        </is>
      </c>
      <c r="B3397" s="8" t="n">
        <v>150.837275385</v>
      </c>
      <c r="C3397" s="13" t="n"/>
      <c r="D3397" s="3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8">
      <c r="A3398" s="65" t="inlineStr">
        <is>
          <t>02/02/2017</t>
        </is>
      </c>
      <c r="B3398" s="8" t="n">
        <v>150.9796586538</v>
      </c>
      <c r="C3398" s="13" t="n"/>
      <c r="D3398" s="3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9">
      <c r="A3399" s="65" t="inlineStr">
        <is>
          <t>03/02/2017</t>
        </is>
      </c>
      <c r="B3399" s="8" t="n">
        <v>150.2321464926</v>
      </c>
      <c r="C3399" s="13" t="n"/>
      <c r="D3399" s="3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0">
      <c r="A3400" s="65" t="inlineStr">
        <is>
          <t>06/02/2017</t>
        </is>
      </c>
      <c r="B3400" s="8" t="n">
        <v>150.6948921162</v>
      </c>
      <c r="C3400" s="13" t="n"/>
      <c r="D3400" s="3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1">
      <c r="A3401" s="65" t="inlineStr">
        <is>
          <t>07/02/2017</t>
        </is>
      </c>
      <c r="B3401" s="8" t="n">
        <v>149.7338050518</v>
      </c>
      <c r="C3401" s="13" t="n"/>
      <c r="D3401" s="3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2">
      <c r="A3402" s="65" t="inlineStr">
        <is>
          <t>08/02/2017</t>
        </is>
      </c>
      <c r="B3402" s="8" t="n">
        <v>149.235463611</v>
      </c>
      <c r="C3402" s="13" t="n"/>
      <c r="D3402" s="3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3">
      <c r="A3403" s="65" t="inlineStr">
        <is>
          <t>09/02/2017</t>
        </is>
      </c>
      <c r="B3403" s="8" t="n">
        <v>147.989610009</v>
      </c>
      <c r="C3403" s="13" t="n"/>
      <c r="D3403" s="3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4">
      <c r="A3404" s="65" t="inlineStr">
        <is>
          <t>10/02/2017</t>
        </is>
      </c>
      <c r="B3404" s="8" t="n">
        <v>148.6837284444</v>
      </c>
      <c r="C3404" s="13" t="n"/>
      <c r="D3404" s="3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5">
      <c r="A3405" s="65" t="inlineStr">
        <is>
          <t>13/02/2017</t>
        </is>
      </c>
      <c r="B3405" s="8" t="n">
        <v>148.3633660896</v>
      </c>
      <c r="C3405" s="13" t="n"/>
      <c r="D3405" s="3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6">
      <c r="A3406" s="65" t="inlineStr">
        <is>
          <t>14/02/2017</t>
        </is>
      </c>
      <c r="B3406" s="8" t="n">
        <v>148.1141953692</v>
      </c>
      <c r="C3406" s="13" t="n"/>
      <c r="D3406" s="3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7">
      <c r="A3407" s="65" t="inlineStr">
        <is>
          <t>15/02/2017</t>
        </is>
      </c>
      <c r="B3407" s="8" t="n">
        <v>148.3099723638</v>
      </c>
      <c r="C3407" s="13" t="n"/>
      <c r="D3407" s="3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8">
      <c r="A3408" s="65" t="inlineStr">
        <is>
          <t>16/02/2017</t>
        </is>
      </c>
      <c r="B3408" s="8" t="n">
        <v>147.188704122</v>
      </c>
      <c r="C3408" s="13" t="n"/>
      <c r="D3408" s="3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9">
      <c r="A3409" s="65" t="inlineStr">
        <is>
          <t>17/02/2017</t>
        </is>
      </c>
      <c r="B3409" s="8" t="n">
        <v>147.188704122</v>
      </c>
      <c r="C3409" s="13" t="n"/>
      <c r="D3409" s="3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0">
      <c r="A3410" s="65" t="inlineStr">
        <is>
          <t>20/02/2017</t>
        </is>
      </c>
      <c r="B3410" s="8" t="n">
        <v>146.1564254232</v>
      </c>
      <c r="C3410" s="13" t="n"/>
      <c r="D3410" s="3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1">
      <c r="A3411" s="65" t="inlineStr">
        <is>
          <t>21/02/2017</t>
        </is>
      </c>
      <c r="B3411" s="8" t="n">
        <v>145.6936797996</v>
      </c>
      <c r="C3411" s="13" t="n"/>
      <c r="D3411" s="3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2">
      <c r="A3412" s="65" t="inlineStr">
        <is>
          <t>22/02/2017</t>
        </is>
      </c>
      <c r="B3412" s="8" t="n">
        <v>145.8716588856</v>
      </c>
      <c r="C3412" s="13" t="n"/>
      <c r="D3412" s="3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3">
      <c r="A3413" s="65" t="inlineStr">
        <is>
          <t>23/02/2017</t>
        </is>
      </c>
      <c r="B3413" s="8" t="n">
        <v>145.9784463372</v>
      </c>
      <c r="C3413" s="13" t="n"/>
      <c r="D3413" s="3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4">
      <c r="A3414" s="65" t="inlineStr">
        <is>
          <t>24/02/2017</t>
        </is>
      </c>
      <c r="B3414" s="8" t="n">
        <v>144.7681885524</v>
      </c>
      <c r="C3414" s="13" t="n"/>
      <c r="D3414" s="3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5">
      <c r="A3415" s="65" t="inlineStr">
        <is>
          <t>01/03/2017</t>
        </is>
      </c>
      <c r="B3415" s="8" t="n">
        <v>143.721537804</v>
      </c>
      <c r="C3415" s="13" t="n"/>
      <c r="D3415" s="3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6">
      <c r="A3416" s="65" t="inlineStr">
        <is>
          <t>02/03/2017</t>
        </is>
      </c>
      <c r="B3416" s="8" t="n">
        <v>143.899499094</v>
      </c>
      <c r="C3416" s="13" t="n"/>
      <c r="D3416" s="3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7">
      <c r="A3417" s="65" t="inlineStr">
        <is>
          <t>03/03/2017</t>
        </is>
      </c>
      <c r="B3417" s="8" t="n">
        <v>143.027488773</v>
      </c>
      <c r="C3417" s="13" t="n"/>
      <c r="D3417" s="3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8">
      <c r="A3418" s="65" t="inlineStr">
        <is>
          <t>06/03/2017</t>
        </is>
      </c>
      <c r="B3418" s="8" t="n">
        <v>143.152061676</v>
      </c>
      <c r="C3418" s="13" t="n"/>
      <c r="D3418" s="3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9">
      <c r="A3419" s="65" t="inlineStr">
        <is>
          <t>07/03/2017</t>
        </is>
      </c>
      <c r="B3419" s="8" t="n">
        <v>142.048701678</v>
      </c>
      <c r="C3419" s="13" t="n"/>
      <c r="D3419" s="3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0">
      <c r="A3420" s="65" t="inlineStr">
        <is>
          <t>08/03/2017</t>
        </is>
      </c>
      <c r="B3420" s="8" t="n">
        <v>140.731788132</v>
      </c>
      <c r="C3420" s="13" t="n"/>
      <c r="D3420" s="3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1">
      <c r="A3421" s="65" t="inlineStr">
        <is>
          <t>09/03/2017</t>
        </is>
      </c>
      <c r="B3421" s="8" t="n">
        <v>140.162312004</v>
      </c>
      <c r="C3421" s="13" t="n"/>
      <c r="D3421" s="3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2">
      <c r="A3422" s="65" t="inlineStr">
        <is>
          <t>10/03/2017</t>
        </is>
      </c>
      <c r="B3422" s="8" t="n">
        <v>139.450466844</v>
      </c>
      <c r="C3422" s="13" t="n"/>
      <c r="D3422" s="3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3">
      <c r="A3423" s="65" t="inlineStr">
        <is>
          <t>13/03/2017</t>
        </is>
      </c>
      <c r="B3423" s="8" t="n">
        <v>138.436087491</v>
      </c>
      <c r="C3423" s="13" t="n"/>
      <c r="D3423" s="3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4">
      <c r="A3424" s="65" t="inlineStr">
        <is>
          <t>14/03/2017</t>
        </is>
      </c>
      <c r="B3424" s="8" t="n">
        <v>138.774213942</v>
      </c>
      <c r="C3424" s="13" t="n"/>
      <c r="D3424" s="3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5">
      <c r="A3425" s="65" t="inlineStr">
        <is>
          <t>15/03/2017</t>
        </is>
      </c>
      <c r="B3425" s="8" t="n">
        <v>138.685233297</v>
      </c>
      <c r="C3425" s="13" t="n"/>
      <c r="D3425" s="3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6">
      <c r="A3426" s="65" t="inlineStr">
        <is>
          <t>16/03/2017</t>
        </is>
      </c>
      <c r="B3426" s="8" t="n">
        <v>138.240330072</v>
      </c>
      <c r="C3426" s="13" t="n"/>
      <c r="D3426" s="3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7">
      <c r="A3427" s="65" t="inlineStr">
        <is>
          <t>17/03/2017</t>
        </is>
      </c>
      <c r="B3427" s="8" t="n">
        <v>137.065785558</v>
      </c>
      <c r="C3427" s="13" t="n"/>
      <c r="D3427" s="3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8">
      <c r="A3428" s="65" t="inlineStr">
        <is>
          <t>20/03/2017</t>
        </is>
      </c>
      <c r="B3428" s="8" t="n">
        <v>135.766668141</v>
      </c>
      <c r="C3428" s="13" t="n"/>
      <c r="D3428" s="3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9">
      <c r="A3429" s="65" t="inlineStr">
        <is>
          <t>21/03/2017</t>
        </is>
      </c>
      <c r="B3429" s="8" t="n">
        <v>135.855648786</v>
      </c>
      <c r="C3429" s="13" t="n"/>
      <c r="D3429" s="3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0">
      <c r="A3430" s="65" t="inlineStr">
        <is>
          <t>22/03/2017</t>
        </is>
      </c>
      <c r="B3430" s="8" t="n">
        <v>136.887824268</v>
      </c>
      <c r="C3430" s="13" t="n"/>
      <c r="D3430" s="3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1">
      <c r="A3431" s="65" t="inlineStr">
        <is>
          <t>23/03/2017</t>
        </is>
      </c>
      <c r="B3431" s="8" t="n">
        <v>136.870028139</v>
      </c>
      <c r="C3431" s="13" t="n"/>
      <c r="D3431" s="3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2">
      <c r="A3432" s="65" t="inlineStr">
        <is>
          <t>24/03/2017</t>
        </is>
      </c>
      <c r="B3432" s="8" t="n">
        <v>135.802260399</v>
      </c>
      <c r="C3432" s="13" t="n"/>
      <c r="D3432" s="3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3">
      <c r="A3433" s="65" t="inlineStr">
        <is>
          <t>27/03/2017</t>
        </is>
      </c>
      <c r="B3433" s="8" t="n">
        <v>134.431958466</v>
      </c>
      <c r="C3433" s="13" t="n"/>
      <c r="D3433" s="3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4">
      <c r="A3434" s="65" t="inlineStr">
        <is>
          <t>28/03/2017</t>
        </is>
      </c>
      <c r="B3434" s="8" t="n">
        <v>132.385403631</v>
      </c>
      <c r="C3434" s="13" t="n"/>
      <c r="D3434" s="3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5">
      <c r="A3435" s="65" t="inlineStr">
        <is>
          <t>29/03/2017</t>
        </is>
      </c>
      <c r="B3435" s="8" t="n">
        <v>133.026064275</v>
      </c>
      <c r="C3435" s="13" t="n"/>
      <c r="D3435" s="3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6">
      <c r="A3436" s="65" t="inlineStr">
        <is>
          <t>30/03/2017</t>
        </is>
      </c>
      <c r="B3436" s="8" t="n">
        <v>131.317635891</v>
      </c>
      <c r="C3436" s="13" t="n"/>
      <c r="D3436" s="3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7">
      <c r="A3437" s="65" t="inlineStr">
        <is>
          <t>31/03/2017</t>
        </is>
      </c>
      <c r="B3437" s="8" t="n">
        <v>131.6913546</v>
      </c>
      <c r="C3437" s="13" t="n"/>
      <c r="D3437" s="3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8">
      <c r="A3438" s="65" t="inlineStr">
        <is>
          <t>03/04/2017</t>
        </is>
      </c>
      <c r="B3438" s="8" t="n">
        <v>133.5519407814</v>
      </c>
      <c r="C3438" s="13" t="n"/>
      <c r="D3438" s="3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9">
      <c r="A3439" s="65" t="inlineStr">
        <is>
          <t>04/04/2017</t>
        </is>
      </c>
      <c r="B3439" s="8" t="n">
        <v>134.0197864376</v>
      </c>
      <c r="C3439" s="13" t="n"/>
      <c r="D3439" s="3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0">
      <c r="A3440" s="65" t="inlineStr">
        <is>
          <t>05/04/2017</t>
        </is>
      </c>
      <c r="B3440" s="8" t="n">
        <v>133.8578398643</v>
      </c>
      <c r="C3440" s="13" t="n"/>
      <c r="D3440" s="3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1">
      <c r="A3441" s="65" t="inlineStr">
        <is>
          <t>06/04/2017</t>
        </is>
      </c>
      <c r="B3441" s="8" t="n">
        <v>132.4003207046</v>
      </c>
      <c r="C3441" s="13" t="n"/>
      <c r="D3441" s="3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2">
      <c r="A3442" s="65" t="inlineStr">
        <is>
          <t>07/04/2017</t>
        </is>
      </c>
      <c r="B3442" s="8" t="n">
        <v>132.3643325772</v>
      </c>
      <c r="C3442" s="13" t="n"/>
      <c r="D3442" s="3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3">
      <c r="A3443" s="65" t="inlineStr">
        <is>
          <t>10/04/2017</t>
        </is>
      </c>
      <c r="B3443" s="8" t="n">
        <v>132.616249469</v>
      </c>
      <c r="C3443" s="13" t="n"/>
      <c r="D3443" s="3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4">
      <c r="A3444" s="65" t="inlineStr">
        <is>
          <t>11/04/2017</t>
        </is>
      </c>
      <c r="B3444" s="8" t="n">
        <v>132.8681663608</v>
      </c>
      <c r="C3444" s="13" t="n"/>
      <c r="D3444" s="3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5">
      <c r="A3445" s="65" t="inlineStr">
        <is>
          <t>12/04/2017</t>
        </is>
      </c>
      <c r="B3445" s="8" t="n">
        <v>133.0121188704</v>
      </c>
      <c r="C3445" s="13" t="n"/>
      <c r="D3445" s="3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6">
      <c r="A3446" s="65" t="inlineStr">
        <is>
          <t>13/04/2017</t>
        </is>
      </c>
      <c r="B3446" s="8" t="n">
        <v>132.7781960423</v>
      </c>
      <c r="C3446" s="13" t="n"/>
      <c r="D3446" s="3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7">
      <c r="A3447" s="65" t="inlineStr">
        <is>
          <t>17/04/2017</t>
        </is>
      </c>
      <c r="B3447" s="8" t="n">
        <v>132.4183147683</v>
      </c>
      <c r="C3447" s="13" t="n"/>
      <c r="D3447" s="3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8">
      <c r="A3448" s="65" t="inlineStr">
        <is>
          <t>18/04/2017</t>
        </is>
      </c>
      <c r="B3448" s="8" t="n">
        <v>131.9324750484</v>
      </c>
      <c r="C3448" s="13" t="n"/>
      <c r="D3448" s="3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9">
      <c r="A3449" s="65" t="inlineStr">
        <is>
          <t>19/04/2017</t>
        </is>
      </c>
      <c r="B3449" s="8" t="n">
        <v>132.4003207046</v>
      </c>
      <c r="C3449" s="13" t="n"/>
      <c r="D3449" s="3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0">
      <c r="A3450" s="65" t="inlineStr">
        <is>
          <t>20/04/2017</t>
        </is>
      </c>
      <c r="B3450" s="8" t="n">
        <v>132.9401426156</v>
      </c>
      <c r="C3450" s="13" t="n"/>
      <c r="D3450" s="3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1">
      <c r="A3451" s="65" t="inlineStr">
        <is>
          <t>24/04/2017</t>
        </is>
      </c>
      <c r="B3451" s="8" t="n">
        <v>134.2537092657</v>
      </c>
      <c r="C3451" s="13" t="n"/>
      <c r="D3451" s="3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2">
      <c r="A3452" s="65" t="inlineStr">
        <is>
          <t>25/04/2017</t>
        </is>
      </c>
      <c r="B3452" s="8" t="n">
        <v>134.595596476</v>
      </c>
      <c r="C3452" s="13" t="n"/>
      <c r="D3452" s="3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3">
      <c r="A3453" s="65" t="inlineStr">
        <is>
          <t>26/04/2017</t>
        </is>
      </c>
      <c r="B3453" s="8" t="n">
        <v>135.6572462343</v>
      </c>
      <c r="C3453" s="13" t="n"/>
      <c r="D3453" s="3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4">
      <c r="A3454" s="65" t="inlineStr">
        <is>
          <t>27/04/2017</t>
        </is>
      </c>
      <c r="B3454" s="8" t="n">
        <v>136.5029672282</v>
      </c>
      <c r="C3454" s="13" t="n"/>
      <c r="D3454" s="3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5">
      <c r="A3455" s="65" t="inlineStr">
        <is>
          <t>28/04/2017</t>
        </is>
      </c>
      <c r="B3455" s="8" t="n">
        <v>137.6905754324</v>
      </c>
      <c r="C3455" s="13" t="n"/>
      <c r="D3455" s="3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6">
      <c r="A3456" s="65" t="inlineStr">
        <is>
          <t>02/05/2017</t>
        </is>
      </c>
      <c r="B3456" s="8" t="n">
        <v>139.9275932976</v>
      </c>
      <c r="C3456" s="13" t="n"/>
      <c r="D3456" s="3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7">
      <c r="A3457" s="65" t="inlineStr">
        <is>
          <t>03/05/2017</t>
        </is>
      </c>
      <c r="B3457" s="8" t="n">
        <v>140.3816677826</v>
      </c>
      <c r="C3457" s="13" t="n"/>
      <c r="D3457" s="3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8">
      <c r="A3458" s="65" t="inlineStr">
        <is>
          <t>04/05/2017</t>
        </is>
      </c>
      <c r="B3458" s="8" t="n">
        <v>139.1102592246</v>
      </c>
      <c r="C3458" s="13" t="n"/>
      <c r="D3458" s="3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9">
      <c r="A3459" s="65" t="inlineStr">
        <is>
          <t>05/05/2017</t>
        </is>
      </c>
      <c r="B3459" s="8" t="n">
        <v>139.0194443276</v>
      </c>
      <c r="C3459" s="13" t="n"/>
      <c r="D3459" s="3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0">
      <c r="A3460" s="65" t="inlineStr">
        <is>
          <t>08/05/2017</t>
        </is>
      </c>
      <c r="B3460" s="8" t="n">
        <v>139.6188226478</v>
      </c>
      <c r="C3460" s="13" t="n"/>
      <c r="D3460" s="3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1">
      <c r="A3461" s="65" t="inlineStr">
        <is>
          <t>09/05/2017</t>
        </is>
      </c>
      <c r="B3461" s="8" t="n">
        <v>139.491681792</v>
      </c>
      <c r="C3461" s="13" t="n"/>
      <c r="D3461" s="3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2">
      <c r="A3462" s="65" t="inlineStr">
        <is>
          <t>10/05/2017</t>
        </is>
      </c>
      <c r="B3462" s="8" t="n">
        <v>139.4190298744</v>
      </c>
      <c r="C3462" s="13" t="n"/>
      <c r="D3462" s="3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3">
      <c r="A3463" s="65" t="inlineStr">
        <is>
          <t>11/05/2017</t>
        </is>
      </c>
      <c r="B3463" s="8" t="n">
        <v>138.5653698426</v>
      </c>
      <c r="C3463" s="13" t="n"/>
      <c r="D3463" s="3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4">
      <c r="A3464" s="65" t="inlineStr">
        <is>
          <t>12/05/2017</t>
        </is>
      </c>
      <c r="B3464" s="8" t="n">
        <v>138.6380217602</v>
      </c>
      <c r="C3464" s="13" t="n"/>
      <c r="D3464" s="3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5">
      <c r="A3465" s="65" t="inlineStr">
        <is>
          <t>15/05/2017</t>
        </is>
      </c>
      <c r="B3465" s="8" t="n">
        <v>138.2747621722</v>
      </c>
      <c r="C3465" s="13" t="n"/>
      <c r="D3465" s="3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6">
      <c r="A3466" s="65" t="inlineStr">
        <is>
          <t>16/05/2017</t>
        </is>
      </c>
      <c r="B3466" s="8" t="n">
        <v>138.4200660074</v>
      </c>
      <c r="C3466" s="13" t="n"/>
      <c r="D3466" s="3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7">
      <c r="A3467" s="65" t="inlineStr">
        <is>
          <t>17/05/2017</t>
        </is>
      </c>
      <c r="B3467" s="8" t="n">
        <v>138.8741404924</v>
      </c>
      <c r="C3467" s="13" t="n"/>
      <c r="D3467" s="3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8">
      <c r="A3468" s="65" t="inlineStr">
        <is>
          <t>18/05/2017</t>
        </is>
      </c>
      <c r="B3468" s="8" t="n">
        <v>138.8378145336</v>
      </c>
      <c r="C3468" s="13" t="n"/>
      <c r="D3468" s="3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9">
      <c r="A3469" s="65" t="inlineStr">
        <is>
          <t>19/05/2017</t>
        </is>
      </c>
      <c r="B3469" s="8" t="n">
        <v>138.9831183688</v>
      </c>
      <c r="C3469" s="13" t="n"/>
      <c r="D3469" s="3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0">
      <c r="A3470" s="65" t="inlineStr">
        <is>
          <t>22/05/2017</t>
        </is>
      </c>
      <c r="B3470" s="8" t="n">
        <v>139.6551486066</v>
      </c>
      <c r="C3470" s="13" t="n"/>
      <c r="D3470" s="3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1">
      <c r="A3471" s="65" t="inlineStr">
        <is>
          <t>23/05/2017</t>
        </is>
      </c>
      <c r="B3471" s="8" t="n">
        <v>140.7086014118</v>
      </c>
      <c r="C3471" s="13" t="n"/>
      <c r="D3471" s="3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2">
      <c r="A3472" s="65" t="inlineStr">
        <is>
          <t>24/05/2017</t>
        </is>
      </c>
      <c r="B3472" s="8" t="n">
        <v>141.8165431552</v>
      </c>
      <c r="C3472" s="13" t="n"/>
      <c r="D3472" s="3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3">
      <c r="A3473" s="65" t="inlineStr">
        <is>
          <t>25/05/2017</t>
        </is>
      </c>
      <c r="B3473" s="8" t="n">
        <v>141.0173720616</v>
      </c>
      <c r="C3473" s="13" t="n"/>
      <c r="D3473" s="3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4">
      <c r="A3474" s="65" t="inlineStr">
        <is>
          <t>26/05/2017</t>
        </is>
      </c>
      <c r="B3474" s="8" t="n">
        <v>140.7994163088</v>
      </c>
      <c r="C3474" s="13" t="n"/>
      <c r="D3474" s="3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5">
      <c r="A3475" s="65" t="inlineStr">
        <is>
          <t>29/05/2017</t>
        </is>
      </c>
      <c r="B3475" s="8" t="n">
        <v>141.5077725054</v>
      </c>
      <c r="C3475" s="13" t="n"/>
      <c r="D3475" s="3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6">
      <c r="A3476" s="65" t="inlineStr">
        <is>
          <t>30/05/2017</t>
        </is>
      </c>
      <c r="B3476" s="8" t="n">
        <v>141.1626758968</v>
      </c>
      <c r="C3476" s="13" t="n"/>
      <c r="D3476" s="3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7">
      <c r="A3477" s="65" t="inlineStr">
        <is>
          <t>31/05/2017</t>
        </is>
      </c>
      <c r="B3477" s="8" t="n">
        <v>141.1445129174</v>
      </c>
      <c r="C3477" s="13" t="n"/>
      <c r="D3477" s="3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8">
      <c r="A3478" s="65" t="inlineStr">
        <is>
          <t>01/06/2017</t>
        </is>
      </c>
      <c r="B3478" s="8" t="n">
        <v>141.5479951202</v>
      </c>
      <c r="C3478" s="13" t="n"/>
      <c r="D3478" s="3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9">
      <c r="A3479" s="65" t="inlineStr">
        <is>
          <t>02/06/2017</t>
        </is>
      </c>
      <c r="B3479" s="8" t="n">
        <v>140.1217267286</v>
      </c>
      <c r="C3479" s="13" t="n"/>
      <c r="D3479" s="3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0">
      <c r="A3480" s="65" t="inlineStr">
        <is>
          <t>05/06/2017</t>
        </is>
      </c>
      <c r="B3480" s="8" t="n">
        <v>139.2257376108</v>
      </c>
      <c r="C3480" s="13" t="n"/>
      <c r="D3480" s="3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1">
      <c r="A3481" s="65" t="inlineStr">
        <is>
          <t>06/06/2017</t>
        </is>
      </c>
      <c r="B3481" s="8" t="n">
        <v>139.0245971966</v>
      </c>
      <c r="C3481" s="13" t="n"/>
      <c r="D3481" s="3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2">
      <c r="A3482" s="65" t="inlineStr">
        <is>
          <t>07/06/2017</t>
        </is>
      </c>
      <c r="B3482" s="8" t="n">
        <v>137.7263272504</v>
      </c>
      <c r="C3482" s="13" t="n"/>
      <c r="D3482" s="3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3">
      <c r="A3483" s="65" t="inlineStr">
        <is>
          <t>08/06/2017</t>
        </is>
      </c>
      <c r="B3483" s="8" t="n">
        <v>137.3789028986</v>
      </c>
      <c r="C3483" s="13" t="n"/>
      <c r="D3483" s="3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4">
      <c r="A3484" s="65" t="inlineStr">
        <is>
          <t>09/06/2017</t>
        </is>
      </c>
      <c r="B3484" s="8" t="n">
        <v>136.5194847652</v>
      </c>
      <c r="C3484" s="13" t="n"/>
      <c r="D3484" s="3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5">
      <c r="A3485" s="65" t="inlineStr">
        <is>
          <t>12/06/2017</t>
        </is>
      </c>
      <c r="B3485" s="8" t="n">
        <v>136.8120526404</v>
      </c>
      <c r="C3485" s="13" t="n"/>
      <c r="D3485" s="3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6">
      <c r="A3486" s="65" t="inlineStr">
        <is>
          <t>13/06/2017</t>
        </is>
      </c>
      <c r="B3486" s="8" t="n">
        <v>136.0806329524</v>
      </c>
      <c r="C3486" s="13" t="n"/>
      <c r="D3486" s="3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7">
      <c r="A3487" s="65" t="inlineStr">
        <is>
          <t>14/06/2017</t>
        </is>
      </c>
      <c r="B3487" s="8" t="n">
        <v>134.2703692246</v>
      </c>
      <c r="C3487" s="13" t="n"/>
      <c r="D3487" s="3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8">
      <c r="A3488" s="65" t="inlineStr">
        <is>
          <t>16/06/2017</t>
        </is>
      </c>
      <c r="B3488" s="8" t="n">
        <v>134.2703692246</v>
      </c>
      <c r="C3488" s="13" t="n"/>
      <c r="D3488" s="3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9">
      <c r="A3489" s="65" t="inlineStr">
        <is>
          <t>19/06/2017</t>
        </is>
      </c>
      <c r="B3489" s="8" t="n">
        <v>133.7218044586</v>
      </c>
      <c r="C3489" s="13" t="n"/>
      <c r="D3489" s="3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0">
      <c r="A3490" s="65" t="inlineStr">
        <is>
          <t>20/06/2017</t>
        </is>
      </c>
      <c r="B3490" s="8" t="n">
        <v>131.4909744102</v>
      </c>
      <c r="C3490" s="13" t="n"/>
      <c r="D3490" s="3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1">
      <c r="A3491" s="65" t="inlineStr">
        <is>
          <t>21/06/2017</t>
        </is>
      </c>
      <c r="B3491" s="8" t="n">
        <v>129.644139698</v>
      </c>
      <c r="C3491" s="13" t="n"/>
      <c r="D3491" s="3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2">
      <c r="A3492" s="65" t="inlineStr">
        <is>
          <t>22/06/2017</t>
        </is>
      </c>
      <c r="B3492" s="8" t="n">
        <v>128.4372972128</v>
      </c>
      <c r="C3492" s="13" t="n"/>
      <c r="D3492" s="3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3">
      <c r="A3493" s="65" t="inlineStr">
        <is>
          <t>23/06/2017</t>
        </is>
      </c>
      <c r="B3493" s="8" t="n">
        <v>127.6875920326</v>
      </c>
      <c r="C3493" s="13" t="n"/>
      <c r="D3493" s="3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4">
      <c r="A3494" s="65" t="inlineStr">
        <is>
          <t>26/06/2017</t>
        </is>
      </c>
      <c r="B3494" s="8" t="n">
        <v>124.8167697572</v>
      </c>
      <c r="C3494" s="13" t="n"/>
      <c r="D3494" s="3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5">
      <c r="A3495" s="65" t="inlineStr">
        <is>
          <t>27/06/2017</t>
        </is>
      </c>
      <c r="B3495" s="8" t="n">
        <v>123.6282127642</v>
      </c>
      <c r="C3495" s="13" t="n"/>
      <c r="D3495" s="3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6">
      <c r="A3496" s="65" t="inlineStr">
        <is>
          <t>28/06/2017</t>
        </is>
      </c>
      <c r="B3496" s="8" t="n">
        <v>123.0065060294</v>
      </c>
      <c r="C3496" s="13" t="n"/>
      <c r="D3496" s="3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7">
      <c r="A3497" s="65" t="inlineStr">
        <is>
          <t>29/06/2017</t>
        </is>
      </c>
      <c r="B3497" s="8" t="n">
        <v>120.8305324576</v>
      </c>
      <c r="C3497" s="13" t="n"/>
      <c r="D3497" s="3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8">
      <c r="A3498" s="65" t="inlineStr">
        <is>
          <t>30/06/2017</t>
        </is>
      </c>
      <c r="B3498" s="8" t="n">
        <v>118.2339925652</v>
      </c>
      <c r="C3498" s="13" t="n"/>
      <c r="D3498" s="3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9">
      <c r="A3499" s="65" t="inlineStr">
        <is>
          <t>03/07/2017</t>
        </is>
      </c>
      <c r="B3499" s="8" t="n">
        <v>116.6418437658</v>
      </c>
      <c r="C3499" s="13" t="n"/>
      <c r="D3499" s="3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0">
      <c r="A3500" s="65" t="inlineStr">
        <is>
          <t>04/07/2017</t>
        </is>
      </c>
      <c r="B3500" s="8" t="n">
        <v>116.1813912008</v>
      </c>
      <c r="C3500" s="13" t="n"/>
      <c r="D3500" s="3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1">
      <c r="A3501" s="65" t="inlineStr">
        <is>
          <t>05/07/2017</t>
        </is>
      </c>
      <c r="B3501" s="8" t="n">
        <v>116.4576627398</v>
      </c>
      <c r="C3501" s="13" t="n"/>
      <c r="D3501" s="3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2">
      <c r="A3502" s="65" t="inlineStr">
        <is>
          <t>06/07/2017</t>
        </is>
      </c>
      <c r="B3502" s="8" t="n">
        <v>116.5681713554</v>
      </c>
      <c r="C3502" s="13" t="n"/>
      <c r="D3502" s="3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3">
      <c r="A3503" s="65" t="inlineStr">
        <is>
          <t>07/07/2017</t>
        </is>
      </c>
      <c r="B3503" s="8" t="n">
        <v>116.6234256632</v>
      </c>
      <c r="C3503" s="13" t="n"/>
      <c r="D3503" s="3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4">
      <c r="A3504" s="65" t="inlineStr">
        <is>
          <t>10/07/2017</t>
        </is>
      </c>
      <c r="B3504" s="8" t="n">
        <v>117.1759687412</v>
      </c>
      <c r="C3504" s="13" t="n"/>
      <c r="D3504" s="3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5">
      <c r="A3505" s="65" t="inlineStr">
        <is>
          <t>11/07/2017</t>
        </is>
      </c>
      <c r="B3505" s="8" t="n">
        <v>116.9181153048</v>
      </c>
      <c r="C3505" s="13" t="n"/>
      <c r="D3505" s="3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6">
      <c r="A3506" s="65" t="inlineStr">
        <is>
          <t>12/07/2017</t>
        </is>
      </c>
      <c r="B3506" s="8" t="n">
        <v>116.9917877152</v>
      </c>
      <c r="C3506" s="13" t="n"/>
      <c r="D3506" s="3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7">
      <c r="A3507" s="65" t="inlineStr">
        <is>
          <t>13/07/2017</t>
        </is>
      </c>
      <c r="B3507" s="8" t="n">
        <v>115.1315593526</v>
      </c>
      <c r="C3507" s="13" t="n"/>
      <c r="D3507" s="3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8">
      <c r="A3508" s="65" t="inlineStr">
        <is>
          <t>14/07/2017</t>
        </is>
      </c>
      <c r="B3508" s="8" t="n">
        <v>115.0394688396</v>
      </c>
      <c r="C3508" s="13" t="n"/>
      <c r="D3508" s="3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9">
      <c r="A3509" s="65" t="inlineStr">
        <is>
          <t>17/07/2017</t>
        </is>
      </c>
      <c r="B3509" s="8" t="n">
        <v>112.9213870406</v>
      </c>
      <c r="C3509" s="13" t="n"/>
      <c r="D3509" s="3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0">
      <c r="A3510" s="65" t="inlineStr">
        <is>
          <t>18/07/2017</t>
        </is>
      </c>
      <c r="B3510" s="8" t="n">
        <v>111.5584474482</v>
      </c>
      <c r="C3510" s="13" t="n"/>
      <c r="D3510" s="3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1">
      <c r="A3511" s="65" t="inlineStr">
        <is>
          <t>19/07/2017</t>
        </is>
      </c>
      <c r="B3511" s="8" t="n">
        <v>109.9192363168</v>
      </c>
      <c r="C3511" s="13" t="n"/>
      <c r="D3511" s="3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2">
      <c r="A3512" s="65" t="inlineStr">
        <is>
          <t>20/07/2017</t>
        </is>
      </c>
      <c r="B3512" s="8" t="n">
        <v>109.58771047</v>
      </c>
      <c r="C3512" s="13" t="n"/>
      <c r="D3512" s="3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3">
      <c r="A3513" s="65" t="inlineStr">
        <is>
          <t>21/07/2017</t>
        </is>
      </c>
      <c r="B3513" s="8" t="n">
        <v>109.2377665206</v>
      </c>
      <c r="C3513" s="13" t="n"/>
      <c r="D3513" s="3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4">
      <c r="A3514" s="65" t="inlineStr">
        <is>
          <t>24/07/2017</t>
        </is>
      </c>
      <c r="B3514" s="8" t="n">
        <v>108.9614949816</v>
      </c>
      <c r="C3514" s="13" t="n"/>
      <c r="D3514" s="3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5">
      <c r="A3515" s="65" t="inlineStr">
        <is>
          <t>25/07/2017</t>
        </is>
      </c>
      <c r="B3515" s="8" t="n">
        <v>108.9799130842</v>
      </c>
      <c r="C3515" s="13" t="n"/>
      <c r="D3515" s="3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6">
      <c r="A3516" s="65" t="inlineStr">
        <is>
          <t>26/07/2017</t>
        </is>
      </c>
      <c r="B3516" s="8" t="n">
        <v>108.2247708776</v>
      </c>
      <c r="C3516" s="13" t="n"/>
      <c r="D3516" s="3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7">
      <c r="A3517" s="65" t="inlineStr">
        <is>
          <t>27/07/2017</t>
        </is>
      </c>
      <c r="B3517" s="8" t="n">
        <v>107.930081236</v>
      </c>
      <c r="C3517" s="13" t="n"/>
      <c r="D3517" s="3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8">
      <c r="A3518" s="65" t="inlineStr">
        <is>
          <t>28/07/2017</t>
        </is>
      </c>
      <c r="B3518" s="8" t="n">
        <v>107.6169734918</v>
      </c>
      <c r="C3518" s="13" t="n"/>
      <c r="D3518" s="3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9">
      <c r="A3519" s="65" t="inlineStr">
        <is>
          <t>31/07/2017</t>
        </is>
      </c>
      <c r="B3519" s="8" t="n">
        <v>107.7090640048</v>
      </c>
      <c r="C3519" s="13" t="n"/>
      <c r="D3519" s="3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0">
      <c r="A3520" s="65" t="inlineStr">
        <is>
          <t>01/08/2017</t>
        </is>
      </c>
      <c r="B3520" s="8" t="n">
        <v>106.71827682</v>
      </c>
      <c r="C3520" s="13" t="n"/>
      <c r="D3520" s="3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1">
      <c r="A3521" s="65" t="inlineStr">
        <is>
          <t>02/08/2017</t>
        </is>
      </c>
      <c r="B3521" s="8" t="n">
        <v>105.9454892982</v>
      </c>
      <c r="C3521" s="13" t="n"/>
      <c r="D3521" s="3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2">
      <c r="A3522" s="65" t="inlineStr">
        <is>
          <t>03/08/2017</t>
        </is>
      </c>
      <c r="B3522" s="8" t="n">
        <v>105.2279008851</v>
      </c>
      <c r="C3522" s="13" t="n"/>
      <c r="D3522" s="3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3">
      <c r="A3523" s="65" t="inlineStr">
        <is>
          <t>04/08/2017</t>
        </is>
      </c>
      <c r="B3523" s="8" t="n">
        <v>105.7246928634</v>
      </c>
      <c r="C3523" s="13" t="n"/>
      <c r="D3523" s="3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4">
      <c r="A3524" s="65" t="inlineStr">
        <is>
          <t>07/08/2017</t>
        </is>
      </c>
      <c r="B3524" s="8" t="n">
        <v>105.1911014793</v>
      </c>
      <c r="C3524" s="13" t="n"/>
      <c r="D3524" s="3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5">
      <c r="A3525" s="65" t="inlineStr">
        <is>
          <t>08/08/2017</t>
        </is>
      </c>
      <c r="B3525" s="8" t="n">
        <v>102.7071415878</v>
      </c>
      <c r="C3525" s="13" t="n"/>
      <c r="D3525" s="3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6">
      <c r="A3526" s="65" t="inlineStr">
        <is>
          <t>09/08/2017</t>
        </is>
      </c>
      <c r="B3526" s="8" t="n">
        <v>101.2719647616</v>
      </c>
      <c r="C3526" s="13" t="n"/>
      <c r="D3526" s="3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7">
      <c r="A3527" s="65" t="inlineStr">
        <is>
          <t>10/08/2017</t>
        </is>
      </c>
      <c r="B3527" s="8" t="n">
        <v>100.5359766456</v>
      </c>
      <c r="C3527" s="13" t="n"/>
      <c r="D3527" s="3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8">
      <c r="A3528" s="65" t="inlineStr">
        <is>
          <t>11/08/2017</t>
        </is>
      </c>
      <c r="B3528" s="8" t="n">
        <v>100.9407701094</v>
      </c>
      <c r="C3528" s="13" t="n"/>
      <c r="D3528" s="3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9">
      <c r="A3529" s="65" t="inlineStr">
        <is>
          <t>14/08/2017</t>
        </is>
      </c>
      <c r="B3529" s="8" t="n">
        <v>99.91038674699999</v>
      </c>
      <c r="C3529" s="13" t="n"/>
      <c r="D3529" s="3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0">
      <c r="A3530" s="65" t="inlineStr">
        <is>
          <t>15/08/2017</t>
        </is>
      </c>
      <c r="B3530" s="8" t="n">
        <v>99.3399959571</v>
      </c>
      <c r="C3530" s="13" t="n"/>
      <c r="D3530" s="3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1">
      <c r="A3531" s="65" t="inlineStr">
        <is>
          <t>16/08/2017</t>
        </is>
      </c>
      <c r="B3531" s="8" t="n">
        <v>99.0088013049</v>
      </c>
      <c r="C3531" s="13" t="n"/>
      <c r="D3531" s="3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2">
      <c r="A3532" s="65" t="inlineStr">
        <is>
          <t>17/08/2017</t>
        </is>
      </c>
      <c r="B3532" s="8" t="n">
        <v>98.25441348599999</v>
      </c>
      <c r="C3532" s="13" t="n"/>
      <c r="D3532" s="3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3">
      <c r="A3533" s="65" t="inlineStr">
        <is>
          <t>18/08/2017</t>
        </is>
      </c>
      <c r="B3533" s="8" t="n">
        <v>98.10721586279999</v>
      </c>
      <c r="C3533" s="13" t="n"/>
      <c r="D3533" s="3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4">
      <c r="A3534" s="65" t="inlineStr">
        <is>
          <t>21/08/2017</t>
        </is>
      </c>
      <c r="B3534" s="8" t="n">
        <v>98.05201675409999</v>
      </c>
      <c r="C3534" s="13" t="n"/>
      <c r="D3534" s="3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5">
      <c r="A3535" s="65" t="inlineStr">
        <is>
          <t>22/08/2017</t>
        </is>
      </c>
      <c r="B3535" s="8" t="n">
        <v>97.1320316091</v>
      </c>
      <c r="C3535" s="13" t="n"/>
      <c r="D3535" s="3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6">
      <c r="A3536" s="65" t="inlineStr">
        <is>
          <t>23/08/2017</t>
        </is>
      </c>
      <c r="B3536" s="8" t="n">
        <v>97.20563042069999</v>
      </c>
      <c r="C3536" s="13" t="n"/>
      <c r="D3536" s="3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7">
      <c r="A3537" s="65" t="inlineStr">
        <is>
          <t>24/08/2017</t>
        </is>
      </c>
      <c r="B3537" s="8" t="n">
        <v>96.89283547139999</v>
      </c>
      <c r="C3537" s="13" t="n"/>
      <c r="D3537" s="3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8">
      <c r="A3538" s="65" t="inlineStr">
        <is>
          <t>25/08/2017</t>
        </is>
      </c>
      <c r="B3538" s="8" t="n">
        <v>96.8008369569</v>
      </c>
      <c r="C3538" s="13" t="n"/>
      <c r="D3538" s="3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9">
      <c r="A3539" s="65" t="inlineStr">
        <is>
          <t>28/08/2017</t>
        </is>
      </c>
      <c r="B3539" s="8" t="n">
        <v>97.3712277468</v>
      </c>
      <c r="C3539" s="13" t="n"/>
      <c r="D3539" s="3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0">
      <c r="A3540" s="65" t="inlineStr">
        <is>
          <t>29/08/2017</t>
        </is>
      </c>
      <c r="B3540" s="8" t="n">
        <v>97.51842536999999</v>
      </c>
      <c r="C3540" s="13" t="n"/>
      <c r="D3540" s="3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1">
      <c r="A3541" s="65" t="inlineStr">
        <is>
          <t>30/08/2017</t>
        </is>
      </c>
      <c r="B3541" s="8" t="n">
        <v>97.07683250039999</v>
      </c>
      <c r="C3541" s="13" t="n"/>
      <c r="D3541" s="3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2">
      <c r="A3542" s="65" t="inlineStr">
        <is>
          <t>31/08/2017</t>
        </is>
      </c>
      <c r="B3542" s="8" t="n">
        <v>96.28564527569999</v>
      </c>
      <c r="C3542" s="13" t="n"/>
      <c r="D3542" s="3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3">
      <c r="A3543" s="65" t="inlineStr">
        <is>
          <t>01/09/2017</t>
        </is>
      </c>
      <c r="B3543" s="8" t="n">
        <v>95.65208322239999</v>
      </c>
      <c r="C3543" s="13" t="n"/>
      <c r="D3543" s="3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4">
      <c r="A3544" s="65" t="inlineStr">
        <is>
          <t>04/09/2017</t>
        </is>
      </c>
      <c r="B3544" s="8" t="n">
        <v>95.7070241088</v>
      </c>
      <c r="C3544" s="13" t="n"/>
      <c r="D3544" s="3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5">
      <c r="A3545" s="65" t="inlineStr">
        <is>
          <t>05/09/2017</t>
        </is>
      </c>
      <c r="B3545" s="8" t="n">
        <v>95.1576152448</v>
      </c>
      <c r="C3545" s="13" t="n"/>
      <c r="D3545" s="3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6">
      <c r="A3546" s="65" t="inlineStr">
        <is>
          <t>06/09/2017</t>
        </is>
      </c>
      <c r="B3546" s="8" t="n">
        <v>95.3041242752</v>
      </c>
      <c r="C3546" s="13" t="n"/>
      <c r="D3546" s="3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7">
      <c r="A3547" s="65" t="inlineStr">
        <is>
          <t>08/09/2017</t>
        </is>
      </c>
      <c r="B3547" s="8" t="n">
        <v>95.3407515328</v>
      </c>
      <c r="C3547" s="13" t="n"/>
      <c r="D3547" s="3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8">
      <c r="A3548" s="65" t="inlineStr">
        <is>
          <t>11/09/2017</t>
        </is>
      </c>
      <c r="B3548" s="8" t="n">
        <v>95.597142336</v>
      </c>
      <c r="C3548" s="13" t="n"/>
      <c r="D3548" s="3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9">
      <c r="A3549" s="65" t="inlineStr">
        <is>
          <t>12/09/2017</t>
        </is>
      </c>
      <c r="B3549" s="8" t="n">
        <v>95.68871048</v>
      </c>
      <c r="C3549" s="13" t="n"/>
      <c r="D3549" s="3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0">
      <c r="A3550" s="65" t="inlineStr">
        <is>
          <t>13/09/2017</t>
        </is>
      </c>
      <c r="B3550" s="8" t="n">
        <v>96.62270554879998</v>
      </c>
      <c r="C3550" s="13" t="n"/>
      <c r="D3550" s="3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1">
      <c r="A3551" s="65" t="inlineStr">
        <is>
          <t>14/09/2017</t>
        </is>
      </c>
      <c r="B3551" s="8" t="n">
        <v>96.787528208</v>
      </c>
      <c r="C3551" s="13" t="n"/>
      <c r="D3551" s="3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2">
      <c r="A3552" s="65" t="inlineStr">
        <is>
          <t>15/09/2017</t>
        </is>
      </c>
      <c r="B3552" s="8" t="n">
        <v>96.329687488</v>
      </c>
      <c r="C3552" s="13" t="n"/>
      <c r="D3552" s="3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3">
      <c r="A3553" s="65" t="inlineStr">
        <is>
          <t>18/09/2017</t>
        </is>
      </c>
      <c r="B3553" s="8" t="n">
        <v>96.20149208639999</v>
      </c>
      <c r="C3553" s="13" t="n"/>
      <c r="D3553" s="3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4">
      <c r="A3554" s="65" t="inlineStr">
        <is>
          <t>19/09/2017</t>
        </is>
      </c>
      <c r="B3554" s="8" t="n">
        <v>96.00004216959999</v>
      </c>
      <c r="C3554" s="13" t="n"/>
      <c r="D3554" s="3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5">
      <c r="A3555" s="65" t="inlineStr">
        <is>
          <t>20/09/2017</t>
        </is>
      </c>
      <c r="B3555" s="8" t="n">
        <v>96.421255632</v>
      </c>
      <c r="C3555" s="13" t="n"/>
      <c r="D3555" s="3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6">
      <c r="A3556" s="65" t="inlineStr">
        <is>
          <t>21/09/2017</t>
        </is>
      </c>
      <c r="B3556" s="8" t="n">
        <v>96.2198057152</v>
      </c>
      <c r="C3556" s="13" t="n"/>
      <c r="D3556" s="3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7">
      <c r="A3557" s="65" t="inlineStr">
        <is>
          <t>22/09/2017</t>
        </is>
      </c>
      <c r="B3557" s="8" t="n">
        <v>96.512823776</v>
      </c>
      <c r="C3557" s="13" t="n"/>
      <c r="D3557" s="3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8">
      <c r="A3558" s="65" t="inlineStr">
        <is>
          <t>25/09/2017</t>
        </is>
      </c>
      <c r="B3558" s="8" t="n">
        <v>96.18317845760001</v>
      </c>
      <c r="C3558" s="13" t="n"/>
      <c r="D3558" s="3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9">
      <c r="A3559" s="65" t="inlineStr">
        <is>
          <t>26/09/2017</t>
        </is>
      </c>
      <c r="B3559" s="8" t="n">
        <v>95.3407515328</v>
      </c>
      <c r="C3559" s="13" t="n"/>
      <c r="D3559" s="3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0">
      <c r="A3560" s="65" t="inlineStr">
        <is>
          <t>27/09/2017</t>
        </is>
      </c>
      <c r="B3560" s="8" t="n">
        <v>95.90847402559999</v>
      </c>
      <c r="C3560" s="13" t="n"/>
      <c r="D3560" s="3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1">
      <c r="A3561" s="65" t="inlineStr">
        <is>
          <t>28/09/2017</t>
        </is>
      </c>
      <c r="B3561" s="8" t="n">
        <v>95.96341491199999</v>
      </c>
      <c r="C3561" s="13" t="n"/>
      <c r="D3561" s="3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2">
      <c r="A3562" s="65" t="inlineStr">
        <is>
          <t>29/09/2017</t>
        </is>
      </c>
      <c r="B3562" s="8" t="n">
        <v>96.6593328064</v>
      </c>
      <c r="C3562" s="13" t="n"/>
      <c r="D3562" s="3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3">
      <c r="A3563" s="65" t="inlineStr">
        <is>
          <t>02/10/2017</t>
        </is>
      </c>
      <c r="B3563" s="8" t="n">
        <v>96.2470748436</v>
      </c>
      <c r="C3563" s="13" t="n"/>
      <c r="D3563" s="3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4">
      <c r="A3564" s="65" t="inlineStr">
        <is>
          <t>03/10/2017</t>
        </is>
      </c>
      <c r="B3564" s="8" t="n">
        <v>96.7405558578</v>
      </c>
      <c r="C3564" s="13" t="n"/>
      <c r="D3564" s="3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5">
      <c r="A3565" s="65" t="inlineStr">
        <is>
          <t>04/10/2017</t>
        </is>
      </c>
      <c r="B3565" s="8" t="n">
        <v>97.2157597974</v>
      </c>
      <c r="C3565" s="13" t="n"/>
      <c r="D3565" s="3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6">
      <c r="A3566" s="65" t="inlineStr">
        <is>
          <t>05/10/2017</t>
        </is>
      </c>
      <c r="B3566" s="8" t="n">
        <v>97.48991591640001</v>
      </c>
      <c r="C3566" s="13" t="n"/>
      <c r="D3566" s="3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7">
      <c r="A3567" s="65" t="inlineStr">
        <is>
          <t>06/10/2017</t>
        </is>
      </c>
      <c r="B3567" s="8" t="n">
        <v>97.10609734980001</v>
      </c>
      <c r="C3567" s="13" t="n"/>
      <c r="D3567" s="3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8">
      <c r="A3568" s="65" t="inlineStr">
        <is>
          <t>09/10/2017</t>
        </is>
      </c>
      <c r="B3568" s="8" t="n">
        <v>97.03298905140001</v>
      </c>
      <c r="C3568" s="13" t="n"/>
      <c r="D3568" s="3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9">
      <c r="A3569" s="65" t="inlineStr">
        <is>
          <t>10/10/2017</t>
        </is>
      </c>
      <c r="B3569" s="8" t="n">
        <v>97.25231394660001</v>
      </c>
      <c r="C3569" s="13" t="n"/>
      <c r="D3569" s="3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0">
      <c r="A3570" s="65" t="inlineStr">
        <is>
          <t>11/10/2017</t>
        </is>
      </c>
      <c r="B3570" s="8" t="n">
        <v>97.48991591640001</v>
      </c>
      <c r="C3570" s="13" t="n"/>
      <c r="D3570" s="3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1">
      <c r="A3571" s="65" t="inlineStr">
        <is>
          <t>13/10/2017</t>
        </is>
      </c>
      <c r="B3571" s="8" t="n">
        <v>97.7457949608</v>
      </c>
      <c r="C3571" s="13" t="n"/>
      <c r="D3571" s="3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2">
      <c r="A3572" s="65" t="inlineStr">
        <is>
          <t>16/10/2017</t>
        </is>
      </c>
      <c r="B3572" s="8" t="n">
        <v>98.604817467</v>
      </c>
      <c r="C3572" s="13" t="n"/>
      <c r="D3572" s="3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3">
      <c r="A3573" s="65" t="inlineStr">
        <is>
          <t>17/10/2017</t>
        </is>
      </c>
      <c r="B3573" s="8" t="n">
        <v>99.08002140660001</v>
      </c>
      <c r="C3573" s="13" t="n"/>
      <c r="D3573" s="3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4">
      <c r="A3574" s="65" t="inlineStr">
        <is>
          <t>18/10/2017</t>
        </is>
      </c>
      <c r="B3574" s="8" t="n">
        <v>99.975598062</v>
      </c>
      <c r="C3574" s="13" t="n"/>
      <c r="D3574" s="3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5">
      <c r="A3575" s="65" t="inlineStr">
        <is>
          <t>19/10/2017</t>
        </is>
      </c>
      <c r="B3575" s="8" t="n">
        <v>100.158368808</v>
      </c>
      <c r="C3575" s="13" t="n"/>
      <c r="D3575" s="3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6">
      <c r="A3576" s="65" t="inlineStr">
        <is>
          <t>20/10/2017</t>
        </is>
      </c>
      <c r="B3576" s="8" t="n">
        <v>100.6518498222</v>
      </c>
      <c r="C3576" s="13" t="n"/>
      <c r="D3576" s="3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7">
      <c r="A3577" s="65" t="inlineStr">
        <is>
          <t>23/10/2017</t>
        </is>
      </c>
      <c r="B3577" s="8" t="n">
        <v>101.8398596712</v>
      </c>
      <c r="C3577" s="13" t="n"/>
      <c r="D3577" s="3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8">
      <c r="A3578" s="65" t="inlineStr">
        <is>
          <t>24/10/2017</t>
        </is>
      </c>
      <c r="B3578" s="8" t="n">
        <v>102.168847014</v>
      </c>
      <c r="C3578" s="13" t="n"/>
      <c r="D3578" s="3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9">
      <c r="A3579" s="65" t="inlineStr">
        <is>
          <t>25/10/2017</t>
        </is>
      </c>
      <c r="B3579" s="8" t="n">
        <v>102.4612802076</v>
      </c>
      <c r="C3579" s="13" t="n"/>
      <c r="D3579" s="3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0">
      <c r="A3580" s="65" t="inlineStr">
        <is>
          <t>26/10/2017</t>
        </is>
      </c>
      <c r="B3580" s="8" t="n">
        <v>103.2837485646</v>
      </c>
      <c r="C3580" s="13" t="n"/>
      <c r="D3580" s="3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1">
      <c r="A3581" s="65" t="inlineStr">
        <is>
          <t>27/10/2017</t>
        </is>
      </c>
      <c r="B3581" s="8" t="n">
        <v>104.3438188914</v>
      </c>
      <c r="C3581" s="13" t="n"/>
      <c r="D3581" s="3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2">
      <c r="A3582" s="65" t="inlineStr">
        <is>
          <t>30/10/2017</t>
        </is>
      </c>
      <c r="B3582" s="8" t="n">
        <v>104.4352042644</v>
      </c>
      <c r="C3582" s="13" t="n"/>
      <c r="D3582" s="3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3">
      <c r="A3583" s="65" t="inlineStr">
        <is>
          <t>31/10/2017</t>
        </is>
      </c>
      <c r="B3583" s="8" t="n">
        <v>105.7877077848</v>
      </c>
      <c r="C3583" s="13" t="n"/>
      <c r="D3583" s="3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4">
      <c r="A3584" s="65" t="inlineStr">
        <is>
          <t>01/11/2017</t>
        </is>
      </c>
      <c r="B3584" s="8" t="n">
        <v>106.1314013435</v>
      </c>
      <c r="C3584" s="13" t="n"/>
      <c r="D3584" s="3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5">
      <c r="A3585" s="65" t="inlineStr">
        <is>
          <t>03/11/2017</t>
        </is>
      </c>
      <c r="B3585" s="8" t="n">
        <v>106.8223373125</v>
      </c>
      <c r="C3585" s="13" t="n"/>
      <c r="D3585" s="3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6">
      <c r="A3586" s="65" t="inlineStr">
        <is>
          <t>06/11/2017</t>
        </is>
      </c>
      <c r="B3586" s="8" t="n">
        <v>109.5497161375</v>
      </c>
      <c r="C3586" s="13" t="n"/>
      <c r="D3586" s="3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7">
      <c r="A3587" s="65" t="inlineStr">
        <is>
          <t>07/11/2017</t>
        </is>
      </c>
      <c r="B3587" s="8" t="n">
        <v>111.0043181775</v>
      </c>
      <c r="C3587" s="13" t="n"/>
      <c r="D3587" s="3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8">
      <c r="A3588" s="65" t="inlineStr">
        <is>
          <t>08/11/2017</t>
        </is>
      </c>
      <c r="B3588" s="8" t="n">
        <v>111.9134444525</v>
      </c>
      <c r="C3588" s="13" t="n"/>
      <c r="D3588" s="3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9">
      <c r="A3589" s="65" t="inlineStr">
        <is>
          <t>09/11/2017</t>
        </is>
      </c>
      <c r="B3589" s="8" t="n">
        <v>113.4407765945</v>
      </c>
      <c r="C3589" s="13" t="n"/>
      <c r="D3589" s="3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0">
      <c r="A3590" s="65" t="inlineStr">
        <is>
          <t>10/11/2017</t>
        </is>
      </c>
      <c r="B3590" s="8" t="n">
        <v>115.6954097565</v>
      </c>
      <c r="C3590" s="13" t="n"/>
      <c r="D3590" s="3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1">
      <c r="A3591" s="65" t="inlineStr">
        <is>
          <t>13/11/2017</t>
        </is>
      </c>
      <c r="B3591" s="8" t="n">
        <v>116.4227107765</v>
      </c>
      <c r="C3591" s="13" t="n"/>
      <c r="D3591" s="3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2">
      <c r="A3592" s="65" t="inlineStr">
        <is>
          <t>14/11/2017</t>
        </is>
      </c>
      <c r="B3592" s="8" t="n">
        <v>118.259145852</v>
      </c>
      <c r="C3592" s="13" t="n"/>
      <c r="D3592" s="3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3">
      <c r="A3593" s="65" t="inlineStr">
        <is>
          <t>16/11/2017</t>
        </is>
      </c>
      <c r="B3593" s="8" t="n">
        <v>117.240924424</v>
      </c>
      <c r="C3593" s="13" t="n"/>
      <c r="D3593" s="3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4">
      <c r="A3594" s="65" t="inlineStr">
        <is>
          <t>17/11/2017</t>
        </is>
      </c>
      <c r="B3594" s="8" t="n">
        <v>118.91371677</v>
      </c>
      <c r="C3594" s="13" t="n"/>
      <c r="D3594" s="3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5">
      <c r="A3595" s="65" t="inlineStr">
        <is>
          <t>21/11/2017</t>
        </is>
      </c>
      <c r="B3595" s="8" t="n">
        <v>120.0955809275</v>
      </c>
      <c r="C3595" s="13" t="n"/>
      <c r="D3595" s="3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6">
      <c r="A3596" s="65" t="inlineStr">
        <is>
          <t>22/11/2017</t>
        </is>
      </c>
      <c r="B3596" s="8" t="n">
        <v>120.2046760805</v>
      </c>
      <c r="C3596" s="13" t="n"/>
      <c r="D3596" s="3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7">
      <c r="A3597" s="65" t="inlineStr">
        <is>
          <t>23/11/2017</t>
        </is>
      </c>
      <c r="B3597" s="8" t="n">
        <v>120.986524677</v>
      </c>
      <c r="C3597" s="13" t="n"/>
      <c r="D3597" s="3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8">
      <c r="A3598" s="65" t="inlineStr">
        <is>
          <t>24/11/2017</t>
        </is>
      </c>
      <c r="B3598" s="8" t="n">
        <v>121.4774528655</v>
      </c>
      <c r="C3598" s="13" t="n"/>
      <c r="D3598" s="3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9">
      <c r="A3599" s="65" t="inlineStr">
        <is>
          <t>27/11/2017</t>
        </is>
      </c>
      <c r="B3599" s="8" t="n">
        <v>122.659317023</v>
      </c>
      <c r="C3599" s="13" t="n"/>
      <c r="D3599" s="3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0">
      <c r="A3600" s="65" t="inlineStr">
        <is>
          <t>28/11/2017</t>
        </is>
      </c>
      <c r="B3600" s="8" t="n">
        <v>123.3320704665</v>
      </c>
      <c r="C3600" s="13" t="n"/>
      <c r="D3600" s="3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1">
      <c r="A3601" s="65" t="inlineStr">
        <is>
          <t>29/11/2017</t>
        </is>
      </c>
      <c r="B3601" s="8" t="n">
        <v>124.8594026085</v>
      </c>
      <c r="C3601" s="13" t="n"/>
      <c r="D3601" s="3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2">
      <c r="A3602" s="65" t="inlineStr">
        <is>
          <t>30/11/2017</t>
        </is>
      </c>
      <c r="B3602" s="8" t="n">
        <v>125.677616256</v>
      </c>
      <c r="C3602" s="13" t="n"/>
      <c r="D3602" s="3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3">
      <c r="A3603" s="65" t="inlineStr">
        <is>
          <t>01/12/2017</t>
        </is>
      </c>
      <c r="B3603" s="8" t="n">
        <v>124.9654397124</v>
      </c>
      <c r="C3603" s="13" t="n"/>
      <c r="D3603" s="3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4">
      <c r="A3604" s="65" t="inlineStr">
        <is>
          <t>04/12/2017</t>
        </is>
      </c>
      <c r="B3604" s="8" t="n">
        <v>125.6502805992</v>
      </c>
      <c r="C3604" s="13" t="n"/>
      <c r="D3604" s="3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5">
      <c r="A3605" s="65" t="inlineStr">
        <is>
          <t>05/12/2017</t>
        </is>
      </c>
      <c r="B3605" s="8" t="n">
        <v>124.6951077834</v>
      </c>
      <c r="C3605" s="13" t="n"/>
      <c r="D3605" s="3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6">
      <c r="A3606" s="65" t="inlineStr">
        <is>
          <t>06/12/2017</t>
        </is>
      </c>
      <c r="B3606" s="8" t="n">
        <v>124.6770856548</v>
      </c>
      <c r="C3606" s="13" t="n"/>
      <c r="D3606" s="3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7">
      <c r="A3607" s="65" t="inlineStr">
        <is>
          <t>07/12/2017</t>
        </is>
      </c>
      <c r="B3607" s="8" t="n">
        <v>125.343904413</v>
      </c>
      <c r="C3607" s="13" t="n"/>
      <c r="D3607" s="3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8">
      <c r="A3608" s="65" t="inlineStr">
        <is>
          <t>08/12/2017</t>
        </is>
      </c>
      <c r="B3608" s="8" t="n">
        <v>125.9566567854</v>
      </c>
      <c r="C3608" s="13" t="n"/>
      <c r="D3608" s="3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9">
      <c r="A3609" s="65" t="inlineStr">
        <is>
          <t>11/12/2017</t>
        </is>
      </c>
      <c r="B3609" s="8" t="n">
        <v>124.803240555</v>
      </c>
      <c r="C3609" s="13" t="n"/>
      <c r="D3609" s="3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0">
      <c r="A3610" s="65" t="inlineStr">
        <is>
          <t>12/12/2017</t>
        </is>
      </c>
      <c r="B3610" s="8" t="n">
        <v>123.7759792248</v>
      </c>
      <c r="C3610" s="13" t="n"/>
      <c r="D3610" s="3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1">
      <c r="A3611" s="65" t="inlineStr">
        <is>
          <t>13/12/2017</t>
        </is>
      </c>
      <c r="B3611" s="8" t="n">
        <v>123.902134125</v>
      </c>
      <c r="C3611" s="13" t="n"/>
      <c r="D3611" s="3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2">
      <c r="A3612" s="65" t="inlineStr">
        <is>
          <t>14/12/2017</t>
        </is>
      </c>
      <c r="B3612" s="8" t="n">
        <v>123.9562005108</v>
      </c>
      <c r="C3612" s="13" t="n"/>
      <c r="D3612" s="3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3">
      <c r="A3613" s="65" t="inlineStr">
        <is>
          <t>15/12/2017</t>
        </is>
      </c>
      <c r="B3613" s="8" t="n">
        <v>124.6590635262</v>
      </c>
      <c r="C3613" s="13" t="n"/>
      <c r="D3613" s="3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4">
      <c r="A3614" s="65" t="inlineStr">
        <is>
          <t>18/12/2017</t>
        </is>
      </c>
      <c r="B3614" s="8" t="n">
        <v>124.983461841</v>
      </c>
      <c r="C3614" s="13" t="n"/>
      <c r="D3614" s="3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5">
      <c r="A3615" s="65" t="inlineStr">
        <is>
          <t>19/12/2017</t>
        </is>
      </c>
      <c r="B3615" s="8" t="n">
        <v>124.2445545684</v>
      </c>
      <c r="C3615" s="13" t="n"/>
      <c r="D3615" s="3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6">
      <c r="A3616" s="65" t="inlineStr">
        <is>
          <t>20/12/2017</t>
        </is>
      </c>
      <c r="B3616" s="8" t="n">
        <v>122.009810622</v>
      </c>
      <c r="C3616" s="13" t="n"/>
      <c r="D3616" s="3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7">
      <c r="A3617" s="65" t="inlineStr">
        <is>
          <t>21/12/2017</t>
        </is>
      </c>
      <c r="B3617" s="8" t="n">
        <v>122.5144302228</v>
      </c>
      <c r="C3617" s="13" t="n"/>
      <c r="D3617" s="3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8">
      <c r="A3618" s="65" t="inlineStr">
        <is>
          <t>22/12/2017</t>
        </is>
      </c>
      <c r="B3618" s="8" t="n">
        <v>120.928482906</v>
      </c>
      <c r="C3618" s="13" t="n"/>
      <c r="D3618" s="3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9">
      <c r="A3619" s="65" t="inlineStr">
        <is>
          <t>26/12/2017</t>
        </is>
      </c>
      <c r="B3619" s="8" t="n">
        <v>120.7843058772</v>
      </c>
      <c r="C3619" s="13" t="n"/>
      <c r="D3619" s="3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0">
      <c r="A3620" s="65" t="inlineStr">
        <is>
          <t>27/12/2017</t>
        </is>
      </c>
      <c r="B3620" s="8" t="n">
        <v>121.7935450788</v>
      </c>
      <c r="C3620" s="13" t="n"/>
      <c r="D3620" s="3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1">
      <c r="A3621" s="65" t="inlineStr">
        <is>
          <t>28/12/2017</t>
        </is>
      </c>
      <c r="B3621" s="8" t="n">
        <v>120.658150977</v>
      </c>
      <c r="C3621" s="13" t="n"/>
      <c r="D3621" s="3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2">
      <c r="A3622" s="65" t="inlineStr">
        <is>
          <t>02/01/2018</t>
        </is>
      </c>
      <c r="B3622" s="8" t="n">
        <v>120.266765094</v>
      </c>
      <c r="C3622" s="13" t="n"/>
      <c r="D3622" s="3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3">
      <c r="A3623" s="65" t="inlineStr">
        <is>
          <t>03/01/2018</t>
        </is>
      </c>
      <c r="B3623" s="8" t="n">
        <v>119.8553826435</v>
      </c>
      <c r="C3623" s="13" t="n"/>
      <c r="D3623" s="3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4">
      <c r="A3624" s="65" t="inlineStr">
        <is>
          <t>04/01/2018</t>
        </is>
      </c>
      <c r="B3624" s="8" t="n">
        <v>120.016358385</v>
      </c>
      <c r="C3624" s="13" t="n"/>
      <c r="D3624" s="3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5">
      <c r="A3625" s="65" t="inlineStr">
        <is>
          <t>05/01/2018</t>
        </is>
      </c>
      <c r="B3625" s="8" t="n">
        <v>118.0667632935</v>
      </c>
      <c r="C3625" s="13" t="n"/>
      <c r="D3625" s="3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6">
      <c r="A3626" s="65" t="inlineStr">
        <is>
          <t>08/01/2018</t>
        </is>
      </c>
      <c r="B3626" s="8" t="n">
        <v>117.0293640705</v>
      </c>
      <c r="C3626" s="13" t="n"/>
      <c r="D3626" s="3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7">
      <c r="A3627" s="65" t="inlineStr">
        <is>
          <t>09/01/2018</t>
        </is>
      </c>
      <c r="B3627" s="8" t="n">
        <v>116.296030137</v>
      </c>
      <c r="C3627" s="13" t="n"/>
      <c r="D3627" s="3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8">
      <c r="A3628" s="65" t="inlineStr">
        <is>
          <t>10/01/2018</t>
        </is>
      </c>
      <c r="B3628" s="8" t="n">
        <v>115.0976551725</v>
      </c>
      <c r="C3628" s="13" t="n"/>
      <c r="D3628" s="3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9">
      <c r="A3629" s="65" t="inlineStr">
        <is>
          <t>11/01/2018</t>
        </is>
      </c>
      <c r="B3629" s="8" t="n">
        <v>113.5952149185</v>
      </c>
      <c r="C3629" s="13" t="n"/>
      <c r="D3629" s="3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0">
      <c r="A3630" s="65" t="inlineStr">
        <is>
          <t>12/01/2018</t>
        </is>
      </c>
      <c r="B3630" s="8" t="n">
        <v>112.1643194385</v>
      </c>
      <c r="C3630" s="13" t="n"/>
      <c r="D3630" s="3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1">
      <c r="A3631" s="65" t="inlineStr">
        <is>
          <t>15/01/2018</t>
        </is>
      </c>
      <c r="B3631" s="8" t="n">
        <v>110.5187896365</v>
      </c>
      <c r="C3631" s="13" t="n"/>
      <c r="D3631" s="3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2">
      <c r="A3632" s="65" t="inlineStr">
        <is>
          <t>16/01/2018</t>
        </is>
      </c>
      <c r="B3632" s="8" t="n">
        <v>107.996836353</v>
      </c>
      <c r="C3632" s="13" t="n"/>
      <c r="D3632" s="3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3">
      <c r="A3633" s="65" t="inlineStr">
        <is>
          <t>17/01/2018</t>
        </is>
      </c>
      <c r="B3633" s="8" t="n">
        <v>105.4391106825</v>
      </c>
      <c r="C3633" s="13" t="n"/>
      <c r="D3633" s="3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4">
      <c r="A3634" s="65" t="inlineStr">
        <is>
          <t>18/01/2018</t>
        </is>
      </c>
      <c r="B3634" s="8" t="n">
        <v>104.562687201</v>
      </c>
      <c r="C3634" s="13" t="n"/>
      <c r="D3634" s="3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5">
      <c r="A3635" s="65" t="inlineStr">
        <is>
          <t>19/01/2018</t>
        </is>
      </c>
      <c r="B3635" s="8" t="n">
        <v>104.312280492</v>
      </c>
      <c r="C3635" s="13" t="n"/>
      <c r="D3635" s="3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6">
      <c r="A3636" s="65" t="inlineStr">
        <is>
          <t>22/01/2018</t>
        </is>
      </c>
      <c r="B3636" s="8" t="n">
        <v>104.4017114595</v>
      </c>
      <c r="C3636" s="13" t="n"/>
      <c r="D3636" s="3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7">
      <c r="A3637" s="65" t="inlineStr">
        <is>
          <t>23/01/2018</t>
        </is>
      </c>
      <c r="B3637" s="8" t="n">
        <v>102.881385012</v>
      </c>
      <c r="C3637" s="13" t="n"/>
      <c r="D3637" s="3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8">
      <c r="A3638" s="65" t="inlineStr">
        <is>
          <t>24/01/2018</t>
        </is>
      </c>
      <c r="B3638" s="8" t="n">
        <v>101.1821966295</v>
      </c>
      <c r="C3638" s="13" t="n"/>
      <c r="D3638" s="3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9">
      <c r="A3639" s="65" t="inlineStr">
        <is>
          <t>25/01/2018</t>
        </is>
      </c>
      <c r="B3639" s="8" t="n">
        <v>101.772441015</v>
      </c>
      <c r="C3639" s="13" t="n"/>
      <c r="D3639" s="3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0">
      <c r="A3640" s="65" t="inlineStr">
        <is>
          <t>26/01/2018</t>
        </is>
      </c>
      <c r="B3640" s="8" t="n">
        <v>100.806586566</v>
      </c>
      <c r="C3640" s="13" t="n"/>
      <c r="D3640" s="3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1">
      <c r="A3641" s="65" t="inlineStr">
        <is>
          <t>29/01/2018</t>
        </is>
      </c>
      <c r="B3641" s="8" t="n">
        <v>99.7155287625</v>
      </c>
      <c r="C3641" s="13" t="n"/>
      <c r="D3641" s="3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2">
      <c r="A3642" s="65" t="inlineStr">
        <is>
          <t>30/01/2018</t>
        </is>
      </c>
      <c r="B3642" s="8" t="n">
        <v>100.484635083</v>
      </c>
      <c r="C3642" s="13" t="n"/>
      <c r="D3642" s="3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3">
      <c r="A3643" s="65" t="inlineStr">
        <is>
          <t>31/01/2018</t>
        </is>
      </c>
      <c r="B3643" s="8" t="n">
        <v>99.1431705705</v>
      </c>
      <c r="C3643" s="13" t="n"/>
      <c r="D3643" s="3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4">
      <c r="A3644" s="65" t="inlineStr">
        <is>
          <t>01/02/2018</t>
        </is>
      </c>
      <c r="B3644" s="8" t="n">
        <v>98.7520924975</v>
      </c>
      <c r="C3644" s="13" t="n"/>
      <c r="D3644" s="3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5">
      <c r="A3645" s="65" t="inlineStr">
        <is>
          <t>02/02/2018</t>
        </is>
      </c>
      <c r="B3645" s="8" t="n">
        <v>98.09076626720001</v>
      </c>
      <c r="C3645" s="13" t="n"/>
      <c r="D3645" s="3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6">
      <c r="A3646" s="65" t="inlineStr">
        <is>
          <t>05/02/2018</t>
        </is>
      </c>
      <c r="B3646" s="8" t="n">
        <v>97.78691367490001</v>
      </c>
      <c r="C3646" s="13" t="n"/>
      <c r="D3646" s="3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7">
      <c r="A3647" s="65" t="inlineStr">
        <is>
          <t>06/02/2018</t>
        </is>
      </c>
      <c r="B3647" s="8" t="n">
        <v>96.53575594189999</v>
      </c>
      <c r="C3647" s="13" t="n"/>
      <c r="D3647" s="3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8">
      <c r="A3648" s="65" t="inlineStr">
        <is>
          <t>07/02/2018</t>
        </is>
      </c>
      <c r="B3648" s="8" t="n">
        <v>96.57150330570001</v>
      </c>
      <c r="C3648" s="13" t="n"/>
      <c r="D3648" s="3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9">
      <c r="A3649" s="65" t="inlineStr">
        <is>
          <t>08/02/2018</t>
        </is>
      </c>
      <c r="B3649" s="8" t="n">
        <v>96.82173485230001</v>
      </c>
      <c r="C3649" s="13" t="n"/>
      <c r="D3649" s="3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0">
      <c r="A3650" s="65" t="inlineStr">
        <is>
          <t>09/02/2018</t>
        </is>
      </c>
      <c r="B3650" s="8" t="n">
        <v>97.2149558541</v>
      </c>
      <c r="C3650" s="13" t="n"/>
      <c r="D3650" s="3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1">
      <c r="A3651" s="65" t="inlineStr">
        <is>
          <t>14/02/2018</t>
        </is>
      </c>
      <c r="B3651" s="8" t="n">
        <v>97.4651874007</v>
      </c>
      <c r="C3651" s="13" t="n"/>
      <c r="D3651" s="3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2">
      <c r="A3652" s="65" t="inlineStr">
        <is>
          <t>15/02/2018</t>
        </is>
      </c>
      <c r="B3652" s="8" t="n">
        <v>94.89137720710001</v>
      </c>
      <c r="C3652" s="13" t="n"/>
      <c r="D3652" s="3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3">
      <c r="A3653" s="65" t="inlineStr">
        <is>
          <t>16/02/2018</t>
        </is>
      </c>
      <c r="B3653" s="8" t="n">
        <v>95.24885084509999</v>
      </c>
      <c r="C3653" s="13" t="n"/>
      <c r="D3653" s="3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4">
      <c r="A3654" s="65" t="inlineStr">
        <is>
          <t>19/02/2018</t>
        </is>
      </c>
      <c r="B3654" s="8" t="n">
        <v>94.7483877519</v>
      </c>
      <c r="C3654" s="13" t="n"/>
      <c r="D3654" s="3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5">
      <c r="A3655" s="65" t="inlineStr">
        <is>
          <t>20/02/2018</t>
        </is>
      </c>
      <c r="B3655" s="8" t="n">
        <v>94.6947667062</v>
      </c>
      <c r="C3655" s="13" t="n"/>
      <c r="D3655" s="3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6">
      <c r="A3656" s="65" t="inlineStr">
        <is>
          <t>21/02/2018</t>
        </is>
      </c>
      <c r="B3656" s="8" t="n">
        <v>93.4257352913</v>
      </c>
      <c r="C3656" s="13" t="n"/>
      <c r="D3656" s="3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7">
      <c r="A3657" s="65" t="inlineStr">
        <is>
          <t>22/02/2018</t>
        </is>
      </c>
      <c r="B3657" s="8" t="n">
        <v>93.17550374470001</v>
      </c>
      <c r="C3657" s="13" t="n"/>
      <c r="D3657" s="3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8">
      <c r="A3658" s="65" t="inlineStr">
        <is>
          <t>23/02/2018</t>
        </is>
      </c>
      <c r="B3658" s="8" t="n">
        <v>92.44268278680001</v>
      </c>
      <c r="C3658" s="13" t="n"/>
      <c r="D3658" s="3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9">
      <c r="A3659" s="65" t="inlineStr">
        <is>
          <t>26/02/2018</t>
        </is>
      </c>
      <c r="B3659" s="8" t="n">
        <v>92.21032492210001</v>
      </c>
      <c r="C3659" s="13" t="n"/>
      <c r="D3659" s="3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0">
      <c r="A3660" s="65" t="inlineStr">
        <is>
          <t>27/02/2018</t>
        </is>
      </c>
      <c r="B3660" s="8" t="n">
        <v>90.72680932439999</v>
      </c>
      <c r="C3660" s="13" t="n"/>
      <c r="D3660" s="3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1">
      <c r="A3661" s="65" t="inlineStr">
        <is>
          <t>28/02/2018</t>
        </is>
      </c>
      <c r="B3661" s="8" t="n">
        <v>91.7813565565</v>
      </c>
      <c r="C3661" s="13" t="n"/>
      <c r="D3661" s="3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2">
      <c r="A3662" s="65" t="inlineStr">
        <is>
          <t>01/03/2018</t>
        </is>
      </c>
      <c r="B3662" s="8" t="n">
        <v>90.9668111716</v>
      </c>
      <c r="C3662" s="13" t="n"/>
      <c r="D3662" s="3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3">
      <c r="A3663" s="65" t="inlineStr">
        <is>
          <t>02/03/2018</t>
        </is>
      </c>
      <c r="B3663" s="8" t="n">
        <v>90.220890424</v>
      </c>
      <c r="C3663" s="13" t="n"/>
      <c r="D3663" s="3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4">
      <c r="A3664" s="65" t="inlineStr">
        <is>
          <t>05/03/2018</t>
        </is>
      </c>
      <c r="B3664" s="8" t="n">
        <v>91.3575315632</v>
      </c>
      <c r="C3664" s="13" t="n"/>
      <c r="D3664" s="3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5">
      <c r="A3665" s="65" t="inlineStr">
        <is>
          <t>06/03/2018</t>
        </is>
      </c>
      <c r="B3665" s="8" t="n">
        <v>90.5938507978</v>
      </c>
      <c r="C3665" s="13" t="n"/>
      <c r="D3665" s="3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6">
      <c r="A3666" s="65" t="inlineStr">
        <is>
          <t>07/03/2018</t>
        </is>
      </c>
      <c r="B3666" s="8" t="n">
        <v>91.3397715454</v>
      </c>
      <c r="C3666" s="13" t="n"/>
      <c r="D3666" s="3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7">
      <c r="A3667" s="65" t="inlineStr">
        <is>
          <t>08/03/2018</t>
        </is>
      </c>
      <c r="B3667" s="8" t="n">
        <v>91.4285716344</v>
      </c>
      <c r="C3667" s="13" t="n"/>
      <c r="D3667" s="3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8">
      <c r="A3668" s="65" t="inlineStr">
        <is>
          <t>09/03/2018</t>
        </is>
      </c>
      <c r="B3668" s="8" t="n">
        <v>90.8957711004</v>
      </c>
      <c r="C3668" s="13" t="n"/>
      <c r="D3668" s="3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9">
      <c r="A3669" s="65" t="inlineStr">
        <is>
          <t>12/03/2018</t>
        </is>
      </c>
      <c r="B3669" s="8" t="n">
        <v>90.0965702994</v>
      </c>
      <c r="C3669" s="13" t="n"/>
      <c r="D3669" s="3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0">
      <c r="A3670" s="65" t="inlineStr">
        <is>
          <t>13/03/2018</t>
        </is>
      </c>
      <c r="B3670" s="8" t="n">
        <v>90.87801108260001</v>
      </c>
      <c r="C3670" s="13" t="n"/>
      <c r="D3670" s="3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1">
      <c r="A3671" s="65" t="inlineStr">
        <is>
          <t>14/03/2018</t>
        </is>
      </c>
      <c r="B3671" s="8" t="n">
        <v>90.5050507088</v>
      </c>
      <c r="C3671" s="13" t="n"/>
      <c r="D3671" s="3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2">
      <c r="A3672" s="65" t="inlineStr">
        <is>
          <t>15/03/2018</t>
        </is>
      </c>
      <c r="B3672" s="8" t="n">
        <v>89.40392960520001</v>
      </c>
      <c r="C3672" s="13" t="n"/>
      <c r="D3672" s="3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3">
      <c r="A3673" s="65" t="inlineStr">
        <is>
          <t>16/03/2018</t>
        </is>
      </c>
      <c r="B3673" s="8" t="n">
        <v>88.8178490178</v>
      </c>
      <c r="C3673" s="13" t="n"/>
      <c r="D3673" s="3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4">
      <c r="A3674" s="65" t="inlineStr">
        <is>
          <t>19/03/2018</t>
        </is>
      </c>
      <c r="B3674" s="8" t="n">
        <v>90.06105026380001</v>
      </c>
      <c r="C3674" s="13" t="n"/>
      <c r="D3674" s="3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5">
      <c r="A3675" s="65" t="inlineStr">
        <is>
          <t>20/03/2018</t>
        </is>
      </c>
      <c r="B3675" s="8" t="n">
        <v>89.59928980100001</v>
      </c>
      <c r="C3675" s="13" t="n"/>
      <c r="D3675" s="3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6">
      <c r="A3676" s="65" t="inlineStr">
        <is>
          <t>21/03/2018</t>
        </is>
      </c>
      <c r="B3676" s="8" t="n">
        <v>89.776889979</v>
      </c>
      <c r="C3676" s="13" t="n"/>
      <c r="D3676" s="3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7">
      <c r="A3677" s="65" t="inlineStr">
        <is>
          <t>22/03/2018</t>
        </is>
      </c>
      <c r="B3677" s="8" t="n">
        <v>91.19769140300001</v>
      </c>
      <c r="C3677" s="13" t="n"/>
      <c r="D3677" s="3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8">
      <c r="A3678" s="65" t="inlineStr">
        <is>
          <t>23/03/2018</t>
        </is>
      </c>
      <c r="B3678" s="8" t="n">
        <v>91.8370520438</v>
      </c>
      <c r="C3678" s="13" t="n"/>
      <c r="D3678" s="3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9">
      <c r="A3679" s="65" t="inlineStr">
        <is>
          <t>26/03/2018</t>
        </is>
      </c>
      <c r="B3679" s="8" t="n">
        <v>92.88489309400001</v>
      </c>
      <c r="C3679" s="13" t="n"/>
      <c r="D3679" s="3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0">
      <c r="A3680" s="65" t="inlineStr">
        <is>
          <t>27/03/2018</t>
        </is>
      </c>
      <c r="B3680" s="8" t="n">
        <v>92.93817314740001</v>
      </c>
      <c r="C3680" s="13" t="n"/>
      <c r="D3680" s="3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1">
      <c r="A3681" s="65" t="inlineStr">
        <is>
          <t>28/03/2018</t>
        </is>
      </c>
      <c r="B3681" s="8" t="n">
        <v>94.3412145536</v>
      </c>
      <c r="C3681" s="13" t="n"/>
      <c r="D3681" s="3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2">
      <c r="A3682" s="65" t="inlineStr">
        <is>
          <t>29/03/2018</t>
        </is>
      </c>
      <c r="B3682" s="8" t="n">
        <v>94.838495052</v>
      </c>
      <c r="C3682" s="13" t="n"/>
      <c r="D3682" s="3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3">
      <c r="A3683" s="65" t="inlineStr">
        <is>
          <t>02/04/2018</t>
        </is>
      </c>
      <c r="B3683" s="8" t="n">
        <v>94.44225460599999</v>
      </c>
      <c r="C3683" s="13" t="n"/>
      <c r="D3683" s="3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4">
      <c r="A3684" s="65" t="inlineStr">
        <is>
          <t>03/04/2018</t>
        </is>
      </c>
      <c r="B3684" s="8" t="n">
        <v>94.51289204400001</v>
      </c>
      <c r="C3684" s="13" t="n"/>
      <c r="D3684" s="3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5">
      <c r="A3685" s="65" t="inlineStr">
        <is>
          <t>04/04/2018</t>
        </is>
      </c>
      <c r="B3685" s="8" t="n">
        <v>95.16628834550001</v>
      </c>
      <c r="C3685" s="13" t="n"/>
      <c r="D3685" s="3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6">
      <c r="A3686" s="65" t="inlineStr">
        <is>
          <t>05/04/2018</t>
        </is>
      </c>
      <c r="B3686" s="8" t="n">
        <v>95.50181617600001</v>
      </c>
      <c r="C3686" s="13" t="n"/>
      <c r="D3686" s="3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7">
      <c r="A3687" s="65" t="inlineStr">
        <is>
          <t>06/04/2018</t>
        </is>
      </c>
      <c r="B3687" s="8" t="n">
        <v>95.643091052</v>
      </c>
      <c r="C3687" s="13" t="n"/>
      <c r="D3687" s="3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8">
      <c r="A3688" s="65" t="inlineStr">
        <is>
          <t>09/04/2018</t>
        </is>
      </c>
      <c r="B3688" s="8" t="n">
        <v>96.1552124775</v>
      </c>
      <c r="C3688" s="13" t="n"/>
      <c r="D3688" s="3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9">
      <c r="A3689" s="65" t="inlineStr">
        <is>
          <t>10/04/2018</t>
        </is>
      </c>
      <c r="B3689" s="8" t="n">
        <v>97.0734991715</v>
      </c>
      <c r="C3689" s="13" t="n"/>
      <c r="D3689" s="3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0">
      <c r="A3690" s="65" t="inlineStr">
        <is>
          <t>11/04/2018</t>
        </is>
      </c>
      <c r="B3690" s="8" t="n">
        <v>97.232433407</v>
      </c>
      <c r="C3690" s="13" t="n"/>
      <c r="D3690" s="3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1">
      <c r="A3691" s="65" t="inlineStr">
        <is>
          <t>12/04/2018</t>
        </is>
      </c>
      <c r="B3691" s="8" t="n">
        <v>97.6032799565</v>
      </c>
      <c r="C3691" s="13" t="n"/>
      <c r="D3691" s="3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2">
      <c r="A3692" s="65" t="inlineStr">
        <is>
          <t>13/04/2018</t>
        </is>
      </c>
      <c r="B3692" s="8" t="n">
        <v>96.79094941950001</v>
      </c>
      <c r="C3692" s="13" t="n"/>
      <c r="D3692" s="3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3">
      <c r="A3693" s="65" t="inlineStr">
        <is>
          <t>16/04/2018</t>
        </is>
      </c>
      <c r="B3693" s="8" t="n">
        <v>97.2500927665</v>
      </c>
      <c r="C3693" s="13" t="n"/>
      <c r="D3693" s="3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4">
      <c r="A3694" s="65" t="inlineStr">
        <is>
          <t>17/04/2018</t>
        </is>
      </c>
      <c r="B3694" s="8" t="n">
        <v>97.6032799565</v>
      </c>
      <c r="C3694" s="13" t="n"/>
      <c r="D3694" s="3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5">
      <c r="A3695" s="65" t="inlineStr">
        <is>
          <t>18/04/2018</t>
        </is>
      </c>
      <c r="B3695" s="8" t="n">
        <v>97.4266863615</v>
      </c>
      <c r="C3695" s="13" t="n"/>
      <c r="D3695" s="3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6">
      <c r="A3696" s="65" t="inlineStr">
        <is>
          <t>19/04/2018</t>
        </is>
      </c>
      <c r="B3696" s="8" t="n">
        <v>97.8858297085</v>
      </c>
      <c r="C3696" s="13" t="n"/>
      <c r="D3696" s="3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7">
      <c r="A3697" s="65" t="inlineStr">
        <is>
          <t>20/04/2018</t>
        </is>
      </c>
      <c r="B3697" s="8" t="n">
        <v>98.60986344800001</v>
      </c>
      <c r="C3697" s="13" t="n"/>
      <c r="D3697" s="3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8">
      <c r="A3698" s="65" t="inlineStr">
        <is>
          <t>23/04/2018</t>
        </is>
      </c>
      <c r="B3698" s="8" t="n">
        <v>98.85709448099999</v>
      </c>
      <c r="C3698" s="13" t="n"/>
      <c r="D3698" s="3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9">
      <c r="A3699" s="65" t="inlineStr">
        <is>
          <t>24/04/2018</t>
        </is>
      </c>
      <c r="B3699" s="8" t="n">
        <v>98.53922600999999</v>
      </c>
      <c r="C3699" s="13" t="n"/>
      <c r="D3699" s="3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0">
      <c r="A3700" s="65" t="inlineStr">
        <is>
          <t>25/04/2018</t>
        </is>
      </c>
      <c r="B3700" s="8" t="n">
        <v>97.938807787</v>
      </c>
      <c r="C3700" s="13" t="n"/>
      <c r="D3700" s="3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1">
      <c r="A3701" s="65" t="inlineStr">
        <is>
          <t>26/04/2018</t>
        </is>
      </c>
      <c r="B3701" s="8" t="n">
        <v>97.0381804525</v>
      </c>
      <c r="C3701" s="13" t="n"/>
      <c r="D3701" s="3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2">
      <c r="A3702" s="65" t="inlineStr">
        <is>
          <t>27/04/2018</t>
        </is>
      </c>
      <c r="B3702" s="8" t="n">
        <v>96.8969055765</v>
      </c>
      <c r="C3702" s="13" t="n"/>
      <c r="D3702" s="3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3">
      <c r="A3703" s="65" t="inlineStr">
        <is>
          <t>30/04/2018</t>
        </is>
      </c>
      <c r="B3703" s="8" t="n">
        <v>97.32073020449999</v>
      </c>
      <c r="C3703" s="13" t="n"/>
      <c r="D3703" s="3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4">
      <c r="A3704" s="65" t="inlineStr">
        <is>
          <t>02/05/2018</t>
        </is>
      </c>
      <c r="B3704" s="8" t="n">
        <v>96.5533928368</v>
      </c>
      <c r="C3704" s="13" t="n"/>
      <c r="D3704" s="3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5">
      <c r="A3705" s="65" t="inlineStr">
        <is>
          <t>03/05/2018</t>
        </is>
      </c>
      <c r="B3705" s="8" t="n">
        <v>96.39662203840001</v>
      </c>
      <c r="C3705" s="13" t="n"/>
      <c r="D3705" s="3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6">
      <c r="A3706" s="65" t="inlineStr">
        <is>
          <t>04/05/2018</t>
        </is>
      </c>
      <c r="B3706" s="8" t="n">
        <v>96.6927446576</v>
      </c>
      <c r="C3706" s="13" t="n"/>
      <c r="D3706" s="3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7">
      <c r="A3707" s="65" t="inlineStr">
        <is>
          <t>07/05/2018</t>
        </is>
      </c>
      <c r="B3707" s="8" t="n">
        <v>97.0062862544</v>
      </c>
      <c r="C3707" s="13" t="n"/>
      <c r="D3707" s="3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8">
      <c r="A3708" s="65" t="inlineStr">
        <is>
          <t>08/05/2018</t>
        </is>
      </c>
      <c r="B3708" s="8" t="n">
        <v>96.1875943072</v>
      </c>
      <c r="C3708" s="13" t="n"/>
      <c r="D3708" s="3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9">
      <c r="A3709" s="65" t="inlineStr">
        <is>
          <t>09/05/2018</t>
        </is>
      </c>
      <c r="B3709" s="8" t="n">
        <v>95.73470088960001</v>
      </c>
      <c r="C3709" s="13" t="n"/>
      <c r="D3709" s="3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0">
      <c r="A3710" s="65" t="inlineStr">
        <is>
          <t>10/05/2018</t>
        </is>
      </c>
      <c r="B3710" s="8" t="n">
        <v>93.6966805104</v>
      </c>
      <c r="C3710" s="13" t="n"/>
      <c r="D3710" s="3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1">
      <c r="A3711" s="65" t="inlineStr">
        <is>
          <t>11/05/2018</t>
        </is>
      </c>
      <c r="B3711" s="8" t="n">
        <v>93.29604402560001</v>
      </c>
      <c r="C3711" s="13" t="n"/>
      <c r="D3711" s="3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2">
      <c r="A3712" s="65" t="inlineStr">
        <is>
          <t>14/05/2018</t>
        </is>
      </c>
      <c r="B3712" s="8" t="n">
        <v>91.76317399680001</v>
      </c>
      <c r="C3712" s="13" t="n"/>
      <c r="D3712" s="3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3">
      <c r="A3713" s="65" t="inlineStr">
        <is>
          <t>15/05/2018</t>
        </is>
      </c>
      <c r="B3713" s="8" t="n">
        <v>92.581865944</v>
      </c>
      <c r="C3713" s="13" t="n"/>
      <c r="D3713" s="3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4">
      <c r="A3714" s="65" t="inlineStr">
        <is>
          <t>16/05/2018</t>
        </is>
      </c>
      <c r="B3714" s="8" t="n">
        <v>92.4425141232</v>
      </c>
      <c r="C3714" s="13" t="n"/>
      <c r="D3714" s="3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5">
      <c r="A3715" s="65" t="inlineStr">
        <is>
          <t>17/05/2018</t>
        </is>
      </c>
      <c r="B3715" s="8" t="n">
        <v>93.66184255520001</v>
      </c>
      <c r="C3715" s="13" t="n"/>
      <c r="D3715" s="3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6">
      <c r="A3716" s="65" t="inlineStr">
        <is>
          <t>18/05/2018</t>
        </is>
      </c>
      <c r="B3716" s="8" t="n">
        <v>93.38313891360001</v>
      </c>
      <c r="C3716" s="13" t="n"/>
      <c r="D3716" s="3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7">
      <c r="A3717" s="65" t="inlineStr">
        <is>
          <t>21/05/2018</t>
        </is>
      </c>
      <c r="B3717" s="8" t="n">
        <v>92.3380002576</v>
      </c>
      <c r="C3717" s="13" t="n"/>
      <c r="D3717" s="3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8">
      <c r="A3718" s="65" t="inlineStr">
        <is>
          <t>22/05/2018</t>
        </is>
      </c>
      <c r="B3718" s="8" t="n">
        <v>92.05929661600001</v>
      </c>
      <c r="C3718" s="13" t="n"/>
      <c r="D3718" s="3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9">
      <c r="A3719" s="65" t="inlineStr">
        <is>
          <t>23/05/2018</t>
        </is>
      </c>
      <c r="B3719" s="8" t="n">
        <v>93.53990971200001</v>
      </c>
      <c r="C3719" s="13" t="n"/>
      <c r="D3719" s="3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0">
      <c r="A3720" s="65" t="inlineStr">
        <is>
          <t>24/05/2018</t>
        </is>
      </c>
      <c r="B3720" s="8" t="n">
        <v>94.75923814400001</v>
      </c>
      <c r="C3720" s="13" t="n"/>
      <c r="D3720" s="3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1">
      <c r="A3721" s="65" t="inlineStr">
        <is>
          <t>25/05/2018</t>
        </is>
      </c>
      <c r="B3721" s="8" t="n">
        <v>94.8114950768</v>
      </c>
      <c r="C3721" s="13" t="n"/>
      <c r="D3721" s="3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2">
      <c r="A3722" s="65" t="inlineStr">
        <is>
          <t>28/05/2018</t>
        </is>
      </c>
      <c r="B3722" s="8" t="n">
        <v>94.8114950768</v>
      </c>
      <c r="C3722" s="13" t="n"/>
      <c r="D3722" s="3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3">
      <c r="A3723" s="65" t="inlineStr">
        <is>
          <t>29/05/2018</t>
        </is>
      </c>
      <c r="B3723" s="8" t="n">
        <v>96.5533928368</v>
      </c>
      <c r="C3723" s="13" t="n"/>
      <c r="D3723" s="3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4">
      <c r="A3724" s="65" t="inlineStr">
        <is>
          <t>30/05/2018</t>
        </is>
      </c>
      <c r="B3724" s="8" t="n">
        <v>97.0759621648</v>
      </c>
      <c r="C3724" s="13" t="n"/>
      <c r="D3724" s="3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5">
      <c r="A3725" s="65" t="inlineStr">
        <is>
          <t>01/06/2018</t>
        </is>
      </c>
      <c r="B3725" s="8" t="n">
        <v>96.09762820200001</v>
      </c>
      <c r="C3725" s="13" t="n"/>
      <c r="D3725" s="3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6">
      <c r="A3726" s="65" t="inlineStr">
        <is>
          <t>04/06/2018</t>
        </is>
      </c>
      <c r="B3726" s="8" t="n">
        <v>98.02984029929999</v>
      </c>
      <c r="C3726" s="13" t="n"/>
      <c r="D3726" s="3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7">
      <c r="A3727" s="65" t="inlineStr">
        <is>
          <t>05/06/2018</t>
        </is>
      </c>
      <c r="B3727" s="8" t="n">
        <v>97.4826651921</v>
      </c>
      <c r="C3727" s="13" t="n"/>
      <c r="D3727" s="3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8">
      <c r="A3728" s="65" t="inlineStr">
        <is>
          <t>06/06/2018</t>
        </is>
      </c>
      <c r="B3728" s="8" t="n">
        <v>96.5764064208</v>
      </c>
      <c r="C3728" s="13" t="n"/>
      <c r="D3728" s="3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9">
      <c r="A3729" s="65" t="inlineStr">
        <is>
          <t>07/06/2018</t>
        </is>
      </c>
      <c r="B3729" s="8" t="n">
        <v>97.5339628584</v>
      </c>
      <c r="C3729" s="13" t="n"/>
      <c r="D3729" s="3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0">
      <c r="A3730" s="65" t="inlineStr">
        <is>
          <t>08/06/2018</t>
        </is>
      </c>
      <c r="B3730" s="8" t="n">
        <v>98.2863286308</v>
      </c>
      <c r="C3730" s="13" t="n"/>
      <c r="D3730" s="3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1">
      <c r="A3731" s="65" t="inlineStr">
        <is>
          <t>11/06/2018</t>
        </is>
      </c>
      <c r="B3731" s="8" t="n">
        <v>99.9278539524</v>
      </c>
      <c r="C3731" s="13" t="n"/>
      <c r="D3731" s="3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2">
      <c r="A3732" s="65" t="inlineStr">
        <is>
          <t>12/06/2018</t>
        </is>
      </c>
      <c r="B3732" s="8" t="n">
        <v>98.6283130728</v>
      </c>
      <c r="C3732" s="13" t="n"/>
      <c r="D3732" s="3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3">
      <c r="A3733" s="65" t="inlineStr">
        <is>
          <t>13/06/2018</t>
        </is>
      </c>
      <c r="B3733" s="8" t="n">
        <v>99.17548818</v>
      </c>
      <c r="C3733" s="13" t="n"/>
      <c r="D3733" s="3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4">
      <c r="A3734" s="65" t="inlineStr">
        <is>
          <t>14/06/2018</t>
        </is>
      </c>
      <c r="B3734" s="8" t="n">
        <v>98.7480076275</v>
      </c>
      <c r="C3734" s="13" t="n"/>
      <c r="D3734" s="3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5">
      <c r="A3735" s="65" t="inlineStr">
        <is>
          <t>15/06/2018</t>
        </is>
      </c>
      <c r="B3735" s="8" t="n">
        <v>99.17548818</v>
      </c>
      <c r="C3735" s="13" t="n"/>
      <c r="D3735" s="3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6">
      <c r="A3736" s="65" t="inlineStr">
        <is>
          <t>18/06/2018</t>
        </is>
      </c>
      <c r="B3736" s="8" t="n">
        <v>100.030449285</v>
      </c>
      <c r="C3736" s="13" t="n"/>
      <c r="D3736" s="3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7">
      <c r="A3737" s="65" t="inlineStr">
        <is>
          <t>19/06/2018</t>
        </is>
      </c>
      <c r="B3737" s="8" t="n">
        <v>99.70556406510001</v>
      </c>
      <c r="C3737" s="13" t="n"/>
      <c r="D3737" s="3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8">
      <c r="A3738" s="65" t="inlineStr">
        <is>
          <t>20/06/2018</t>
        </is>
      </c>
      <c r="B3738" s="8" t="n">
        <v>98.13243563189999</v>
      </c>
      <c r="C3738" s="13" t="n"/>
      <c r="D3738" s="3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9">
      <c r="A3739" s="65" t="inlineStr">
        <is>
          <t>21/06/2018</t>
        </is>
      </c>
      <c r="B3739" s="8" t="n">
        <v>97.9956418551</v>
      </c>
      <c r="C3739" s="13" t="n"/>
      <c r="D3739" s="3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0">
      <c r="A3740" s="65" t="inlineStr">
        <is>
          <t>22/06/2018</t>
        </is>
      </c>
      <c r="B3740" s="8" t="n">
        <v>99.5003733999</v>
      </c>
      <c r="C3740" s="13" t="n"/>
      <c r="D3740" s="3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1">
      <c r="A3741" s="65" t="inlineStr">
        <is>
          <t>25/06/2018</t>
        </is>
      </c>
      <c r="B3741" s="8" t="n">
        <v>100.7828150574</v>
      </c>
      <c r="C3741" s="13" t="n"/>
      <c r="D3741" s="3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2">
      <c r="A3742" s="65" t="inlineStr">
        <is>
          <t>26/06/2018</t>
        </is>
      </c>
      <c r="B3742" s="8" t="n">
        <v>99.73976250929999</v>
      </c>
      <c r="C3742" s="13" t="n"/>
      <c r="D3742" s="3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3">
      <c r="A3743" s="65" t="inlineStr">
        <is>
          <t>27/06/2018</t>
        </is>
      </c>
      <c r="B3743" s="8" t="n">
        <v>100.5263267259</v>
      </c>
      <c r="C3743" s="13" t="n"/>
      <c r="D3743" s="3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4">
      <c r="A3744" s="65" t="inlineStr">
        <is>
          <t>28/06/2018</t>
        </is>
      </c>
      <c r="B3744" s="8" t="n">
        <v>99.6200679546</v>
      </c>
      <c r="C3744" s="13" t="n"/>
      <c r="D3744" s="3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5">
      <c r="A3745" s="65" t="inlineStr">
        <is>
          <t>29/06/2018</t>
        </is>
      </c>
      <c r="B3745" s="8" t="n">
        <v>99.859457064</v>
      </c>
      <c r="C3745" s="13" t="n"/>
      <c r="D3745" s="3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6">
      <c r="A3746" s="65" t="inlineStr">
        <is>
          <t>02/07/2018</t>
        </is>
      </c>
      <c r="B3746" s="8" t="n">
        <v>99.5909326444</v>
      </c>
      <c r="C3746" s="13" t="n"/>
      <c r="D3746" s="3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7">
      <c r="A3747" s="65" t="inlineStr">
        <is>
          <t>03/07/2018</t>
        </is>
      </c>
      <c r="B3747" s="8" t="n">
        <v>99.06354642779999</v>
      </c>
      <c r="C3747" s="13" t="n"/>
      <c r="D3747" s="3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8">
      <c r="A3748" s="65" t="inlineStr">
        <is>
          <t>04/07/2018</t>
        </is>
      </c>
      <c r="B3748" s="8" t="n">
        <v>98.41707300100001</v>
      </c>
      <c r="C3748" s="13" t="n"/>
      <c r="D3748" s="3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9">
      <c r="A3749" s="65" t="inlineStr">
        <is>
          <t>05/07/2018</t>
        </is>
      </c>
      <c r="B3749" s="8" t="n">
        <v>98.502135294</v>
      </c>
      <c r="C3749" s="13" t="n"/>
      <c r="D3749" s="3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0">
      <c r="A3750" s="65" t="inlineStr">
        <is>
          <t>06/07/2018</t>
        </is>
      </c>
      <c r="B3750" s="8" t="n">
        <v>97.1071136888</v>
      </c>
      <c r="C3750" s="13" t="n"/>
      <c r="D3750" s="3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1">
      <c r="A3751" s="65" t="inlineStr">
        <is>
          <t>10/07/2018</t>
        </is>
      </c>
      <c r="B3751" s="8" t="n">
        <v>96.4266153448</v>
      </c>
      <c r="C3751" s="13" t="n"/>
      <c r="D3751" s="3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2">
      <c r="A3752" s="65" t="inlineStr">
        <is>
          <t>11/07/2018</t>
        </is>
      </c>
      <c r="B3752" s="8" t="n">
        <v>95.55897995620001</v>
      </c>
      <c r="C3752" s="13" t="n"/>
      <c r="D3752" s="3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3">
      <c r="A3753" s="65" t="inlineStr">
        <is>
          <t>12/07/2018</t>
        </is>
      </c>
      <c r="B3753" s="8" t="n">
        <v>94.6573196504</v>
      </c>
      <c r="C3753" s="13" t="n"/>
      <c r="D3753" s="3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4">
      <c r="A3754" s="65" t="inlineStr">
        <is>
          <t>13/07/2018</t>
        </is>
      </c>
      <c r="B3754" s="8" t="n">
        <v>94.12993343379999</v>
      </c>
      <c r="C3754" s="13" t="n"/>
      <c r="D3754" s="3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5">
      <c r="A3755" s="65" t="inlineStr">
        <is>
          <t>16/07/2018</t>
        </is>
      </c>
      <c r="B3755" s="8" t="n">
        <v>92.4797249496</v>
      </c>
      <c r="C3755" s="13" t="n"/>
      <c r="D3755" s="3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6">
      <c r="A3756" s="65" t="inlineStr">
        <is>
          <t>17/07/2018</t>
        </is>
      </c>
      <c r="B3756" s="8" t="n">
        <v>92.632837077</v>
      </c>
      <c r="C3756" s="13" t="n"/>
      <c r="D3756" s="3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7">
      <c r="A3757" s="65" t="inlineStr">
        <is>
          <t>18/07/2018</t>
        </is>
      </c>
      <c r="B3757" s="8" t="n">
        <v>92.80296166299999</v>
      </c>
      <c r="C3757" s="13" t="n"/>
      <c r="D3757" s="3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8">
      <c r="A3758" s="65" t="inlineStr">
        <is>
          <t>19/07/2018</t>
        </is>
      </c>
      <c r="B3758" s="8" t="n">
        <v>91.5610521852</v>
      </c>
      <c r="C3758" s="13" t="n"/>
      <c r="D3758" s="3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9">
      <c r="A3759" s="65" t="inlineStr">
        <is>
          <t>20/07/2018</t>
        </is>
      </c>
      <c r="B3759" s="8" t="n">
        <v>91.59507710240001</v>
      </c>
      <c r="C3759" s="13" t="n"/>
      <c r="D3759" s="3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0">
      <c r="A3760" s="65" t="inlineStr">
        <is>
          <t>23/07/2018</t>
        </is>
      </c>
      <c r="B3760" s="8" t="n">
        <v>90.8975662998</v>
      </c>
      <c r="C3760" s="13" t="n"/>
      <c r="D3760" s="3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1">
      <c r="A3761" s="65" t="inlineStr">
        <is>
          <t>24/07/2018</t>
        </is>
      </c>
      <c r="B3761" s="8" t="n">
        <v>91.10171580299999</v>
      </c>
      <c r="C3761" s="13" t="n"/>
      <c r="D3761" s="3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2">
      <c r="A3762" s="65" t="inlineStr">
        <is>
          <t>25/07/2018</t>
        </is>
      </c>
      <c r="B3762" s="8" t="n">
        <v>91.6801393954</v>
      </c>
      <c r="C3762" s="13" t="n"/>
      <c r="D3762" s="3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3">
      <c r="A3763" s="65" t="inlineStr">
        <is>
          <t>26/07/2018</t>
        </is>
      </c>
      <c r="B3763" s="8" t="n">
        <v>92.25856298779999</v>
      </c>
      <c r="C3763" s="13" t="n"/>
      <c r="D3763" s="3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4">
      <c r="A3764" s="65" t="inlineStr">
        <is>
          <t>27/07/2018</t>
        </is>
      </c>
      <c r="B3764" s="8" t="n">
        <v>89.65565682200001</v>
      </c>
      <c r="C3764" s="13" t="n"/>
      <c r="D3764" s="3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5">
      <c r="A3765" s="65" t="inlineStr">
        <is>
          <t>30/07/2018</t>
        </is>
      </c>
      <c r="B3765" s="8" t="n">
        <v>89.8087689494</v>
      </c>
      <c r="C3765" s="13" t="n"/>
      <c r="D3765" s="3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6">
      <c r="A3766" s="65" t="inlineStr">
        <is>
          <t>31/07/2018</t>
        </is>
      </c>
      <c r="B3766" s="8" t="n">
        <v>88.9921709366</v>
      </c>
      <c r="C3766" s="13" t="n"/>
      <c r="D3766" s="3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7">
      <c r="A3767" s="65" t="inlineStr">
        <is>
          <t>01/08/2018</t>
        </is>
      </c>
      <c r="B3767" s="8" t="n">
        <v>86.6503476968</v>
      </c>
      <c r="C3767" s="13" t="n"/>
      <c r="D3767" s="3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8">
      <c r="A3768" s="65" t="inlineStr">
        <is>
          <t>02/08/2018</t>
        </is>
      </c>
      <c r="B3768" s="8" t="n">
        <v>85.400176956</v>
      </c>
      <c r="C3768" s="13" t="n"/>
      <c r="D3768" s="3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9">
      <c r="A3769" s="65" t="inlineStr">
        <is>
          <t>03/08/2018</t>
        </is>
      </c>
      <c r="B3769" s="8" t="n">
        <v>85.7718493384</v>
      </c>
      <c r="C3769" s="13" t="n"/>
      <c r="D3769" s="3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0">
      <c r="A3770" s="65" t="inlineStr">
        <is>
          <t>06/08/2018</t>
        </is>
      </c>
      <c r="B3770" s="8" t="n">
        <v>87.08959687599999</v>
      </c>
      <c r="C3770" s="13" t="n"/>
      <c r="D3770" s="3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1">
      <c r="A3771" s="65" t="inlineStr">
        <is>
          <t>07/08/2018</t>
        </is>
      </c>
      <c r="B3771" s="8" t="n">
        <v>85.3832827568</v>
      </c>
      <c r="C3771" s="13" t="n"/>
      <c r="D3771" s="3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2">
      <c r="A3772" s="65" t="inlineStr">
        <is>
          <t>08/08/2018</t>
        </is>
      </c>
      <c r="B3772" s="8" t="n">
        <v>84.639937992</v>
      </c>
      <c r="C3772" s="13" t="n"/>
      <c r="D3772" s="3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3">
      <c r="A3773" s="65" t="inlineStr">
        <is>
          <t>09/08/2018</t>
        </is>
      </c>
      <c r="B3773" s="8" t="n">
        <v>85.7718493384</v>
      </c>
      <c r="C3773" s="13" t="n"/>
      <c r="D3773" s="3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4">
      <c r="A3774" s="65" t="inlineStr">
        <is>
          <t>10/08/2018</t>
        </is>
      </c>
      <c r="B3774" s="8" t="n">
        <v>85.80563773679999</v>
      </c>
      <c r="C3774" s="13" t="n"/>
      <c r="D3774" s="3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5">
      <c r="A3775" s="65" t="inlineStr">
        <is>
          <t>13/08/2018</t>
        </is>
      </c>
      <c r="B3775" s="8" t="n">
        <v>85.41707115520001</v>
      </c>
      <c r="C3775" s="13" t="n"/>
      <c r="D3775" s="3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6">
      <c r="A3776" s="65" t="inlineStr">
        <is>
          <t>14/08/2018</t>
        </is>
      </c>
      <c r="B3776" s="8" t="n">
        <v>84.470996</v>
      </c>
      <c r="C3776" s="13" t="n"/>
      <c r="D3776" s="3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7">
      <c r="A3777" s="65" t="inlineStr">
        <is>
          <t>15/08/2018</t>
        </is>
      </c>
      <c r="B3777" s="8" t="n">
        <v>84.89335097999999</v>
      </c>
      <c r="C3777" s="13" t="n"/>
      <c r="D3777" s="3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8">
      <c r="A3778" s="65" t="inlineStr">
        <is>
          <t>16/08/2018</t>
        </is>
      </c>
      <c r="B3778" s="8" t="n">
        <v>84.20068881280001</v>
      </c>
      <c r="C3778" s="13" t="n"/>
      <c r="D3778" s="3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9">
      <c r="A3779" s="65" t="inlineStr">
        <is>
          <t>17/08/2018</t>
        </is>
      </c>
      <c r="B3779" s="8" t="n">
        <v>84.133112016</v>
      </c>
      <c r="C3779" s="13" t="n"/>
      <c r="D3779" s="3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0">
      <c r="A3780" s="65" t="inlineStr">
        <is>
          <t>20/08/2018</t>
        </is>
      </c>
      <c r="B3780" s="8" t="n">
        <v>85.3832827568</v>
      </c>
      <c r="C3780" s="13" t="n"/>
      <c r="D3780" s="3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1">
      <c r="A3781" s="65" t="inlineStr">
        <is>
          <t>21/08/2018</t>
        </is>
      </c>
      <c r="B3781" s="8" t="n">
        <v>84.7581973864</v>
      </c>
      <c r="C3781" s="13" t="n"/>
      <c r="D3781" s="3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2">
      <c r="A3782" s="65" t="inlineStr">
        <is>
          <t>22/08/2018</t>
        </is>
      </c>
      <c r="B3782" s="8" t="n">
        <v>86.16041591999999</v>
      </c>
      <c r="C3782" s="13" t="n"/>
      <c r="D3782" s="3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3">
      <c r="A3783" s="65" t="inlineStr">
        <is>
          <t>23/08/2018</t>
        </is>
      </c>
      <c r="B3783" s="8" t="n">
        <v>87.46126925840001</v>
      </c>
      <c r="C3783" s="13" t="n"/>
      <c r="D3783" s="3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4">
      <c r="A3784" s="65" t="inlineStr">
        <is>
          <t>24/08/2018</t>
        </is>
      </c>
      <c r="B3784" s="8" t="n">
        <v>88.61007480400001</v>
      </c>
      <c r="C3784" s="13" t="n"/>
      <c r="D3784" s="3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5">
      <c r="A3785" s="65" t="inlineStr">
        <is>
          <t>27/08/2018</t>
        </is>
      </c>
      <c r="B3785" s="8" t="n">
        <v>89.6575151544</v>
      </c>
      <c r="C3785" s="13" t="n"/>
      <c r="D3785" s="3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6">
      <c r="A3786" s="65" t="inlineStr">
        <is>
          <t>28/08/2018</t>
        </is>
      </c>
      <c r="B3786" s="8" t="n">
        <v>90.8570032976</v>
      </c>
      <c r="C3786" s="13" t="n"/>
      <c r="D3786" s="3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7">
      <c r="A3787" s="65" t="inlineStr">
        <is>
          <t>29/08/2018</t>
        </is>
      </c>
      <c r="B3787" s="8" t="n">
        <v>92.32679862799999</v>
      </c>
      <c r="C3787" s="13" t="n"/>
      <c r="D3787" s="3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8">
      <c r="A3788" s="65" t="inlineStr">
        <is>
          <t>30/08/2018</t>
        </is>
      </c>
      <c r="B3788" s="8" t="n">
        <v>92.2254334328</v>
      </c>
      <c r="C3788" s="13" t="n"/>
      <c r="D3788" s="3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9">
      <c r="A3789" s="65" t="inlineStr">
        <is>
          <t>31/08/2018</t>
        </is>
      </c>
      <c r="B3789" s="8" t="n">
        <v>93.7121229624</v>
      </c>
      <c r="C3789" s="13" t="n"/>
      <c r="D3789" s="3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0">
      <c r="A3790" s="65" t="inlineStr">
        <is>
          <t>03/09/2018</t>
        </is>
      </c>
      <c r="B3790" s="8" t="n">
        <v>93.357424842</v>
      </c>
      <c r="C3790" s="13" t="n"/>
      <c r="D3790" s="3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1">
      <c r="A3791" s="65" t="inlineStr">
        <is>
          <t>04/09/2018</t>
        </is>
      </c>
      <c r="B3791" s="8" t="n">
        <v>94.17284619980001</v>
      </c>
      <c r="C3791" s="13" t="n"/>
      <c r="D3791" s="3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2">
      <c r="A3792" s="65" t="inlineStr">
        <is>
          <t>05/09/2018</t>
        </is>
      </c>
      <c r="B3792" s="8" t="n">
        <v>95.5707113846</v>
      </c>
      <c r="C3792" s="13" t="n"/>
      <c r="D3792" s="3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3">
      <c r="A3793" s="65" t="inlineStr">
        <is>
          <t>06/09/2018</t>
        </is>
      </c>
      <c r="B3793" s="8" t="n">
        <v>95.936818933</v>
      </c>
      <c r="C3793" s="13" t="n"/>
      <c r="D3793" s="3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4">
      <c r="A3794" s="65" t="inlineStr">
        <is>
          <t>10/09/2018</t>
        </is>
      </c>
      <c r="B3794" s="8" t="n">
        <v>97.9004866926</v>
      </c>
      <c r="C3794" s="13" t="n"/>
      <c r="D3794" s="3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5">
      <c r="A3795" s="65" t="inlineStr">
        <is>
          <t>11/09/2018</t>
        </is>
      </c>
      <c r="B3795" s="8" t="n">
        <v>98.89896182460001</v>
      </c>
      <c r="C3795" s="13" t="n"/>
      <c r="D3795" s="3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6">
      <c r="A3796" s="65" t="inlineStr">
        <is>
          <t>12/09/2018</t>
        </is>
      </c>
      <c r="B3796" s="8" t="n">
        <v>99.01545059</v>
      </c>
      <c r="C3796" s="13" t="n"/>
      <c r="D3796" s="3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7">
      <c r="A3797" s="65" t="inlineStr">
        <is>
          <t>13/09/2018</t>
        </is>
      </c>
      <c r="B3797" s="8" t="n">
        <v>101.0290421062</v>
      </c>
      <c r="C3797" s="13" t="n"/>
      <c r="D3797" s="3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8">
      <c r="A3798" s="65" t="inlineStr">
        <is>
          <t>14/09/2018</t>
        </is>
      </c>
      <c r="B3798" s="8" t="n">
        <v>102.5267548042</v>
      </c>
      <c r="C3798" s="13" t="n"/>
      <c r="D3798" s="3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9">
      <c r="A3799" s="65" t="inlineStr">
        <is>
          <t>17/09/2018</t>
        </is>
      </c>
      <c r="B3799" s="8" t="n">
        <v>105.1560726518</v>
      </c>
      <c r="C3799" s="13" t="n"/>
      <c r="D3799" s="3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0">
      <c r="A3800" s="65" t="inlineStr">
        <is>
          <t>18/09/2018</t>
        </is>
      </c>
      <c r="B3800" s="8" t="n">
        <v>104.9064538688</v>
      </c>
      <c r="C3800" s="13" t="n"/>
      <c r="D3800" s="3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1">
      <c r="A3801" s="65" t="inlineStr">
        <is>
          <t>19/09/2018</t>
        </is>
      </c>
      <c r="B3801" s="8" t="n">
        <v>105.0229426342</v>
      </c>
      <c r="C3801" s="13" t="n"/>
      <c r="D3801" s="3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2">
      <c r="A3802" s="65" t="inlineStr">
        <is>
          <t>20/09/2018</t>
        </is>
      </c>
      <c r="B3802" s="8" t="n">
        <v>104.2907275374</v>
      </c>
      <c r="C3802" s="13" t="n"/>
      <c r="D3802" s="3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3">
      <c r="A3803" s="65" t="inlineStr">
        <is>
          <t>21/09/2018</t>
        </is>
      </c>
      <c r="B3803" s="8" t="n">
        <v>103.4586649274</v>
      </c>
      <c r="C3803" s="13" t="n"/>
      <c r="D3803" s="3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4">
      <c r="A3804" s="65" t="inlineStr">
        <is>
          <t>24/09/2018</t>
        </is>
      </c>
      <c r="B3804" s="8" t="n">
        <v>102.9427861092</v>
      </c>
      <c r="C3804" s="13" t="n"/>
      <c r="D3804" s="3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5">
      <c r="A3805" s="65" t="inlineStr">
        <is>
          <t>25/09/2018</t>
        </is>
      </c>
      <c r="B3805" s="8" t="n">
        <v>103.0259923702</v>
      </c>
      <c r="C3805" s="13" t="n"/>
      <c r="D3805" s="3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6">
      <c r="A3806" s="65" t="inlineStr">
        <is>
          <t>26/09/2018</t>
        </is>
      </c>
      <c r="B3806" s="8" t="n">
        <v>103.675001206</v>
      </c>
      <c r="C3806" s="13" t="n"/>
      <c r="D3806" s="3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7">
      <c r="A3807" s="65" t="inlineStr">
        <is>
          <t>27/09/2018</t>
        </is>
      </c>
      <c r="B3807" s="8" t="n">
        <v>103.758207467</v>
      </c>
      <c r="C3807" s="13" t="n"/>
      <c r="D3807" s="3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8">
      <c r="A3808" s="65" t="inlineStr">
        <is>
          <t>28/09/2018</t>
        </is>
      </c>
      <c r="B3808" s="8" t="n">
        <v>104.2241625286</v>
      </c>
      <c r="C3808" s="13" t="n"/>
      <c r="D3808" s="3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9">
      <c r="A3809" s="65" t="inlineStr">
        <is>
          <t>01/10/2018</t>
        </is>
      </c>
      <c r="B3809" s="8" t="n">
        <v>101.9192158185</v>
      </c>
      <c r="C3809" s="13" t="n"/>
      <c r="D3809" s="3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0">
      <c r="A3810" s="65" t="inlineStr">
        <is>
          <t>02/10/2018</t>
        </is>
      </c>
      <c r="B3810" s="8" t="n">
        <v>101.506854531</v>
      </c>
      <c r="C3810" s="13" t="n"/>
      <c r="D3810" s="3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1">
      <c r="A3811" s="65" t="inlineStr">
        <is>
          <t>03/10/2018</t>
        </is>
      </c>
      <c r="B3811" s="8" t="n">
        <v>101.7542713035</v>
      </c>
      <c r="C3811" s="13" t="n"/>
      <c r="D3811" s="3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2">
      <c r="A3812" s="65" t="inlineStr">
        <is>
          <t>04/10/2018</t>
        </is>
      </c>
      <c r="B3812" s="8" t="n">
        <v>102.7109494905</v>
      </c>
      <c r="C3812" s="13" t="n"/>
      <c r="D3812" s="3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3">
      <c r="A3813" s="65" t="inlineStr">
        <is>
          <t>05/10/2018</t>
        </is>
      </c>
      <c r="B3813" s="8" t="n">
        <v>104.0964834165</v>
      </c>
      <c r="C3813" s="13" t="n"/>
      <c r="D3813" s="3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4">
      <c r="A3814" s="65" t="inlineStr">
        <is>
          <t>08/10/2018</t>
        </is>
      </c>
      <c r="B3814" s="8" t="n">
        <v>104.112977868</v>
      </c>
      <c r="C3814" s="13" t="n"/>
      <c r="D3814" s="3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5">
      <c r="A3815" s="65" t="inlineStr">
        <is>
          <t>09/10/2018</t>
        </is>
      </c>
      <c r="B3815" s="8" t="n">
        <v>104.3603946405</v>
      </c>
      <c r="C3815" s="13" t="n"/>
      <c r="D3815" s="3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6">
      <c r="A3816" s="65" t="inlineStr">
        <is>
          <t>10/10/2018</t>
        </is>
      </c>
      <c r="B3816" s="8" t="n">
        <v>104.90471154</v>
      </c>
      <c r="C3816" s="13" t="n"/>
      <c r="D3816" s="3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7">
      <c r="A3817" s="65" t="inlineStr">
        <is>
          <t>11/10/2018</t>
        </is>
      </c>
      <c r="B3817" s="8" t="n">
        <v>104.9541948945</v>
      </c>
      <c r="C3817" s="13" t="n"/>
      <c r="D3817" s="3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8">
      <c r="A3818" s="65" t="inlineStr">
        <is>
          <t>15/10/2018</t>
        </is>
      </c>
      <c r="B3818" s="8" t="n">
        <v>106.3397288205</v>
      </c>
      <c r="C3818" s="13" t="n"/>
      <c r="D3818" s="3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9">
      <c r="A3819" s="65" t="inlineStr">
        <is>
          <t>16/10/2018</t>
        </is>
      </c>
      <c r="B3819" s="8" t="n">
        <v>105.9438619845</v>
      </c>
      <c r="C3819" s="13" t="n"/>
      <c r="D3819" s="3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0">
      <c r="A3820" s="65" t="inlineStr">
        <is>
          <t>17/10/2018</t>
        </is>
      </c>
      <c r="B3820" s="8" t="n">
        <v>105.6799507605</v>
      </c>
      <c r="C3820" s="13" t="n"/>
      <c r="D3820" s="3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1">
      <c r="A3821" s="65" t="inlineStr">
        <is>
          <t>18/10/2018</t>
        </is>
      </c>
      <c r="B3821" s="8" t="n">
        <v>108.0551517765</v>
      </c>
      <c r="C3821" s="13" t="n"/>
      <c r="D3821" s="3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2">
      <c r="A3822" s="65" t="inlineStr">
        <is>
          <t>19/10/2018</t>
        </is>
      </c>
      <c r="B3822" s="8" t="n">
        <v>108.698435385</v>
      </c>
      <c r="C3822" s="13" t="n"/>
      <c r="D3822" s="3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3">
      <c r="A3823" s="65" t="inlineStr">
        <is>
          <t>22/10/2018</t>
        </is>
      </c>
      <c r="B3823" s="8" t="n">
        <v>108.3850408065</v>
      </c>
      <c r="C3823" s="13" t="n"/>
      <c r="D3823" s="3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4">
      <c r="A3824" s="65" t="inlineStr">
        <is>
          <t>23/10/2018</t>
        </is>
      </c>
      <c r="B3824" s="8" t="n">
        <v>106.5376622385</v>
      </c>
      <c r="C3824" s="13" t="n"/>
      <c r="D3824" s="3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5">
      <c r="A3825" s="65" t="inlineStr">
        <is>
          <t>24/10/2018</t>
        </is>
      </c>
      <c r="B3825" s="8" t="n">
        <v>108.3190630005</v>
      </c>
      <c r="C3825" s="13" t="n"/>
      <c r="D3825" s="3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6">
      <c r="A3826" s="65" t="inlineStr">
        <is>
          <t>25/10/2018</t>
        </is>
      </c>
      <c r="B3826" s="8" t="n">
        <v>110.050980408</v>
      </c>
      <c r="C3826" s="13" t="n"/>
      <c r="D3826" s="3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7">
      <c r="A3827" s="65" t="inlineStr">
        <is>
          <t>26/10/2018</t>
        </is>
      </c>
      <c r="B3827" s="8" t="n">
        <v>110.0014970535</v>
      </c>
      <c r="C3827" s="13" t="n"/>
      <c r="D3827" s="3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8">
      <c r="A3828" s="65" t="inlineStr">
        <is>
          <t>29/10/2018</t>
        </is>
      </c>
      <c r="B3828" s="8" t="n">
        <v>109.952013699</v>
      </c>
      <c r="C3828" s="13" t="n"/>
      <c r="D3828" s="3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9">
      <c r="A3829" s="65" t="inlineStr">
        <is>
          <t>30/10/2018</t>
        </is>
      </c>
      <c r="B3829" s="8" t="n">
        <v>108.830390997</v>
      </c>
      <c r="C3829" s="13" t="n"/>
      <c r="D3829" s="3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0">
      <c r="A3830" s="65" t="inlineStr">
        <is>
          <t>31/10/2018</t>
        </is>
      </c>
      <c r="B3830" s="8" t="n">
        <v>108.6819409335</v>
      </c>
      <c r="C3830" s="13" t="n"/>
      <c r="D3830" s="3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1">
      <c r="A3831" s="65" t="inlineStr">
        <is>
          <t>01/11/2018</t>
        </is>
      </c>
      <c r="B3831" s="8" t="n">
        <v>109.9464343659</v>
      </c>
      <c r="C3831" s="13" t="n"/>
      <c r="D3831" s="3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2">
      <c r="A3832" s="65" t="inlineStr">
        <is>
          <t>05/11/2018</t>
        </is>
      </c>
      <c r="B3832" s="8" t="n">
        <v>109.9298586936</v>
      </c>
      <c r="C3832" s="13" t="n"/>
      <c r="D3832" s="3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3">
      <c r="A3833" s="65" t="inlineStr">
        <is>
          <t>06/11/2018</t>
        </is>
      </c>
      <c r="B3833" s="8" t="n">
        <v>110.3442505011</v>
      </c>
      <c r="C3833" s="13" t="n"/>
      <c r="D3833" s="3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4">
      <c r="A3834" s="65" t="inlineStr">
        <is>
          <t>07/11/2018</t>
        </is>
      </c>
      <c r="B3834" s="8" t="n">
        <v>111.6205772682</v>
      </c>
      <c r="C3834" s="13" t="n"/>
      <c r="D3834" s="3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5">
      <c r="A3835" s="65" t="inlineStr">
        <is>
          <t>08/11/2018</t>
        </is>
      </c>
      <c r="B3835" s="8" t="n">
        <v>112.2504528156</v>
      </c>
      <c r="C3835" s="13" t="n"/>
      <c r="D3835" s="3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6">
      <c r="A3836" s="65" t="inlineStr">
        <is>
          <t>09/11/2018</t>
        </is>
      </c>
      <c r="B3836" s="8" t="n">
        <v>112.6482689508</v>
      </c>
      <c r="C3836" s="13" t="n"/>
      <c r="D3836" s="3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7">
      <c r="A3837" s="65" t="inlineStr">
        <is>
          <t>12/11/2018</t>
        </is>
      </c>
      <c r="B3837" s="8" t="n">
        <v>111.05700441</v>
      </c>
      <c r="C3837" s="13" t="n"/>
      <c r="D3837" s="3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8">
      <c r="A3838" s="65" t="inlineStr">
        <is>
          <t>13/11/2018</t>
        </is>
      </c>
      <c r="B3838" s="8" t="n">
        <v>111.0901557546</v>
      </c>
      <c r="C3838" s="13" t="n"/>
      <c r="D3838" s="3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9">
      <c r="A3839" s="65" t="inlineStr">
        <is>
          <t>14/11/2018</t>
        </is>
      </c>
      <c r="B3839" s="8" t="n">
        <v>111.4879718898</v>
      </c>
      <c r="C3839" s="13" t="n"/>
      <c r="D3839" s="3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0">
      <c r="A3840" s="65" t="inlineStr">
        <is>
          <t>16/11/2018</t>
        </is>
      </c>
      <c r="B3840" s="8" t="n">
        <v>111.2393368053</v>
      </c>
      <c r="C3840" s="13" t="n"/>
      <c r="D3840" s="3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1">
      <c r="A3841" s="65" t="inlineStr">
        <is>
          <t>19/11/2018</t>
        </is>
      </c>
      <c r="B3841" s="8" t="n">
        <v>112.3001798325</v>
      </c>
      <c r="C3841" s="13" t="n"/>
      <c r="D3841" s="3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2">
      <c r="A3842" s="65" t="inlineStr">
        <is>
          <t>21/11/2018</t>
        </is>
      </c>
      <c r="B3842" s="8" t="n">
        <v>112.3664825217</v>
      </c>
      <c r="C3842" s="13" t="n"/>
      <c r="D3842" s="3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3">
      <c r="A3843" s="65" t="inlineStr">
        <is>
          <t>22/11/2018</t>
        </is>
      </c>
      <c r="B3843" s="8" t="n">
        <v>113.0792364306</v>
      </c>
      <c r="C3843" s="13" t="n"/>
      <c r="D3843" s="3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4">
      <c r="A3844" s="65" t="inlineStr">
        <is>
          <t>23/11/2018</t>
        </is>
      </c>
      <c r="B3844" s="8" t="n">
        <v>112.9134797076</v>
      </c>
      <c r="C3844" s="13" t="n"/>
      <c r="D3844" s="3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5">
      <c r="A3845" s="65" t="inlineStr">
        <is>
          <t>26/11/2018</t>
        </is>
      </c>
      <c r="B3845" s="8" t="n">
        <v>114.6207739545</v>
      </c>
      <c r="C3845" s="13" t="n"/>
      <c r="D3845" s="3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6">
      <c r="A3846" s="65" t="inlineStr">
        <is>
          <t>27/11/2018</t>
        </is>
      </c>
      <c r="B3846" s="8" t="n">
        <v>114.2561091639</v>
      </c>
      <c r="C3846" s="13" t="n"/>
      <c r="D3846" s="3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7">
      <c r="A3847" s="65" t="inlineStr">
        <is>
          <t>28/11/2018</t>
        </is>
      </c>
      <c r="B3847" s="8" t="n">
        <v>114.37213887</v>
      </c>
      <c r="C3847" s="13" t="n"/>
      <c r="D3847" s="3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8">
      <c r="A3848" s="65" t="inlineStr">
        <is>
          <t>29/11/2018</t>
        </is>
      </c>
      <c r="B3848" s="8" t="n">
        <v>114.2229578193</v>
      </c>
      <c r="C3848" s="13" t="n"/>
      <c r="D3848" s="3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9">
      <c r="A3849" s="65" t="inlineStr">
        <is>
          <t>30/11/2018</t>
        </is>
      </c>
      <c r="B3849" s="8" t="n">
        <v>113.5930822719</v>
      </c>
      <c r="C3849" s="13" t="n"/>
      <c r="D3849" s="3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0">
      <c r="A3850" s="65" t="inlineStr">
        <is>
          <t>03/12/2018</t>
        </is>
      </c>
      <c r="B3850" s="8" t="n">
        <v>116.2073268335</v>
      </c>
      <c r="C3850" s="13" t="n"/>
      <c r="D3850" s="3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1">
      <c r="A3851" s="65" t="inlineStr">
        <is>
          <t>04/12/2018</t>
        </is>
      </c>
      <c r="B3851" s="8" t="n">
        <v>115.2689547639</v>
      </c>
      <c r="C3851" s="13" t="n"/>
      <c r="D3851" s="3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2">
      <c r="A3852" s="65" t="inlineStr">
        <is>
          <t>05/12/2018</t>
        </is>
      </c>
      <c r="B3852" s="8" t="n">
        <v>114.8500386614</v>
      </c>
      <c r="C3852" s="13" t="n"/>
      <c r="D3852" s="3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3">
      <c r="A3853" s="65" t="inlineStr">
        <is>
          <t>06/12/2018</t>
        </is>
      </c>
      <c r="B3853" s="8" t="n">
        <v>114.5149057794</v>
      </c>
      <c r="C3853" s="13" t="n"/>
      <c r="D3853" s="3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4">
      <c r="A3854" s="65" t="inlineStr">
        <is>
          <t>07/12/2018</t>
        </is>
      </c>
      <c r="B3854" s="8" t="n">
        <v>114.7159855086</v>
      </c>
      <c r="C3854" s="13" t="n"/>
      <c r="D3854" s="3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5">
      <c r="A3855" s="65" t="inlineStr">
        <is>
          <t>10/12/2018</t>
        </is>
      </c>
      <c r="B3855" s="8" t="n">
        <v>114.615445644</v>
      </c>
      <c r="C3855" s="13" t="n"/>
      <c r="D3855" s="3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6">
      <c r="A3856" s="65" t="inlineStr">
        <is>
          <t>11/12/2018</t>
        </is>
      </c>
      <c r="B3856" s="8" t="n">
        <v>114.3305826943</v>
      </c>
      <c r="C3856" s="13" t="n"/>
      <c r="D3856" s="3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7">
      <c r="A3857" s="65" t="inlineStr">
        <is>
          <t>12/12/2018</t>
        </is>
      </c>
      <c r="B3857" s="8" t="n">
        <v>115.2186848316</v>
      </c>
      <c r="C3857" s="13" t="n"/>
      <c r="D3857" s="3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8">
      <c r="A3858" s="65" t="inlineStr">
        <is>
          <t>13/12/2018</t>
        </is>
      </c>
      <c r="B3858" s="8" t="n">
        <v>114.7997687291</v>
      </c>
      <c r="C3858" s="13" t="n"/>
      <c r="D3858" s="3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9">
      <c r="A3859" s="65" t="inlineStr">
        <is>
          <t>14/12/2018</t>
        </is>
      </c>
      <c r="B3859" s="8" t="n">
        <v>115.2019281875</v>
      </c>
      <c r="C3859" s="13" t="n"/>
      <c r="D3859" s="3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0">
      <c r="A3860" s="65" t="inlineStr">
        <is>
          <t>17/12/2018</t>
        </is>
      </c>
      <c r="B3860" s="8" t="n">
        <v>115.285711408</v>
      </c>
      <c r="C3860" s="13" t="n"/>
      <c r="D3860" s="3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1">
      <c r="A3861" s="65" t="inlineStr">
        <is>
          <t>18/12/2018</t>
        </is>
      </c>
      <c r="B3861" s="8" t="n">
        <v>114.3640959825</v>
      </c>
      <c r="C3861" s="13" t="n"/>
      <c r="D3861" s="3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2">
      <c r="A3862" s="65" t="inlineStr">
        <is>
          <t>19/12/2018</t>
        </is>
      </c>
      <c r="B3862" s="8" t="n">
        <v>114.9673351701</v>
      </c>
      <c r="C3862" s="13" t="n"/>
      <c r="D3862" s="3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3">
      <c r="A3863" s="65" t="inlineStr">
        <is>
          <t>20/12/2018</t>
        </is>
      </c>
      <c r="B3863" s="8" t="n">
        <v>115.3192246962</v>
      </c>
      <c r="C3863" s="13" t="n"/>
      <c r="D3863" s="3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4">
      <c r="A3864" s="65" t="inlineStr">
        <is>
          <t>21/12/2018</t>
        </is>
      </c>
      <c r="B3864" s="8" t="n">
        <v>114.9840918142</v>
      </c>
      <c r="C3864" s="13" t="n"/>
      <c r="D3864" s="3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5">
      <c r="A3865" s="65" t="inlineStr">
        <is>
          <t>26/12/2018</t>
        </is>
      </c>
      <c r="B3865" s="8" t="n">
        <v>114.9338218819</v>
      </c>
      <c r="C3865" s="13" t="n"/>
      <c r="D3865" s="3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6">
      <c r="A3866" s="65" t="inlineStr">
        <is>
          <t>27/12/2018</t>
        </is>
      </c>
      <c r="B3866" s="8" t="n">
        <v>114.2970694061</v>
      </c>
      <c r="C3866" s="13" t="n"/>
      <c r="D3866" s="3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7">
      <c r="A3867" s="65" t="inlineStr">
        <is>
          <t>28/12/2018</t>
        </is>
      </c>
      <c r="B3867" s="8" t="n">
        <v>114.280312762</v>
      </c>
      <c r="C3867" s="13" t="n"/>
      <c r="D3867" s="3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8">
      <c r="A3868" s="65" t="inlineStr">
        <is>
          <t>02/01/2019</t>
        </is>
      </c>
      <c r="B3868" s="8" t="n">
        <v>114.2353759148</v>
      </c>
      <c r="C3868" s="13" t="n"/>
      <c r="D3868" s="3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9">
      <c r="A3869" s="65" t="inlineStr">
        <is>
          <t>03/01/2019</t>
        </is>
      </c>
      <c r="B3869" s="8" t="n">
        <v>114.77153491</v>
      </c>
      <c r="C3869" s="13" t="n"/>
      <c r="D3869" s="3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0">
      <c r="A3870" s="65" t="inlineStr">
        <is>
          <t>04/01/2019</t>
        </is>
      </c>
      <c r="B3870" s="8" t="n">
        <v>114.687760067</v>
      </c>
      <c r="C3870" s="13" t="n"/>
      <c r="D3870" s="3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1">
      <c r="A3871" s="65" t="inlineStr">
        <is>
          <t>07/01/2019</t>
        </is>
      </c>
      <c r="B3871" s="8" t="n">
        <v>115.3412038424</v>
      </c>
      <c r="C3871" s="13" t="n"/>
      <c r="D3871" s="3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2">
      <c r="A3872" s="65" t="inlineStr">
        <is>
          <t>08/01/2019</t>
        </is>
      </c>
      <c r="B3872" s="8" t="n">
        <v>115.2406740308</v>
      </c>
      <c r="C3872" s="13" t="n"/>
      <c r="D3872" s="3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3">
      <c r="A3873" s="65" t="inlineStr">
        <is>
          <t>09/01/2019</t>
        </is>
      </c>
      <c r="B3873" s="8" t="n">
        <v>115.1401442192</v>
      </c>
      <c r="C3873" s="13" t="n"/>
      <c r="D3873" s="3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4">
      <c r="A3874" s="65" t="inlineStr">
        <is>
          <t>10/01/2019</t>
        </is>
      </c>
      <c r="B3874" s="8" t="n">
        <v>114.77153491</v>
      </c>
      <c r="C3874" s="13" t="n"/>
      <c r="D3874" s="3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5">
      <c r="A3875" s="65" t="inlineStr">
        <is>
          <t>11/01/2019</t>
        </is>
      </c>
      <c r="B3875" s="8" t="n">
        <v>114.9893495018</v>
      </c>
      <c r="C3875" s="13" t="n"/>
      <c r="D3875" s="3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6">
      <c r="A3876" s="65" t="inlineStr">
        <is>
          <t>14/01/2019</t>
        </is>
      </c>
      <c r="B3876" s="8" t="n">
        <v>114.9725945332</v>
      </c>
      <c r="C3876" s="13" t="n"/>
      <c r="D3876" s="3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7">
      <c r="A3877" s="65" t="inlineStr">
        <is>
          <t>15/01/2019</t>
        </is>
      </c>
      <c r="B3877" s="8" t="n">
        <v>115.3747137796</v>
      </c>
      <c r="C3877" s="13" t="n"/>
      <c r="D3877" s="3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8">
      <c r="A3878" s="65" t="inlineStr">
        <is>
          <t>16/01/2019</t>
        </is>
      </c>
      <c r="B3878" s="8" t="n">
        <v>115.693058183</v>
      </c>
      <c r="C3878" s="13" t="n"/>
      <c r="D3878" s="3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9">
      <c r="A3879" s="65" t="inlineStr">
        <is>
          <t>17/01/2019</t>
        </is>
      </c>
      <c r="B3879" s="8" t="n">
        <v>114.4867004438</v>
      </c>
      <c r="C3879" s="13" t="n"/>
      <c r="D3879" s="3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0">
      <c r="A3880" s="65" t="inlineStr">
        <is>
          <t>18/01/2019</t>
        </is>
      </c>
      <c r="B3880" s="8" t="n">
        <v>115.6763032144</v>
      </c>
      <c r="C3880" s="13" t="n"/>
      <c r="D3880" s="3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1">
      <c r="A3881" s="65" t="inlineStr">
        <is>
          <t>21/01/2019</t>
        </is>
      </c>
      <c r="B3881" s="8" t="n">
        <v>115.5590184342</v>
      </c>
      <c r="C3881" s="13" t="n"/>
      <c r="D3881" s="3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2">
      <c r="A3882" s="65" t="inlineStr">
        <is>
          <t>22/01/2019</t>
        </is>
      </c>
      <c r="B3882" s="8" t="n">
        <v>115.5925283714</v>
      </c>
      <c r="C3882" s="13" t="n"/>
      <c r="D3882" s="3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3">
      <c r="A3883" s="65" t="inlineStr">
        <is>
          <t>23/01/2019</t>
        </is>
      </c>
      <c r="B3883" s="8" t="n">
        <v>115.693058183</v>
      </c>
      <c r="C3883" s="13" t="n"/>
      <c r="D3883" s="3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4">
      <c r="A3884" s="65" t="inlineStr">
        <is>
          <t>24/01/2019</t>
        </is>
      </c>
      <c r="B3884" s="8" t="n">
        <v>115.0396144076</v>
      </c>
      <c r="C3884" s="13" t="n"/>
      <c r="D3884" s="3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5">
      <c r="A3885" s="65" t="inlineStr">
        <is>
          <t>25/01/2019</t>
        </is>
      </c>
      <c r="B3885" s="8" t="n">
        <v>116.2962370526</v>
      </c>
      <c r="C3885" s="13" t="n"/>
      <c r="D3885" s="3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6">
      <c r="A3886" s="65" t="inlineStr">
        <is>
          <t>28/01/2019</t>
        </is>
      </c>
      <c r="B3886" s="8" t="n">
        <v>115.7265681202</v>
      </c>
      <c r="C3886" s="13" t="n"/>
      <c r="D3886" s="3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7">
      <c r="A3887" s="65" t="inlineStr">
        <is>
          <t>29/01/2019</t>
        </is>
      </c>
      <c r="B3887" s="8" t="n">
        <v>115.860607869</v>
      </c>
      <c r="C3887" s="13" t="n"/>
      <c r="D3887" s="3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8">
      <c r="A3888" s="65" t="inlineStr">
        <is>
          <t>30/01/2019</t>
        </is>
      </c>
      <c r="B3888" s="8" t="n">
        <v>116.1621973038</v>
      </c>
      <c r="C3888" s="13" t="n"/>
      <c r="D3888" s="3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9">
      <c r="A3889" s="65" t="inlineStr">
        <is>
          <t>31/01/2019</t>
        </is>
      </c>
      <c r="B3889" s="8" t="n">
        <v>115.9108727748</v>
      </c>
      <c r="C3889" s="13" t="n"/>
      <c r="D3889" s="3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0">
      <c r="A3890" s="65" t="inlineStr">
        <is>
          <t>01/02/2019</t>
        </is>
      </c>
      <c r="B3890" s="8" t="n">
        <v>115.813239103</v>
      </c>
      <c r="C3890" s="13" t="n"/>
      <c r="D3890" s="3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1">
      <c r="A3891" s="65" t="inlineStr">
        <is>
          <t>04/02/2019</t>
        </is>
      </c>
      <c r="B3891" s="8" t="n">
        <v>116.128806512</v>
      </c>
      <c r="C3891" s="13" t="n"/>
      <c r="D3891" s="3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2">
      <c r="A3892" s="65" t="inlineStr">
        <is>
          <t>05/02/2019</t>
        </is>
      </c>
      <c r="B3892" s="8" t="n">
        <v>116.710114897</v>
      </c>
      <c r="C3892" s="13" t="n"/>
      <c r="D3892" s="3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3">
      <c r="A3893" s="65" t="inlineStr">
        <is>
          <t>06/02/2019</t>
        </is>
      </c>
      <c r="B3893" s="8" t="n">
        <v>115.76341267</v>
      </c>
      <c r="C3893" s="13" t="n"/>
      <c r="D3893" s="3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4">
      <c r="A3894" s="65" t="inlineStr">
        <is>
          <t>07/02/2019</t>
        </is>
      </c>
      <c r="B3894" s="8" t="n">
        <v>116.195241756</v>
      </c>
      <c r="C3894" s="13" t="n"/>
      <c r="D3894" s="3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5">
      <c r="A3895" s="65" t="inlineStr">
        <is>
          <t>08/02/2019</t>
        </is>
      </c>
      <c r="B3895" s="8" t="n">
        <v>116.062371268</v>
      </c>
      <c r="C3895" s="13" t="n"/>
      <c r="D3895" s="3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6">
      <c r="A3896" s="65" t="inlineStr">
        <is>
          <t>11/02/2019</t>
        </is>
      </c>
      <c r="B3896" s="8" t="n">
        <v>115.879674347</v>
      </c>
      <c r="C3896" s="13" t="n"/>
      <c r="D3896" s="3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7">
      <c r="A3897" s="65" t="inlineStr">
        <is>
          <t>12/02/2019</t>
        </is>
      </c>
      <c r="B3897" s="8" t="n">
        <v>116.59385322</v>
      </c>
      <c r="C3897" s="13" t="n"/>
      <c r="D3897" s="3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8">
      <c r="A3898" s="65" t="inlineStr">
        <is>
          <t>13/02/2019</t>
        </is>
      </c>
      <c r="B3898" s="8" t="n">
        <v>116.062371268</v>
      </c>
      <c r="C3898" s="13" t="n"/>
      <c r="D3898" s="3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9">
      <c r="A3899" s="65" t="inlineStr">
        <is>
          <t>14/02/2019</t>
        </is>
      </c>
      <c r="B3899" s="8" t="n">
        <v>115.198713096</v>
      </c>
      <c r="C3899" s="13" t="n"/>
      <c r="D3899" s="3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0">
      <c r="A3900" s="65" t="inlineStr">
        <is>
          <t>15/02/2019</t>
        </is>
      </c>
      <c r="B3900" s="8" t="n">
        <v>113.620876051</v>
      </c>
      <c r="C3900" s="13" t="n"/>
      <c r="D3900" s="3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1">
      <c r="A3901" s="65" t="inlineStr">
        <is>
          <t>18/02/2019</t>
        </is>
      </c>
      <c r="B3901" s="8" t="n">
        <v>114.351663735</v>
      </c>
      <c r="C3901" s="13" t="n"/>
      <c r="D3901" s="3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2">
      <c r="A3902" s="65" t="inlineStr">
        <is>
          <t>19/02/2019</t>
        </is>
      </c>
      <c r="B3902" s="8" t="n">
        <v>112.026430195</v>
      </c>
      <c r="C3902" s="13" t="n"/>
      <c r="D3902" s="3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3">
      <c r="A3903" s="65" t="inlineStr">
        <is>
          <t>20/02/2019</t>
        </is>
      </c>
      <c r="B3903" s="8" t="n">
        <v>111.760689219</v>
      </c>
      <c r="C3903" s="13" t="n"/>
      <c r="D3903" s="3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4">
      <c r="A3904" s="65" t="inlineStr">
        <is>
          <t>21/02/2019</t>
        </is>
      </c>
      <c r="B3904" s="8" t="n">
        <v>111.063119157</v>
      </c>
      <c r="C3904" s="13" t="n"/>
      <c r="D3904" s="3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5">
      <c r="A3905" s="65" t="inlineStr">
        <is>
          <t>22/02/2019</t>
        </is>
      </c>
      <c r="B3905" s="8" t="n">
        <v>112.209127116</v>
      </c>
      <c r="C3905" s="13" t="n"/>
      <c r="D3905" s="3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6">
      <c r="A3906" s="65" t="inlineStr">
        <is>
          <t>25/02/2019</t>
        </is>
      </c>
      <c r="B3906" s="8" t="n">
        <v>111.129554401</v>
      </c>
      <c r="C3906" s="13" t="n"/>
      <c r="D3906" s="3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7">
      <c r="A3907" s="65" t="inlineStr">
        <is>
          <t>26/02/2019</t>
        </is>
      </c>
      <c r="B3907" s="8" t="n">
        <v>111.229207267</v>
      </c>
      <c r="C3907" s="13" t="n"/>
      <c r="D3907" s="3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8">
      <c r="A3908" s="65" t="inlineStr">
        <is>
          <t>27/02/2019</t>
        </is>
      </c>
      <c r="B3908" s="8" t="n">
        <v>107.409180737</v>
      </c>
      <c r="C3908" s="13" t="n"/>
      <c r="D3908" s="3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9">
      <c r="A3909" s="65" t="inlineStr">
        <is>
          <t>28/02/2019</t>
        </is>
      </c>
      <c r="B3909" s="8" t="n">
        <v>109.751023088</v>
      </c>
      <c r="C3909" s="13" t="n"/>
      <c r="D3909" s="3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0">
      <c r="A3910" s="65" t="inlineStr">
        <is>
          <t>01/03/2019</t>
        </is>
      </c>
      <c r="B3910" s="8" t="n">
        <v>109.025051168</v>
      </c>
      <c r="C3910" s="13" t="n"/>
      <c r="D3910" s="3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1">
      <c r="A3911" s="65" t="inlineStr">
        <is>
          <t>06/03/2019</t>
        </is>
      </c>
      <c r="B3911" s="8" t="n">
        <v>109.582724064</v>
      </c>
      <c r="C3911" s="13" t="n"/>
      <c r="D3911" s="3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2">
      <c r="A3912" s="65" t="inlineStr">
        <is>
          <t>07/03/2019</t>
        </is>
      </c>
      <c r="B3912" s="8" t="n">
        <v>110.435635552</v>
      </c>
      <c r="C3912" s="13" t="n"/>
      <c r="D3912" s="3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3">
      <c r="A3913" s="65" t="inlineStr">
        <is>
          <t>08/03/2019</t>
        </is>
      </c>
      <c r="B3913" s="8" t="n">
        <v>111.075319168</v>
      </c>
      <c r="C3913" s="13" t="n"/>
      <c r="D3913" s="3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4">
      <c r="A3914" s="65" t="inlineStr">
        <is>
          <t>11/03/2019</t>
        </is>
      </c>
      <c r="B3914" s="8" t="n">
        <v>111.5345792</v>
      </c>
      <c r="C3914" s="13" t="n"/>
      <c r="D3914" s="3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5">
      <c r="A3915" s="65" t="inlineStr">
        <is>
          <t>12/03/2019</t>
        </is>
      </c>
      <c r="B3915" s="8" t="n">
        <v>112.125056384</v>
      </c>
      <c r="C3915" s="13" t="n"/>
      <c r="D3915" s="3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6">
      <c r="A3916" s="65" t="inlineStr">
        <is>
          <t>13/03/2019</t>
        </is>
      </c>
      <c r="B3916" s="8" t="n">
        <v>110.87849344</v>
      </c>
      <c r="C3916" s="13" t="n"/>
      <c r="D3916" s="3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7">
      <c r="A3917" s="65" t="inlineStr">
        <is>
          <t>14/03/2019</t>
        </is>
      </c>
      <c r="B3917" s="8" t="n">
        <v>112.387490688</v>
      </c>
      <c r="C3917" s="13" t="n"/>
      <c r="D3917" s="3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8">
      <c r="A3918" s="65" t="inlineStr">
        <is>
          <t>15/03/2019</t>
        </is>
      </c>
      <c r="B3918" s="8" t="n">
        <v>113.33881504</v>
      </c>
      <c r="C3918" s="13" t="n"/>
      <c r="D3918" s="3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9">
      <c r="A3919" s="65" t="inlineStr">
        <is>
          <t>18/03/2019</t>
        </is>
      </c>
      <c r="B3919" s="8" t="n">
        <v>113.33881504</v>
      </c>
      <c r="C3919" s="13" t="n"/>
      <c r="D3919" s="3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0">
      <c r="A3920" s="65" t="inlineStr">
        <is>
          <t>19/03/2019</t>
        </is>
      </c>
      <c r="B3920" s="8" t="n">
        <v>111.69860064</v>
      </c>
      <c r="C3920" s="13" t="n"/>
      <c r="D3920" s="3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1">
      <c r="A3921" s="65" t="inlineStr">
        <is>
          <t>20/03/2019</t>
        </is>
      </c>
      <c r="B3921" s="8" t="n">
        <v>110.894895584</v>
      </c>
      <c r="C3921" s="13" t="n"/>
      <c r="D3921" s="3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2">
      <c r="A3922" s="65" t="inlineStr">
        <is>
          <t>21/03/2019</t>
        </is>
      </c>
      <c r="B3922" s="8" t="n">
        <v>110.452037696</v>
      </c>
      <c r="C3922" s="13" t="n"/>
      <c r="D3922" s="3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3">
      <c r="A3923" s="65" t="inlineStr">
        <is>
          <t>22/03/2019</t>
        </is>
      </c>
      <c r="B3923" s="8" t="n">
        <v>111.37055776</v>
      </c>
      <c r="C3923" s="13" t="n"/>
      <c r="D3923" s="3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4">
      <c r="A3924" s="65" t="inlineStr">
        <is>
          <t>25/03/2019</t>
        </is>
      </c>
      <c r="B3924" s="8" t="n">
        <v>110.402831264</v>
      </c>
      <c r="C3924" s="13" t="n"/>
      <c r="D3924" s="3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5">
      <c r="A3925" s="65" t="inlineStr">
        <is>
          <t>26/03/2019</t>
        </is>
      </c>
      <c r="B3925" s="8" t="n">
        <v>111.829817792</v>
      </c>
      <c r="C3925" s="13" t="n"/>
      <c r="D3925" s="3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6">
      <c r="A3926" s="65" t="inlineStr">
        <is>
          <t>27/03/2019</t>
        </is>
      </c>
      <c r="B3926" s="8" t="n">
        <v>111.61658992</v>
      </c>
      <c r="C3926" s="13" t="n"/>
      <c r="D3926" s="3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7">
      <c r="A3927" s="65" t="inlineStr">
        <is>
          <t>28/03/2019</t>
        </is>
      </c>
      <c r="B3927" s="8" t="n">
        <v>111.993839232</v>
      </c>
      <c r="C3927" s="13" t="n"/>
      <c r="D3927" s="3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8">
      <c r="A3928" s="65" t="inlineStr">
        <is>
          <t>29/03/2019</t>
        </is>
      </c>
      <c r="B3928" s="8" t="n">
        <v>112.912359296</v>
      </c>
      <c r="C3928" s="13" t="n"/>
      <c r="D3928" s="3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9">
      <c r="A3929" s="65" t="inlineStr">
        <is>
          <t>01/04/2019</t>
        </is>
      </c>
      <c r="B3929" s="8" t="n">
        <v>112.4518770881</v>
      </c>
      <c r="C3929" s="13" t="n"/>
      <c r="D3929" s="3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0">
      <c r="A3930" s="65" t="inlineStr">
        <is>
          <t>02/04/2019</t>
        </is>
      </c>
      <c r="B3930" s="8" t="n">
        <v>111.3792041747</v>
      </c>
      <c r="C3930" s="13" t="n"/>
      <c r="D3930" s="3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1">
      <c r="A3931" s="65" t="inlineStr">
        <is>
          <t>03/04/2019</t>
        </is>
      </c>
      <c r="B3931" s="8" t="n">
        <v>110.7128467588</v>
      </c>
      <c r="C3931" s="13" t="n"/>
      <c r="D3931" s="3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2">
      <c r="A3932" s="65" t="inlineStr">
        <is>
          <t>04/04/2019</t>
        </is>
      </c>
      <c r="B3932" s="8" t="n">
        <v>109.9164683837</v>
      </c>
      <c r="C3932" s="13" t="n"/>
      <c r="D3932" s="3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3">
      <c r="A3933" s="65" t="inlineStr">
        <is>
          <t>05/04/2019</t>
        </is>
      </c>
      <c r="B3933" s="8" t="n">
        <v>107.104765141</v>
      </c>
      <c r="C3933" s="13" t="n"/>
      <c r="D3933" s="3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4">
      <c r="A3934" s="65" t="inlineStr">
        <is>
          <t>08/04/2019</t>
        </is>
      </c>
      <c r="B3934" s="8" t="n">
        <v>107.592343738</v>
      </c>
      <c r="C3934" s="13" t="n"/>
      <c r="D3934" s="3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5">
      <c r="A3935" s="65" t="inlineStr">
        <is>
          <t>09/04/2019</t>
        </is>
      </c>
      <c r="B3935" s="8" t="n">
        <v>108.5512483121</v>
      </c>
      <c r="C3935" s="13" t="n"/>
      <c r="D3935" s="3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6">
      <c r="A3936" s="65" t="inlineStr">
        <is>
          <t>10/04/2019</t>
        </is>
      </c>
      <c r="B3936" s="8" t="n">
        <v>108.6812692713</v>
      </c>
      <c r="C3936" s="13" t="n"/>
      <c r="D3936" s="3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7">
      <c r="A3937" s="65" t="inlineStr">
        <is>
          <t>11/04/2019</t>
        </is>
      </c>
      <c r="B3937" s="8" t="n">
        <v>109.5589107459</v>
      </c>
      <c r="C3937" s="13" t="n"/>
      <c r="D3937" s="3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8">
      <c r="A3938" s="65" t="inlineStr">
        <is>
          <t>12/04/2019</t>
        </is>
      </c>
      <c r="B3938" s="8" t="n">
        <v>110.2252681618</v>
      </c>
      <c r="C3938" s="13" t="n"/>
      <c r="D3938" s="3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9">
      <c r="A3939" s="65" t="inlineStr">
        <is>
          <t>15/04/2019</t>
        </is>
      </c>
      <c r="B3939" s="8" t="n">
        <v>110.5503205598</v>
      </c>
      <c r="C3939" s="13" t="n"/>
      <c r="D3939" s="3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0">
      <c r="A3940" s="65" t="inlineStr">
        <is>
          <t>16/04/2019</t>
        </is>
      </c>
      <c r="B3940" s="8" t="n">
        <v>111.2979410752</v>
      </c>
      <c r="C3940" s="13" t="n"/>
      <c r="D3940" s="3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1">
      <c r="A3941" s="65" t="inlineStr">
        <is>
          <t>17/04/2019</t>
        </is>
      </c>
      <c r="B3941" s="8" t="n">
        <v>112.305603509</v>
      </c>
      <c r="C3941" s="13" t="n"/>
      <c r="D3941" s="3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2">
      <c r="A3942" s="65" t="inlineStr">
        <is>
          <t>18/04/2019</t>
        </is>
      </c>
      <c r="B3942" s="8" t="n">
        <v>113.4270342821</v>
      </c>
      <c r="C3942" s="13" t="n"/>
      <c r="D3942" s="3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3">
      <c r="A3943" s="65" t="inlineStr">
        <is>
          <t>22/04/2019</t>
        </is>
      </c>
      <c r="B3943" s="8" t="n">
        <v>113.0532240244</v>
      </c>
      <c r="C3943" s="13" t="n"/>
      <c r="D3943" s="3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4">
      <c r="A3944" s="65" t="inlineStr">
        <is>
          <t>23/04/2019</t>
        </is>
      </c>
      <c r="B3944" s="8" t="n">
        <v>112.7281716264</v>
      </c>
      <c r="C3944" s="13" t="n"/>
      <c r="D3944" s="3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5">
      <c r="A3945" s="65" t="inlineStr">
        <is>
          <t>24/04/2019</t>
        </is>
      </c>
      <c r="B3945" s="8" t="n">
        <v>112.6469085269</v>
      </c>
      <c r="C3945" s="13" t="n"/>
      <c r="D3945" s="3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6">
      <c r="A3946" s="65" t="inlineStr">
        <is>
          <t>25/04/2019</t>
        </is>
      </c>
      <c r="B3946" s="8" t="n">
        <v>113.5408026214</v>
      </c>
      <c r="C3946" s="13" t="n"/>
      <c r="D3946" s="3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7">
      <c r="A3947" s="65" t="inlineStr">
        <is>
          <t>26/04/2019</t>
        </is>
      </c>
      <c r="B3947" s="8" t="n">
        <v>113.0369714045</v>
      </c>
      <c r="C3947" s="13" t="n"/>
      <c r="D3947" s="3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8">
      <c r="A3948" s="65" t="inlineStr">
        <is>
          <t>29/04/2019</t>
        </is>
      </c>
      <c r="B3948" s="8" t="n">
        <v>114.1746547975</v>
      </c>
      <c r="C3948" s="13" t="n"/>
      <c r="D3948" s="3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9">
      <c r="A3949" s="65" t="inlineStr">
        <is>
          <t>30/04/2019</t>
        </is>
      </c>
      <c r="B3949" s="8" t="n">
        <v>113.5408026214</v>
      </c>
      <c r="C3949" s="13" t="n"/>
      <c r="D3949" s="3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0">
      <c r="A3950" s="65" t="inlineStr">
        <is>
          <t>02/05/2019</t>
        </is>
      </c>
      <c r="B3950" s="8" t="n">
        <v>112.9997986272</v>
      </c>
      <c r="C3950" s="13" t="n"/>
      <c r="D3950" s="3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1">
      <c r="A3951" s="65" t="inlineStr">
        <is>
          <t>03/05/2019</t>
        </is>
      </c>
      <c r="B3951" s="8" t="n">
        <v>113.744069924</v>
      </c>
      <c r="C3951" s="13" t="n"/>
      <c r="D3951" s="3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2">
      <c r="A3952" s="65" t="inlineStr">
        <is>
          <t>06/05/2019</t>
        </is>
      </c>
      <c r="B3952" s="8" t="n">
        <v>114.3427229236</v>
      </c>
      <c r="C3952" s="13" t="n"/>
      <c r="D3952" s="3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3">
      <c r="A3953" s="65" t="inlineStr">
        <is>
          <t>07/05/2019</t>
        </is>
      </c>
      <c r="B3953" s="8" t="n">
        <v>114.4236219776</v>
      </c>
      <c r="C3953" s="13" t="n"/>
      <c r="D3953" s="3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4">
      <c r="A3954" s="65" t="inlineStr">
        <is>
          <t>08/05/2019</t>
        </is>
      </c>
      <c r="B3954" s="8" t="n">
        <v>114.2780036804</v>
      </c>
      <c r="C3954" s="13" t="n"/>
      <c r="D3954" s="3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5">
      <c r="A3955" s="65" t="inlineStr">
        <is>
          <t>09/05/2019</t>
        </is>
      </c>
      <c r="B3955" s="8" t="n">
        <v>113.6955304916</v>
      </c>
      <c r="C3955" s="13" t="n"/>
      <c r="D3955" s="3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6">
      <c r="A3956" s="65" t="inlineStr">
        <is>
          <t>10/05/2019</t>
        </is>
      </c>
      <c r="B3956" s="8" t="n">
        <v>114.0029468968</v>
      </c>
      <c r="C3956" s="13" t="n"/>
      <c r="D3956" s="3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7">
      <c r="A3957" s="65" t="inlineStr">
        <is>
          <t>13/05/2019</t>
        </is>
      </c>
      <c r="B3957" s="8" t="n">
        <v>115.4753096796</v>
      </c>
      <c r="C3957" s="13" t="n"/>
      <c r="D3957" s="3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8">
      <c r="A3958" s="65" t="inlineStr">
        <is>
          <t>14/05/2019</t>
        </is>
      </c>
      <c r="B3958" s="8" t="n">
        <v>115.0060951664</v>
      </c>
      <c r="C3958" s="13" t="n"/>
      <c r="D3958" s="3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9">
      <c r="A3959" s="65" t="inlineStr">
        <is>
          <t>15/05/2019</t>
        </is>
      </c>
      <c r="B3959" s="8" t="n">
        <v>114.47216141</v>
      </c>
      <c r="C3959" s="13" t="n"/>
      <c r="D3959" s="3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0">
      <c r="A3960" s="65" t="inlineStr">
        <is>
          <t>16/05/2019</t>
        </is>
      </c>
      <c r="B3960" s="8" t="n">
        <v>113.420473708</v>
      </c>
      <c r="C3960" s="13" t="n"/>
      <c r="D3960" s="3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1">
      <c r="A3961" s="65" t="inlineStr">
        <is>
          <t>17/05/2019</t>
        </is>
      </c>
      <c r="B3961" s="8" t="n">
        <v>112.5629437356</v>
      </c>
      <c r="C3961" s="13" t="n"/>
      <c r="D3961" s="3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2">
      <c r="A3962" s="65" t="inlineStr">
        <is>
          <t>20/05/2019</t>
        </is>
      </c>
      <c r="B3962" s="8" t="n">
        <v>112.8865399516</v>
      </c>
      <c r="C3962" s="13" t="n"/>
      <c r="D3962" s="3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3">
      <c r="A3963" s="65" t="inlineStr">
        <is>
          <t>21/05/2019</t>
        </is>
      </c>
      <c r="B3963" s="8" t="n">
        <v>113.2101361676</v>
      </c>
      <c r="C3963" s="13" t="n"/>
      <c r="D3963" s="3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4">
      <c r="A3964" s="65" t="inlineStr">
        <is>
          <t>22/05/2019</t>
        </is>
      </c>
      <c r="B3964" s="8" t="n">
        <v>110.6213664396</v>
      </c>
      <c r="C3964" s="13" t="n"/>
      <c r="D3964" s="3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5">
      <c r="A3965" s="65" t="inlineStr">
        <is>
          <t>23/05/2019</t>
        </is>
      </c>
      <c r="B3965" s="8" t="n">
        <v>110.4433885208</v>
      </c>
      <c r="C3965" s="13" t="n"/>
      <c r="D3965" s="3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6">
      <c r="A3966" s="65" t="inlineStr">
        <is>
          <t>24/05/2019</t>
        </is>
      </c>
      <c r="B3966" s="8" t="n">
        <v>109.3431613864</v>
      </c>
      <c r="C3966" s="13" t="n"/>
      <c r="D3966" s="3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7">
      <c r="A3967" s="65" t="inlineStr">
        <is>
          <t>27/05/2019</t>
        </is>
      </c>
      <c r="B3967" s="8" t="n">
        <v>111.155300196</v>
      </c>
      <c r="C3967" s="13" t="n"/>
      <c r="D3967" s="3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8">
      <c r="A3968" s="65" t="inlineStr">
        <is>
          <t>28/05/2019</t>
        </is>
      </c>
      <c r="B3968" s="8" t="n">
        <v>108.3400131168</v>
      </c>
      <c r="C3968" s="13" t="n"/>
      <c r="D3968" s="3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9">
      <c r="A3969" s="65" t="inlineStr">
        <is>
          <t>29/05/2019</t>
        </is>
      </c>
      <c r="B3969" s="8" t="n">
        <v>105.411467362</v>
      </c>
      <c r="C3969" s="13" t="n"/>
      <c r="D3969" s="3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0">
      <c r="A3970" s="65" t="inlineStr">
        <is>
          <t>30/05/2019</t>
        </is>
      </c>
      <c r="B3970" s="8" t="n">
        <v>106.4469752532</v>
      </c>
      <c r="C3970" s="13" t="n"/>
      <c r="D3970" s="3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1">
      <c r="A3971" s="65" t="inlineStr">
        <is>
          <t>31/05/2019</t>
        </is>
      </c>
      <c r="B3971" s="8" t="n">
        <v>103.3242717688</v>
      </c>
      <c r="C3971" s="13" t="n"/>
      <c r="D3971" s="3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2">
      <c r="A3972" s="65" t="inlineStr">
        <is>
          <t>03/06/2019</t>
        </is>
      </c>
      <c r="B3972" s="8" t="n">
        <v>101.9424388596</v>
      </c>
      <c r="C3972" s="13" t="n"/>
      <c r="D3972" s="3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3">
      <c r="A3973" s="65" t="inlineStr">
        <is>
          <t>04/06/2019</t>
        </is>
      </c>
      <c r="B3973" s="8" t="n">
        <v>101.4929996708</v>
      </c>
      <c r="C3973" s="13" t="n"/>
      <c r="D3973" s="3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4">
      <c r="A3974" s="65" t="inlineStr">
        <is>
          <t>05/06/2019</t>
        </is>
      </c>
      <c r="B3974" s="8" t="n">
        <v>101.0114576828</v>
      </c>
      <c r="C3974" s="13" t="n"/>
      <c r="D3974" s="3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5">
      <c r="A3975" s="65" t="inlineStr">
        <is>
          <t>06/06/2019</t>
        </is>
      </c>
      <c r="B3975" s="8" t="n">
        <v>101.7819248636</v>
      </c>
      <c r="C3975" s="13" t="n"/>
      <c r="D3975" s="3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6">
      <c r="A3976" s="65" t="inlineStr">
        <is>
          <t>07/06/2019</t>
        </is>
      </c>
      <c r="B3976" s="8" t="n">
        <v>101.8621818616</v>
      </c>
      <c r="C3976" s="13" t="n"/>
      <c r="D3976" s="3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7">
      <c r="A3977" s="65" t="inlineStr">
        <is>
          <t>10/06/2019</t>
        </is>
      </c>
      <c r="B3977" s="8" t="n">
        <v>101.3164342752</v>
      </c>
      <c r="C3977" s="13" t="n"/>
      <c r="D3977" s="3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8">
      <c r="A3978" s="65" t="inlineStr">
        <is>
          <t>11/06/2019</t>
        </is>
      </c>
      <c r="B3978" s="8" t="n">
        <v>100.3212475</v>
      </c>
      <c r="C3978" s="13" t="n"/>
      <c r="D3978" s="3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9">
      <c r="A3979" s="65" t="inlineStr">
        <is>
          <t>12/06/2019</t>
        </is>
      </c>
      <c r="B3979" s="8" t="n">
        <v>99.3421121244</v>
      </c>
      <c r="C3979" s="13" t="n"/>
      <c r="D3979" s="3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0">
      <c r="A3980" s="65" t="inlineStr">
        <is>
          <t>13/06/2019</t>
        </is>
      </c>
      <c r="B3980" s="8" t="n">
        <v>100.1928363032</v>
      </c>
      <c r="C3980" s="13" t="n"/>
      <c r="D3980" s="3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1">
      <c r="A3981" s="65" t="inlineStr">
        <is>
          <t>14/06/2019</t>
        </is>
      </c>
      <c r="B3981" s="8" t="n">
        <v>100.1928363032</v>
      </c>
      <c r="C3981" s="13" t="n"/>
      <c r="D3981" s="3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2">
      <c r="A3982" s="65" t="inlineStr">
        <is>
          <t>17/06/2019</t>
        </is>
      </c>
      <c r="B3982" s="8" t="n">
        <v>100.9954062832</v>
      </c>
      <c r="C3982" s="13" t="n"/>
      <c r="D3982" s="3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3">
      <c r="A3983" s="65" t="inlineStr">
        <is>
          <t>18/06/2019</t>
        </is>
      </c>
      <c r="B3983" s="8" t="n">
        <v>101.4127426728</v>
      </c>
      <c r="C3983" s="13" t="n"/>
      <c r="D3983" s="3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4">
      <c r="A3984" s="65" t="inlineStr">
        <is>
          <t>19/06/2019</t>
        </is>
      </c>
      <c r="B3984" s="8" t="n">
        <v>101.2522286768</v>
      </c>
      <c r="C3984" s="13" t="n"/>
      <c r="D3984" s="3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5">
      <c r="A3985" s="65" t="inlineStr">
        <is>
          <t>21/06/2019</t>
        </is>
      </c>
      <c r="B3985" s="8" t="n">
        <v>99.4063177228</v>
      </c>
      <c r="C3985" s="13" t="n"/>
      <c r="D3985" s="3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6">
      <c r="A3986" s="65" t="inlineStr">
        <is>
          <t>24/06/2019</t>
        </is>
      </c>
      <c r="B3986" s="8" t="n">
        <v>100.7064810904</v>
      </c>
      <c r="C3986" s="13" t="n"/>
      <c r="D3986" s="3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7">
      <c r="A3987" s="65" t="inlineStr">
        <is>
          <t>25/06/2019</t>
        </is>
      </c>
      <c r="B3987" s="8" t="n">
        <v>98.8445187368</v>
      </c>
      <c r="C3987" s="13" t="n"/>
      <c r="D3987" s="3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8">
      <c r="A3988" s="65" t="inlineStr">
        <is>
          <t>26/06/2019</t>
        </is>
      </c>
      <c r="B3988" s="8" t="n">
        <v>98.2666683512</v>
      </c>
      <c r="C3988" s="13" t="n"/>
      <c r="D3988" s="3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9">
      <c r="A3989" s="65" t="inlineStr">
        <is>
          <t>27/06/2019</t>
        </is>
      </c>
      <c r="B3989" s="8" t="n">
        <v>98.68400474079999</v>
      </c>
      <c r="C3989" s="13" t="n"/>
      <c r="D3989" s="3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0">
      <c r="A3990" s="65" t="inlineStr">
        <is>
          <t>28/06/2019</t>
        </is>
      </c>
      <c r="B3990" s="8" t="n">
        <v>98.635850542</v>
      </c>
      <c r="C3990" s="13" t="n"/>
      <c r="D3990" s="3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1">
      <c r="A3991" s="65" t="inlineStr">
        <is>
          <t>01/07/2019</t>
        </is>
      </c>
      <c r="B3991" s="8" t="n">
        <v>97.6513433784</v>
      </c>
      <c r="C3991" s="13" t="n"/>
      <c r="D3991" s="3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2">
      <c r="A3992" s="65" t="inlineStr">
        <is>
          <t>02/07/2019</t>
        </is>
      </c>
      <c r="B3992" s="8" t="n">
        <v>97.98707982419999</v>
      </c>
      <c r="C3992" s="13" t="n"/>
      <c r="D3992" s="3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3">
      <c r="A3993" s="65" t="inlineStr">
        <is>
          <t>03/07/2019</t>
        </is>
      </c>
      <c r="B3993" s="8" t="n">
        <v>97.4754814306</v>
      </c>
      <c r="C3993" s="13" t="n"/>
      <c r="D3993" s="3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4">
      <c r="A3994" s="65" t="inlineStr">
        <is>
          <t>04/07/2019</t>
        </is>
      </c>
      <c r="B3994" s="8" t="n">
        <v>97.13974498479999</v>
      </c>
      <c r="C3994" s="13" t="n"/>
      <c r="D3994" s="3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5">
      <c r="A3995" s="65" t="inlineStr">
        <is>
          <t>05/07/2019</t>
        </is>
      </c>
      <c r="B3995" s="8" t="n">
        <v>96.2284603462</v>
      </c>
      <c r="C3995" s="13" t="n"/>
      <c r="D3995" s="3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6">
      <c r="A3996" s="65" t="inlineStr">
        <is>
          <t>08/07/2019</t>
        </is>
      </c>
      <c r="B3996" s="8" t="n">
        <v>95.87673645059999</v>
      </c>
      <c r="C3996" s="13" t="n"/>
      <c r="D3996" s="3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7">
      <c r="A3997" s="65" t="inlineStr">
        <is>
          <t>10/07/2019</t>
        </is>
      </c>
      <c r="B3997" s="8" t="n">
        <v>96.2924101454</v>
      </c>
      <c r="C3997" s="13" t="n"/>
      <c r="D3997" s="3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8">
      <c r="A3998" s="65" t="inlineStr">
        <is>
          <t>11/07/2019</t>
        </is>
      </c>
      <c r="B3998" s="8" t="n">
        <v>96.66012149079999</v>
      </c>
      <c r="C3998" s="13" t="n"/>
      <c r="D3998" s="3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9">
      <c r="A3999" s="65" t="inlineStr">
        <is>
          <t>12/07/2019</t>
        </is>
      </c>
      <c r="B3999" s="8" t="n">
        <v>96.74005873979999</v>
      </c>
      <c r="C3999" s="13" t="n"/>
      <c r="D3999" s="3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0">
      <c r="A4000" s="65" t="inlineStr">
        <is>
          <t>15/07/2019</t>
        </is>
      </c>
      <c r="B4000" s="8" t="n">
        <v>96.77203363940001</v>
      </c>
      <c r="C4000" s="13" t="n"/>
      <c r="D4000" s="3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1">
      <c r="A4001" s="65" t="inlineStr">
        <is>
          <t>16/07/2019</t>
        </is>
      </c>
      <c r="B4001" s="8" t="n">
        <v>96.3563599446</v>
      </c>
      <c r="C4001" s="13" t="n"/>
      <c r="D4001" s="3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2">
      <c r="A4002" s="65" t="inlineStr">
        <is>
          <t>17/07/2019</t>
        </is>
      </c>
      <c r="B4002" s="8" t="n">
        <v>96.1165481976</v>
      </c>
      <c r="C4002" s="13" t="n"/>
      <c r="D4002" s="3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3">
      <c r="A4003" s="65" t="inlineStr">
        <is>
          <t>18/07/2019</t>
        </is>
      </c>
      <c r="B4003" s="8" t="n">
        <v>95.9406862498</v>
      </c>
      <c r="C4003" s="13" t="n"/>
      <c r="D4003" s="3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4">
      <c r="A4004" s="65" t="inlineStr">
        <is>
          <t>19/07/2019</t>
        </is>
      </c>
      <c r="B4004" s="8" t="n">
        <v>95.4290878562</v>
      </c>
      <c r="C4004" s="13" t="n"/>
      <c r="D4004" s="3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5">
      <c r="A4005" s="65" t="inlineStr">
        <is>
          <t>22/07/2019</t>
        </is>
      </c>
      <c r="B4005" s="8" t="n">
        <v>94.3739161694</v>
      </c>
      <c r="C4005" s="13" t="n"/>
      <c r="D4005" s="3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6">
      <c r="A4006" s="65" t="inlineStr">
        <is>
          <t>23/07/2019</t>
        </is>
      </c>
      <c r="B4006" s="8" t="n">
        <v>93.65448092839999</v>
      </c>
      <c r="C4006" s="13" t="n"/>
      <c r="D4006" s="3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7">
      <c r="A4007" s="65" t="inlineStr">
        <is>
          <t>24/07/2019</t>
        </is>
      </c>
      <c r="B4007" s="8" t="n">
        <v>92.69523394039999</v>
      </c>
      <c r="C4007" s="13" t="n"/>
      <c r="D4007" s="3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8">
      <c r="A4008" s="65" t="inlineStr">
        <is>
          <t>25/07/2019</t>
        </is>
      </c>
      <c r="B4008" s="8" t="n">
        <v>92.07172339820001</v>
      </c>
      <c r="C4008" s="13" t="n"/>
      <c r="D4008" s="3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9">
      <c r="A4009" s="65" t="inlineStr">
        <is>
          <t>26/07/2019</t>
        </is>
      </c>
      <c r="B4009" s="8" t="n">
        <v>93.28676958299999</v>
      </c>
      <c r="C4009" s="13" t="n"/>
      <c r="D4009" s="3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0">
      <c r="A4010" s="65" t="inlineStr">
        <is>
          <t>29/07/2019</t>
        </is>
      </c>
      <c r="B4010" s="8" t="n">
        <v>94.0221922738</v>
      </c>
      <c r="C4010" s="13" t="n"/>
      <c r="D4010" s="3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1">
      <c r="A4011" s="65" t="inlineStr">
        <is>
          <t>30/07/2019</t>
        </is>
      </c>
      <c r="B4011" s="8" t="n">
        <v>93.2388072336</v>
      </c>
      <c r="C4011" s="13" t="n"/>
      <c r="D4011" s="3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2">
      <c r="A4012" s="65" t="inlineStr">
        <is>
          <t>31/07/2019</t>
        </is>
      </c>
      <c r="B4012" s="8" t="n">
        <v>93.7823805268</v>
      </c>
      <c r="C4012" s="13" t="n"/>
      <c r="D4012" s="3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3">
      <c r="A4013" s="65" t="inlineStr">
        <is>
          <t>01/08/2019</t>
        </is>
      </c>
      <c r="B4013" s="8" t="n">
        <v>93.73895847680001</v>
      </c>
      <c r="C4013" s="13" t="n"/>
      <c r="D4013" s="3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4">
      <c r="A4014" s="65" t="inlineStr">
        <is>
          <t>02/08/2019</t>
        </is>
      </c>
      <c r="B4014" s="8" t="n">
        <v>94.1735312582</v>
      </c>
      <c r="C4014" s="13" t="n"/>
      <c r="D4014" s="3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5">
      <c r="A4015" s="65" t="inlineStr">
        <is>
          <t>05/08/2019</t>
        </is>
      </c>
      <c r="B4015" s="8" t="n">
        <v>95.606011908</v>
      </c>
      <c r="C4015" s="13" t="n"/>
      <c r="D4015" s="3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6">
      <c r="A4016" s="65" t="inlineStr">
        <is>
          <t>06/08/2019</t>
        </is>
      </c>
      <c r="B4016" s="8" t="n">
        <v>95.6703930608</v>
      </c>
      <c r="C4016" s="13" t="n"/>
      <c r="D4016" s="3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7">
      <c r="A4017" s="65" t="inlineStr">
        <is>
          <t>07/08/2019</t>
        </is>
      </c>
      <c r="B4017" s="8" t="n">
        <v>96.169346995</v>
      </c>
      <c r="C4017" s="13" t="n"/>
      <c r="D4017" s="3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8">
      <c r="A4018" s="65" t="inlineStr">
        <is>
          <t>08/08/2019</t>
        </is>
      </c>
      <c r="B4018" s="8" t="n">
        <v>96.00839411299999</v>
      </c>
      <c r="C4018" s="13" t="n"/>
      <c r="D4018" s="3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9">
      <c r="A4019" s="65" t="inlineStr">
        <is>
          <t>09/08/2019</t>
        </is>
      </c>
      <c r="B4019" s="8" t="n">
        <v>95.76696479</v>
      </c>
      <c r="C4019" s="13" t="n"/>
      <c r="D4019" s="3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0">
      <c r="A4020" s="65" t="inlineStr">
        <is>
          <t>12/08/2019</t>
        </is>
      </c>
      <c r="B4020" s="8" t="n">
        <v>97.32820774539999</v>
      </c>
      <c r="C4020" s="13" t="n"/>
      <c r="D4020" s="3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1">
      <c r="A4021" s="65" t="inlineStr">
        <is>
          <t>13/08/2019</t>
        </is>
      </c>
      <c r="B4021" s="8" t="n">
        <v>96.5234433354</v>
      </c>
      <c r="C4021" s="13" t="n"/>
      <c r="D4021" s="3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2">
      <c r="A4022" s="65" t="inlineStr">
        <is>
          <t>14/08/2019</t>
        </is>
      </c>
      <c r="B4022" s="8" t="n">
        <v>97.0706831342</v>
      </c>
      <c r="C4022" s="13" t="n"/>
      <c r="D4022" s="3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3">
      <c r="A4023" s="65" t="inlineStr">
        <is>
          <t>15/08/2019</t>
        </is>
      </c>
      <c r="B4023" s="8" t="n">
        <v>96.5073480472</v>
      </c>
      <c r="C4023" s="13" t="n"/>
      <c r="D4023" s="3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4">
      <c r="A4024" s="65" t="inlineStr">
        <is>
          <t>16/08/2019</t>
        </is>
      </c>
      <c r="B4024" s="8" t="n">
        <v>96.3624904534</v>
      </c>
      <c r="C4024" s="13" t="n"/>
      <c r="D4024" s="3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5">
      <c r="A4025" s="65" t="inlineStr">
        <is>
          <t>19/08/2019</t>
        </is>
      </c>
      <c r="B4025" s="8" t="n">
        <v>96.974111405</v>
      </c>
      <c r="C4025" s="13" t="n"/>
      <c r="D4025" s="3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6">
      <c r="A4026" s="65" t="inlineStr">
        <is>
          <t>20/08/2019</t>
        </is>
      </c>
      <c r="B4026" s="8" t="n">
        <v>97.0384925578</v>
      </c>
      <c r="C4026" s="13" t="n"/>
      <c r="D4026" s="3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7">
      <c r="A4027" s="65" t="inlineStr">
        <is>
          <t>21/08/2019</t>
        </is>
      </c>
      <c r="B4027" s="8" t="n">
        <v>97.1511595752</v>
      </c>
      <c r="C4027" s="13" t="n"/>
      <c r="D4027" s="3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8">
      <c r="A4028" s="65" t="inlineStr">
        <is>
          <t>22/08/2019</t>
        </is>
      </c>
      <c r="B4028" s="8" t="n">
        <v>96.330299877</v>
      </c>
      <c r="C4028" s="13" t="n"/>
      <c r="D4028" s="3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9">
      <c r="A4029" s="65" t="inlineStr">
        <is>
          <t>23/08/2019</t>
        </is>
      </c>
      <c r="B4029" s="8" t="n">
        <v>97.13506428700001</v>
      </c>
      <c r="C4029" s="13" t="n"/>
      <c r="D4029" s="3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0">
      <c r="A4030" s="65" t="inlineStr">
        <is>
          <t>26/08/2019</t>
        </is>
      </c>
      <c r="B4030" s="8" t="n">
        <v>97.939828697</v>
      </c>
      <c r="C4030" s="13" t="n"/>
      <c r="D4030" s="3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1">
      <c r="A4031" s="65" t="inlineStr">
        <is>
          <t>27/08/2019</t>
        </is>
      </c>
      <c r="B4031" s="8" t="n">
        <v>97.97201927339999</v>
      </c>
      <c r="C4031" s="13" t="n"/>
      <c r="D4031" s="3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2">
      <c r="A4032" s="65" t="inlineStr">
        <is>
          <t>28/08/2019</t>
        </is>
      </c>
      <c r="B4032" s="8" t="n">
        <v>98.100781579</v>
      </c>
      <c r="C4032" s="13" t="n"/>
      <c r="D4032" s="3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3">
      <c r="A4033" s="65" t="inlineStr">
        <is>
          <t>29/08/2019</t>
        </is>
      </c>
      <c r="B4033" s="8" t="n">
        <v>98.76068839519999</v>
      </c>
      <c r="C4033" s="13" t="n"/>
      <c r="D4033" s="3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4">
      <c r="A4034" s="65" t="inlineStr">
        <is>
          <t>30/08/2019</t>
        </is>
      </c>
      <c r="B4034" s="8" t="n">
        <v>98.59973551319999</v>
      </c>
      <c r="C4034" s="13" t="n"/>
      <c r="D4034" s="3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5">
      <c r="A4035" s="65" t="inlineStr">
        <is>
          <t>02/09/2019</t>
        </is>
      </c>
      <c r="B4035" s="8" t="n">
        <v>99.3017631451</v>
      </c>
      <c r="C4035" s="13" t="n"/>
      <c r="D4035" s="3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6">
      <c r="A4036" s="65" t="inlineStr">
        <is>
          <t>03/09/2019</t>
        </is>
      </c>
      <c r="B4036" s="8" t="n">
        <v>98.75446861650001</v>
      </c>
      <c r="C4036" s="13" t="n"/>
      <c r="D4036" s="3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7">
      <c r="A4037" s="65" t="inlineStr">
        <is>
          <t>04/09/2019</t>
        </is>
      </c>
      <c r="B4037" s="8" t="n">
        <v>98.2393678837</v>
      </c>
      <c r="C4037" s="13" t="n"/>
      <c r="D4037" s="3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8">
      <c r="A4038" s="65" t="inlineStr">
        <is>
          <t>05/09/2019</t>
        </is>
      </c>
      <c r="B4038" s="8" t="n">
        <v>96.5813874</v>
      </c>
      <c r="C4038" s="13" t="n"/>
      <c r="D4038" s="3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9">
      <c r="A4039" s="65" t="inlineStr">
        <is>
          <t>06/09/2019</t>
        </is>
      </c>
      <c r="B4039" s="8" t="n">
        <v>96.38822462520001</v>
      </c>
      <c r="C4039" s="13" t="n"/>
      <c r="D4039" s="3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0">
      <c r="A4040" s="65" t="inlineStr">
        <is>
          <t>09/09/2019</t>
        </is>
      </c>
      <c r="B4040" s="8" t="n">
        <v>97.25745711180001</v>
      </c>
      <c r="C4040" s="13" t="n"/>
      <c r="D4040" s="3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1">
      <c r="A4041" s="65" t="inlineStr">
        <is>
          <t>10/09/2019</t>
        </is>
      </c>
      <c r="B4041" s="8" t="n">
        <v>96.83893776639999</v>
      </c>
      <c r="C4041" s="13" t="n"/>
      <c r="D4041" s="3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2">
      <c r="A4042" s="65" t="inlineStr">
        <is>
          <t>11/09/2019</t>
        </is>
      </c>
      <c r="B4042" s="8" t="n">
        <v>96.7745501748</v>
      </c>
      <c r="C4042" s="13" t="n"/>
      <c r="D4042" s="3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3">
      <c r="A4043" s="65" t="inlineStr">
        <is>
          <t>12/09/2019</t>
        </is>
      </c>
      <c r="B4043" s="8" t="n">
        <v>97.1769726223</v>
      </c>
      <c r="C4043" s="13" t="n"/>
      <c r="D4043" s="3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4">
      <c r="A4044" s="65" t="inlineStr">
        <is>
          <t>13/09/2019</t>
        </is>
      </c>
      <c r="B4044" s="8" t="n">
        <v>96.5652905021</v>
      </c>
      <c r="C4044" s="13" t="n"/>
      <c r="D4044" s="3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5">
      <c r="A4045" s="65" t="inlineStr">
        <is>
          <t>16/09/2019</t>
        </is>
      </c>
      <c r="B4045" s="8" t="n">
        <v>96.8067439706</v>
      </c>
      <c r="C4045" s="13" t="n"/>
      <c r="D4045" s="3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6">
      <c r="A4046" s="65" t="inlineStr">
        <is>
          <t>17/09/2019</t>
        </is>
      </c>
      <c r="B4046" s="8" t="n">
        <v>97.90133302780001</v>
      </c>
      <c r="C4046" s="13" t="n"/>
      <c r="D4046" s="3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7">
      <c r="A4047" s="65" t="inlineStr">
        <is>
          <t>18/09/2019</t>
        </is>
      </c>
      <c r="B4047" s="8" t="n">
        <v>98.0140113131</v>
      </c>
      <c r="C4047" s="13" t="n"/>
      <c r="D4047" s="3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8">
      <c r="A4048" s="65" t="inlineStr">
        <is>
          <t>19/09/2019</t>
        </is>
      </c>
      <c r="B4048" s="8" t="n">
        <v>97.3540384992</v>
      </c>
      <c r="C4048" s="13" t="n"/>
      <c r="D4048" s="3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9">
      <c r="A4049" s="65" t="inlineStr">
        <is>
          <t>20/09/2019</t>
        </is>
      </c>
      <c r="B4049" s="8" t="n">
        <v>98.49691825009999</v>
      </c>
      <c r="C4049" s="13" t="n"/>
      <c r="D4049" s="3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0">
      <c r="A4050" s="65" t="inlineStr">
        <is>
          <t>23/09/2019</t>
        </is>
      </c>
      <c r="B4050" s="8" t="n">
        <v>98.52911204590001</v>
      </c>
      <c r="C4050" s="13" t="n"/>
      <c r="D4050" s="3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1">
      <c r="A4051" s="65" t="inlineStr">
        <is>
          <t>24/09/2019</t>
        </is>
      </c>
      <c r="B4051" s="8" t="n">
        <v>99.478829022</v>
      </c>
      <c r="C4051" s="13" t="n"/>
      <c r="D4051" s="3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2">
      <c r="A4052" s="65" t="inlineStr">
        <is>
          <t>25/09/2019</t>
        </is>
      </c>
      <c r="B4052" s="8" t="n">
        <v>100.0100266527</v>
      </c>
      <c r="C4052" s="13" t="n"/>
      <c r="D4052" s="3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3">
      <c r="A4053" s="65" t="inlineStr">
        <is>
          <t>26/09/2019</t>
        </is>
      </c>
      <c r="B4053" s="8" t="n">
        <v>100.7021932624</v>
      </c>
      <c r="C4053" s="13" t="n"/>
      <c r="D4053" s="3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4">
      <c r="A4054" s="65" t="inlineStr">
        <is>
          <t>27/09/2019</t>
        </is>
      </c>
      <c r="B4054" s="8" t="n">
        <v>100.8953560372</v>
      </c>
      <c r="C4054" s="13" t="n"/>
      <c r="D4054" s="3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5">
      <c r="A4055" s="65" t="inlineStr">
        <is>
          <t>30/09/2019</t>
        </is>
      </c>
      <c r="B4055" s="8" t="n">
        <v>101.41045677</v>
      </c>
      <c r="C4055" s="13" t="n"/>
      <c r="D4055" s="3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6">
      <c r="A4056" s="65" t="inlineStr">
        <is>
          <t>01/10/2019</t>
        </is>
      </c>
      <c r="B4056" s="8" t="n">
        <v>101.9406248408</v>
      </c>
      <c r="C4056" s="13" t="n"/>
      <c r="D4056" s="3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7">
      <c r="A4057" s="65" t="inlineStr">
        <is>
          <t>02/10/2019</t>
        </is>
      </c>
      <c r="B4057" s="8" t="n">
        <v>102.7560219341</v>
      </c>
      <c r="C4057" s="13" t="n"/>
      <c r="D4057" s="3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8">
      <c r="A4058" s="65" t="inlineStr">
        <is>
          <t>03/10/2019</t>
        </is>
      </c>
      <c r="B4058" s="8" t="n">
        <v>103.123750035</v>
      </c>
      <c r="C4058" s="13" t="n"/>
      <c r="D4058" s="3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9">
      <c r="A4059" s="65" t="inlineStr">
        <is>
          <t>04/10/2019</t>
        </is>
      </c>
      <c r="B4059" s="8" t="n">
        <v>103.3475845312</v>
      </c>
      <c r="C4059" s="13" t="n"/>
      <c r="D4059" s="3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0">
      <c r="A4060" s="65" t="inlineStr">
        <is>
          <t>07/10/2019</t>
        </is>
      </c>
      <c r="B4060" s="8" t="n">
        <v>103.3955490661</v>
      </c>
      <c r="C4060" s="13" t="n"/>
      <c r="D4060" s="3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1">
      <c r="A4061" s="65" t="inlineStr">
        <is>
          <t>08/10/2019</t>
        </is>
      </c>
      <c r="B4061" s="8" t="n">
        <v>103.6193835623</v>
      </c>
      <c r="C4061" s="13" t="n"/>
      <c r="D4061" s="3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2">
      <c r="A4062" s="65" t="inlineStr">
        <is>
          <t>09/10/2019</t>
        </is>
      </c>
      <c r="B4062" s="8" t="n">
        <v>103.7313008104</v>
      </c>
      <c r="C4062" s="13" t="n"/>
      <c r="D4062" s="3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3">
      <c r="A4063" s="65" t="inlineStr">
        <is>
          <t>10/10/2019</t>
        </is>
      </c>
      <c r="B4063" s="8" t="n">
        <v>103.3475845312</v>
      </c>
      <c r="C4063" s="13" t="n"/>
      <c r="D4063" s="3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4">
      <c r="A4064" s="65" t="inlineStr">
        <is>
          <t>11/10/2019</t>
        </is>
      </c>
      <c r="B4064" s="8" t="n">
        <v>103.8592062368</v>
      </c>
      <c r="C4064" s="13" t="n"/>
      <c r="D4064" s="3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5">
      <c r="A4065" s="65" t="inlineStr">
        <is>
          <t>14/10/2019</t>
        </is>
      </c>
      <c r="B4065" s="8" t="n">
        <v>103.9711234849</v>
      </c>
      <c r="C4065" s="13" t="n"/>
      <c r="D4065" s="3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6">
      <c r="A4066" s="65" t="inlineStr">
        <is>
          <t>15/10/2019</t>
        </is>
      </c>
      <c r="B4066" s="8" t="n">
        <v>104.3228634075</v>
      </c>
      <c r="C4066" s="13" t="n"/>
      <c r="D4066" s="3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7">
      <c r="A4067" s="65" t="inlineStr">
        <is>
          <t>16/10/2019</t>
        </is>
      </c>
      <c r="B4067" s="8" t="n">
        <v>103.3795608878</v>
      </c>
      <c r="C4067" s="13" t="n"/>
      <c r="D4067" s="3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8">
      <c r="A4068" s="65" t="inlineStr">
        <is>
          <t>17/10/2019</t>
        </is>
      </c>
      <c r="B4068" s="8" t="n">
        <v>104.3548397641</v>
      </c>
      <c r="C4068" s="13" t="n"/>
      <c r="D4068" s="3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9">
      <c r="A4069" s="65" t="inlineStr">
        <is>
          <t>18/10/2019</t>
        </is>
      </c>
      <c r="B4069" s="8" t="n">
        <v>104.3388515858</v>
      </c>
      <c r="C4069" s="13" t="n"/>
      <c r="D4069" s="3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0">
      <c r="A4070" s="65" t="inlineStr">
        <is>
          <t>21/10/2019</t>
        </is>
      </c>
      <c r="B4070" s="8" t="n">
        <v>105.1382605008</v>
      </c>
      <c r="C4070" s="13" t="n"/>
      <c r="D4070" s="3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1">
      <c r="A4071" s="65" t="inlineStr">
        <is>
          <t>22/10/2019</t>
        </is>
      </c>
      <c r="B4071" s="8" t="n">
        <v>105.4420358885</v>
      </c>
      <c r="C4071" s="13" t="n"/>
      <c r="D4071" s="3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2">
      <c r="A4072" s="65" t="inlineStr">
        <is>
          <t>23/10/2019</t>
        </is>
      </c>
      <c r="B4072" s="8" t="n">
        <v>104.7705323999</v>
      </c>
      <c r="C4072" s="13" t="n"/>
      <c r="D4072" s="3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3">
      <c r="A4073" s="65" t="inlineStr">
        <is>
          <t>24/10/2019</t>
        </is>
      </c>
      <c r="B4073" s="8" t="n">
        <v>104.1789698028</v>
      </c>
      <c r="C4073" s="13" t="n"/>
      <c r="D4073" s="3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4">
      <c r="A4074" s="65" t="inlineStr">
        <is>
          <t>25/10/2019</t>
        </is>
      </c>
      <c r="B4074" s="8" t="n">
        <v>105.202213214</v>
      </c>
      <c r="C4074" s="13" t="n"/>
      <c r="D4074" s="3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5">
      <c r="A4075" s="65" t="inlineStr">
        <is>
          <t>28/10/2019</t>
        </is>
      </c>
      <c r="B4075" s="8" t="n">
        <v>104.9464023612</v>
      </c>
      <c r="C4075" s="13" t="n"/>
      <c r="D4075" s="3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6">
      <c r="A4076" s="65" t="inlineStr">
        <is>
          <t>29/10/2019</t>
        </is>
      </c>
      <c r="B4076" s="8" t="n">
        <v>103.9711234849</v>
      </c>
      <c r="C4076" s="13" t="n"/>
      <c r="D4076" s="3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7">
      <c r="A4077" s="65" t="inlineStr">
        <is>
          <t>30/10/2019</t>
        </is>
      </c>
      <c r="B4077" s="8" t="n">
        <v>104.242922516</v>
      </c>
      <c r="C4077" s="13" t="n"/>
      <c r="D4077" s="3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8">
      <c r="A4078" s="65" t="inlineStr">
        <is>
          <t>31/10/2019</t>
        </is>
      </c>
      <c r="B4078" s="8" t="n">
        <v>104.2589106943</v>
      </c>
      <c r="C4078" s="13" t="n"/>
      <c r="D4078" s="3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9">
      <c r="A4079" s="65" t="inlineStr">
        <is>
          <t>01/11/2019</t>
        </is>
      </c>
      <c r="B4079" s="8" t="n">
        <v>104.1064728732</v>
      </c>
      <c r="C4079" s="13" t="n"/>
      <c r="D4079" s="3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0">
      <c r="A4080" s="65" t="inlineStr">
        <is>
          <t>04/11/2019</t>
        </is>
      </c>
      <c r="B4080" s="8" t="n">
        <v>104.568743232</v>
      </c>
      <c r="C4080" s="13" t="n"/>
      <c r="D4080" s="3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1">
      <c r="A4081" s="65" t="inlineStr">
        <is>
          <t>05/11/2019</t>
        </is>
      </c>
      <c r="B4081" s="8" t="n">
        <v>104.170234302</v>
      </c>
      <c r="C4081" s="13" t="n"/>
      <c r="D4081" s="3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2">
      <c r="A4082" s="65" t="inlineStr">
        <is>
          <t>06/11/2019</t>
        </is>
      </c>
      <c r="B4082" s="8" t="n">
        <v>104.8397293044</v>
      </c>
      <c r="C4082" s="13" t="n"/>
      <c r="D4082" s="3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3">
      <c r="A4083" s="65" t="inlineStr">
        <is>
          <t>07/11/2019</t>
        </is>
      </c>
      <c r="B4083" s="8" t="n">
        <v>105.126655734</v>
      </c>
      <c r="C4083" s="13" t="n"/>
      <c r="D4083" s="3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4">
      <c r="A4084" s="65" t="inlineStr">
        <is>
          <t>08/11/2019</t>
        </is>
      </c>
      <c r="B4084" s="8" t="n">
        <v>105.3817014492</v>
      </c>
      <c r="C4084" s="13" t="n"/>
      <c r="D4084" s="3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5">
      <c r="A4085" s="65" t="inlineStr">
        <is>
          <t>11/11/2019</t>
        </is>
      </c>
      <c r="B4085" s="8" t="n">
        <v>104.8397293044</v>
      </c>
      <c r="C4085" s="13" t="n"/>
      <c r="D4085" s="3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6">
      <c r="A4086" s="65" t="inlineStr">
        <is>
          <t>12/11/2019</t>
        </is>
      </c>
      <c r="B4086" s="8" t="n">
        <v>105.126655734</v>
      </c>
      <c r="C4086" s="13" t="n"/>
      <c r="D4086" s="3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7">
      <c r="A4087" s="65" t="inlineStr">
        <is>
          <t>13/11/2019</t>
        </is>
      </c>
      <c r="B4087" s="8" t="n">
        <v>104.4412203744</v>
      </c>
      <c r="C4087" s="13" t="n"/>
      <c r="D4087" s="3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8">
      <c r="A4088" s="65" t="inlineStr">
        <is>
          <t>14/11/2019</t>
        </is>
      </c>
      <c r="B4088" s="8" t="n">
        <v>104.6803257324</v>
      </c>
      <c r="C4088" s="13" t="n"/>
      <c r="D4088" s="3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9">
      <c r="A4089" s="65" t="inlineStr">
        <is>
          <t>18/11/2019</t>
        </is>
      </c>
      <c r="B4089" s="8" t="n">
        <v>104.4731010888</v>
      </c>
      <c r="C4089" s="13" t="n"/>
      <c r="D4089" s="3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0">
      <c r="A4090" s="65" t="inlineStr">
        <is>
          <t>19/11/2019</t>
        </is>
      </c>
      <c r="B4090" s="8" t="n">
        <v>104.8237889472</v>
      </c>
      <c r="C4090" s="13" t="n"/>
      <c r="D4090" s="3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1">
      <c r="A4091" s="65" t="inlineStr">
        <is>
          <t>21/11/2019</t>
        </is>
      </c>
      <c r="B4091" s="8" t="n">
        <v>104.0586518016</v>
      </c>
      <c r="C4091" s="13" t="n"/>
      <c r="D4091" s="3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2">
      <c r="A4092" s="65" t="inlineStr">
        <is>
          <t>22/11/2019</t>
        </is>
      </c>
      <c r="B4092" s="8" t="n">
        <v>104.8397293044</v>
      </c>
      <c r="C4092" s="13" t="n"/>
      <c r="D4092" s="3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3">
      <c r="A4093" s="65" t="inlineStr">
        <is>
          <t>25/11/2019</t>
        </is>
      </c>
      <c r="B4093" s="8" t="n">
        <v>104.6962660896</v>
      </c>
      <c r="C4093" s="13" t="n"/>
      <c r="D4093" s="3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4">
      <c r="A4094" s="65" t="inlineStr">
        <is>
          <t>26/11/2019</t>
        </is>
      </c>
      <c r="B4094" s="8" t="n">
        <v>104.9194310904</v>
      </c>
      <c r="C4094" s="13" t="n"/>
      <c r="D4094" s="3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5">
      <c r="A4095" s="65" t="inlineStr">
        <is>
          <t>27/11/2019</t>
        </is>
      </c>
      <c r="B4095" s="8" t="n">
        <v>103.8036060864</v>
      </c>
      <c r="C4095" s="13" t="n"/>
      <c r="D4095" s="3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6">
      <c r="A4096" s="65" t="inlineStr">
        <is>
          <t>28/11/2019</t>
        </is>
      </c>
      <c r="B4096" s="8" t="n">
        <v>105.0310135908</v>
      </c>
      <c r="C4096" s="13" t="n"/>
      <c r="D4096" s="3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7">
      <c r="A4097" s="65" t="inlineStr">
        <is>
          <t>29/11/2019</t>
        </is>
      </c>
      <c r="B4097" s="8" t="n">
        <v>104.5049818032</v>
      </c>
      <c r="C4097" s="13" t="n"/>
      <c r="D4097" s="3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8">
      <c r="A4098" s="65" t="inlineStr">
        <is>
          <t>02/12/2019</t>
        </is>
      </c>
      <c r="B4098" s="8" t="n">
        <v>103.1150151564</v>
      </c>
      <c r="C4098" s="13" t="n"/>
      <c r="D4098" s="3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9">
      <c r="A4099" s="65" t="inlineStr">
        <is>
          <t>03/12/2019</t>
        </is>
      </c>
      <c r="B4099" s="8" t="n">
        <v>103.8488742891</v>
      </c>
      <c r="C4099" s="13" t="n"/>
      <c r="D4099" s="3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0">
      <c r="A4100" s="65" t="inlineStr">
        <is>
          <t>04/12/2019</t>
        </is>
      </c>
      <c r="B4100" s="8" t="n">
        <v>104.8481718315</v>
      </c>
      <c r="C4100" s="13" t="n"/>
      <c r="D4100" s="3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1">
      <c r="A4101" s="65" t="inlineStr">
        <is>
          <t>05/12/2019</t>
        </is>
      </c>
      <c r="B4101" s="8" t="n">
        <v>105.2229084099</v>
      </c>
      <c r="C4101" s="13" t="n"/>
      <c r="D4101" s="3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2">
      <c r="A4102" s="65" t="inlineStr">
        <is>
          <t>06/12/2019</t>
        </is>
      </c>
      <c r="B4102" s="8" t="n">
        <v>106.331504121</v>
      </c>
      <c r="C4102" s="13" t="n"/>
      <c r="D4102" s="3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3">
      <c r="A4103" s="65" t="inlineStr">
        <is>
          <t>09/12/2019</t>
        </is>
      </c>
      <c r="B4103" s="8" t="n">
        <v>107.3308016634</v>
      </c>
      <c r="C4103" s="13" t="n"/>
      <c r="D4103" s="3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4">
      <c r="A4104" s="65" t="inlineStr">
        <is>
          <t>10/12/2019</t>
        </is>
      </c>
      <c r="B4104" s="8" t="n">
        <v>106.4251882656</v>
      </c>
      <c r="C4104" s="13" t="n"/>
      <c r="D4104" s="3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5">
      <c r="A4105" s="65" t="inlineStr">
        <is>
          <t>11/12/2019</t>
        </is>
      </c>
      <c r="B4105" s="8" t="n">
        <v>107.7211522659</v>
      </c>
      <c r="C4105" s="13" t="n"/>
      <c r="D4105" s="3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6">
      <c r="A4106" s="65" t="inlineStr">
        <is>
          <t>12/12/2019</t>
        </is>
      </c>
      <c r="B4106" s="8" t="n">
        <v>109.9383436881</v>
      </c>
      <c r="C4106" s="13" t="n"/>
      <c r="D4106" s="3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7">
      <c r="A4107" s="65" t="inlineStr">
        <is>
          <t>13/12/2019</t>
        </is>
      </c>
      <c r="B4107" s="8" t="n">
        <v>108.8141339529</v>
      </c>
      <c r="C4107" s="13" t="n"/>
      <c r="D4107" s="3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8">
      <c r="A4108" s="65" t="inlineStr">
        <is>
          <t>16/12/2019</t>
        </is>
      </c>
      <c r="B4108" s="8" t="n">
        <v>110.2818522183</v>
      </c>
      <c r="C4108" s="13" t="n"/>
      <c r="D4108" s="3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9">
      <c r="A4109" s="65" t="inlineStr">
        <is>
          <t>17/12/2019</t>
        </is>
      </c>
      <c r="B4109" s="8" t="n">
        <v>111.0000973269</v>
      </c>
      <c r="C4109" s="13" t="n"/>
      <c r="D4109" s="3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0">
      <c r="A4110" s="65" t="inlineStr">
        <is>
          <t>18/12/2019</t>
        </is>
      </c>
      <c r="B4110" s="8" t="n">
        <v>112.6239558333</v>
      </c>
      <c r="C4110" s="13" t="n"/>
      <c r="D4110" s="3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1">
      <c r="A4111" s="65" t="inlineStr">
        <is>
          <t>19/12/2019</t>
        </is>
      </c>
      <c r="B4111" s="8" t="n">
        <v>111.8276406042</v>
      </c>
      <c r="C4111" s="13" t="n"/>
      <c r="D4111" s="3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2">
      <c r="A4112" s="65" t="inlineStr">
        <is>
          <t>20/12/2019</t>
        </is>
      </c>
      <c r="B4112" s="8" t="n">
        <v>112.8737802189</v>
      </c>
      <c r="C4112" s="13" t="n"/>
      <c r="D4112" s="3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3">
      <c r="A4113" s="65" t="inlineStr">
        <is>
          <t>23/12/2019</t>
        </is>
      </c>
      <c r="B4113" s="8" t="n">
        <v>113.826235689</v>
      </c>
      <c r="C4113" s="13" t="n"/>
      <c r="D4113" s="3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4">
      <c r="A4114" s="65" t="inlineStr">
        <is>
          <t>26/12/2019</t>
        </is>
      </c>
      <c r="B4114" s="8" t="n">
        <v>115.6374624846</v>
      </c>
      <c r="C4114" s="13" t="n"/>
      <c r="D4114" s="3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5">
      <c r="A4115" s="65" t="inlineStr">
        <is>
          <t>27/12/2019</t>
        </is>
      </c>
      <c r="B4115" s="8" t="n">
        <v>115.9809710148</v>
      </c>
      <c r="C4115" s="13" t="n"/>
      <c r="D4115" s="3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6">
      <c r="A4116" s="65" t="inlineStr">
        <is>
          <t>30/12/2019</t>
        </is>
      </c>
      <c r="B4116" s="8" t="n">
        <v>114.4039545807</v>
      </c>
      <c r="C4116" s="13" t="n"/>
      <c r="D4116" s="3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7">
      <c r="A4117" s="65" t="inlineStr">
        <is>
          <t>02/01/2020</t>
        </is>
      </c>
      <c r="B4117" s="8" t="n">
        <v>112.9872304308</v>
      </c>
      <c r="C4117" s="13" t="n"/>
      <c r="D4117" s="3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8">
      <c r="A4118" s="65" t="inlineStr">
        <is>
          <t>03/01/2020</t>
        </is>
      </c>
      <c r="B4118" s="8" t="n">
        <v>114.2770035192</v>
      </c>
      <c r="C4118" s="13" t="n"/>
      <c r="D4118" s="3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9">
      <c r="A4119" s="65" t="inlineStr">
        <is>
          <t>06/01/2020</t>
        </is>
      </c>
      <c r="B4119" s="8" t="n">
        <v>114.5411739108</v>
      </c>
      <c r="C4119" s="13" t="n"/>
      <c r="D4119" s="3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0">
      <c r="A4120" s="65" t="inlineStr">
        <is>
          <t>07/01/2020</t>
        </is>
      </c>
      <c r="B4120" s="8" t="n">
        <v>114.7742654328</v>
      </c>
      <c r="C4120" s="13" t="n"/>
      <c r="D4120" s="3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1">
      <c r="A4121" s="65" t="inlineStr">
        <is>
          <t>08/01/2020</t>
        </is>
      </c>
      <c r="B4121" s="8" t="n">
        <v>113.9662148232</v>
      </c>
      <c r="C4121" s="13" t="n"/>
      <c r="D4121" s="3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2">
      <c r="A4122" s="65" t="inlineStr">
        <is>
          <t>09/01/2020</t>
        </is>
      </c>
      <c r="B4122" s="8" t="n">
        <v>112.7075206044</v>
      </c>
      <c r="C4122" s="13" t="n"/>
      <c r="D4122" s="3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3">
      <c r="A4123" s="65" t="inlineStr">
        <is>
          <t>10/01/2020</t>
        </is>
      </c>
      <c r="B4123" s="8" t="n">
        <v>112.1481009516</v>
      </c>
      <c r="C4123" s="13" t="n"/>
      <c r="D4123" s="3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4">
      <c r="A4124" s="65" t="inlineStr">
        <is>
          <t>13/01/2020</t>
        </is>
      </c>
      <c r="B4124" s="8" t="n">
        <v>112.9250726916</v>
      </c>
      <c r="C4124" s="13" t="n"/>
      <c r="D4124" s="3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5">
      <c r="A4125" s="65" t="inlineStr">
        <is>
          <t>14/01/2020</t>
        </is>
      </c>
      <c r="B4125" s="8" t="n">
        <v>113.4689529096</v>
      </c>
      <c r="C4125" s="13" t="n"/>
      <c r="D4125" s="3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6">
      <c r="A4126" s="65" t="inlineStr">
        <is>
          <t>15/01/2020</t>
        </is>
      </c>
      <c r="B4126" s="8" t="n">
        <v>114.1216091712</v>
      </c>
      <c r="C4126" s="13" t="n"/>
      <c r="D4126" s="3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7">
      <c r="A4127" s="65" t="inlineStr">
        <is>
          <t>16/01/2020</t>
        </is>
      </c>
      <c r="B4127" s="8" t="n">
        <v>113.748662736</v>
      </c>
      <c r="C4127" s="13" t="n"/>
      <c r="D4127" s="3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8">
      <c r="A4128" s="65" t="inlineStr">
        <is>
          <t>17/01/2020</t>
        </is>
      </c>
      <c r="B4128" s="8" t="n">
        <v>114.1837669104</v>
      </c>
      <c r="C4128" s="13" t="n"/>
      <c r="D4128" s="3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9">
      <c r="A4129" s="65" t="inlineStr">
        <is>
          <t>20/01/2020</t>
        </is>
      </c>
      <c r="B4129" s="8" t="n">
        <v>116.1728145648</v>
      </c>
      <c r="C4129" s="13" t="n"/>
      <c r="D4129" s="3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0">
      <c r="A4130" s="65" t="inlineStr">
        <is>
          <t>21/01/2020</t>
        </is>
      </c>
      <c r="B4130" s="8" t="n">
        <v>116.1261962604</v>
      </c>
      <c r="C4130" s="13" t="n"/>
      <c r="D4130" s="3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1">
      <c r="A4131" s="65" t="inlineStr">
        <is>
          <t>22/01/2020</t>
        </is>
      </c>
      <c r="B4131" s="8" t="n">
        <v>116.9497863048</v>
      </c>
      <c r="C4131" s="13" t="n"/>
      <c r="D4131" s="3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2">
      <c r="A4132" s="65" t="inlineStr">
        <is>
          <t>23/01/2020</t>
        </is>
      </c>
      <c r="B4132" s="8" t="n">
        <v>117.8199946536</v>
      </c>
      <c r="C4132" s="13" t="n"/>
      <c r="D4132" s="3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3">
      <c r="A4133" s="65" t="inlineStr">
        <is>
          <t>24/01/2020</t>
        </is>
      </c>
      <c r="B4133" s="8" t="n">
        <v>118.2706382628</v>
      </c>
      <c r="C4133" s="13" t="n"/>
      <c r="D4133" s="3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4">
      <c r="A4134" s="65" t="inlineStr">
        <is>
          <t>27/01/2020</t>
        </is>
      </c>
      <c r="B4134" s="8" t="n">
        <v>118.7834396112</v>
      </c>
      <c r="C4134" s="13" t="n"/>
      <c r="D4134" s="3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5">
      <c r="A4135" s="65" t="inlineStr">
        <is>
          <t>28/01/2020</t>
        </is>
      </c>
      <c r="B4135" s="8" t="n">
        <v>118.48819035</v>
      </c>
      <c r="C4135" s="13" t="n"/>
      <c r="D4135" s="3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6">
      <c r="A4136" s="65" t="inlineStr">
        <is>
          <t>29/01/2020</t>
        </is>
      </c>
      <c r="B4136" s="8" t="n">
        <v>118.4260326108</v>
      </c>
      <c r="C4136" s="13" t="n"/>
      <c r="D4136" s="3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7">
      <c r="A4137" s="65" t="inlineStr">
        <is>
          <t>30/01/2020</t>
        </is>
      </c>
      <c r="B4137" s="8" t="n">
        <v>118.565887524</v>
      </c>
      <c r="C4137" s="13" t="n"/>
      <c r="D4137" s="3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8">
      <c r="A4138" s="65" t="inlineStr">
        <is>
          <t>31/01/2020</t>
        </is>
      </c>
      <c r="B4138" s="8" t="n">
        <v>117.7422974796</v>
      </c>
      <c r="C4138" s="13" t="n"/>
      <c r="D4138" s="3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9">
      <c r="A4139" s="65" t="inlineStr">
        <is>
          <t>03/02/2020</t>
        </is>
      </c>
      <c r="B4139" s="8" t="n">
        <v>117.4163178643</v>
      </c>
      <c r="C4139" s="13" t="n"/>
      <c r="D4139" s="3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0">
      <c r="A4140" s="65" t="inlineStr">
        <is>
          <t>04/02/2020</t>
        </is>
      </c>
      <c r="B4140" s="8" t="n">
        <v>118.3179657441</v>
      </c>
      <c r="C4140" s="13" t="n"/>
      <c r="D4140" s="3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1">
      <c r="A4141" s="65" t="inlineStr">
        <is>
          <t>05/02/2020</t>
        </is>
      </c>
      <c r="B4141" s="8" t="n">
        <v>119.2507049301</v>
      </c>
      <c r="C4141" s="13" t="n"/>
      <c r="D4141" s="3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2">
      <c r="A4142" s="65" t="inlineStr">
        <is>
          <t>06/02/2020</t>
        </is>
      </c>
      <c r="B4142" s="8" t="n">
        <v>119.8103484417</v>
      </c>
      <c r="C4142" s="13" t="n"/>
      <c r="D4142" s="3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3">
      <c r="A4143" s="65" t="inlineStr">
        <is>
          <t>07/02/2020</t>
        </is>
      </c>
      <c r="B4143" s="8" t="n">
        <v>119.9813506258</v>
      </c>
      <c r="C4143" s="13" t="n"/>
      <c r="D4143" s="3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4">
      <c r="A4144" s="65" t="inlineStr">
        <is>
          <t>10/02/2020</t>
        </is>
      </c>
      <c r="B4144" s="8" t="n">
        <v>120.1989897692</v>
      </c>
      <c r="C4144" s="13" t="n"/>
      <c r="D4144" s="3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5">
      <c r="A4145" s="65" t="inlineStr">
        <is>
          <t>11/02/2020</t>
        </is>
      </c>
      <c r="B4145" s="8" t="n">
        <v>119.7948027886</v>
      </c>
      <c r="C4145" s="13" t="n"/>
      <c r="D4145" s="3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6">
      <c r="A4146" s="65" t="inlineStr">
        <is>
          <t>12/02/2020</t>
        </is>
      </c>
      <c r="B4146" s="8" t="n">
        <v>119.2973418894</v>
      </c>
      <c r="C4146" s="13" t="n"/>
      <c r="D4146" s="3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7">
      <c r="A4147" s="65" t="inlineStr">
        <is>
          <t>13/02/2020</t>
        </is>
      </c>
      <c r="B4147" s="8" t="n">
        <v>119.6393462576</v>
      </c>
      <c r="C4147" s="13" t="n"/>
      <c r="D4147" s="3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8">
      <c r="A4148" s="65" t="inlineStr">
        <is>
          <t>14/02/2020</t>
        </is>
      </c>
      <c r="B4148" s="8" t="n">
        <v>121.7846463854</v>
      </c>
      <c r="C4148" s="13" t="n"/>
      <c r="D4148" s="3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9">
      <c r="A4149" s="65" t="inlineStr">
        <is>
          <t>17/02/2020</t>
        </is>
      </c>
      <c r="B4149" s="8" t="n">
        <v>121.9245572633</v>
      </c>
      <c r="C4149" s="13" t="n"/>
      <c r="D4149" s="3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0">
      <c r="A4150" s="65" t="inlineStr">
        <is>
          <t>18/02/2020</t>
        </is>
      </c>
      <c r="B4150" s="8" t="n">
        <v>123.0127529803</v>
      </c>
      <c r="C4150" s="13" t="n"/>
      <c r="D4150" s="3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1">
      <c r="A4151" s="65" t="inlineStr">
        <is>
          <t>19/02/2020</t>
        </is>
      </c>
      <c r="B4151" s="8" t="n">
        <v>124.2564052283</v>
      </c>
      <c r="C4151" s="13" t="n"/>
      <c r="D4151" s="3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2">
      <c r="A4152" s="65" t="inlineStr">
        <is>
          <t>20/02/2020</t>
        </is>
      </c>
      <c r="B4152" s="8" t="n">
        <v>125.0336878833</v>
      </c>
      <c r="C4152" s="13" t="n"/>
      <c r="D4152" s="3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3">
      <c r="A4153" s="65" t="inlineStr">
        <is>
          <t>21/02/2020</t>
        </is>
      </c>
      <c r="B4153" s="8" t="n">
        <v>125.3756922515</v>
      </c>
      <c r="C4153" s="13" t="n"/>
      <c r="D4153" s="3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4">
      <c r="A4154" s="65" t="inlineStr">
        <is>
          <t>26/02/2020</t>
        </is>
      </c>
      <c r="B4154" s="8" t="n">
        <v>126.0597009879</v>
      </c>
      <c r="C4154" s="13" t="n"/>
      <c r="D4154" s="3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5">
      <c r="A4155" s="65" t="inlineStr">
        <is>
          <t>27/02/2020</t>
        </is>
      </c>
      <c r="B4155" s="8" t="n">
        <v>125.5622400887</v>
      </c>
      <c r="C4155" s="13" t="n"/>
      <c r="D4155" s="3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6">
      <c r="A4156" s="65" t="inlineStr">
        <is>
          <t>28/02/2020</t>
        </is>
      </c>
      <c r="B4156" s="8" t="n">
        <v>125.764333579</v>
      </c>
      <c r="C4156" s="13" t="n"/>
      <c r="D4156" s="3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7">
      <c r="A4157" s="65" t="inlineStr">
        <is>
          <t>02/03/2020</t>
        </is>
      </c>
      <c r="B4157" s="8" t="n">
        <v>123.870785616</v>
      </c>
      <c r="C4157" s="13" t="n"/>
      <c r="D4157" s="3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8">
      <c r="A4158" s="65" t="inlineStr">
        <is>
          <t>03/03/2020</t>
        </is>
      </c>
      <c r="B4158" s="8" t="n">
        <v>124.853521488</v>
      </c>
      <c r="C4158" s="13" t="n"/>
      <c r="D4158" s="3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9">
      <c r="A4159" s="65" t="inlineStr">
        <is>
          <t>04/03/2020</t>
        </is>
      </c>
      <c r="B4159" s="8" t="n">
        <v>124.162535328</v>
      </c>
      <c r="C4159" s="13" t="n"/>
      <c r="D4159" s="3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0">
      <c r="A4160" s="65" t="inlineStr">
        <is>
          <t>05/03/2020</t>
        </is>
      </c>
      <c r="B4160" s="8" t="n">
        <v>123.348707184</v>
      </c>
      <c r="C4160" s="13" t="n"/>
      <c r="D4160" s="3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1">
      <c r="A4161" s="65" t="inlineStr">
        <is>
          <t>06/03/2020</t>
        </is>
      </c>
      <c r="B4161" s="8" t="n">
        <v>124.239311568</v>
      </c>
      <c r="C4161" s="13" t="n"/>
      <c r="D4161" s="3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2">
      <c r="A4162" s="65" t="inlineStr">
        <is>
          <t>09/03/2020</t>
        </is>
      </c>
      <c r="B4162" s="8" t="n">
        <v>123.041602224</v>
      </c>
      <c r="C4162" s="13" t="n"/>
      <c r="D4162" s="3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3">
      <c r="A4163" s="65" t="inlineStr">
        <is>
          <t>10/03/2020</t>
        </is>
      </c>
      <c r="B4163" s="8" t="n">
        <v>121.183617216</v>
      </c>
      <c r="C4163" s="13" t="n"/>
      <c r="D4163" s="3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4">
      <c r="A4164" s="65" t="inlineStr">
        <is>
          <t>11/03/2020</t>
        </is>
      </c>
      <c r="B4164" s="8" t="n">
        <v>121.84389288</v>
      </c>
      <c r="C4164" s="13" t="n"/>
      <c r="D4164" s="3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5">
      <c r="A4165" s="65" t="inlineStr">
        <is>
          <t>12/03/2020</t>
        </is>
      </c>
      <c r="B4165" s="8" t="n">
        <v>122.519523792</v>
      </c>
      <c r="C4165" s="13" t="n"/>
      <c r="D4165" s="3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6">
      <c r="A4166" s="65" t="inlineStr">
        <is>
          <t>13/03/2020</t>
        </is>
      </c>
      <c r="B4166" s="8" t="n">
        <v>123.14908896</v>
      </c>
      <c r="C4166" s="13" t="n"/>
      <c r="D4166" s="3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7">
      <c r="A4167" s="65" t="inlineStr">
        <is>
          <t>16/03/2020</t>
        </is>
      </c>
      <c r="B4167" s="8" t="n">
        <v>120.369789072</v>
      </c>
      <c r="C4167" s="13" t="n"/>
      <c r="D4167" s="3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8">
      <c r="A4168" s="65" t="inlineStr">
        <is>
          <t>17/03/2020</t>
        </is>
      </c>
      <c r="B4168" s="8" t="n">
        <v>119.003172</v>
      </c>
      <c r="C4168" s="13" t="n"/>
      <c r="D4168" s="3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9">
      <c r="A4169" s="65" t="inlineStr">
        <is>
          <t>18/03/2020</t>
        </is>
      </c>
      <c r="B4169" s="8" t="n">
        <v>117.62119968</v>
      </c>
      <c r="C4169" s="13" t="n"/>
      <c r="D4169" s="3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0">
      <c r="A4170" s="65" t="inlineStr">
        <is>
          <t>19/03/2020</t>
        </is>
      </c>
      <c r="B4170" s="8" t="n">
        <v>118.358251584</v>
      </c>
      <c r="C4170" s="13" t="n"/>
      <c r="D4170" s="3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1">
      <c r="A4171" s="65" t="inlineStr">
        <is>
          <t>20/03/2020</t>
        </is>
      </c>
      <c r="B4171" s="8" t="n">
        <v>118.92639576</v>
      </c>
      <c r="C4171" s="13" t="n"/>
      <c r="D4171" s="3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2">
      <c r="A4172" s="65" t="inlineStr">
        <is>
          <t>23/03/2020</t>
        </is>
      </c>
      <c r="B4172" s="8" t="n">
        <v>119.340987456</v>
      </c>
      <c r="C4172" s="13" t="n"/>
      <c r="D4172" s="3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3">
      <c r="A4173" s="65" t="inlineStr">
        <is>
          <t>24/03/2020</t>
        </is>
      </c>
      <c r="B4173" s="8" t="n">
        <v>119.248855968</v>
      </c>
      <c r="C4173" s="13" t="n"/>
      <c r="D4173" s="3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4">
      <c r="A4174" s="65" t="inlineStr">
        <is>
          <t>25/03/2020</t>
        </is>
      </c>
      <c r="B4174" s="8" t="n">
        <v>117.912949392</v>
      </c>
      <c r="C4174" s="13" t="n"/>
      <c r="D4174" s="3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5">
      <c r="A4175" s="65" t="inlineStr">
        <is>
          <t>26/03/2020</t>
        </is>
      </c>
      <c r="B4175" s="8" t="n">
        <v>118.450383072</v>
      </c>
      <c r="C4175" s="13" t="n"/>
      <c r="D4175" s="3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6">
      <c r="A4176" s="65" t="inlineStr">
        <is>
          <t>27/03/2020</t>
        </is>
      </c>
      <c r="B4176" s="8" t="n">
        <v>117.23731848</v>
      </c>
      <c r="C4176" s="13" t="n"/>
      <c r="D4176" s="3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7">
      <c r="A4177" s="65" t="inlineStr">
        <is>
          <t>30/03/2020</t>
        </is>
      </c>
      <c r="B4177" s="8" t="n">
        <v>115.363978224</v>
      </c>
      <c r="C4177" s="13" t="n"/>
      <c r="D4177" s="3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8">
      <c r="A4178" s="65" t="inlineStr">
        <is>
          <t>31/03/2020</t>
        </is>
      </c>
      <c r="B4178" s="8" t="n">
        <v>116.147095872</v>
      </c>
      <c r="C4178" s="13" t="n"/>
      <c r="D4178" s="3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9">
      <c r="A4179" s="65" t="inlineStr">
        <is>
          <t>01/04/2020</t>
        </is>
      </c>
      <c r="B4179" s="8" t="n">
        <v>116.352564078</v>
      </c>
      <c r="C4179" s="13" t="n"/>
      <c r="D4179" s="3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0">
      <c r="A4180" s="65" t="inlineStr">
        <is>
          <t>02/04/2020</t>
        </is>
      </c>
      <c r="B4180" s="8" t="n">
        <v>117.007599461</v>
      </c>
      <c r="C4180" s="13" t="n"/>
      <c r="D4180" s="3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1">
      <c r="A4181" s="65" t="inlineStr">
        <is>
          <t>03/04/2020</t>
        </is>
      </c>
      <c r="B4181" s="8" t="n">
        <v>118.439537275</v>
      </c>
      <c r="C4181" s="13" t="n"/>
      <c r="D4181" s="3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2">
      <c r="A4182" s="65" t="inlineStr">
        <is>
          <t>06/04/2020</t>
        </is>
      </c>
      <c r="B4182" s="8" t="n">
        <v>120.03904228</v>
      </c>
      <c r="C4182" s="13" t="n"/>
      <c r="D4182" s="3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3">
      <c r="A4183" s="65" t="inlineStr">
        <is>
          <t>07/04/2020</t>
        </is>
      </c>
      <c r="B4183" s="8" t="n">
        <v>118.622337847</v>
      </c>
      <c r="C4183" s="13" t="n"/>
      <c r="D4183" s="3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4">
      <c r="A4184" s="65" t="inlineStr">
        <is>
          <t>08/04/2020</t>
        </is>
      </c>
      <c r="B4184" s="8" t="n">
        <v>119.947641994</v>
      </c>
      <c r="C4184" s="13" t="n"/>
      <c r="D4184" s="3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5">
      <c r="A4185" s="65" t="inlineStr">
        <is>
          <t>09/04/2020</t>
        </is>
      </c>
      <c r="B4185" s="8" t="n">
        <v>119.978108756</v>
      </c>
      <c r="C4185" s="13" t="n"/>
      <c r="D4185" s="3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6">
      <c r="A4186" s="65" t="inlineStr">
        <is>
          <t>13/04/2020</t>
        </is>
      </c>
      <c r="B4186" s="8" t="n">
        <v>120.617910758</v>
      </c>
      <c r="C4186" s="13" t="n"/>
      <c r="D4186" s="3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7">
      <c r="A4187" s="65" t="inlineStr">
        <is>
          <t>14/04/2020</t>
        </is>
      </c>
      <c r="B4187" s="8" t="n">
        <v>120.663610901</v>
      </c>
      <c r="C4187" s="13" t="n"/>
      <c r="D4187" s="3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8">
      <c r="A4188" s="65" t="inlineStr">
        <is>
          <t>15/04/2020</t>
        </is>
      </c>
      <c r="B4188" s="8" t="n">
        <v>119.12503942</v>
      </c>
      <c r="C4188" s="13" t="n"/>
      <c r="D4188" s="3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9">
      <c r="A4189" s="65" t="inlineStr">
        <is>
          <t>16/04/2020</t>
        </is>
      </c>
      <c r="B4189" s="8" t="n">
        <v>118.744204895</v>
      </c>
      <c r="C4189" s="13" t="n"/>
      <c r="D4189" s="3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0">
      <c r="A4190" s="65" t="inlineStr">
        <is>
          <t>17/04/2020</t>
        </is>
      </c>
      <c r="B4190" s="8" t="n">
        <v>118.744204895</v>
      </c>
      <c r="C4190" s="13" t="n"/>
      <c r="D4190" s="3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1">
      <c r="A4191" s="65" t="inlineStr">
        <is>
          <t>20/04/2020</t>
        </is>
      </c>
      <c r="B4191" s="8" t="n">
        <v>117.75403513</v>
      </c>
      <c r="C4191" s="13" t="n"/>
      <c r="D4191" s="3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2">
      <c r="A4192" s="65" t="inlineStr">
        <is>
          <t>22/04/2020</t>
        </is>
      </c>
      <c r="B4192" s="8" t="n">
        <v>117.586467939</v>
      </c>
      <c r="C4192" s="13" t="n"/>
      <c r="D4192" s="3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3">
      <c r="A4193" s="65" t="inlineStr">
        <is>
          <t>23/04/2020</t>
        </is>
      </c>
      <c r="B4193" s="8" t="n">
        <v>117.2970337</v>
      </c>
      <c r="C4193" s="13" t="n"/>
      <c r="D4193" s="3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4">
      <c r="A4194" s="65" t="inlineStr">
        <is>
          <t>24/04/2020</t>
        </is>
      </c>
      <c r="B4194" s="8" t="n">
        <v>116.657231698</v>
      </c>
      <c r="C4194" s="13" t="n"/>
      <c r="D4194" s="3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5">
      <c r="A4195" s="65" t="inlineStr">
        <is>
          <t>27/04/2020</t>
        </is>
      </c>
      <c r="B4195" s="8" t="n">
        <v>114.70735893</v>
      </c>
      <c r="C4195" s="13" t="n"/>
      <c r="D4195" s="3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6">
      <c r="A4196" s="65" t="inlineStr">
        <is>
          <t>28/04/2020</t>
        </is>
      </c>
      <c r="B4196" s="8" t="n">
        <v>114.646425406</v>
      </c>
      <c r="C4196" s="13" t="n"/>
      <c r="D4196" s="3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7">
      <c r="A4197" s="65" t="inlineStr">
        <is>
          <t>29/04/2020</t>
        </is>
      </c>
      <c r="B4197" s="8" t="n">
        <v>115.01202655</v>
      </c>
      <c r="C4197" s="13" t="n"/>
      <c r="D4197" s="3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8">
      <c r="A4198" s="65" t="inlineStr">
        <is>
          <t>30/04/2020</t>
        </is>
      </c>
      <c r="B4198" s="8" t="n">
        <v>115.682295314</v>
      </c>
      <c r="C4198" s="13" t="n"/>
      <c r="D4198" s="3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9">
      <c r="A4199" s="65" t="inlineStr">
        <is>
          <t>04/05/2020</t>
        </is>
      </c>
      <c r="B4199" s="8" t="n">
        <v>114.7820369096</v>
      </c>
      <c r="C4199" s="13" t="n"/>
      <c r="D4199" s="3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0">
      <c r="A4200" s="65" t="inlineStr">
        <is>
          <t>05/05/2020</t>
        </is>
      </c>
      <c r="B4200" s="8" t="n">
        <v>113.5060057952</v>
      </c>
      <c r="C4200" s="13" t="n"/>
      <c r="D4200" s="3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1">
      <c r="A4201" s="65" t="inlineStr">
        <is>
          <t>06/05/2020</t>
        </is>
      </c>
      <c r="B4201" s="8" t="n">
        <v>113.7946318806</v>
      </c>
      <c r="C4201" s="13" t="n"/>
      <c r="D4201" s="3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2">
      <c r="A4202" s="65" t="inlineStr">
        <is>
          <t>07/05/2020</t>
        </is>
      </c>
      <c r="B4202" s="8" t="n">
        <v>112.3211197604</v>
      </c>
      <c r="C4202" s="13" t="n"/>
      <c r="D4202" s="3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3">
      <c r="A4203" s="65" t="inlineStr">
        <is>
          <t>08/05/2020</t>
        </is>
      </c>
      <c r="B4203" s="8" t="n">
        <v>113.4452424088</v>
      </c>
      <c r="C4203" s="13" t="n"/>
      <c r="D4203" s="3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4">
      <c r="A4204" s="65" t="inlineStr">
        <is>
          <t>11/05/2020</t>
        </is>
      </c>
      <c r="B4204" s="8" t="n">
        <v>114.0376854262</v>
      </c>
      <c r="C4204" s="13" t="n"/>
      <c r="D4204" s="3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5">
      <c r="A4205" s="65" t="inlineStr">
        <is>
          <t>12/05/2020</t>
        </is>
      </c>
      <c r="B4205" s="8" t="n">
        <v>113.5971508748</v>
      </c>
      <c r="C4205" s="13" t="n"/>
      <c r="D4205" s="3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6">
      <c r="A4206" s="65" t="inlineStr">
        <is>
          <t>13/05/2020</t>
        </is>
      </c>
      <c r="B4206" s="8" t="n">
        <v>113.17180717</v>
      </c>
      <c r="C4206" s="13" t="n"/>
      <c r="D4206" s="3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7">
      <c r="A4207" s="65" t="inlineStr">
        <is>
          <t>14/05/2020</t>
        </is>
      </c>
      <c r="B4207" s="8" t="n">
        <v>112.5793641526</v>
      </c>
      <c r="C4207" s="13" t="n"/>
      <c r="D4207" s="3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8">
      <c r="A4208" s="65" t="inlineStr">
        <is>
          <t>15/05/2020</t>
        </is>
      </c>
      <c r="B4208" s="8" t="n">
        <v>112.1388296012</v>
      </c>
      <c r="C4208" s="13" t="n"/>
      <c r="D4208" s="3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9">
      <c r="A4209" s="65" t="inlineStr">
        <is>
          <t>18/05/2020</t>
        </is>
      </c>
      <c r="B4209" s="8" t="n">
        <v>111.9261577488</v>
      </c>
      <c r="C4209" s="13" t="n"/>
      <c r="D4209" s="3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0">
      <c r="A4210" s="65" t="inlineStr">
        <is>
          <t>19/05/2020</t>
        </is>
      </c>
      <c r="B4210" s="8" t="n">
        <v>111.8502035158</v>
      </c>
      <c r="C4210" s="13" t="n"/>
      <c r="D4210" s="3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1">
      <c r="A4211" s="65" t="inlineStr">
        <is>
          <t>20/05/2020</t>
        </is>
      </c>
      <c r="B4211" s="8" t="n">
        <v>113.9009678068</v>
      </c>
      <c r="C4211" s="13" t="n"/>
      <c r="D4211" s="3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2">
      <c r="A4212" s="65" t="inlineStr">
        <is>
          <t>21/05/2020</t>
        </is>
      </c>
      <c r="B4212" s="8" t="n">
        <v>114.4326474378</v>
      </c>
      <c r="C4212" s="13" t="n"/>
      <c r="D4212" s="3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3">
      <c r="A4213" s="65" t="inlineStr">
        <is>
          <t>22/05/2020</t>
        </is>
      </c>
      <c r="B4213" s="8" t="n">
        <v>113.5363874884</v>
      </c>
      <c r="C4213" s="13" t="n"/>
      <c r="D4213" s="3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4">
      <c r="A4214" s="65" t="inlineStr">
        <is>
          <t>25/05/2020</t>
        </is>
      </c>
      <c r="B4214" s="8" t="n">
        <v>113.5363874884</v>
      </c>
      <c r="C4214" s="13" t="n"/>
      <c r="D4214" s="3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5">
      <c r="A4215" s="65" t="inlineStr">
        <is>
          <t>26/05/2020</t>
        </is>
      </c>
      <c r="B4215" s="8" t="n">
        <v>113.0654712438</v>
      </c>
      <c r="C4215" s="13" t="n"/>
      <c r="D4215" s="3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6">
      <c r="A4216" s="65" t="inlineStr">
        <is>
          <t>27/05/2020</t>
        </is>
      </c>
      <c r="B4216" s="8" t="n">
        <v>114.3415023582</v>
      </c>
      <c r="C4216" s="13" t="n"/>
      <c r="D4216" s="3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7">
      <c r="A4217" s="65" t="inlineStr">
        <is>
          <t>28/05/2020</t>
        </is>
      </c>
      <c r="B4217" s="8" t="n">
        <v>115.5415792396</v>
      </c>
      <c r="C4217" s="13" t="n"/>
      <c r="D4217" s="3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8">
      <c r="A4218" s="65" t="inlineStr">
        <is>
          <t>29/05/2020</t>
        </is>
      </c>
      <c r="B4218" s="8" t="n">
        <v>116.6505110414</v>
      </c>
      <c r="C4218" s="13" t="n"/>
      <c r="D4218" s="3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9">
      <c r="A4219" s="65" t="inlineStr">
        <is>
          <t>01/06/2020</t>
        </is>
      </c>
      <c r="B4219" s="8" t="n">
        <v>114.87367296</v>
      </c>
      <c r="C4219" s="13" t="n"/>
      <c r="D4219" s="3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0">
      <c r="A4220" s="65" t="inlineStr">
        <is>
          <t>02/06/2020</t>
        </is>
      </c>
      <c r="B4220" s="8" t="n">
        <v>113.9911798995</v>
      </c>
      <c r="C4220" s="13" t="n"/>
      <c r="D4220" s="3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1">
      <c r="A4221" s="65" t="inlineStr">
        <is>
          <t>03/06/2020</t>
        </is>
      </c>
      <c r="B4221" s="8" t="n">
        <v>113.2133894055</v>
      </c>
      <c r="C4221" s="13" t="n"/>
      <c r="D4221" s="3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2">
      <c r="A4222" s="65" t="inlineStr">
        <is>
          <t>04/06/2020</t>
        </is>
      </c>
      <c r="B4222" s="8" t="n">
        <v>113.8416048045</v>
      </c>
      <c r="C4222" s="13" t="n"/>
      <c r="D4222" s="3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3">
      <c r="A4223" s="65" t="inlineStr">
        <is>
          <t>05/06/2020</t>
        </is>
      </c>
      <c r="B4223" s="8" t="n">
        <v>115.6664209635</v>
      </c>
      <c r="C4223" s="13" t="n"/>
      <c r="D4223" s="3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4">
      <c r="A4224" s="65" t="inlineStr">
        <is>
          <t>08/06/2020</t>
        </is>
      </c>
      <c r="B4224" s="8" t="n">
        <v>113.706987219</v>
      </c>
      <c r="C4224" s="13" t="n"/>
      <c r="D4224" s="3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5">
      <c r="A4225" s="65" t="inlineStr">
        <is>
          <t>09/06/2020</t>
        </is>
      </c>
      <c r="B4225" s="8" t="n">
        <v>115.0681205835</v>
      </c>
      <c r="C4225" s="13" t="n"/>
      <c r="D4225" s="3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6">
      <c r="A4226" s="65" t="inlineStr">
        <is>
          <t>10/06/2020</t>
        </is>
      </c>
      <c r="B4226" s="8" t="n">
        <v>114.57452277</v>
      </c>
      <c r="C4226" s="13" t="n"/>
      <c r="D4226" s="3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7">
      <c r="A4227" s="65" t="inlineStr">
        <is>
          <t>12/06/2020</t>
        </is>
      </c>
      <c r="B4227" s="8" t="n">
        <v>114.155712504</v>
      </c>
      <c r="C4227" s="13" t="n"/>
      <c r="D4227" s="3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8">
      <c r="A4228" s="65" t="inlineStr">
        <is>
          <t>15/06/2020</t>
        </is>
      </c>
      <c r="B4228" s="8" t="n">
        <v>113.2433044245</v>
      </c>
      <c r="C4228" s="13" t="n"/>
      <c r="D4228" s="3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9">
      <c r="A4229" s="65" t="inlineStr">
        <is>
          <t>16/06/2020</t>
        </is>
      </c>
      <c r="B4229" s="8" t="n">
        <v>113.5424546145</v>
      </c>
      <c r="C4229" s="13" t="n"/>
      <c r="D4229" s="3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0">
      <c r="A4230" s="65" t="inlineStr">
        <is>
          <t>17/06/2020</t>
        </is>
      </c>
      <c r="B4230" s="8" t="n">
        <v>114.1108399755</v>
      </c>
      <c r="C4230" s="13" t="n"/>
      <c r="D4230" s="3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1">
      <c r="A4231" s="65" t="inlineStr">
        <is>
          <t>18/06/2020</t>
        </is>
      </c>
      <c r="B4231" s="8" t="n">
        <v>114.395032656</v>
      </c>
      <c r="C4231" s="13" t="n"/>
      <c r="D4231" s="3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2">
      <c r="A4232" s="65" t="inlineStr">
        <is>
          <t>19/06/2020</t>
        </is>
      </c>
      <c r="B4232" s="8" t="n">
        <v>114.2305000515</v>
      </c>
      <c r="C4232" s="13" t="n"/>
      <c r="D4232" s="3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3">
      <c r="A4233" s="65" t="inlineStr">
        <is>
          <t>22/06/2020</t>
        </is>
      </c>
      <c r="B4233" s="8" t="n">
        <v>114.3202451085</v>
      </c>
      <c r="C4233" s="13" t="n"/>
      <c r="D4233" s="3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4">
      <c r="A4234" s="65" t="inlineStr">
        <is>
          <t>23/06/2020</t>
        </is>
      </c>
      <c r="B4234" s="8" t="n">
        <v>114.933502998</v>
      </c>
      <c r="C4234" s="13" t="n"/>
      <c r="D4234" s="3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5">
      <c r="A4235" s="65" t="inlineStr">
        <is>
          <t>24/06/2020</t>
        </is>
      </c>
      <c r="B4235" s="8" t="n">
        <v>113.198431896</v>
      </c>
      <c r="C4235" s="13" t="n"/>
      <c r="D4235" s="3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6">
      <c r="A4236" s="65" t="inlineStr">
        <is>
          <t>25/06/2020</t>
        </is>
      </c>
      <c r="B4236" s="8" t="n">
        <v>111.8073835125</v>
      </c>
      <c r="C4236" s="13" t="n"/>
      <c r="D4236" s="3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7">
      <c r="A4237" s="65" t="inlineStr">
        <is>
          <t>26/06/2020</t>
        </is>
      </c>
      <c r="B4237" s="8" t="n">
        <v>113.7219447285</v>
      </c>
      <c r="C4237" s="13" t="n"/>
      <c r="D4237" s="3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8">
      <c r="A4238" s="65" t="inlineStr">
        <is>
          <t>29/06/2020</t>
        </is>
      </c>
      <c r="B4238" s="8" t="n">
        <v>114.245457561</v>
      </c>
      <c r="C4238" s="13" t="n"/>
      <c r="D4238" s="3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9">
      <c r="A4239" s="65" t="inlineStr">
        <is>
          <t>30/06/2020</t>
        </is>
      </c>
      <c r="B4239" s="8" t="n">
        <v>113.856562314</v>
      </c>
      <c r="C4239" s="13" t="n"/>
      <c r="D4239" s="3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0">
      <c r="A4240" s="65" t="inlineStr">
        <is>
          <t>01/07/2020</t>
        </is>
      </c>
      <c r="B4240" s="8" t="n">
        <v>111.255895732</v>
      </c>
      <c r="C4240" s="13" t="n"/>
      <c r="D4240" s="3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1">
      <c r="A4241" s="65" t="inlineStr">
        <is>
          <t>02/07/2020</t>
        </is>
      </c>
      <c r="B4241" s="8" t="n">
        <v>111.914301217</v>
      </c>
      <c r="C4241" s="13" t="n"/>
      <c r="D4241" s="3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2">
      <c r="A4242" s="65" t="inlineStr">
        <is>
          <t>03/07/2020</t>
        </is>
      </c>
      <c r="B4242" s="8" t="n">
        <v>111.1973708</v>
      </c>
      <c r="C4242" s="13" t="n"/>
      <c r="D4242" s="3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3">
      <c r="A4243" s="65" t="inlineStr">
        <is>
          <t>06/07/2020</t>
        </is>
      </c>
      <c r="B4243" s="8" t="n">
        <v>112.104507246</v>
      </c>
      <c r="C4243" s="13" t="n"/>
      <c r="D4243" s="3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4">
      <c r="A4244" s="65" t="inlineStr">
        <is>
          <t>07/07/2020</t>
        </is>
      </c>
      <c r="B4244" s="8" t="n">
        <v>110.846221208</v>
      </c>
      <c r="C4244" s="13" t="n"/>
      <c r="D4244" s="3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5">
      <c r="A4245" s="65" t="inlineStr">
        <is>
          <t>08/07/2020</t>
        </is>
      </c>
      <c r="B4245" s="8" t="n">
        <v>112.572706702</v>
      </c>
      <c r="C4245" s="13" t="n"/>
      <c r="D4245" s="3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6">
      <c r="A4246" s="65" t="inlineStr">
        <is>
          <t>09/07/2020</t>
        </is>
      </c>
      <c r="B4246" s="8" t="n">
        <v>112.80680643</v>
      </c>
      <c r="C4246" s="13" t="n"/>
      <c r="D4246" s="3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7">
      <c r="A4247" s="65" t="inlineStr">
        <is>
          <t>10/07/2020</t>
        </is>
      </c>
      <c r="B4247" s="8" t="n">
        <v>113.040906158</v>
      </c>
      <c r="C4247" s="13" t="n"/>
      <c r="D4247" s="3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8">
      <c r="A4248" s="65" t="inlineStr">
        <is>
          <t>13/07/2020</t>
        </is>
      </c>
      <c r="B4248" s="8" t="n">
        <v>113.435949449</v>
      </c>
      <c r="C4248" s="13" t="n"/>
      <c r="D4248" s="3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9">
      <c r="A4249" s="65" t="inlineStr">
        <is>
          <t>14/07/2020</t>
        </is>
      </c>
      <c r="B4249" s="8" t="n">
        <v>113.333530818</v>
      </c>
      <c r="C4249" s="13" t="n"/>
      <c r="D4249" s="3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0">
      <c r="A4250" s="65" t="inlineStr">
        <is>
          <t>15/07/2020</t>
        </is>
      </c>
      <c r="B4250" s="8" t="n">
        <v>113.084799857</v>
      </c>
      <c r="C4250" s="13" t="n"/>
      <c r="D4250" s="3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1">
      <c r="A4251" s="65" t="inlineStr">
        <is>
          <t>16/07/2020</t>
        </is>
      </c>
      <c r="B4251" s="8" t="n">
        <v>113.860255206</v>
      </c>
      <c r="C4251" s="13" t="n"/>
      <c r="D4251" s="3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2">
      <c r="A4252" s="65" t="inlineStr">
        <is>
          <t>17/07/2020</t>
        </is>
      </c>
      <c r="B4252" s="8" t="n">
        <v>112.997012459</v>
      </c>
      <c r="C4252" s="13" t="n"/>
      <c r="D4252" s="3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3">
      <c r="A4253" s="65" t="inlineStr">
        <is>
          <t>20/07/2020</t>
        </is>
      </c>
      <c r="B4253" s="8" t="n">
        <v>112.719019032</v>
      </c>
      <c r="C4253" s="13" t="n"/>
      <c r="D4253" s="3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4">
      <c r="A4254" s="65" t="inlineStr">
        <is>
          <t>21/07/2020</t>
        </is>
      </c>
      <c r="B4254" s="8" t="n">
        <v>112.95311876</v>
      </c>
      <c r="C4254" s="13" t="n"/>
      <c r="D4254" s="3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5">
      <c r="A4255" s="65" t="inlineStr">
        <is>
          <t>22/07/2020</t>
        </is>
      </c>
      <c r="B4255" s="8" t="n">
        <v>113.83099274</v>
      </c>
      <c r="C4255" s="13" t="n"/>
      <c r="D4255" s="3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6">
      <c r="A4256" s="65" t="inlineStr">
        <is>
          <t>23/07/2020</t>
        </is>
      </c>
      <c r="B4256" s="8" t="n">
        <v>114.035830002</v>
      </c>
      <c r="C4256" s="13" t="n"/>
      <c r="D4256" s="3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7">
      <c r="A4257" s="65" t="inlineStr">
        <is>
          <t>24/07/2020</t>
        </is>
      </c>
      <c r="B4257" s="8" t="n">
        <v>114.840547817</v>
      </c>
      <c r="C4257" s="13" t="n"/>
      <c r="D4257" s="3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8">
      <c r="A4258" s="65" t="inlineStr">
        <is>
          <t>27/07/2020</t>
        </is>
      </c>
      <c r="B4258" s="8" t="n">
        <v>114.635710555</v>
      </c>
      <c r="C4258" s="13" t="n"/>
      <c r="D4258" s="3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9">
      <c r="A4259" s="65" t="inlineStr">
        <is>
          <t>28/07/2020</t>
        </is>
      </c>
      <c r="B4259" s="8" t="n">
        <v>114.211404798</v>
      </c>
      <c r="C4259" s="13" t="n"/>
      <c r="D4259" s="3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0">
      <c r="A4260" s="65" t="inlineStr">
        <is>
          <t>29/07/2020</t>
        </is>
      </c>
      <c r="B4260" s="8" t="n">
        <v>114.884441516</v>
      </c>
      <c r="C4260" s="13" t="n"/>
      <c r="D4260" s="3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1">
      <c r="A4261" s="65" t="inlineStr">
        <is>
          <t>30/07/2020</t>
        </is>
      </c>
      <c r="B4261" s="8" t="n">
        <v>114.108986167</v>
      </c>
      <c r="C4261" s="13" t="n"/>
      <c r="D4261" s="3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2">
      <c r="A4262" s="65" t="inlineStr">
        <is>
          <t>31/07/2020</t>
        </is>
      </c>
      <c r="B4262" s="8" t="n">
        <v>114.796654118</v>
      </c>
      <c r="C4262" s="13" t="n"/>
      <c r="D4262" s="3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3">
      <c r="A4263" s="65" t="inlineStr">
        <is>
          <t>03/08/2020</t>
        </is>
      </c>
      <c r="B4263" s="8" t="n">
        <v>112.4756454624</v>
      </c>
      <c r="C4263" s="13" t="n"/>
      <c r="D4263" s="3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4">
      <c r="A4264" s="65" t="inlineStr">
        <is>
          <t>04/08/2020</t>
        </is>
      </c>
      <c r="B4264" s="8" t="n">
        <v>113.3870713056</v>
      </c>
      <c r="C4264" s="13" t="n"/>
      <c r="D4264" s="3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5">
      <c r="A4265" s="65" t="inlineStr">
        <is>
          <t>05/08/2020</t>
        </is>
      </c>
      <c r="B4265" s="8" t="n">
        <v>112.1338607712</v>
      </c>
      <c r="C4265" s="13" t="n"/>
      <c r="D4265" s="3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6">
      <c r="A4266" s="65" t="inlineStr">
        <is>
          <t>06/08/2020</t>
        </is>
      </c>
      <c r="B4266" s="8" t="n">
        <v>112.7604660384</v>
      </c>
      <c r="C4266" s="13" t="n"/>
      <c r="D4266" s="3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7">
      <c r="A4267" s="65" t="inlineStr">
        <is>
          <t>07/08/2020</t>
        </is>
      </c>
      <c r="B4267" s="8" t="n">
        <v>112.7604660384</v>
      </c>
      <c r="C4267" s="13" t="n"/>
      <c r="D4267" s="3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8">
      <c r="A4268" s="65" t="inlineStr">
        <is>
          <t>10/08/2020</t>
        </is>
      </c>
      <c r="B4268" s="8" t="n">
        <v>113.2589020464</v>
      </c>
      <c r="C4268" s="13" t="n"/>
      <c r="D4268" s="3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9">
      <c r="A4269" s="65" t="inlineStr">
        <is>
          <t>11/08/2020</t>
        </is>
      </c>
      <c r="B4269" s="8" t="n">
        <v>112.8459122112</v>
      </c>
      <c r="C4269" s="13" t="n"/>
      <c r="D4269" s="3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0">
      <c r="A4270" s="65" t="inlineStr">
        <is>
          <t>12/08/2020</t>
        </is>
      </c>
      <c r="B4270" s="8" t="n">
        <v>113.8427842272</v>
      </c>
      <c r="C4270" s="13" t="n"/>
      <c r="D4270" s="3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1">
      <c r="A4271" s="65" t="inlineStr">
        <is>
          <t>13/08/2020</t>
        </is>
      </c>
      <c r="B4271" s="8" t="n">
        <v>114.5121125808</v>
      </c>
      <c r="C4271" s="13" t="n"/>
      <c r="D4271" s="3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2">
      <c r="A4272" s="65" t="inlineStr">
        <is>
          <t>14/08/2020</t>
        </is>
      </c>
      <c r="B4272" s="8" t="n">
        <v>115.9646975184</v>
      </c>
      <c r="C4272" s="13" t="n"/>
      <c r="D4272" s="3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3">
      <c r="A4273" s="65" t="inlineStr">
        <is>
          <t>17/08/2020</t>
        </is>
      </c>
      <c r="B4273" s="8" t="n">
        <v>115.138717848</v>
      </c>
      <c r="C4273" s="13" t="n"/>
      <c r="D4273" s="3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4">
      <c r="A4274" s="65" t="inlineStr">
        <is>
          <t>18/08/2020</t>
        </is>
      </c>
      <c r="B4274" s="8" t="n">
        <v>116.0928667776</v>
      </c>
      <c r="C4274" s="13" t="n"/>
      <c r="D4274" s="3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5">
      <c r="A4275" s="65" t="inlineStr">
        <is>
          <t>19/08/2020</t>
        </is>
      </c>
      <c r="B4275" s="8" t="n">
        <v>116.4631335264</v>
      </c>
      <c r="C4275" s="13" t="n"/>
      <c r="D4275" s="3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6">
      <c r="A4276" s="65" t="inlineStr">
        <is>
          <t>20/08/2020</t>
        </is>
      </c>
      <c r="B4276" s="8" t="n">
        <v>117.203667024</v>
      </c>
      <c r="C4276" s="13" t="n"/>
      <c r="D4276" s="3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7">
      <c r="A4277" s="65" t="inlineStr">
        <is>
          <t>21/08/2020</t>
        </is>
      </c>
      <c r="B4277" s="8" t="n">
        <v>118.1008518384</v>
      </c>
      <c r="C4277" s="13" t="n"/>
      <c r="D4277" s="3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8">
      <c r="A4278" s="65" t="inlineStr">
        <is>
          <t>24/08/2020</t>
        </is>
      </c>
      <c r="B4278" s="8" t="n">
        <v>118.3856724144</v>
      </c>
      <c r="C4278" s="13" t="n"/>
      <c r="D4278" s="3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9">
      <c r="A4279" s="65" t="inlineStr">
        <is>
          <t>25/08/2020</t>
        </is>
      </c>
      <c r="B4279" s="8" t="n">
        <v>118.8556263648</v>
      </c>
      <c r="C4279" s="13" t="n"/>
      <c r="D4279" s="3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0">
      <c r="A4280" s="65" t="inlineStr">
        <is>
          <t>26/08/2020</t>
        </is>
      </c>
      <c r="B4280" s="8" t="n">
        <v>119.8240163232</v>
      </c>
      <c r="C4280" s="13" t="n"/>
      <c r="D4280" s="3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1">
      <c r="A4281" s="65" t="inlineStr">
        <is>
          <t>27/08/2020</t>
        </is>
      </c>
      <c r="B4281" s="8" t="n">
        <v>120.0945958704</v>
      </c>
      <c r="C4281" s="13" t="n"/>
      <c r="D4281" s="3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2">
      <c r="A4282" s="65" t="inlineStr">
        <is>
          <t>28/08/2020</t>
        </is>
      </c>
      <c r="B4282" s="8" t="n">
        <v>120.2512471872</v>
      </c>
      <c r="C4282" s="13" t="n"/>
      <c r="D4282" s="3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3">
      <c r="A4283" s="65" t="inlineStr">
        <is>
          <t>31/08/2020</t>
        </is>
      </c>
      <c r="B4283" s="8" t="n">
        <v>121.2338781744</v>
      </c>
      <c r="C4283" s="13" t="n"/>
      <c r="D4283" s="3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4">
      <c r="A4284" s="65" t="inlineStr">
        <is>
          <t>01/09/2020</t>
        </is>
      </c>
      <c r="B4284" s="8" t="n">
        <v>116.2321265192</v>
      </c>
      <c r="C4284" s="13" t="n"/>
      <c r="D4284" s="3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5">
      <c r="A4285" s="65" t="inlineStr">
        <is>
          <t>02/09/2020</t>
        </is>
      </c>
      <c r="B4285" s="8" t="n">
        <v>116.5460460718</v>
      </c>
      <c r="C4285" s="13" t="n"/>
      <c r="D4285" s="3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6">
      <c r="A4286" s="65" t="inlineStr">
        <is>
          <t>03/09/2020</t>
        </is>
      </c>
      <c r="B4286" s="8" t="n">
        <v>116.6415868052</v>
      </c>
      <c r="C4286" s="13" t="n"/>
      <c r="D4286" s="3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7">
      <c r="A4287" s="65" t="inlineStr">
        <is>
          <t>04/09/2020</t>
        </is>
      </c>
      <c r="B4287" s="8" t="n">
        <v>117.0237497388</v>
      </c>
      <c r="C4287" s="13" t="n"/>
      <c r="D4287" s="3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8">
      <c r="A4288" s="65" t="inlineStr">
        <is>
          <t>08/09/2020</t>
        </is>
      </c>
      <c r="B4288" s="8" t="n">
        <v>117.0783444436</v>
      </c>
      <c r="C4288" s="13" t="n"/>
      <c r="D4288" s="3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9">
      <c r="A4289" s="65" t="inlineStr">
        <is>
          <t>09/09/2020</t>
        </is>
      </c>
      <c r="B4289" s="8" t="n">
        <v>118.197535892</v>
      </c>
      <c r="C4289" s="13" t="n"/>
      <c r="D4289" s="3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0">
      <c r="A4290" s="65" t="inlineStr">
        <is>
          <t>10/09/2020</t>
        </is>
      </c>
      <c r="B4290" s="8" t="n">
        <v>116.7234788624</v>
      </c>
      <c r="C4290" s="13" t="n"/>
      <c r="D4290" s="3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1">
      <c r="A4291" s="65" t="inlineStr">
        <is>
          <t>11/09/2020</t>
        </is>
      </c>
      <c r="B4291" s="8" t="n">
        <v>117.37861532</v>
      </c>
      <c r="C4291" s="13" t="n"/>
      <c r="D4291" s="3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2">
      <c r="A4292" s="65" t="inlineStr">
        <is>
          <t>14/09/2020</t>
        </is>
      </c>
      <c r="B4292" s="8" t="n">
        <v>117.1465878246</v>
      </c>
      <c r="C4292" s="13" t="n"/>
      <c r="D4292" s="3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3">
      <c r="A4293" s="65" t="inlineStr">
        <is>
          <t>15/09/2020</t>
        </is>
      </c>
      <c r="B4293" s="8" t="n">
        <v>117.9655083966</v>
      </c>
      <c r="C4293" s="13" t="n"/>
      <c r="D4293" s="3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4">
      <c r="A4294" s="65" t="inlineStr">
        <is>
          <t>16/09/2020</t>
        </is>
      </c>
      <c r="B4294" s="8" t="n">
        <v>118.0337517776</v>
      </c>
      <c r="C4294" s="13" t="n"/>
      <c r="D4294" s="3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5">
      <c r="A4295" s="65" t="inlineStr">
        <is>
          <t>17/09/2020</t>
        </is>
      </c>
      <c r="B4295" s="8" t="n">
        <v>117.5969941392</v>
      </c>
      <c r="C4295" s="13" t="n"/>
      <c r="D4295" s="3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6">
      <c r="A4296" s="65" t="inlineStr">
        <is>
          <t>18/09/2020</t>
        </is>
      </c>
      <c r="B4296" s="8" t="n">
        <v>118.6479422066</v>
      </c>
      <c r="C4296" s="13" t="n"/>
      <c r="D4296" s="3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7">
      <c r="A4297" s="65" t="inlineStr">
        <is>
          <t>21/09/2020</t>
        </is>
      </c>
      <c r="B4297" s="8" t="n">
        <v>117.4741560534</v>
      </c>
      <c r="C4297" s="13" t="n"/>
      <c r="D4297" s="3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8">
      <c r="A4298" s="65" t="inlineStr">
        <is>
          <t>22/09/2020</t>
        </is>
      </c>
      <c r="B4298" s="8" t="n">
        <v>117.7471295774</v>
      </c>
      <c r="C4298" s="13" t="n"/>
      <c r="D4298" s="3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9">
      <c r="A4299" s="65" t="inlineStr">
        <is>
          <t>23/09/2020</t>
        </is>
      </c>
      <c r="B4299" s="8" t="n">
        <v>118.4295633874</v>
      </c>
      <c r="C4299" s="13" t="n"/>
      <c r="D4299" s="3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0">
      <c r="A4300" s="65" t="inlineStr">
        <is>
          <t>24/09/2020</t>
        </is>
      </c>
      <c r="B4300" s="8" t="n">
        <v>119.5351061596</v>
      </c>
      <c r="C4300" s="13" t="n"/>
      <c r="D4300" s="3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1">
      <c r="A4301" s="65" t="inlineStr">
        <is>
          <t>25/09/2020</t>
        </is>
      </c>
      <c r="B4301" s="8" t="n">
        <v>120.1492965886</v>
      </c>
      <c r="C4301" s="13" t="n"/>
      <c r="D4301" s="3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2">
      <c r="A4302" s="65" t="inlineStr">
        <is>
          <t>28/09/2020</t>
        </is>
      </c>
      <c r="B4302" s="8" t="n">
        <v>120.4222701126</v>
      </c>
      <c r="C4302" s="13" t="n"/>
      <c r="D4302" s="3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3">
      <c r="A4303" s="65" t="inlineStr">
        <is>
          <t>29/09/2020</t>
        </is>
      </c>
      <c r="B4303" s="8" t="n">
        <v>120.3540267316</v>
      </c>
      <c r="C4303" s="13" t="n"/>
      <c r="D4303" s="3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4">
      <c r="A4304" s="65" t="inlineStr">
        <is>
          <t>30/09/2020</t>
        </is>
      </c>
      <c r="B4304" s="8" t="n">
        <v>120.8180817224</v>
      </c>
      <c r="C4304" s="13" t="n"/>
      <c r="D4304" s="3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5">
      <c r="A4305" s="65" t="inlineStr">
        <is>
          <t>01/10/2020</t>
        </is>
      </c>
      <c r="B4305" s="8" t="n">
        <v>118.055827122</v>
      </c>
      <c r="C4305" s="13" t="n"/>
      <c r="D4305" s="3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6">
      <c r="A4306" s="65" t="inlineStr">
        <is>
          <t>02/10/2020</t>
        </is>
      </c>
      <c r="B4306" s="8" t="n">
        <v>118.359924336</v>
      </c>
      <c r="C4306" s="13" t="n"/>
      <c r="D4306" s="3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7">
      <c r="A4307" s="65" t="inlineStr">
        <is>
          <t>05/10/2020</t>
        </is>
      </c>
      <c r="B4307" s="8" t="n">
        <v>117.93683256</v>
      </c>
      <c r="C4307" s="13" t="n"/>
      <c r="D4307" s="3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8">
      <c r="A4308" s="65" t="inlineStr">
        <is>
          <t>06/10/2020</t>
        </is>
      </c>
      <c r="B4308" s="8" t="n">
        <v>119.19288627</v>
      </c>
      <c r="C4308" s="13" t="n"/>
      <c r="D4308" s="3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9">
      <c r="A4309" s="65" t="inlineStr">
        <is>
          <t>07/10/2020</t>
        </is>
      </c>
      <c r="B4309" s="8" t="n">
        <v>119.311880832</v>
      </c>
      <c r="C4309" s="13" t="n"/>
      <c r="D4309" s="3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0">
      <c r="A4310" s="65" t="inlineStr">
        <is>
          <t>08/10/2020</t>
        </is>
      </c>
      <c r="B4310" s="8" t="n">
        <v>119.933296878</v>
      </c>
      <c r="C4310" s="13" t="n"/>
      <c r="D4310" s="3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1">
      <c r="A4311" s="65" t="inlineStr">
        <is>
          <t>09/10/2020</t>
        </is>
      </c>
      <c r="B4311" s="8" t="n">
        <v>119.470540248</v>
      </c>
      <c r="C4311" s="13" t="n"/>
      <c r="D4311" s="3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2">
      <c r="A4312" s="65" t="inlineStr">
        <is>
          <t>13/10/2020</t>
        </is>
      </c>
      <c r="B4312" s="8" t="n">
        <v>119.549869956</v>
      </c>
      <c r="C4312" s="13" t="n"/>
      <c r="D4312" s="3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3">
      <c r="A4313" s="65" t="inlineStr">
        <is>
          <t>14/10/2020</t>
        </is>
      </c>
      <c r="B4313" s="8" t="n">
        <v>120.091956294</v>
      </c>
      <c r="C4313" s="13" t="n"/>
      <c r="D4313" s="3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4">
      <c r="A4314" s="65" t="inlineStr">
        <is>
          <t>15/10/2020</t>
        </is>
      </c>
      <c r="B4314" s="8" t="n">
        <v>120.924918228</v>
      </c>
      <c r="C4314" s="13" t="n"/>
      <c r="D4314" s="3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5">
      <c r="A4315" s="65" t="inlineStr">
        <is>
          <t>16/10/2020</t>
        </is>
      </c>
      <c r="B4315" s="8" t="n">
        <v>121.255458678</v>
      </c>
      <c r="C4315" s="13" t="n"/>
      <c r="D4315" s="3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6">
      <c r="A4316" s="65" t="inlineStr">
        <is>
          <t>19/10/2020</t>
        </is>
      </c>
      <c r="B4316" s="8" t="n">
        <v>122.551177242</v>
      </c>
      <c r="C4316" s="13" t="n"/>
      <c r="D4316" s="3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7">
      <c r="A4317" s="65" t="inlineStr">
        <is>
          <t>20/10/2020</t>
        </is>
      </c>
      <c r="B4317" s="8" t="n">
        <v>124.970733336</v>
      </c>
      <c r="C4317" s="13" t="n"/>
      <c r="D4317" s="3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8">
      <c r="A4318" s="65" t="inlineStr">
        <is>
          <t>21/10/2020</t>
        </is>
      </c>
      <c r="B4318" s="8" t="n">
        <v>125.34093864</v>
      </c>
      <c r="C4318" s="13" t="n"/>
      <c r="D4318" s="3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9">
      <c r="A4319" s="65" t="inlineStr">
        <is>
          <t>22/10/2020</t>
        </is>
      </c>
      <c r="B4319" s="8" t="n">
        <v>126.86142471</v>
      </c>
      <c r="C4319" s="13" t="n"/>
      <c r="D4319" s="3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0">
      <c r="A4320" s="65" t="inlineStr">
        <is>
          <t>23/10/2020</t>
        </is>
      </c>
      <c r="B4320" s="8" t="n">
        <v>128.805002556</v>
      </c>
      <c r="C4320" s="13" t="n"/>
      <c r="D4320" s="3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1">
      <c r="A4321" s="65" t="inlineStr">
        <is>
          <t>26/10/2020</t>
        </is>
      </c>
      <c r="B4321" s="8" t="n">
        <v>130.841131728</v>
      </c>
      <c r="C4321" s="13" t="n"/>
      <c r="D4321" s="3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2">
      <c r="A4322" s="65" t="inlineStr">
        <is>
          <t>27/10/2020</t>
        </is>
      </c>
      <c r="B4322" s="8" t="n">
        <v>131.118785706</v>
      </c>
      <c r="C4322" s="13" t="n"/>
      <c r="D4322" s="3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3">
      <c r="A4323" s="65" t="inlineStr">
        <is>
          <t>28/10/2020</t>
        </is>
      </c>
      <c r="B4323" s="8" t="n">
        <v>132.692158248</v>
      </c>
      <c r="C4323" s="13" t="n"/>
      <c r="D4323" s="3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4">
      <c r="A4324" s="65" t="inlineStr">
        <is>
          <t>29/10/2020</t>
        </is>
      </c>
      <c r="B4324" s="8" t="n">
        <v>132.731823102</v>
      </c>
      <c r="C4324" s="13" t="n"/>
      <c r="D4324" s="3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5">
      <c r="A4325" s="65" t="inlineStr">
        <is>
          <t>30/10/2020</t>
        </is>
      </c>
      <c r="B4325" s="8" t="n">
        <v>133.022698698</v>
      </c>
      <c r="C4325" s="13" t="n"/>
      <c r="D4325" s="3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6">
      <c r="A4326" s="65" t="inlineStr">
        <is>
          <t>03/11/2020</t>
        </is>
      </c>
      <c r="B4326" s="8" t="n">
        <v>129.092559606</v>
      </c>
      <c r="C4326" s="13" t="n"/>
      <c r="D4326" s="3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7">
      <c r="A4327" s="65" t="inlineStr">
        <is>
          <t>04/11/2020</t>
        </is>
      </c>
      <c r="B4327" s="8" t="n">
        <v>130.782386844</v>
      </c>
      <c r="C4327" s="13" t="n"/>
      <c r="D4327" s="3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8">
      <c r="A4328" s="65" t="inlineStr">
        <is>
          <t>05/11/2020</t>
        </is>
      </c>
      <c r="B4328" s="8" t="n">
        <v>130.8976023375</v>
      </c>
      <c r="C4328" s="13" t="n"/>
      <c r="D4328" s="3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9">
      <c r="A4329" s="65" t="inlineStr">
        <is>
          <t>06/11/2020</t>
        </is>
      </c>
      <c r="B4329" s="8" t="n">
        <v>132.1265676015</v>
      </c>
      <c r="C4329" s="13" t="n"/>
      <c r="D4329" s="3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0">
      <c r="A4330" s="65" t="inlineStr">
        <is>
          <t>09/11/2020</t>
        </is>
      </c>
      <c r="B4330" s="8" t="n">
        <v>132.1521710445</v>
      </c>
      <c r="C4330" s="13" t="n"/>
      <c r="D4330" s="3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1">
      <c r="A4331" s="65" t="inlineStr">
        <is>
          <t>10/11/2020</t>
        </is>
      </c>
      <c r="B4331" s="8" t="n">
        <v>133.5091535235</v>
      </c>
      <c r="C4331" s="13" t="n"/>
      <c r="D4331" s="3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2">
      <c r="A4332" s="65" t="inlineStr">
        <is>
          <t>11/11/2020</t>
        </is>
      </c>
      <c r="B4332" s="8" t="n">
        <v>134.597299851</v>
      </c>
      <c r="C4332" s="13" t="n"/>
      <c r="D4332" s="3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3">
      <c r="A4333" s="65" t="inlineStr">
        <is>
          <t>12/11/2020</t>
        </is>
      </c>
      <c r="B4333" s="8" t="n">
        <v>134.110834434</v>
      </c>
      <c r="C4333" s="13" t="n"/>
      <c r="D4333" s="3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4">
      <c r="A4334" s="65" t="inlineStr">
        <is>
          <t>13/11/2020</t>
        </is>
      </c>
      <c r="B4334" s="8" t="n">
        <v>134.597299851</v>
      </c>
      <c r="C4334" s="13" t="n"/>
      <c r="D4334" s="3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5">
      <c r="A4335" s="65" t="inlineStr">
        <is>
          <t>16/11/2020</t>
        </is>
      </c>
      <c r="B4335" s="8" t="n">
        <v>135.109368711</v>
      </c>
      <c r="C4335" s="13" t="n"/>
      <c r="D4335" s="3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6">
      <c r="A4336" s="65" t="inlineStr">
        <is>
          <t>17/11/2020</t>
        </is>
      </c>
      <c r="B4336" s="8" t="n">
        <v>136.159109874</v>
      </c>
      <c r="C4336" s="13" t="n"/>
      <c r="D4336" s="3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7">
      <c r="A4337" s="65" t="inlineStr">
        <is>
          <t>18/11/2020</t>
        </is>
      </c>
      <c r="B4337" s="8" t="n">
        <v>137.8873422765</v>
      </c>
      <c r="C4337" s="13" t="n"/>
      <c r="D4337" s="3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8">
      <c r="A4338" s="65" t="inlineStr">
        <is>
          <t>19/11/2020</t>
        </is>
      </c>
      <c r="B4338" s="8" t="n">
        <v>138.00255777</v>
      </c>
      <c r="C4338" s="13" t="n"/>
      <c r="D4338" s="3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9">
      <c r="A4339" s="65" t="inlineStr">
        <is>
          <t>20/11/2020</t>
        </is>
      </c>
      <c r="B4339" s="8" t="n">
        <v>138.3482042505</v>
      </c>
      <c r="C4339" s="13" t="n"/>
      <c r="D4339" s="3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0">
      <c r="A4340" s="65" t="inlineStr">
        <is>
          <t>23/11/2020</t>
        </is>
      </c>
      <c r="B4340" s="8" t="n">
        <v>139.129109262</v>
      </c>
      <c r="C4340" s="13" t="n"/>
      <c r="D4340" s="3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1">
      <c r="A4341" s="65" t="inlineStr">
        <is>
          <t>24/11/2020</t>
        </is>
      </c>
      <c r="B4341" s="8" t="n">
        <v>139.487557464</v>
      </c>
      <c r="C4341" s="13" t="n"/>
      <c r="D4341" s="3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2">
      <c r="A4342" s="65" t="inlineStr">
        <is>
          <t>25/11/2020</t>
        </is>
      </c>
      <c r="B4342" s="8" t="n">
        <v>140.0892383745</v>
      </c>
      <c r="C4342" s="13" t="n"/>
      <c r="D4342" s="3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3">
      <c r="A4343" s="65" t="inlineStr">
        <is>
          <t>26/11/2020</t>
        </is>
      </c>
      <c r="B4343" s="8" t="n">
        <v>140.281264197</v>
      </c>
      <c r="C4343" s="13" t="n"/>
      <c r="D4343" s="3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4">
      <c r="A4344" s="65" t="inlineStr">
        <is>
          <t>27/11/2020</t>
        </is>
      </c>
      <c r="B4344" s="8" t="n">
        <v>140.6781175635</v>
      </c>
      <c r="C4344" s="13" t="n"/>
      <c r="D4344" s="3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5">
      <c r="A4345" s="65" t="inlineStr">
        <is>
          <t>30/11/2020</t>
        </is>
      </c>
      <c r="B4345" s="8" t="n">
        <v>141.8302724985</v>
      </c>
      <c r="C4345" s="13" t="n"/>
      <c r="D4345" s="3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6">
      <c r="A4346" s="65" t="inlineStr">
        <is>
          <t>01/12/2020</t>
        </is>
      </c>
      <c r="B4346" s="8" t="n">
        <v>138.6050100416</v>
      </c>
      <c r="C4346" s="13" t="n"/>
      <c r="D4346" s="3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7">
      <c r="A4347" s="65" t="inlineStr">
        <is>
          <t>02/12/2020</t>
        </is>
      </c>
      <c r="B4347" s="8" t="n">
        <v>136.8424909312</v>
      </c>
      <c r="C4347" s="13" t="n"/>
      <c r="D4347" s="3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8">
      <c r="A4348" s="65" t="inlineStr">
        <is>
          <t>03/12/2020</t>
        </is>
      </c>
      <c r="B4348" s="8" t="n">
        <v>138.2880102016</v>
      </c>
      <c r="C4348" s="13" t="n"/>
      <c r="D4348" s="3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9">
      <c r="A4349" s="65" t="inlineStr">
        <is>
          <t>04/12/2020</t>
        </is>
      </c>
      <c r="B4349" s="8" t="n">
        <v>139.8349694208</v>
      </c>
      <c r="C4349" s="13" t="n"/>
      <c r="D4349" s="3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0">
      <c r="A4350" s="65" t="inlineStr">
        <is>
          <t>07/12/2020</t>
        </is>
      </c>
      <c r="B4350" s="8" t="n">
        <v>140.6084490304</v>
      </c>
      <c r="C4350" s="13" t="n"/>
      <c r="D4350" s="3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1">
      <c r="A4351" s="65" t="inlineStr">
        <is>
          <t>08/12/2020</t>
        </is>
      </c>
      <c r="B4351" s="8" t="n">
        <v>140.5450490624</v>
      </c>
      <c r="C4351" s="13" t="n"/>
      <c r="D4351" s="3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2">
      <c r="A4352" s="65" t="inlineStr">
        <is>
          <t>09/12/2020</t>
        </is>
      </c>
      <c r="B4352" s="8" t="n">
        <v>140.7732889472</v>
      </c>
      <c r="C4352" s="13" t="n"/>
      <c r="D4352" s="3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3">
      <c r="A4353" s="65" t="inlineStr">
        <is>
          <t>10/12/2020</t>
        </is>
      </c>
      <c r="B4353" s="8" t="n">
        <v>141.9652083456</v>
      </c>
      <c r="C4353" s="13" t="n"/>
      <c r="D4353" s="3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4">
      <c r="A4354" s="65" t="inlineStr">
        <is>
          <t>11/12/2020</t>
        </is>
      </c>
      <c r="B4354" s="8" t="n">
        <v>133.8119724608</v>
      </c>
      <c r="C4354" s="13" t="n"/>
      <c r="D4354" s="3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5">
      <c r="A4355" s="65" t="inlineStr">
        <is>
          <t>14/12/2020</t>
        </is>
      </c>
      <c r="B4355" s="8" t="n">
        <v>137.3623706688</v>
      </c>
      <c r="C4355" s="13" t="n"/>
      <c r="D4355" s="3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6">
      <c r="A4356" s="65" t="inlineStr">
        <is>
          <t>15/12/2020</t>
        </is>
      </c>
      <c r="B4356" s="8" t="n">
        <v>138.7571699648</v>
      </c>
      <c r="C4356" s="13" t="n"/>
      <c r="D4356" s="3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7">
      <c r="A4357" s="65" t="inlineStr">
        <is>
          <t>16/12/2020</t>
        </is>
      </c>
      <c r="B4357" s="8" t="n">
        <v>136.0309713408</v>
      </c>
      <c r="C4357" s="13" t="n"/>
      <c r="D4357" s="3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8">
      <c r="A4358" s="65" t="inlineStr">
        <is>
          <t>17/12/2020</t>
        </is>
      </c>
      <c r="B4358" s="8" t="n">
        <v>136.3860111616</v>
      </c>
      <c r="C4358" s="13" t="n"/>
      <c r="D4358" s="3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9">
      <c r="A4359" s="65" t="inlineStr">
        <is>
          <t>18/12/2020</t>
        </is>
      </c>
      <c r="B4359" s="8" t="n">
        <v>136.2845712128</v>
      </c>
      <c r="C4359" s="13" t="n"/>
      <c r="D4359" s="3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0">
      <c r="A4360" s="65" t="inlineStr">
        <is>
          <t>21/12/2020</t>
        </is>
      </c>
      <c r="B4360" s="8" t="n">
        <v>137.0453708288</v>
      </c>
      <c r="C4360" s="13" t="n"/>
      <c r="D4360" s="3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1">
      <c r="A4361" s="65" t="inlineStr">
        <is>
          <t>22/12/2020</t>
        </is>
      </c>
      <c r="B4361" s="8" t="n">
        <v>137.0580508224</v>
      </c>
      <c r="C4361" s="13" t="n"/>
      <c r="D4361" s="3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2">
      <c r="A4362" s="65" t="inlineStr">
        <is>
          <t>23/12/2020</t>
        </is>
      </c>
      <c r="B4362" s="8" t="n">
        <v>136.3986911552</v>
      </c>
      <c r="C4362" s="13" t="n"/>
      <c r="D4362" s="3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3">
      <c r="A4363" s="65" t="inlineStr">
        <is>
          <t>28/12/2020</t>
        </is>
      </c>
      <c r="B4363" s="8" t="n">
        <v>137.9456503744</v>
      </c>
      <c r="C4363" s="13" t="n"/>
      <c r="D4363" s="3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4">
      <c r="A4364" s="65" t="inlineStr">
        <is>
          <t>29/12/2020</t>
        </is>
      </c>
      <c r="B4364" s="8" t="n">
        <v>137.7427704768</v>
      </c>
      <c r="C4364" s="13" t="n"/>
      <c r="D4364" s="3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5">
      <c r="A4365" s="65" t="inlineStr">
        <is>
          <t>30/12/2020</t>
        </is>
      </c>
      <c r="B4365" s="8" t="n">
        <v>136.4240511424</v>
      </c>
      <c r="C4365" s="13" t="n"/>
      <c r="D4365" s="3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6">
      <c r="A4366" s="65" t="inlineStr">
        <is>
          <t>04/01/2021</t>
        </is>
      </c>
      <c r="B4366" s="8" t="n">
        <v>132.0410330596</v>
      </c>
      <c r="C4366" s="13" t="n"/>
      <c r="D4366" s="3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7">
      <c r="A4367" s="65" t="inlineStr">
        <is>
          <t>05/01/2021</t>
        </is>
      </c>
      <c r="B4367" s="8" t="n">
        <v>133.8581114962</v>
      </c>
      <c r="C4367" s="13" t="n"/>
      <c r="D4367" s="3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8">
      <c r="A4368" s="65" t="inlineStr">
        <is>
          <t>06/01/2021</t>
        </is>
      </c>
      <c r="B4368" s="8" t="n">
        <v>132.696170183</v>
      </c>
      <c r="C4368" s="13" t="n"/>
      <c r="D4368" s="3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9">
      <c r="A4369" s="65" t="inlineStr">
        <is>
          <t>07/01/2021</t>
        </is>
      </c>
      <c r="B4369" s="8" t="n">
        <v>131.5095067142</v>
      </c>
      <c r="C4369" s="13" t="n"/>
      <c r="D4369" s="3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0">
      <c r="A4370" s="65" t="inlineStr">
        <is>
          <t>08/01/2021</t>
        </is>
      </c>
      <c r="B4370" s="8" t="n">
        <v>131.089230069</v>
      </c>
      <c r="C4370" s="13" t="n"/>
      <c r="D4370" s="3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1">
      <c r="A4371" s="65" t="inlineStr">
        <is>
          <t>11/01/2021</t>
        </is>
      </c>
      <c r="B4371" s="8" t="n">
        <v>130.656592346</v>
      </c>
      <c r="C4371" s="13" t="n"/>
      <c r="D4371" s="3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2">
      <c r="A4372" s="65" t="inlineStr">
        <is>
          <t>12/01/2021</t>
        </is>
      </c>
      <c r="B4372" s="8" t="n">
        <v>130.2981210898</v>
      </c>
      <c r="C4372" s="13" t="n"/>
      <c r="D4372" s="3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3">
      <c r="A4373" s="65" t="inlineStr">
        <is>
          <t>13/01/2021</t>
        </is>
      </c>
      <c r="B4373" s="8" t="n">
        <v>129.235068399</v>
      </c>
      <c r="C4373" s="13" t="n"/>
      <c r="D4373" s="3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4">
      <c r="A4374" s="65" t="inlineStr">
        <is>
          <t>14/01/2021</t>
        </is>
      </c>
      <c r="B4374" s="8" t="n">
        <v>129.2227073212</v>
      </c>
      <c r="C4374" s="13" t="n"/>
      <c r="D4374" s="3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5">
      <c r="A4375" s="65" t="inlineStr">
        <is>
          <t>15/01/2021</t>
        </is>
      </c>
      <c r="B4375" s="8" t="n">
        <v>128.5922923534</v>
      </c>
      <c r="C4375" s="13" t="n"/>
      <c r="D4375" s="3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6">
      <c r="A4376" s="65" t="inlineStr">
        <is>
          <t>18/01/2021</t>
        </is>
      </c>
      <c r="B4376" s="8" t="n">
        <v>128.6293755868</v>
      </c>
      <c r="C4376" s="13" t="n"/>
      <c r="D4376" s="3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7">
      <c r="A4377" s="65" t="inlineStr">
        <is>
          <t>19/01/2021</t>
        </is>
      </c>
      <c r="B4377" s="8" t="n">
        <v>129.6553450442</v>
      </c>
      <c r="C4377" s="13" t="n"/>
      <c r="D4377" s="3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8">
      <c r="A4378" s="65" t="inlineStr">
        <is>
          <t>20/01/2021</t>
        </is>
      </c>
      <c r="B4378" s="8" t="n">
        <v>129.7047893554</v>
      </c>
      <c r="C4378" s="13" t="n"/>
      <c r="D4378" s="3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9">
      <c r="A4379" s="65" t="inlineStr">
        <is>
          <t>21/01/2021</t>
        </is>
      </c>
      <c r="B4379" s="8" t="n">
        <v>132.7208923386</v>
      </c>
      <c r="C4379" s="13" t="n"/>
      <c r="D4379" s="3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0">
      <c r="A4380" s="65" t="inlineStr">
        <is>
          <t>22/01/2021</t>
        </is>
      </c>
      <c r="B4380" s="8" t="n">
        <v>133.0546414392</v>
      </c>
      <c r="C4380" s="13" t="n"/>
      <c r="D4380" s="3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1">
      <c r="A4381" s="65" t="inlineStr">
        <is>
          <t>25/01/2021</t>
        </is>
      </c>
      <c r="B4381" s="8" t="n">
        <v>131.769089348</v>
      </c>
      <c r="C4381" s="13" t="n"/>
      <c r="D4381" s="3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2">
      <c r="A4382" s="65" t="inlineStr">
        <is>
          <t>26/01/2021</t>
        </is>
      </c>
      <c r="B4382" s="8" t="n">
        <v>132.6714480274</v>
      </c>
      <c r="C4382" s="13" t="n"/>
      <c r="D4382" s="3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3">
      <c r="A4383" s="65" t="inlineStr">
        <is>
          <t>27/01/2021</t>
        </is>
      </c>
      <c r="B4383" s="8" t="n">
        <v>132.696170183</v>
      </c>
      <c r="C4383" s="13" t="n"/>
      <c r="D4383" s="3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4">
      <c r="A4384" s="65" t="inlineStr">
        <is>
          <t>28/01/2021</t>
        </is>
      </c>
      <c r="B4384" s="8" t="n">
        <v>133.808667185</v>
      </c>
      <c r="C4384" s="13" t="n"/>
      <c r="D4384" s="3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5">
      <c r="A4385" s="65" t="inlineStr">
        <is>
          <t>29/01/2021</t>
        </is>
      </c>
      <c r="B4385" s="8" t="n">
        <v>134.241304908</v>
      </c>
      <c r="C4385" s="13" t="n"/>
      <c r="D4385" s="3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6">
      <c r="A4386" s="65" t="inlineStr">
        <is>
          <t>01/02/2021</t>
        </is>
      </c>
      <c r="B4386" s="8" t="n">
        <v>131.5436641134</v>
      </c>
      <c r="C4386" s="13" t="n"/>
      <c r="D4386" s="3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7">
      <c r="A4387" s="65" t="inlineStr">
        <is>
          <t>02/02/2021</t>
        </is>
      </c>
      <c r="B4387" s="8" t="n">
        <v>130.8444126682</v>
      </c>
      <c r="C4387" s="13" t="n"/>
      <c r="D4387" s="3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8">
      <c r="A4388" s="65" t="inlineStr">
        <is>
          <t>03/02/2021</t>
        </is>
      </c>
      <c r="B4388" s="8" t="n">
        <v>130.7117960148</v>
      </c>
      <c r="C4388" s="13" t="n"/>
      <c r="D4388" s="3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9">
      <c r="A4389" s="65" t="inlineStr">
        <is>
          <t>04/02/2021</t>
        </is>
      </c>
      <c r="B4389" s="8" t="n">
        <v>129.6990870252</v>
      </c>
      <c r="C4389" s="13" t="n"/>
      <c r="D4389" s="3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0">
      <c r="A4390" s="65" t="inlineStr">
        <is>
          <t>05/02/2021</t>
        </is>
      </c>
      <c r="B4390" s="8" t="n">
        <v>128.9516113424</v>
      </c>
      <c r="C4390" s="13" t="n"/>
      <c r="D4390" s="3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1">
      <c r="A4391" s="65" t="inlineStr">
        <is>
          <t>08/02/2021</t>
        </is>
      </c>
      <c r="B4391" s="8" t="n">
        <v>127.8424538776</v>
      </c>
      <c r="C4391" s="13" t="n"/>
      <c r="D4391" s="3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2">
      <c r="A4392" s="65" t="inlineStr">
        <is>
          <t>09/02/2021</t>
        </is>
      </c>
      <c r="B4392" s="8" t="n">
        <v>127.6616129866</v>
      </c>
      <c r="C4392" s="13" t="n"/>
      <c r="D4392" s="3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3">
      <c r="A4393" s="65" t="inlineStr">
        <is>
          <t>10/02/2021</t>
        </is>
      </c>
      <c r="B4393" s="8" t="n">
        <v>127.5169402738</v>
      </c>
      <c r="C4393" s="13" t="n"/>
      <c r="D4393" s="3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4">
      <c r="A4394" s="65" t="inlineStr">
        <is>
          <t>11/02/2021</t>
        </is>
      </c>
      <c r="B4394" s="8" t="n">
        <v>127.4204917986</v>
      </c>
      <c r="C4394" s="13" t="n"/>
      <c r="D4394" s="3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5">
      <c r="A4395" s="65" t="inlineStr">
        <is>
          <t>12/02/2021</t>
        </is>
      </c>
      <c r="B4395" s="8" t="n">
        <v>126.4921752248</v>
      </c>
      <c r="C4395" s="13" t="n"/>
      <c r="D4395" s="3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6">
      <c r="A4396" s="65" t="inlineStr">
        <is>
          <t>17/02/2021</t>
        </is>
      </c>
      <c r="B4396" s="8" t="n">
        <v>127.8183417588</v>
      </c>
      <c r="C4396" s="13" t="n"/>
      <c r="D4396" s="3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7">
      <c r="A4397" s="65" t="inlineStr">
        <is>
          <t>18/02/2021</t>
        </is>
      </c>
      <c r="B4397" s="8" t="n">
        <v>129.3856294808</v>
      </c>
      <c r="C4397" s="13" t="n"/>
      <c r="D4397" s="3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8">
      <c r="A4398" s="65" t="inlineStr">
        <is>
          <t>19/02/2021</t>
        </is>
      </c>
      <c r="B4398" s="8" t="n">
        <v>130.2295536388</v>
      </c>
      <c r="C4398" s="13" t="n"/>
      <c r="D4398" s="3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9">
      <c r="A4399" s="65" t="inlineStr">
        <is>
          <t>22/02/2021</t>
        </is>
      </c>
      <c r="B4399" s="8" t="n">
        <v>131.5677762322</v>
      </c>
      <c r="C4399" s="13" t="n"/>
      <c r="D4399" s="3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0">
      <c r="A4400" s="65" t="inlineStr">
        <is>
          <t>23/02/2021</t>
        </is>
      </c>
      <c r="B4400" s="8" t="n">
        <v>132.0620746676</v>
      </c>
      <c r="C4400" s="13" t="n"/>
      <c r="D4400" s="3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1">
      <c r="A4401" s="65" t="inlineStr">
        <is>
          <t>24/02/2021</t>
        </is>
      </c>
      <c r="B4401" s="8" t="n">
        <v>133.21945637</v>
      </c>
      <c r="C4401" s="13" t="n"/>
      <c r="D4401" s="3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2">
      <c r="A4402" s="65" t="inlineStr">
        <is>
          <t>25/02/2021</t>
        </is>
      </c>
      <c r="B4402" s="8" t="n">
        <v>132.4478685684</v>
      </c>
      <c r="C4402" s="13" t="n"/>
      <c r="D4402" s="3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3">
      <c r="A4403" s="65" t="inlineStr">
        <is>
          <t>26/02/2021</t>
        </is>
      </c>
      <c r="B4403" s="8" t="n">
        <v>131.7245050044</v>
      </c>
      <c r="C4403" s="13" t="n"/>
      <c r="D4403" s="3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4">
      <c r="A4404" s="65" t="inlineStr">
        <is>
          <t>01/03/2021</t>
        </is>
      </c>
      <c r="B4404" s="8" t="n">
        <v>129.9416942775</v>
      </c>
      <c r="C4404" s="13" t="n"/>
      <c r="D4404" s="3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5">
      <c r="A4405" s="65" t="inlineStr">
        <is>
          <t>02/03/2021</t>
        </is>
      </c>
      <c r="B4405" s="8" t="n">
        <v>129.320972349</v>
      </c>
      <c r="C4405" s="13" t="n"/>
      <c r="D4405" s="3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6">
      <c r="A4406" s="65" t="inlineStr">
        <is>
          <t>03/03/2021</t>
        </is>
      </c>
      <c r="B4406" s="8" t="n">
        <v>129.3795310215</v>
      </c>
      <c r="C4406" s="13" t="n"/>
      <c r="D4406" s="3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7">
      <c r="A4407" s="65" t="inlineStr">
        <is>
          <t>04/03/2021</t>
        </is>
      </c>
      <c r="B4407" s="8" t="n">
        <v>126.7561024935</v>
      </c>
      <c r="C4407" s="13" t="n"/>
      <c r="D4407" s="3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8">
      <c r="A4408" s="65" t="inlineStr">
        <is>
          <t>05/03/2021</t>
        </is>
      </c>
      <c r="B4408" s="8" t="n">
        <v>125.0696127255</v>
      </c>
      <c r="C4408" s="13" t="n"/>
      <c r="D4408" s="3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9">
      <c r="A4409" s="65" t="inlineStr">
        <is>
          <t>08/03/2021</t>
        </is>
      </c>
      <c r="B4409" s="8" t="n">
        <v>125.54979384</v>
      </c>
      <c r="C4409" s="13" t="n"/>
      <c r="D4409" s="3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0">
      <c r="A4410" s="65" t="inlineStr">
        <is>
          <t>09/03/2021</t>
        </is>
      </c>
      <c r="B4410" s="8" t="n">
        <v>126.9200667765</v>
      </c>
      <c r="C4410" s="13" t="n"/>
      <c r="D4410" s="3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1">
      <c r="A4411" s="65" t="inlineStr">
        <is>
          <t>10/03/2021</t>
        </is>
      </c>
      <c r="B4411" s="8" t="n">
        <v>124.5308729385</v>
      </c>
      <c r="C4411" s="13" t="n"/>
      <c r="D4411" s="3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2">
      <c r="A4412" s="65" t="inlineStr">
        <is>
          <t>11/03/2021</t>
        </is>
      </c>
      <c r="B4412" s="8" t="n">
        <v>126.4047504585</v>
      </c>
      <c r="C4412" s="13" t="n"/>
      <c r="D4412" s="3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3">
      <c r="A4413" s="65" t="inlineStr">
        <is>
          <t>12/03/2021</t>
        </is>
      </c>
      <c r="B4413" s="8" t="n">
        <v>125.221865274</v>
      </c>
      <c r="C4413" s="13" t="n"/>
      <c r="D4413" s="3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4">
      <c r="A4414" s="65" t="inlineStr">
        <is>
          <t>15/03/2021</t>
        </is>
      </c>
      <c r="B4414" s="8" t="n">
        <v>122.902941843</v>
      </c>
      <c r="C4414" s="13" t="n"/>
      <c r="D4414" s="3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5">
      <c r="A4415" s="65" t="inlineStr">
        <is>
          <t>16/03/2021</t>
        </is>
      </c>
      <c r="B4415" s="8" t="n">
        <v>125.338982619</v>
      </c>
      <c r="C4415" s="13" t="n"/>
      <c r="D4415" s="3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6">
      <c r="A4416" s="65" t="inlineStr">
        <is>
          <t>17/03/2021</t>
        </is>
      </c>
      <c r="B4416" s="8" t="n">
        <v>126.861508104</v>
      </c>
      <c r="C4416" s="13" t="n"/>
      <c r="D4416" s="3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7">
      <c r="A4417" s="65" t="inlineStr">
        <is>
          <t>18/03/2021</t>
        </is>
      </c>
      <c r="B4417" s="8" t="n">
        <v>126.1470922995</v>
      </c>
      <c r="C4417" s="13" t="n"/>
      <c r="D4417" s="3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8">
      <c r="A4418" s="65" t="inlineStr">
        <is>
          <t>19/03/2021</t>
        </is>
      </c>
      <c r="B4418" s="8" t="n">
        <v>124.1560974345</v>
      </c>
      <c r="C4418" s="13" t="n"/>
      <c r="D4418" s="3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9">
      <c r="A4419" s="65" t="inlineStr">
        <is>
          <t>22/03/2021</t>
        </is>
      </c>
      <c r="B4419" s="8" t="n">
        <v>124.9290719115</v>
      </c>
      <c r="C4419" s="13" t="n"/>
      <c r="D4419" s="3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0">
      <c r="A4420" s="65" t="inlineStr">
        <is>
          <t>23/03/2021</t>
        </is>
      </c>
      <c r="B4420" s="8" t="n">
        <v>126.5687147415</v>
      </c>
      <c r="C4420" s="13" t="n"/>
      <c r="D4420" s="3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1">
      <c r="A4421" s="65" t="inlineStr">
        <is>
          <t>24/03/2021</t>
        </is>
      </c>
      <c r="B4421" s="8" t="n">
        <v>127.0606075905</v>
      </c>
      <c r="C4421" s="13" t="n"/>
      <c r="D4421" s="3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2">
      <c r="A4422" s="65" t="inlineStr">
        <is>
          <t>25/03/2021</t>
        </is>
      </c>
      <c r="B4422" s="8" t="n">
        <v>124.5074494695</v>
      </c>
      <c r="C4422" s="13" t="n"/>
      <c r="D4422" s="3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3">
      <c r="A4423" s="65" t="inlineStr">
        <is>
          <t>26/03/2021</t>
        </is>
      </c>
      <c r="B4423" s="8" t="n">
        <v>126.7092555555</v>
      </c>
      <c r="C4423" s="13" t="n"/>
      <c r="D4423" s="3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4">
      <c r="A4424" s="65" t="inlineStr">
        <is>
          <t>29/03/2021</t>
        </is>
      </c>
      <c r="B4424" s="8" t="n">
        <v>126.627273414</v>
      </c>
      <c r="C4424" s="13" t="n"/>
      <c r="D4424" s="3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5">
      <c r="A4425" s="65" t="inlineStr">
        <is>
          <t>30/03/2021</t>
        </is>
      </c>
      <c r="B4425" s="8" t="n">
        <v>125.0930361945</v>
      </c>
      <c r="C4425" s="13" t="n"/>
      <c r="D4425" s="3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6">
      <c r="A4426" s="65" t="inlineStr">
        <is>
          <t>31/03/2021</t>
        </is>
      </c>
      <c r="B4426" s="8" t="n">
        <v>121.9777148175</v>
      </c>
      <c r="C4426" s="13" t="n"/>
      <c r="D4426" s="3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7">
      <c r="A4427" s="65" t="inlineStr">
        <is>
          <t>01/04/2021</t>
        </is>
      </c>
      <c r="B4427" s="8" t="n">
        <v>120.8555000025</v>
      </c>
      <c r="C4427" s="13" t="n"/>
      <c r="D4427" s="3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8">
      <c r="A4428" s="65" t="inlineStr">
        <is>
          <t>05/04/2021</t>
        </is>
      </c>
      <c r="B4428" s="8" t="n">
        <v>121.0862503605</v>
      </c>
      <c r="C4428" s="13" t="n"/>
      <c r="D4428" s="3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9">
      <c r="A4429" s="65" t="inlineStr">
        <is>
          <t>06/04/2021</t>
        </is>
      </c>
      <c r="B4429" s="8" t="n">
        <v>121.9054141314</v>
      </c>
      <c r="C4429" s="13" t="n"/>
      <c r="D4429" s="3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0">
      <c r="A4430" s="65" t="inlineStr">
        <is>
          <t>07/04/2021</t>
        </is>
      </c>
      <c r="B4430" s="8" t="n">
        <v>121.4439134154</v>
      </c>
      <c r="C4430" s="13" t="n"/>
      <c r="D4430" s="3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1">
      <c r="A4431" s="65" t="inlineStr">
        <is>
          <t>08/04/2021</t>
        </is>
      </c>
      <c r="B4431" s="8" t="n">
        <v>122.8399530813</v>
      </c>
      <c r="C4431" s="13" t="n"/>
      <c r="D4431" s="3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2">
      <c r="A4432" s="65" t="inlineStr">
        <is>
          <t>09/04/2021</t>
        </is>
      </c>
      <c r="B4432" s="8" t="n">
        <v>122.9322532245</v>
      </c>
      <c r="C4432" s="13" t="n"/>
      <c r="D4432" s="3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3">
      <c r="A4433" s="65" t="inlineStr">
        <is>
          <t>12/04/2021</t>
        </is>
      </c>
      <c r="B4433" s="8" t="n">
        <v>121.4323758975</v>
      </c>
      <c r="C4433" s="13" t="n"/>
      <c r="D4433" s="3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4">
      <c r="A4434" s="65" t="inlineStr">
        <is>
          <t>13/04/2021</t>
        </is>
      </c>
      <c r="B4434" s="8" t="n">
        <v>121.9169516493</v>
      </c>
      <c r="C4434" s="13" t="n"/>
      <c r="D4434" s="3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5">
      <c r="A4435" s="65" t="inlineStr">
        <is>
          <t>14/04/2021</t>
        </is>
      </c>
      <c r="B4435" s="8" t="n">
        <v>122.6322777591</v>
      </c>
      <c r="C4435" s="13" t="n"/>
      <c r="D4435" s="3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6">
      <c r="A4436" s="65" t="inlineStr">
        <is>
          <t>15/04/2021</t>
        </is>
      </c>
      <c r="B4436" s="8" t="n">
        <v>123.5091291195</v>
      </c>
      <c r="C4436" s="13" t="n"/>
      <c r="D4436" s="3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7">
      <c r="A4437" s="65" t="inlineStr">
        <is>
          <t>16/04/2021</t>
        </is>
      </c>
      <c r="B4437" s="8" t="n">
        <v>124.8705562317</v>
      </c>
      <c r="C4437" s="13" t="n"/>
      <c r="D4437" s="3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8">
      <c r="A4438" s="65" t="inlineStr">
        <is>
          <t>19/04/2021</t>
        </is>
      </c>
      <c r="B4438" s="8" t="n">
        <v>126.3704335587</v>
      </c>
      <c r="C4438" s="13" t="n"/>
      <c r="D4438" s="3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9">
      <c r="A4439" s="65" t="inlineStr">
        <is>
          <t>20/04/2021</t>
        </is>
      </c>
      <c r="B4439" s="8" t="n">
        <v>126.9703844895</v>
      </c>
      <c r="C4439" s="13" t="n"/>
      <c r="D4439" s="3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0">
      <c r="A4440" s="65" t="inlineStr">
        <is>
          <t>22/04/2021</t>
        </is>
      </c>
      <c r="B4440" s="8" t="n">
        <v>127.604947974</v>
      </c>
      <c r="C4440" s="13" t="n"/>
      <c r="D4440" s="3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1">
      <c r="A4441" s="65" t="inlineStr">
        <is>
          <t>23/04/2021</t>
        </is>
      </c>
      <c r="B4441" s="8" t="n">
        <v>128.06644869</v>
      </c>
      <c r="C4441" s="13" t="n"/>
      <c r="D4441" s="3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2">
      <c r="A4442" s="65" t="inlineStr">
        <is>
          <t>26/04/2021</t>
        </is>
      </c>
      <c r="B4442" s="8" t="n">
        <v>129.8086138929</v>
      </c>
      <c r="C4442" s="13" t="n"/>
      <c r="D4442" s="3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3">
      <c r="A4443" s="65" t="inlineStr">
        <is>
          <t>27/04/2021</t>
        </is>
      </c>
      <c r="B4443" s="8" t="n">
        <v>129.1509753726</v>
      </c>
      <c r="C4443" s="13" t="n"/>
      <c r="D4443" s="3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4">
      <c r="A4444" s="65" t="inlineStr">
        <is>
          <t>28/04/2021</t>
        </is>
      </c>
      <c r="B4444" s="8" t="n">
        <v>128.0318361363</v>
      </c>
      <c r="C4444" s="13" t="n"/>
      <c r="D4444" s="3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5">
      <c r="A4445" s="65" t="inlineStr">
        <is>
          <t>29/04/2021</t>
        </is>
      </c>
      <c r="B4445" s="8" t="n">
        <v>128.2279739406</v>
      </c>
      <c r="C4445" s="13" t="n"/>
      <c r="D4445" s="3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6">
      <c r="A4446" s="65" t="inlineStr">
        <is>
          <t>30/04/2021</t>
        </is>
      </c>
      <c r="B4446" s="8" t="n">
        <v>130.2355020552</v>
      </c>
      <c r="C4446" s="13" t="n"/>
      <c r="D4446" s="3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7">
      <c r="A4447" s="65" t="inlineStr">
        <is>
          <t>03/05/2021</t>
        </is>
      </c>
      <c r="B4447" s="8" t="n">
        <v>125.79330304</v>
      </c>
      <c r="C4447" s="13" t="n"/>
      <c r="D4447" s="3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8">
      <c r="A4448" s="65" t="inlineStr">
        <is>
          <t>04/05/2021</t>
        </is>
      </c>
      <c r="B4448" s="8" t="n">
        <v>125.7711368192</v>
      </c>
      <c r="C4448" s="13" t="n"/>
      <c r="D4448" s="3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9">
      <c r="A4449" s="65" t="inlineStr">
        <is>
          <t>05/05/2021</t>
        </is>
      </c>
      <c r="B4449" s="8" t="n">
        <v>126.8905309696</v>
      </c>
      <c r="C4449" s="13" t="n"/>
      <c r="D4449" s="3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0">
      <c r="A4450" s="65" t="inlineStr">
        <is>
          <t>06/05/2021</t>
        </is>
      </c>
      <c r="B4450" s="8" t="n">
        <v>126.0703808</v>
      </c>
      <c r="C4450" s="13" t="n"/>
      <c r="D4450" s="3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1">
      <c r="A4451" s="65" t="inlineStr">
        <is>
          <t>07/05/2021</t>
        </is>
      </c>
      <c r="B4451" s="8" t="n">
        <v>126.5912869888</v>
      </c>
      <c r="C4451" s="13" t="n"/>
      <c r="D4451" s="3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2">
      <c r="A4452" s="65" t="inlineStr">
        <is>
          <t>10/05/2021</t>
        </is>
      </c>
      <c r="B4452" s="8" t="n">
        <v>127.8325953536</v>
      </c>
      <c r="C4452" s="13" t="n"/>
      <c r="D4452" s="3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3">
      <c r="A4453" s="65" t="inlineStr">
        <is>
          <t>11/05/2021</t>
        </is>
      </c>
      <c r="B4453" s="8" t="n">
        <v>126.8351154176</v>
      </c>
      <c r="C4453" s="13" t="n"/>
      <c r="D4453" s="3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4">
      <c r="A4454" s="65" t="inlineStr">
        <is>
          <t>12/05/2021</t>
        </is>
      </c>
      <c r="B4454" s="8" t="n">
        <v>127.7106811392</v>
      </c>
      <c r="C4454" s="13" t="n"/>
      <c r="D4454" s="3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5">
      <c r="A4455" s="65" t="inlineStr">
        <is>
          <t>13/05/2021</t>
        </is>
      </c>
      <c r="B4455" s="8" t="n">
        <v>127.3671047168</v>
      </c>
      <c r="C4455" s="13" t="n"/>
      <c r="D4455" s="3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6">
      <c r="A4456" s="65" t="inlineStr">
        <is>
          <t>14/05/2021</t>
        </is>
      </c>
      <c r="B4456" s="8" t="n">
        <v>127.5222682624</v>
      </c>
      <c r="C4456" s="13" t="n"/>
      <c r="D4456" s="3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7">
      <c r="A4457" s="65" t="inlineStr">
        <is>
          <t>17/05/2021</t>
        </is>
      </c>
      <c r="B4457" s="8" t="n">
        <v>128.2426704384</v>
      </c>
      <c r="C4457" s="13" t="n"/>
      <c r="D4457" s="3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8">
      <c r="A4458" s="65" t="inlineStr">
        <is>
          <t>18/05/2021</t>
        </is>
      </c>
      <c r="B4458" s="8" t="n">
        <v>127.4557696</v>
      </c>
      <c r="C4458" s="13" t="n"/>
      <c r="D4458" s="3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9">
      <c r="A4459" s="65" t="inlineStr">
        <is>
          <t>19/05/2021</t>
        </is>
      </c>
      <c r="B4459" s="8" t="n">
        <v>126.8905309696</v>
      </c>
      <c r="C4459" s="13" t="n"/>
      <c r="D4459" s="3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0">
      <c r="A4460" s="65" t="inlineStr">
        <is>
          <t>20/05/2021</t>
        </is>
      </c>
      <c r="B4460" s="8" t="n">
        <v>127.566600704</v>
      </c>
      <c r="C4460" s="13" t="n"/>
      <c r="D4460" s="3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1">
      <c r="A4461" s="65" t="inlineStr">
        <is>
          <t>21/05/2021</t>
        </is>
      </c>
      <c r="B4461" s="8" t="n">
        <v>128.5973299712</v>
      </c>
      <c r="C4461" s="13" t="n"/>
      <c r="D4461" s="3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2">
      <c r="A4462" s="65" t="inlineStr">
        <is>
          <t>24/05/2021</t>
        </is>
      </c>
      <c r="B4462" s="8" t="n">
        <v>129.0184881664</v>
      </c>
      <c r="C4462" s="13" t="n"/>
      <c r="D4462" s="3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3">
      <c r="A4463" s="65" t="inlineStr">
        <is>
          <t>25/05/2021</t>
        </is>
      </c>
      <c r="B4463" s="8" t="n">
        <v>129.007405056</v>
      </c>
      <c r="C4463" s="13" t="n"/>
      <c r="D4463" s="3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4">
      <c r="A4464" s="65" t="inlineStr">
        <is>
          <t>26/05/2021</t>
        </is>
      </c>
      <c r="B4464" s="8" t="n">
        <v>128.4310833152</v>
      </c>
      <c r="C4464" s="13" t="n"/>
      <c r="D4464" s="3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5">
      <c r="A4465" s="65" t="inlineStr">
        <is>
          <t>27/05/2021</t>
        </is>
      </c>
      <c r="B4465" s="8" t="n">
        <v>127.9101771264</v>
      </c>
      <c r="C4465" s="13" t="n"/>
      <c r="D4465" s="3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6">
      <c r="A4466" s="65" t="inlineStr">
        <is>
          <t>28/05/2021</t>
        </is>
      </c>
      <c r="B4466" s="8" t="n">
        <v>128.5529975296</v>
      </c>
      <c r="C4466" s="13" t="n"/>
      <c r="D4466" s="3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7">
      <c r="A4467" s="65" t="inlineStr">
        <is>
          <t>31/05/2021</t>
        </is>
      </c>
      <c r="B4467" s="8" t="n">
        <v>128.3535015424</v>
      </c>
      <c r="C4467" s="13" t="n"/>
      <c r="D4467" s="3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8">
      <c r="A4468" s="65" t="inlineStr">
        <is>
          <t>01/06/2021</t>
        </is>
      </c>
      <c r="B4468" s="8" t="n">
        <v>128.0506886332</v>
      </c>
      <c r="C4468" s="13" t="n"/>
      <c r="D4468" s="3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9">
      <c r="A4469" s="65" t="inlineStr">
        <is>
          <t>02/06/2021</t>
        </is>
      </c>
      <c r="B4469" s="8" t="n">
        <v>128.1718757256</v>
      </c>
      <c r="C4469" s="13" t="n"/>
      <c r="D4469" s="3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0">
      <c r="A4470" s="65" t="inlineStr">
        <is>
          <t>04/06/2021</t>
        </is>
      </c>
      <c r="B4470" s="8" t="n">
        <v>128.6456070868</v>
      </c>
      <c r="C4470" s="13" t="n"/>
      <c r="D4470" s="3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1">
      <c r="A4471" s="65" t="inlineStr">
        <is>
          <t>07/06/2021</t>
        </is>
      </c>
      <c r="B4471" s="8" t="n">
        <v>128.4142499104</v>
      </c>
      <c r="C4471" s="13" t="n"/>
      <c r="D4471" s="3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2">
      <c r="A4472" s="65" t="inlineStr">
        <is>
          <t>08/06/2021</t>
        </is>
      </c>
      <c r="B4472" s="8" t="n">
        <v>128.0396716248</v>
      </c>
      <c r="C4472" s="13" t="n"/>
      <c r="D4472" s="3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3">
      <c r="A4473" s="65" t="inlineStr">
        <is>
          <t>09/06/2021</t>
        </is>
      </c>
      <c r="B4473" s="8" t="n">
        <v>128.8218792212</v>
      </c>
      <c r="C4473" s="13" t="n"/>
      <c r="D4473" s="3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4">
      <c r="A4474" s="65" t="inlineStr">
        <is>
          <t>10/06/2021</t>
        </is>
      </c>
      <c r="B4474" s="8" t="n">
        <v>129.1523894732</v>
      </c>
      <c r="C4474" s="13" t="n"/>
      <c r="D4474" s="3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5">
      <c r="A4475" s="65" t="inlineStr">
        <is>
          <t>11/06/2021</t>
        </is>
      </c>
      <c r="B4475" s="8" t="n">
        <v>127.356617104</v>
      </c>
      <c r="C4475" s="13" t="n"/>
      <c r="D4475" s="3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6">
      <c r="A4476" s="65" t="inlineStr">
        <is>
          <t>14/06/2021</t>
        </is>
      </c>
      <c r="B4476" s="8" t="n">
        <v>128.7778111876</v>
      </c>
      <c r="C4476" s="13" t="n"/>
      <c r="D4476" s="3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7">
      <c r="A4477" s="65" t="inlineStr">
        <is>
          <t>15/06/2021</t>
        </is>
      </c>
      <c r="B4477" s="8" t="n">
        <v>129.1854404984</v>
      </c>
      <c r="C4477" s="13" t="n"/>
      <c r="D4477" s="3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8">
      <c r="A4478" s="65" t="inlineStr">
        <is>
          <t>16/06/2021</t>
        </is>
      </c>
      <c r="B4478" s="8" t="n">
        <v>129.5269677588</v>
      </c>
      <c r="C4478" s="13" t="n"/>
      <c r="D4478" s="3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9">
      <c r="A4479" s="65" t="inlineStr">
        <is>
          <t>17/06/2021</t>
        </is>
      </c>
      <c r="B4479" s="8" t="n">
        <v>129.7362909184</v>
      </c>
      <c r="C4479" s="13" t="n"/>
      <c r="D4479" s="3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0">
      <c r="A4480" s="65" t="inlineStr">
        <is>
          <t>18/06/2021</t>
        </is>
      </c>
      <c r="B4480" s="8" t="n">
        <v>127.1032259108</v>
      </c>
      <c r="C4480" s="13" t="n"/>
      <c r="D4480" s="3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1">
      <c r="A4481" s="65" t="inlineStr">
        <is>
          <t>21/06/2021</t>
        </is>
      </c>
      <c r="B4481" s="8" t="n">
        <v>125.8472869532</v>
      </c>
      <c r="C4481" s="13" t="n"/>
      <c r="D4481" s="3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2">
      <c r="A4482" s="65" t="inlineStr">
        <is>
          <t>22/06/2021</t>
        </is>
      </c>
      <c r="B4482" s="8" t="n">
        <v>127.7862804316</v>
      </c>
      <c r="C4482" s="13" t="n"/>
      <c r="D4482" s="3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3">
      <c r="A4483" s="65" t="inlineStr">
        <is>
          <t>23/06/2021</t>
        </is>
      </c>
      <c r="B4483" s="8" t="n">
        <v>127.6650933392</v>
      </c>
      <c r="C4483" s="13" t="n"/>
      <c r="D4483" s="3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4">
      <c r="A4484" s="65" t="inlineStr">
        <is>
          <t>24/06/2021</t>
        </is>
      </c>
      <c r="B4484" s="8" t="n">
        <v>128.9761173388</v>
      </c>
      <c r="C4484" s="13" t="n"/>
      <c r="D4484" s="3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5">
      <c r="A4485" s="65" t="inlineStr">
        <is>
          <t>25/06/2021</t>
        </is>
      </c>
      <c r="B4485" s="8" t="n">
        <v>129.1413724648</v>
      </c>
      <c r="C4485" s="13" t="n"/>
      <c r="D4485" s="3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6">
      <c r="A4486" s="65" t="inlineStr">
        <is>
          <t>28/06/2021</t>
        </is>
      </c>
      <c r="B4486" s="8" t="n">
        <v>129.8795120276</v>
      </c>
      <c r="C4486" s="13" t="n"/>
      <c r="D4486" s="3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7">
      <c r="A4487" s="65" t="inlineStr">
        <is>
          <t>29/06/2021</t>
        </is>
      </c>
      <c r="B4487" s="8" t="n">
        <v>126.6735625832</v>
      </c>
      <c r="C4487" s="13" t="n"/>
      <c r="D4487" s="3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8">
      <c r="A4488" s="65" t="inlineStr">
        <is>
          <t>30/06/2021</t>
        </is>
      </c>
      <c r="B4488" s="8" t="n">
        <v>125.1201643988</v>
      </c>
      <c r="C4488" s="13" t="n"/>
      <c r="D4488" s="3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9">
      <c r="A4489" s="65" t="inlineStr">
        <is>
          <t>01/07/2021</t>
        </is>
      </c>
      <c r="B4489" s="8" t="n">
        <v>125.5182478656</v>
      </c>
      <c r="C4489" s="13" t="n"/>
      <c r="D4489" s="3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0">
      <c r="A4490" s="65" t="inlineStr">
        <is>
          <t>02/07/2021</t>
        </is>
      </c>
      <c r="B4490" s="8" t="n">
        <v>126.6004902048</v>
      </c>
      <c r="C4490" s="13" t="n"/>
      <c r="D4490" s="3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1">
      <c r="A4491" s="65" t="inlineStr">
        <is>
          <t>05/07/2021</t>
        </is>
      </c>
      <c r="B4491" s="8" t="n">
        <v>127.7592547296</v>
      </c>
      <c r="C4491" s="13" t="n"/>
      <c r="D4491" s="3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2">
      <c r="A4492" s="65" t="inlineStr">
        <is>
          <t>06/07/2021</t>
        </is>
      </c>
      <c r="B4492" s="8" t="n">
        <v>126.7316710944</v>
      </c>
      <c r="C4492" s="13" t="n"/>
      <c r="D4492" s="3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3">
      <c r="A4493" s="65" t="inlineStr">
        <is>
          <t>07/07/2021</t>
        </is>
      </c>
      <c r="B4493" s="8" t="n">
        <v>126.3818553888</v>
      </c>
      <c r="C4493" s="13" t="n"/>
      <c r="D4493" s="3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4">
      <c r="A4494" s="65" t="inlineStr">
        <is>
          <t>08/07/2021</t>
        </is>
      </c>
      <c r="B4494" s="8" t="n">
        <v>126.1304253504</v>
      </c>
      <c r="C4494" s="13" t="n"/>
      <c r="D4494" s="3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5">
      <c r="A4495" s="65" t="inlineStr">
        <is>
          <t>12/07/2021</t>
        </is>
      </c>
      <c r="B4495" s="8" t="n">
        <v>127.2891898752</v>
      </c>
      <c r="C4495" s="13" t="n"/>
      <c r="D4495" s="3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6">
      <c r="A4496" s="65" t="inlineStr">
        <is>
          <t>13/07/2021</t>
        </is>
      </c>
      <c r="B4496" s="8" t="n">
        <v>126.1741523136</v>
      </c>
      <c r="C4496" s="13" t="n"/>
      <c r="D4496" s="3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7">
      <c r="A4497" s="65" t="inlineStr">
        <is>
          <t>14/07/2021</t>
        </is>
      </c>
      <c r="B4497" s="8" t="n">
        <v>126.316264944</v>
      </c>
      <c r="C4497" s="13" t="n"/>
      <c r="D4497" s="3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8">
      <c r="A4498" s="65" t="inlineStr">
        <is>
          <t>15/07/2021</t>
        </is>
      </c>
      <c r="B4498" s="8" t="n">
        <v>125.3979987168</v>
      </c>
      <c r="C4498" s="13" t="n"/>
      <c r="D4498" s="3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9">
      <c r="A4499" s="65" t="inlineStr">
        <is>
          <t>16/07/2021</t>
        </is>
      </c>
      <c r="B4499" s="8" t="n">
        <v>126.2725379808</v>
      </c>
      <c r="C4499" s="13" t="n"/>
      <c r="D4499" s="3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0">
      <c r="A4500" s="65" t="inlineStr">
        <is>
          <t>19/07/2021</t>
        </is>
      </c>
      <c r="B4500" s="8" t="n">
        <v>127.7811182112</v>
      </c>
      <c r="C4500" s="13" t="n"/>
      <c r="D4500" s="3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1">
      <c r="A4501" s="65" t="inlineStr">
        <is>
          <t>20/07/2021</t>
        </is>
      </c>
      <c r="B4501" s="8" t="n">
        <v>127.409439024</v>
      </c>
      <c r="C4501" s="13" t="n"/>
      <c r="D4501" s="3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2">
      <c r="A4502" s="65" t="inlineStr">
        <is>
          <t>21/07/2021</t>
        </is>
      </c>
      <c r="B4502" s="8" t="n">
        <v>127.6718008032</v>
      </c>
      <c r="C4502" s="13" t="n"/>
      <c r="D4502" s="3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3">
      <c r="A4503" s="65" t="inlineStr">
        <is>
          <t>22/07/2021</t>
        </is>
      </c>
      <c r="B4503" s="8" t="n">
        <v>128.3605004736</v>
      </c>
      <c r="C4503" s="13" t="n"/>
      <c r="D4503" s="3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4">
      <c r="A4504" s="65" t="inlineStr">
        <is>
          <t>23/07/2021</t>
        </is>
      </c>
      <c r="B4504" s="8" t="n">
        <v>127.8576403968</v>
      </c>
      <c r="C4504" s="13" t="n"/>
      <c r="D4504" s="3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5">
      <c r="A4505" s="65" t="inlineStr">
        <is>
          <t>26/07/2021</t>
        </is>
      </c>
      <c r="B4505" s="8" t="n">
        <v>128.5682035488</v>
      </c>
      <c r="C4505" s="13" t="n"/>
      <c r="D4505" s="3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6">
      <c r="A4506" s="65" t="inlineStr">
        <is>
          <t>27/07/2021</t>
        </is>
      </c>
      <c r="B4506" s="8" t="n">
        <v>128.010684768</v>
      </c>
      <c r="C4506" s="13" t="n"/>
      <c r="D4506" s="3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7">
      <c r="A4507" s="65" t="inlineStr">
        <is>
          <t>28/07/2021</t>
        </is>
      </c>
      <c r="B4507" s="8" t="n">
        <v>128.5354083264</v>
      </c>
      <c r="C4507" s="13" t="n"/>
      <c r="D4507" s="3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8">
      <c r="A4508" s="65" t="inlineStr">
        <is>
          <t>29/07/2021</t>
        </is>
      </c>
      <c r="B4508" s="8" t="n">
        <v>128.9836096992</v>
      </c>
      <c r="C4508" s="13" t="n"/>
      <c r="D4508" s="3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9">
      <c r="A4509" s="65" t="inlineStr">
        <is>
          <t>30/07/2021</t>
        </is>
      </c>
      <c r="B4509" s="8" t="n">
        <v>128.4260909184</v>
      </c>
      <c r="C4509" s="13" t="n"/>
      <c r="D4509" s="3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0">
      <c r="A4510" s="65" t="inlineStr">
        <is>
          <t>02/08/2021</t>
        </is>
      </c>
      <c r="B4510" s="8" t="n">
        <v>129.0610053296</v>
      </c>
      <c r="C4510" s="13" t="n"/>
      <c r="D4510" s="3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1">
      <c r="A4511" s="65" t="inlineStr">
        <is>
          <t>03/08/2021</t>
        </is>
      </c>
      <c r="B4511" s="8" t="n">
        <v>130.0818513832</v>
      </c>
      <c r="C4511" s="13" t="n"/>
      <c r="D4511" s="3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2">
      <c r="A4512" s="65" t="inlineStr">
        <is>
          <t>04/08/2021</t>
        </is>
      </c>
      <c r="B4512" s="8" t="n">
        <v>131.1787178876</v>
      </c>
      <c r="C4512" s="13" t="n"/>
      <c r="D4512" s="3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3">
      <c r="A4513" s="65" t="inlineStr">
        <is>
          <t>05/08/2021</t>
        </is>
      </c>
      <c r="B4513" s="8" t="n">
        <v>130.8529159556</v>
      </c>
      <c r="C4513" s="13" t="n"/>
      <c r="D4513" s="3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4">
      <c r="A4514" s="65" t="inlineStr">
        <is>
          <t>06/08/2021</t>
        </is>
      </c>
      <c r="B4514" s="8" t="n">
        <v>130.9397964708</v>
      </c>
      <c r="C4514" s="13" t="n"/>
      <c r="D4514" s="3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5">
      <c r="A4515" s="65" t="inlineStr">
        <is>
          <t>09/08/2021</t>
        </is>
      </c>
      <c r="B4515" s="8" t="n">
        <v>129.8646500952</v>
      </c>
      <c r="C4515" s="13" t="n"/>
      <c r="D4515" s="3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6">
      <c r="A4516" s="65" t="inlineStr">
        <is>
          <t>10/08/2021</t>
        </is>
      </c>
      <c r="B4516" s="8" t="n">
        <v>132.1887038768</v>
      </c>
      <c r="C4516" s="13" t="n"/>
      <c r="D4516" s="3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7">
      <c r="A4517" s="65" t="inlineStr">
        <is>
          <t>11/08/2021</t>
        </is>
      </c>
      <c r="B4517" s="8" t="n">
        <v>133.1335294796</v>
      </c>
      <c r="C4517" s="13" t="n"/>
      <c r="D4517" s="3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8">
      <c r="A4518" s="65" t="inlineStr">
        <is>
          <t>12/08/2021</t>
        </is>
      </c>
      <c r="B4518" s="8" t="n">
        <v>136.348108542</v>
      </c>
      <c r="C4518" s="13" t="n"/>
      <c r="D4518" s="3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9">
      <c r="A4519" s="65" t="inlineStr">
        <is>
          <t>13/08/2021</t>
        </is>
      </c>
      <c r="B4519" s="8" t="n">
        <v>136.3155283488</v>
      </c>
      <c r="C4519" s="13" t="n"/>
      <c r="D4519" s="3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0">
      <c r="A4520" s="65" t="inlineStr">
        <is>
          <t>16/08/2021</t>
        </is>
      </c>
      <c r="B4520" s="8" t="n">
        <v>140.5075132072</v>
      </c>
      <c r="C4520" s="13" t="n"/>
      <c r="D4520" s="3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1">
      <c r="A4521" s="65" t="inlineStr">
        <is>
          <t>17/08/2021</t>
        </is>
      </c>
      <c r="B4521" s="8" t="n">
        <v>140.9310557188</v>
      </c>
      <c r="C4521" s="13" t="n"/>
      <c r="D4521" s="3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2">
      <c r="A4522" s="65" t="inlineStr">
        <is>
          <t>18/08/2021</t>
        </is>
      </c>
      <c r="B4522" s="8" t="n">
        <v>142.212543318</v>
      </c>
      <c r="C4522" s="13" t="n"/>
      <c r="D4522" s="3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3">
      <c r="A4523" s="65" t="inlineStr">
        <is>
          <t>19/08/2021</t>
        </is>
      </c>
      <c r="B4523" s="8" t="n">
        <v>145.4271223804</v>
      </c>
      <c r="C4523" s="13" t="n"/>
      <c r="D4523" s="3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4">
      <c r="A4524" s="65" t="inlineStr">
        <is>
          <t>20/08/2021</t>
        </is>
      </c>
      <c r="B4524" s="8" t="n">
        <v>144.8841191604</v>
      </c>
      <c r="C4524" s="13" t="n"/>
      <c r="D4524" s="3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5">
      <c r="A4525" s="65" t="inlineStr">
        <is>
          <t>23/08/2021</t>
        </is>
      </c>
      <c r="B4525" s="8" t="n">
        <v>145.9918457292</v>
      </c>
      <c r="C4525" s="13" t="n"/>
      <c r="D4525" s="3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6">
      <c r="A4526" s="65" t="inlineStr">
        <is>
          <t>24/08/2021</t>
        </is>
      </c>
      <c r="B4526" s="8" t="n">
        <v>146.8389307524</v>
      </c>
      <c r="C4526" s="13" t="n"/>
      <c r="D4526" s="3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7">
      <c r="A4527" s="65" t="inlineStr">
        <is>
          <t>25/08/2021</t>
        </is>
      </c>
      <c r="B4527" s="8" t="n">
        <v>147.3602138436</v>
      </c>
      <c r="C4527" s="13" t="n"/>
      <c r="D4527" s="3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8">
      <c r="A4528" s="65" t="inlineStr">
        <is>
          <t>26/08/2021</t>
        </is>
      </c>
      <c r="B4528" s="8" t="n">
        <v>148.0335378364</v>
      </c>
      <c r="C4528" s="13" t="n"/>
      <c r="D4528" s="3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9">
      <c r="A4529" s="65" t="inlineStr">
        <is>
          <t>27/08/2021</t>
        </is>
      </c>
      <c r="B4529" s="8" t="n">
        <v>148.9783634392</v>
      </c>
      <c r="C4529" s="13" t="n"/>
      <c r="D4529" s="3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0">
      <c r="A4530" s="65" t="inlineStr">
        <is>
          <t>30/08/2021</t>
        </is>
      </c>
      <c r="B4530" s="8" t="n">
        <v>148.0661180296</v>
      </c>
      <c r="C4530" s="13" t="n"/>
      <c r="D4530" s="3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1">
      <c r="A4531" s="65" t="inlineStr">
        <is>
          <t>31/08/2021</t>
        </is>
      </c>
      <c r="B4531" s="8" t="n">
        <v>149.1738445984</v>
      </c>
      <c r="C4531" s="13" t="n"/>
      <c r="D4531" s="3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2">
      <c r="A4532" s="65" t="inlineStr">
        <is>
          <t>01/09/2021</t>
        </is>
      </c>
      <c r="B4532" s="8" t="n">
        <v>149.7740160995</v>
      </c>
      <c r="C4532" s="13" t="n"/>
      <c r="D4532" s="3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3">
      <c r="A4533" s="65" t="inlineStr">
        <is>
          <t>02/09/2021</t>
        </is>
      </c>
      <c r="B4533" s="8" t="n">
        <v>150.6484174195</v>
      </c>
      <c r="C4533" s="13" t="n"/>
      <c r="D4533" s="3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4">
      <c r="A4534" s="65" t="inlineStr">
        <is>
          <t>03/09/2021</t>
        </is>
      </c>
      <c r="B4534" s="8" t="n">
        <v>150.8451577165</v>
      </c>
      <c r="C4534" s="13" t="n"/>
      <c r="D4534" s="3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5">
      <c r="A4535" s="65" t="inlineStr">
        <is>
          <t>06/09/2021</t>
        </is>
      </c>
      <c r="B4535" s="8" t="n">
        <v>152.5721003235</v>
      </c>
      <c r="C4535" s="13" t="n"/>
      <c r="D4535" s="3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6">
      <c r="A4536" s="65" t="inlineStr">
        <is>
          <t>08/09/2021</t>
        </is>
      </c>
      <c r="B4536" s="8" t="n">
        <v>152.9874409505</v>
      </c>
      <c r="C4536" s="13" t="n"/>
      <c r="D4536" s="3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7">
      <c r="A4537" s="65" t="inlineStr">
        <is>
          <t>09/09/2021</t>
        </is>
      </c>
      <c r="B4537" s="8" t="n">
        <v>153.7306820725</v>
      </c>
      <c r="C4537" s="13" t="n"/>
      <c r="D4537" s="3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8">
      <c r="A4538" s="65" t="inlineStr">
        <is>
          <t>10/09/2021</t>
        </is>
      </c>
      <c r="B4538" s="8" t="n">
        <v>153.1186011485</v>
      </c>
      <c r="C4538" s="13" t="n"/>
      <c r="D4538" s="3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9">
      <c r="A4539" s="65" t="inlineStr">
        <is>
          <t>13/09/2021</t>
        </is>
      </c>
      <c r="B4539" s="8" t="n">
        <v>155.3920445805</v>
      </c>
      <c r="C4539" s="13" t="n"/>
      <c r="D4539" s="3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0">
      <c r="A4540" s="65" t="inlineStr">
        <is>
          <t>14/09/2021</t>
        </is>
      </c>
      <c r="B4540" s="8" t="n">
        <v>155.8729653065</v>
      </c>
      <c r="C4540" s="13" t="n"/>
      <c r="D4540" s="3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1">
      <c r="A4541" s="65" t="inlineStr">
        <is>
          <t>15/09/2021</t>
        </is>
      </c>
      <c r="B4541" s="8" t="n">
        <v>154.484853211</v>
      </c>
      <c r="C4541" s="13" t="n"/>
      <c r="D4541" s="3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2">
      <c r="A4542" s="65" t="inlineStr">
        <is>
          <t>16/09/2021</t>
        </is>
      </c>
      <c r="B4542" s="8" t="n">
        <v>155.8948253395</v>
      </c>
      <c r="C4542" s="13" t="n"/>
      <c r="D4542" s="3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3">
      <c r="A4543" s="65" t="inlineStr">
        <is>
          <t>17/09/2021</t>
        </is>
      </c>
      <c r="B4543" s="8" t="n">
        <v>153.5776618415</v>
      </c>
      <c r="C4543" s="13" t="n"/>
      <c r="D4543" s="3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4">
      <c r="A4544" s="65" t="inlineStr">
        <is>
          <t>20/09/2021</t>
        </is>
      </c>
      <c r="B4544" s="8" t="n">
        <v>157.763858161</v>
      </c>
      <c r="C4544" s="13" t="n"/>
      <c r="D4544" s="3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5">
      <c r="A4545" s="65" t="inlineStr">
        <is>
          <t>21/09/2021</t>
        </is>
      </c>
      <c r="B4545" s="8" t="n">
        <v>156.889456841</v>
      </c>
      <c r="C4545" s="13" t="n"/>
      <c r="D4545" s="3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6">
      <c r="A4546" s="65" t="inlineStr">
        <is>
          <t>22/09/2021</t>
        </is>
      </c>
      <c r="B4546" s="8" t="n">
        <v>157.1845672865</v>
      </c>
      <c r="C4546" s="13" t="n"/>
      <c r="D4546" s="3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7">
      <c r="A4547" s="65" t="inlineStr">
        <is>
          <t>23/09/2021</t>
        </is>
      </c>
      <c r="B4547" s="8" t="n">
        <v>158.988020009</v>
      </c>
      <c r="C4547" s="13" t="n"/>
      <c r="D4547" s="3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8">
      <c r="A4548" s="65" t="inlineStr">
        <is>
          <t>24/09/2021</t>
        </is>
      </c>
      <c r="B4548" s="8" t="n">
        <v>154.8892638215</v>
      </c>
      <c r="C4548" s="13" t="n"/>
      <c r="D4548" s="3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9">
      <c r="A4549" s="65" t="inlineStr">
        <is>
          <t>27/09/2021</t>
        </is>
      </c>
      <c r="B4549" s="8" t="n">
        <v>157.086197138</v>
      </c>
      <c r="C4549" s="13" t="n"/>
      <c r="D4549" s="3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0">
      <c r="A4550" s="65" t="inlineStr">
        <is>
          <t>28/09/2021</t>
        </is>
      </c>
      <c r="B4550" s="8" t="n">
        <v>157.873158326</v>
      </c>
      <c r="C4550" s="13" t="n"/>
      <c r="D4550" s="3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1">
      <c r="A4551" s="65" t="inlineStr">
        <is>
          <t>29/09/2021</t>
        </is>
      </c>
      <c r="B4551" s="8" t="n">
        <v>157.9059483755</v>
      </c>
      <c r="C4551" s="13" t="n"/>
      <c r="D4551" s="3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2">
      <c r="A4552" s="65" t="inlineStr">
        <is>
          <t>30/09/2021</t>
        </is>
      </c>
      <c r="B4552" s="8" t="n">
        <v>155.752735125</v>
      </c>
      <c r="C4552" s="13" t="n"/>
      <c r="D4552" s="3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3">
      <c r="A4553" s="65" t="inlineStr">
        <is>
          <t>01/10/2021</t>
        </is>
      </c>
      <c r="B4553" s="8" t="n">
        <v>155.4030261428</v>
      </c>
      <c r="C4553" s="13" t="n"/>
      <c r="D4553" s="3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4">
      <c r="A4554" s="65" t="inlineStr">
        <is>
          <t>04/10/2021</t>
        </is>
      </c>
      <c r="B4554" s="8" t="n">
        <v>154.5884879528</v>
      </c>
      <c r="C4554" s="13" t="n"/>
      <c r="D4554" s="3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5">
      <c r="A4555" s="65" t="inlineStr">
        <is>
          <t>05/10/2021</t>
        </is>
      </c>
      <c r="B4555" s="8" t="n">
        <v>155.1532344312</v>
      </c>
      <c r="C4555" s="13" t="n"/>
      <c r="D4555" s="3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6">
      <c r="A4556" s="65" t="inlineStr">
        <is>
          <t>06/10/2021</t>
        </is>
      </c>
      <c r="B4556" s="8" t="n">
        <v>155.7179809096</v>
      </c>
      <c r="C4556" s="13" t="n"/>
      <c r="D4556" s="3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7">
      <c r="A4557" s="65" t="inlineStr">
        <is>
          <t>07/10/2021</t>
        </is>
      </c>
      <c r="B4557" s="8" t="n">
        <v>156.0872382224</v>
      </c>
      <c r="C4557" s="13" t="n"/>
      <c r="D4557" s="3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8">
      <c r="A4558" s="65" t="inlineStr">
        <is>
          <t>08/10/2021</t>
        </is>
      </c>
      <c r="B4558" s="8" t="n">
        <v>157.2710337252</v>
      </c>
      <c r="C4558" s="13" t="n"/>
      <c r="D4558" s="3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9">
      <c r="A4559" s="65" t="inlineStr">
        <is>
          <t>11/10/2021</t>
        </is>
      </c>
      <c r="B4559" s="8" t="n">
        <v>157.1189865964</v>
      </c>
      <c r="C4559" s="13" t="n"/>
      <c r="D4559" s="3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0">
      <c r="A4560" s="65" t="inlineStr">
        <is>
          <t>13/10/2021</t>
        </is>
      </c>
      <c r="B4560" s="8" t="n">
        <v>160.3988603748</v>
      </c>
      <c r="C4560" s="13" t="n"/>
      <c r="D4560" s="3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1">
      <c r="A4561" s="65" t="inlineStr">
        <is>
          <t>14/10/2021</t>
        </is>
      </c>
      <c r="B4561" s="8" t="n">
        <v>162.744730362</v>
      </c>
      <c r="C4561" s="13" t="n"/>
      <c r="D4561" s="3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2">
      <c r="A4562" s="65" t="inlineStr">
        <is>
          <t>15/10/2021</t>
        </is>
      </c>
      <c r="B4562" s="8" t="n">
        <v>163.1682902208</v>
      </c>
      <c r="C4562" s="13" t="n"/>
      <c r="D4562" s="3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3">
      <c r="A4563" s="65" t="inlineStr">
        <is>
          <t>18/10/2021</t>
        </is>
      </c>
      <c r="B4563" s="8" t="n">
        <v>162.2668679572</v>
      </c>
      <c r="C4563" s="13" t="n"/>
      <c r="D4563" s="3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4">
      <c r="A4564" s="65" t="inlineStr">
        <is>
          <t>19/10/2021</t>
        </is>
      </c>
      <c r="B4564" s="8" t="n">
        <v>159.2367858904</v>
      </c>
      <c r="C4564" s="13" t="n"/>
      <c r="D4564" s="3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5">
      <c r="A4565" s="65" t="inlineStr">
        <is>
          <t>20/10/2021</t>
        </is>
      </c>
      <c r="B4565" s="8" t="n">
        <v>160.1925107</v>
      </c>
      <c r="C4565" s="13" t="n"/>
      <c r="D4565" s="3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6">
      <c r="A4566" s="65" t="inlineStr">
        <is>
          <t>21/10/2021</t>
        </is>
      </c>
      <c r="B4566" s="8" t="n">
        <v>160.9310253256</v>
      </c>
      <c r="C4566" s="13" t="n"/>
      <c r="D4566" s="3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7">
      <c r="A4567" s="65" t="inlineStr">
        <is>
          <t>22/10/2021</t>
        </is>
      </c>
      <c r="B4567" s="8" t="n">
        <v>161.5609348592</v>
      </c>
      <c r="C4567" s="13" t="n"/>
      <c r="D4567" s="3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8">
      <c r="A4568" s="65" t="inlineStr">
        <is>
          <t>25/10/2021</t>
        </is>
      </c>
      <c r="B4568" s="8" t="n">
        <v>162.2994494848</v>
      </c>
      <c r="C4568" s="13" t="n"/>
      <c r="D4568" s="3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9">
      <c r="A4569" s="65" t="inlineStr">
        <is>
          <t>26/10/2021</t>
        </is>
      </c>
      <c r="B4569" s="8" t="n">
        <v>161.495771804</v>
      </c>
      <c r="C4569" s="13" t="n"/>
      <c r="D4569" s="3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0">
      <c r="A4570" s="65" t="inlineStr">
        <is>
          <t>27/10/2021</t>
        </is>
      </c>
      <c r="B4570" s="8" t="n">
        <v>162.1582628652</v>
      </c>
      <c r="C4570" s="13" t="n"/>
      <c r="D4570" s="3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1">
      <c r="A4571" s="65" t="inlineStr">
        <is>
          <t>28/10/2021</t>
        </is>
      </c>
      <c r="B4571" s="8" t="n">
        <v>164.9385532204</v>
      </c>
      <c r="C4571" s="13" t="n"/>
      <c r="D4571" s="3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2">
      <c r="A4572" s="65" t="inlineStr">
        <is>
          <t>29/10/2021</t>
        </is>
      </c>
      <c r="B4572" s="8" t="n">
        <v>166.0354646496</v>
      </c>
      <c r="C4572" s="13" t="n"/>
      <c r="D4572" s="3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3">
      <c r="A4573" s="65" t="inlineStr">
        <is>
          <t>01/11/2021</t>
        </is>
      </c>
      <c r="B4573" s="8" t="n">
        <v>166.1759971</v>
      </c>
      <c r="C4573" s="13" t="n"/>
      <c r="D4573" s="3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4">
      <c r="A4574" s="65" t="inlineStr">
        <is>
          <t>03/11/2021</t>
        </is>
      </c>
      <c r="B4574" s="8" t="n">
        <v>164.634113175</v>
      </c>
      <c r="C4574" s="13" t="n"/>
      <c r="D4574" s="3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5">
      <c r="A4575" s="65" t="inlineStr">
        <is>
          <t>04/11/2021</t>
        </is>
      </c>
      <c r="B4575" s="8" t="n">
        <v>164.938146625</v>
      </c>
      <c r="C4575" s="13" t="n"/>
      <c r="D4575" s="3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6">
      <c r="A4576" s="65" t="inlineStr">
        <is>
          <t>05/11/2021</t>
        </is>
      </c>
      <c r="B4576" s="8" t="n">
        <v>167.0555224375</v>
      </c>
      <c r="C4576" s="13" t="n"/>
      <c r="D4576" s="3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7">
      <c r="A4577" s="65" t="inlineStr">
        <is>
          <t>08/11/2021</t>
        </is>
      </c>
      <c r="B4577" s="8" t="n">
        <v>166.5994722625</v>
      </c>
      <c r="C4577" s="13" t="n"/>
      <c r="D4577" s="3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8">
      <c r="A4578" s="65" t="inlineStr">
        <is>
          <t>09/11/2021</t>
        </is>
      </c>
      <c r="B4578" s="8" t="n">
        <v>165.155313375</v>
      </c>
      <c r="C4578" s="13" t="n"/>
      <c r="D4578" s="3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9">
      <c r="A4579" s="65" t="inlineStr">
        <is>
          <t>10/11/2021</t>
        </is>
      </c>
      <c r="B4579" s="8" t="n">
        <v>165.00329665</v>
      </c>
      <c r="C4579" s="13" t="n"/>
      <c r="D4579" s="3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0">
      <c r="A4580" s="65" t="inlineStr">
        <is>
          <t>11/11/2021</t>
        </is>
      </c>
      <c r="B4580" s="8" t="n">
        <v>166.0565553875</v>
      </c>
      <c r="C4580" s="13" t="n"/>
      <c r="D4580" s="3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1">
      <c r="A4581" s="65" t="inlineStr">
        <is>
          <t>12/11/2021</t>
        </is>
      </c>
      <c r="B4581" s="8" t="n">
        <v>169.0968898875</v>
      </c>
      <c r="C4581" s="13" t="n"/>
      <c r="D4581" s="3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2">
      <c r="A4582" s="65" t="inlineStr">
        <is>
          <t>16/11/2021</t>
        </is>
      </c>
      <c r="B4582" s="8" t="n">
        <v>167.78303105</v>
      </c>
      <c r="C4582" s="13" t="n"/>
      <c r="D4582" s="3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3">
      <c r="A4583" s="65" t="inlineStr">
        <is>
          <t>17/11/2021</t>
        </is>
      </c>
      <c r="B4583" s="8" t="n">
        <v>167.8373227375</v>
      </c>
      <c r="C4583" s="13" t="n"/>
      <c r="D4583" s="3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4">
      <c r="A4584" s="65" t="inlineStr">
        <is>
          <t>18/11/2021</t>
        </is>
      </c>
      <c r="B4584" s="8" t="n">
        <v>168.521398</v>
      </c>
      <c r="C4584" s="13" t="n"/>
      <c r="D4584" s="3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5">
      <c r="A4585" s="65" t="inlineStr">
        <is>
          <t>19/11/2021</t>
        </is>
      </c>
      <c r="B4585" s="8" t="n">
        <v>168.7711397625</v>
      </c>
      <c r="C4585" s="13" t="n"/>
      <c r="D4585" s="3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6">
      <c r="A4586" s="65" t="inlineStr">
        <is>
          <t>22/11/2021</t>
        </is>
      </c>
      <c r="B4586" s="8" t="n">
        <v>167.69616435</v>
      </c>
      <c r="C4586" s="13" t="n"/>
      <c r="D4586" s="3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7">
      <c r="A4587" s="65" t="inlineStr">
        <is>
          <t>23/11/2021</t>
        </is>
      </c>
      <c r="B4587" s="8" t="n">
        <v>166.65376395</v>
      </c>
      <c r="C4587" s="13" t="n"/>
      <c r="D4587" s="3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8">
      <c r="A4588" s="65" t="inlineStr">
        <is>
          <t>24/11/2021</t>
        </is>
      </c>
      <c r="B4588" s="8" t="n">
        <v>166.6429056125</v>
      </c>
      <c r="C4588" s="13" t="n"/>
      <c r="D4588" s="3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9">
      <c r="A4589" s="65" t="inlineStr">
        <is>
          <t>25/11/2021</t>
        </is>
      </c>
      <c r="B4589" s="8" t="n">
        <v>167.0338057625</v>
      </c>
      <c r="C4589" s="13" t="n"/>
      <c r="D4589" s="3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0">
      <c r="A4590" s="65" t="inlineStr">
        <is>
          <t>26/11/2021</t>
        </is>
      </c>
      <c r="B4590" s="8" t="n">
        <v>167.2726891875</v>
      </c>
      <c r="C4590" s="13" t="n"/>
      <c r="D4590" s="3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1">
      <c r="A4591" s="65" t="inlineStr">
        <is>
          <t>29/11/2021</t>
        </is>
      </c>
      <c r="B4591" s="8" t="n">
        <v>166.74063065</v>
      </c>
      <c r="C4591" s="13" t="n"/>
      <c r="D4591" s="3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2">
      <c r="A4592" s="65" t="inlineStr">
        <is>
          <t>30/11/2021</t>
        </is>
      </c>
      <c r="B4592" s="8" t="n">
        <v>167.500714275</v>
      </c>
      <c r="C4592" s="13" t="n"/>
      <c r="D4592" s="3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3">
      <c r="A4593" s="65" t="inlineStr">
        <is>
          <t>01/12/2021</t>
        </is>
      </c>
      <c r="B4593" s="8" t="n">
        <v>166.6265560192</v>
      </c>
      <c r="C4593" s="13" t="n"/>
      <c r="D4593" s="3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4">
      <c r="A4594" s="65" t="inlineStr">
        <is>
          <t>02/12/2021</t>
        </is>
      </c>
      <c r="B4594" s="8" t="n">
        <v>167.7245538688</v>
      </c>
      <c r="C4594" s="13" t="n"/>
      <c r="D4594" s="3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5">
      <c r="A4595" s="65" t="inlineStr">
        <is>
          <t>03/12/2021</t>
        </is>
      </c>
      <c r="B4595" s="8" t="n">
        <v>167.12173152</v>
      </c>
      <c r="C4595" s="13" t="n"/>
      <c r="D4595" s="3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6">
      <c r="A4596" s="65" t="inlineStr">
        <is>
          <t>06/12/2021</t>
        </is>
      </c>
      <c r="B4596" s="8" t="n">
        <v>166.9925553024</v>
      </c>
      <c r="C4596" s="13" t="n"/>
      <c r="D4596" s="3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7">
      <c r="A4597" s="65" t="inlineStr">
        <is>
          <t>07/12/2021</t>
        </is>
      </c>
      <c r="B4597" s="8" t="n">
        <v>167.4662014336</v>
      </c>
      <c r="C4597" s="13" t="n"/>
      <c r="D4597" s="3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8">
      <c r="A4598" s="65" t="inlineStr">
        <is>
          <t>08/12/2021</t>
        </is>
      </c>
      <c r="B4598" s="8" t="n">
        <v>167.4016133248</v>
      </c>
      <c r="C4598" s="13" t="n"/>
      <c r="D4598" s="3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9">
      <c r="A4599" s="65" t="inlineStr">
        <is>
          <t>09/12/2021</t>
        </is>
      </c>
      <c r="B4599" s="8" t="n">
        <v>165.0872060928</v>
      </c>
      <c r="C4599" s="13" t="n"/>
      <c r="D4599" s="3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0">
      <c r="A4600" s="65" t="inlineStr">
        <is>
          <t>10/12/2021</t>
        </is>
      </c>
      <c r="B4600" s="8" t="n">
        <v>167.229378368</v>
      </c>
      <c r="C4600" s="13" t="n"/>
      <c r="D4600" s="3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1">
      <c r="A4601" s="65" t="inlineStr">
        <is>
          <t>13/12/2021</t>
        </is>
      </c>
      <c r="B4601" s="8" t="n">
        <v>166.9279671936</v>
      </c>
      <c r="C4601" s="13" t="n"/>
      <c r="D4601" s="3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2">
      <c r="A4602" s="65" t="inlineStr">
        <is>
          <t>14/12/2021</t>
        </is>
      </c>
      <c r="B4602" s="8" t="n">
        <v>165.0549120384</v>
      </c>
      <c r="C4602" s="13" t="n"/>
      <c r="D4602" s="3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3">
      <c r="A4603" s="65" t="inlineStr">
        <is>
          <t>15/12/2021</t>
        </is>
      </c>
      <c r="B4603" s="8" t="n">
        <v>166.2713214208</v>
      </c>
      <c r="C4603" s="13" t="n"/>
      <c r="D4603" s="3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4">
      <c r="A4604" s="65" t="inlineStr">
        <is>
          <t>16/12/2021</t>
        </is>
      </c>
      <c r="B4604" s="8" t="n">
        <v>169.4684328064</v>
      </c>
      <c r="C4604" s="13" t="n"/>
      <c r="D4604" s="3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5">
      <c r="A4605" s="65" t="inlineStr">
        <is>
          <t>17/12/2021</t>
        </is>
      </c>
      <c r="B4605" s="8" t="n">
        <v>166.2713214208</v>
      </c>
      <c r="C4605" s="13" t="n"/>
      <c r="D4605" s="3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6">
      <c r="A4606" s="65" t="inlineStr">
        <is>
          <t>20/12/2021</t>
        </is>
      </c>
      <c r="B4606" s="8" t="n">
        <v>164.7319714944</v>
      </c>
      <c r="C4606" s="13" t="n"/>
      <c r="D4606" s="3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7">
      <c r="A4607" s="65" t="inlineStr">
        <is>
          <t>21/12/2021</t>
        </is>
      </c>
      <c r="B4607" s="8" t="n">
        <v>166.8203203456</v>
      </c>
      <c r="C4607" s="13" t="n"/>
      <c r="D4607" s="3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8">
      <c r="A4608" s="65" t="inlineStr">
        <is>
          <t>22/12/2021</t>
        </is>
      </c>
      <c r="B4608" s="8" t="n">
        <v>167.1002021504</v>
      </c>
      <c r="C4608" s="13" t="n"/>
      <c r="D4608" s="3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9">
      <c r="A4609" s="65" t="inlineStr">
        <is>
          <t>23/12/2021</t>
        </is>
      </c>
      <c r="B4609" s="8" t="n">
        <v>168.2089646848</v>
      </c>
      <c r="C4609" s="13" t="n"/>
      <c r="D4609" s="3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0">
      <c r="A4610" s="65" t="inlineStr">
        <is>
          <t>27/12/2021</t>
        </is>
      </c>
      <c r="B4610" s="8" t="n">
        <v>168.2089646848</v>
      </c>
      <c r="C4610" s="13" t="n"/>
      <c r="D4610" s="3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1">
      <c r="A4611" s="65" t="inlineStr">
        <is>
          <t>28/12/2021</t>
        </is>
      </c>
      <c r="B4611" s="8" t="n">
        <v>167.2509077376</v>
      </c>
      <c r="C4611" s="13" t="n"/>
      <c r="D4611" s="3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2">
      <c r="A4612" s="65" t="inlineStr">
        <is>
          <t>29/12/2021</t>
        </is>
      </c>
      <c r="B4612" s="8" t="n">
        <v>166.6696147584</v>
      </c>
      <c r="C4612" s="13" t="n"/>
      <c r="D4612" s="3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3">
      <c r="A4613" s="65" t="inlineStr">
        <is>
          <t>30/12/2021</t>
        </is>
      </c>
      <c r="B4613" s="8" t="n">
        <v>166.6696147584</v>
      </c>
      <c r="C4613" s="13" t="n"/>
      <c r="D4613" s="3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4">
      <c r="A4614" s="65" t="inlineStr">
        <is>
          <t>03/01/2022</t>
        </is>
      </c>
      <c r="B4614" s="8" t="n">
        <v>163.679876399</v>
      </c>
      <c r="C4614" s="13" t="n"/>
      <c r="D4614" s="3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5">
      <c r="A4615" s="65" t="inlineStr">
        <is>
          <t>04/01/2022</t>
        </is>
      </c>
      <c r="B4615" s="8" t="n">
        <v>159.662413989</v>
      </c>
      <c r="C4615" s="13" t="n"/>
      <c r="D4615" s="3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6">
      <c r="A4616" s="65" t="inlineStr">
        <is>
          <t>05/01/2022</t>
        </is>
      </c>
      <c r="B4616" s="8" t="n">
        <v>162.009457818</v>
      </c>
      <c r="C4616" s="13" t="n"/>
      <c r="D4616" s="3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7">
      <c r="A4617" s="65" t="inlineStr">
        <is>
          <t>06/01/2022</t>
        </is>
      </c>
      <c r="B4617" s="8" t="n">
        <v>161.882590584</v>
      </c>
      <c r="C4617" s="13" t="n"/>
      <c r="D4617" s="3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8">
      <c r="A4618" s="65" t="inlineStr">
        <is>
          <t>07/01/2022</t>
        </is>
      </c>
      <c r="B4618" s="8" t="n">
        <v>161.6817174635</v>
      </c>
      <c r="C4618" s="13" t="n"/>
      <c r="D4618" s="3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9">
      <c r="A4619" s="65" t="inlineStr">
        <is>
          <t>10/01/2022</t>
        </is>
      </c>
      <c r="B4619" s="8" t="n">
        <v>160.000726613</v>
      </c>
      <c r="C4619" s="13" t="n"/>
      <c r="D4619" s="3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0">
      <c r="A4620" s="65" t="inlineStr">
        <is>
          <t>11/01/2022</t>
        </is>
      </c>
      <c r="B4620" s="8" t="n">
        <v>161.100242641</v>
      </c>
      <c r="C4620" s="13" t="n"/>
      <c r="D4620" s="3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1">
      <c r="A4621" s="65" t="inlineStr">
        <is>
          <t>12/01/2022</t>
        </is>
      </c>
      <c r="B4621" s="8" t="n">
        <v>160.994519946</v>
      </c>
      <c r="C4621" s="13" t="n"/>
      <c r="D4621" s="3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2">
      <c r="A4622" s="65" t="inlineStr">
        <is>
          <t>13/01/2022</t>
        </is>
      </c>
      <c r="B4622" s="8" t="n">
        <v>161.713434272</v>
      </c>
      <c r="C4622" s="13" t="n"/>
      <c r="D4622" s="3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3">
      <c r="A4623" s="65" t="inlineStr">
        <is>
          <t>14/01/2022</t>
        </is>
      </c>
      <c r="B4623" s="8" t="n">
        <v>161.8931628535</v>
      </c>
      <c r="C4623" s="13" t="n"/>
      <c r="D4623" s="3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4">
      <c r="A4624" s="65" t="inlineStr">
        <is>
          <t>17/01/2022</t>
        </is>
      </c>
      <c r="B4624" s="8" t="n">
        <v>159.1443727835</v>
      </c>
      <c r="C4624" s="13" t="n"/>
      <c r="D4624" s="3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5">
      <c r="A4625" s="65" t="inlineStr">
        <is>
          <t>18/01/2022</t>
        </is>
      </c>
      <c r="B4625" s="8" t="n">
        <v>159.472113138</v>
      </c>
      <c r="C4625" s="13" t="n"/>
      <c r="D4625" s="3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6">
      <c r="A4626" s="65" t="inlineStr">
        <is>
          <t>19/01/2022</t>
        </is>
      </c>
      <c r="B4626" s="8" t="n">
        <v>160.127593847</v>
      </c>
      <c r="C4626" s="13" t="n"/>
      <c r="D4626" s="3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7">
      <c r="A4627" s="65" t="inlineStr">
        <is>
          <t>20/01/2022</t>
        </is>
      </c>
      <c r="B4627" s="8" t="n">
        <v>160.7513577475</v>
      </c>
      <c r="C4627" s="13" t="n"/>
      <c r="D4627" s="3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8">
      <c r="A4628" s="65" t="inlineStr">
        <is>
          <t>21/01/2022</t>
        </is>
      </c>
      <c r="B4628" s="8" t="n">
        <v>160.254461081</v>
      </c>
      <c r="C4628" s="13" t="n"/>
      <c r="D4628" s="3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9">
      <c r="A4629" s="65" t="inlineStr">
        <is>
          <t>24/01/2022</t>
        </is>
      </c>
      <c r="B4629" s="8" t="n">
        <v>160.339039237</v>
      </c>
      <c r="C4629" s="13" t="n"/>
      <c r="D4629" s="3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0">
      <c r="A4630" s="65" t="inlineStr">
        <is>
          <t>25/01/2022</t>
        </is>
      </c>
      <c r="B4630" s="8" t="n">
        <v>156.829045763</v>
      </c>
      <c r="C4630" s="13" t="n"/>
      <c r="D4630" s="3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1">
      <c r="A4631" s="65" t="inlineStr">
        <is>
          <t>26/01/2022</t>
        </is>
      </c>
      <c r="B4631" s="8" t="n">
        <v>158.7426265425</v>
      </c>
      <c r="C4631" s="13" t="n"/>
      <c r="D4631" s="3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2">
      <c r="A4632" s="65" t="inlineStr">
        <is>
          <t>27/01/2022</t>
        </is>
      </c>
      <c r="B4632" s="8" t="n">
        <v>159.112655975</v>
      </c>
      <c r="C4632" s="13" t="n"/>
      <c r="D4632" s="3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3">
      <c r="A4633" s="65" t="inlineStr">
        <is>
          <t>28/01/2022</t>
        </is>
      </c>
      <c r="B4633" s="8" t="n">
        <v>157.547960089</v>
      </c>
      <c r="C4633" s="13" t="n"/>
      <c r="D4633" s="3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4">
      <c r="A4634" s="65" t="inlineStr">
        <is>
          <t>31/01/2022</t>
        </is>
      </c>
      <c r="B4634" s="8" t="n">
        <v>155.454650728</v>
      </c>
      <c r="C4634" s="13" t="n"/>
      <c r="D4634" s="3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5">
      <c r="A4635" s="65" t="inlineStr">
        <is>
          <t>01/02/2022</t>
        </is>
      </c>
      <c r="B4635" s="8" t="n">
        <v>153.5226841593</v>
      </c>
      <c r="C4635" s="13" t="n"/>
      <c r="D4635" s="3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6">
      <c r="A4636" s="65" t="inlineStr">
        <is>
          <t>02/02/2022</t>
        </is>
      </c>
      <c r="B4636" s="8" t="n">
        <v>152.1314594567</v>
      </c>
      <c r="C4636" s="13" t="n"/>
      <c r="D4636" s="3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7">
      <c r="A4637" s="65" t="inlineStr">
        <is>
          <t>03/02/2022</t>
        </is>
      </c>
      <c r="B4637" s="8" t="n">
        <v>150.3457083459</v>
      </c>
      <c r="C4637" s="13" t="n"/>
      <c r="D4637" s="3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8">
      <c r="A4638" s="65" t="inlineStr">
        <is>
          <t>04/02/2022</t>
        </is>
      </c>
      <c r="B4638" s="8" t="n">
        <v>151.9238139787</v>
      </c>
      <c r="C4638" s="13" t="n"/>
      <c r="D4638" s="3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9">
      <c r="A4639" s="65" t="inlineStr">
        <is>
          <t>07/02/2022</t>
        </is>
      </c>
      <c r="B4639" s="8" t="n">
        <v>152.2768112913</v>
      </c>
      <c r="C4639" s="13" t="n"/>
      <c r="D4639" s="3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0">
      <c r="A4640" s="65" t="inlineStr">
        <is>
          <t>08/02/2022</t>
        </is>
      </c>
      <c r="B4640" s="8" t="n">
        <v>151.0517029711</v>
      </c>
      <c r="C4640" s="13" t="n"/>
      <c r="D4640" s="3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1">
      <c r="A4641" s="65" t="inlineStr">
        <is>
          <t>09/02/2022</t>
        </is>
      </c>
      <c r="B4641" s="8" t="n">
        <v>152.9620413687</v>
      </c>
      <c r="C4641" s="13" t="n"/>
      <c r="D4641" s="3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2">
      <c r="A4642" s="65" t="inlineStr">
        <is>
          <t>10/02/2022</t>
        </is>
      </c>
      <c r="B4642" s="8" t="n">
        <v>150.6156474673</v>
      </c>
      <c r="C4642" s="13" t="n"/>
      <c r="D4642" s="3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3">
      <c r="A4643" s="65" t="inlineStr">
        <is>
          <t>11/02/2022</t>
        </is>
      </c>
      <c r="B4643" s="8" t="n">
        <v>154.2909724279</v>
      </c>
      <c r="C4643" s="13" t="n"/>
      <c r="D4643" s="3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4">
      <c r="A4644" s="65" t="inlineStr">
        <is>
          <t>14/02/2022</t>
        </is>
      </c>
      <c r="B4644" s="8" t="n">
        <v>154.1975319628</v>
      </c>
      <c r="C4644" s="13" t="n"/>
      <c r="D4644" s="3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5">
      <c r="A4645" s="65" t="inlineStr">
        <is>
          <t>15/02/2022</t>
        </is>
      </c>
      <c r="B4645" s="8" t="n">
        <v>154.7789393012</v>
      </c>
      <c r="C4645" s="13" t="n"/>
      <c r="D4645" s="3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6">
      <c r="A4646" s="65" t="inlineStr">
        <is>
          <t>16/02/2022</t>
        </is>
      </c>
      <c r="B4646" s="8" t="n">
        <v>151.0517029711</v>
      </c>
      <c r="C4646" s="13" t="n"/>
      <c r="D4646" s="3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7">
      <c r="A4647" s="65" t="inlineStr">
        <is>
          <t>17/02/2022</t>
        </is>
      </c>
      <c r="B4647" s="8" t="n">
        <v>153.8964460197</v>
      </c>
      <c r="C4647" s="13" t="n"/>
      <c r="D4647" s="3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8">
      <c r="A4648" s="65" t="inlineStr">
        <is>
          <t>18/02/2022</t>
        </is>
      </c>
      <c r="B4648" s="8" t="n">
        <v>151.2074370796</v>
      </c>
      <c r="C4648" s="13" t="n"/>
      <c r="D4648" s="3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9">
      <c r="A4649" s="65" t="inlineStr">
        <is>
          <t>21/02/2022</t>
        </is>
      </c>
      <c r="B4649" s="8" t="n">
        <v>150.3249437981</v>
      </c>
      <c r="C4649" s="13" t="n"/>
      <c r="D4649" s="3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0">
      <c r="A4650" s="65" t="inlineStr">
        <is>
          <t>22/02/2022</t>
        </is>
      </c>
      <c r="B4650" s="8" t="n">
        <v>147.8331980621</v>
      </c>
      <c r="C4650" s="13" t="n"/>
      <c r="D4650" s="3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1">
      <c r="A4651" s="65" t="inlineStr">
        <is>
          <t>23/02/2022</t>
        </is>
      </c>
      <c r="B4651" s="8" t="n">
        <v>144.6666045226</v>
      </c>
      <c r="C4651" s="13" t="n"/>
      <c r="D4651" s="3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2">
      <c r="A4652" s="65" t="inlineStr">
        <is>
          <t>24/02/2022</t>
        </is>
      </c>
      <c r="B4652" s="8" t="n">
        <v>141.4169527919</v>
      </c>
      <c r="C4652" s="13" t="n"/>
      <c r="D4652" s="3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3">
      <c r="A4653" s="65" t="inlineStr">
        <is>
          <t>25/02/2022</t>
        </is>
      </c>
      <c r="B4653" s="8" t="n">
        <v>137.4820709838</v>
      </c>
      <c r="C4653" s="13" t="n"/>
      <c r="D4653" s="3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4">
      <c r="A4654" s="65" t="inlineStr">
        <is>
          <t>02/03/2022</t>
        </is>
      </c>
      <c r="B4654" s="8" t="n">
        <v>135.7124635581</v>
      </c>
      <c r="C4654" s="13" t="n"/>
      <c r="D4654" s="3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5">
      <c r="A4655" s="65" t="inlineStr">
        <is>
          <t>03/03/2022</t>
        </is>
      </c>
      <c r="B4655" s="8" t="n">
        <v>135.7124635581</v>
      </c>
      <c r="C4655" s="13" t="n"/>
      <c r="D4655" s="3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6">
      <c r="A4656" s="65" t="inlineStr">
        <is>
          <t>04/03/2022</t>
        </is>
      </c>
      <c r="B4656" s="8" t="n">
        <v>138.069752007</v>
      </c>
      <c r="C4656" s="13" t="n"/>
      <c r="D4656" s="3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7">
      <c r="A4657" s="65" t="inlineStr">
        <is>
          <t>07/03/2022</t>
        </is>
      </c>
      <c r="B4657" s="8" t="n">
        <v>137.5493117001</v>
      </c>
      <c r="C4657" s="13" t="n"/>
      <c r="D4657" s="3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8">
      <c r="A4658" s="65" t="inlineStr">
        <is>
          <t>08/03/2022</t>
        </is>
      </c>
      <c r="B4658" s="8" t="n">
        <v>137.1207138003</v>
      </c>
      <c r="C4658" s="13" t="n"/>
      <c r="D4658" s="3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9">
      <c r="A4659" s="65" t="inlineStr">
        <is>
          <t>09/03/2022</t>
        </is>
      </c>
      <c r="B4659" s="8" t="n">
        <v>139.3147268588</v>
      </c>
      <c r="C4659" s="13" t="n"/>
      <c r="D4659" s="3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0">
      <c r="A4660" s="65" t="inlineStr">
        <is>
          <t>10/03/2022</t>
        </is>
      </c>
      <c r="B4660" s="8" t="n">
        <v>139.7841436062</v>
      </c>
      <c r="C4660" s="13" t="n"/>
      <c r="D4660" s="3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1">
      <c r="A4661" s="65" t="inlineStr">
        <is>
          <t>11/03/2022</t>
        </is>
      </c>
      <c r="B4661" s="8" t="n">
        <v>139.4882069611</v>
      </c>
      <c r="C4661" s="13" t="n"/>
      <c r="D4661" s="3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2">
      <c r="A4662" s="65" t="inlineStr">
        <is>
          <t>14/03/2022</t>
        </is>
      </c>
      <c r="B4662" s="8" t="n">
        <v>138.6718300091</v>
      </c>
      <c r="C4662" s="13" t="n"/>
      <c r="D4662" s="3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3">
      <c r="A4663" s="65" t="inlineStr">
        <is>
          <t>15/03/2022</t>
        </is>
      </c>
      <c r="B4663" s="8" t="n">
        <v>139.3045221469</v>
      </c>
      <c r="C4663" s="13" t="n"/>
      <c r="D4663" s="3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4">
      <c r="A4664" s="65" t="inlineStr">
        <is>
          <t>16/03/2022</t>
        </is>
      </c>
      <c r="B4664" s="8" t="n">
        <v>140.4882687273</v>
      </c>
      <c r="C4664" s="13" t="n"/>
      <c r="D4664" s="3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5">
      <c r="A4665" s="65" t="inlineStr">
        <is>
          <t>17/03/2022</t>
        </is>
      </c>
      <c r="B4665" s="8" t="n">
        <v>141.0699373056</v>
      </c>
      <c r="C4665" s="13" t="n"/>
      <c r="D4665" s="3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6">
      <c r="A4666" s="65" t="inlineStr">
        <is>
          <t>18/03/2022</t>
        </is>
      </c>
      <c r="B4666" s="8" t="n">
        <v>139.4167739778</v>
      </c>
      <c r="C4666" s="13" t="n"/>
      <c r="D4666" s="3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7">
      <c r="A4667" s="65" t="inlineStr">
        <is>
          <t>21/03/2022</t>
        </is>
      </c>
      <c r="B4667" s="8" t="n">
        <v>142.1822509027</v>
      </c>
      <c r="C4667" s="13" t="n"/>
      <c r="D4667" s="3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8">
      <c r="A4668" s="65" t="inlineStr">
        <is>
          <t>22/03/2022</t>
        </is>
      </c>
      <c r="B4668" s="8" t="n">
        <v>142.2128650384</v>
      </c>
      <c r="C4668" s="13" t="n"/>
      <c r="D4668" s="3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9">
      <c r="A4669" s="65" t="inlineStr">
        <is>
          <t>23/03/2022</t>
        </is>
      </c>
      <c r="B4669" s="8" t="n">
        <v>142.1414320551</v>
      </c>
      <c r="C4669" s="13" t="n"/>
      <c r="D4669" s="3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0">
      <c r="A4670" s="65" t="inlineStr">
        <is>
          <t>24/03/2022</t>
        </is>
      </c>
      <c r="B4670" s="8" t="n">
        <v>142.2230697503</v>
      </c>
      <c r="C4670" s="13" t="n"/>
      <c r="D4670" s="3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1">
      <c r="A4671" s="65" t="inlineStr">
        <is>
          <t>25/03/2022</t>
        </is>
      </c>
      <c r="B4671" s="8" t="n">
        <v>142.8659666</v>
      </c>
      <c r="C4671" s="13" t="n"/>
      <c r="D4671" s="3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2">
      <c r="A4672" s="65" t="inlineStr">
        <is>
          <t>28/03/2022</t>
        </is>
      </c>
      <c r="B4672" s="8" t="n">
        <v>142.8659666</v>
      </c>
      <c r="C4672" s="13" t="n"/>
      <c r="D4672" s="3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3">
      <c r="A4673" s="65" t="inlineStr">
        <is>
          <t>29/03/2022</t>
        </is>
      </c>
      <c r="B4673" s="8" t="n">
        <v>143.4578398902</v>
      </c>
      <c r="C4673" s="13" t="n"/>
      <c r="D4673" s="3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4">
      <c r="A4674" s="65" t="inlineStr">
        <is>
          <t>30/03/2022</t>
        </is>
      </c>
      <c r="B4674" s="8" t="n">
        <v>143.7027529758</v>
      </c>
      <c r="C4674" s="13" t="n"/>
      <c r="D4674" s="3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5">
      <c r="A4675" s="65" t="inlineStr">
        <is>
          <t>31/03/2022</t>
        </is>
      </c>
      <c r="B4675" s="8" t="n">
        <v>145.7845142034</v>
      </c>
      <c r="C4675" s="13" t="n"/>
      <c r="D4675" s="3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6">
      <c r="A4676" s="65" t="inlineStr">
        <is>
          <t>01/04/2022</t>
        </is>
      </c>
      <c r="B4676" s="8" t="n">
        <v>144.55249549</v>
      </c>
      <c r="C4676" s="13" t="n"/>
      <c r="D4676" s="3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7">
      <c r="A4677" s="65" t="inlineStr">
        <is>
          <t>04/04/2022</t>
        </is>
      </c>
      <c r="B4677" s="8" t="n">
        <v>144.55249549</v>
      </c>
      <c r="C4677" s="13" t="n"/>
      <c r="D4677" s="3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8">
      <c r="A4678" s="65" t="inlineStr">
        <is>
          <t>05/04/2022</t>
        </is>
      </c>
      <c r="B4678" s="8" t="n">
        <v>144.129856798</v>
      </c>
      <c r="C4678" s="13" t="n"/>
      <c r="D4678" s="3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9">
      <c r="A4679" s="65" t="inlineStr">
        <is>
          <t>06/04/2022</t>
        </is>
      </c>
      <c r="B4679" s="8" t="n">
        <v>143.304705066</v>
      </c>
      <c r="C4679" s="13" t="n"/>
      <c r="D4679" s="3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0">
      <c r="A4680" s="65" t="inlineStr">
        <is>
          <t>07/04/2022</t>
        </is>
      </c>
      <c r="B4680" s="8" t="n">
        <v>143.365082022</v>
      </c>
      <c r="C4680" s="13" t="n"/>
      <c r="D4680" s="3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1">
      <c r="A4681" s="65" t="inlineStr">
        <is>
          <t>08/04/2022</t>
        </is>
      </c>
      <c r="B4681" s="8" t="n">
        <v>142.650621376</v>
      </c>
      <c r="C4681" s="13" t="n"/>
      <c r="D4681" s="3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2">
      <c r="A4682" s="65" t="inlineStr">
        <is>
          <t>11/04/2022</t>
        </is>
      </c>
      <c r="B4682" s="8" t="n">
        <v>144.341176144</v>
      </c>
      <c r="C4682" s="13" t="n"/>
      <c r="D4682" s="3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3">
      <c r="A4683" s="65" t="inlineStr">
        <is>
          <t>12/04/2022</t>
        </is>
      </c>
      <c r="B4683" s="8" t="n">
        <v>143.153762676</v>
      </c>
      <c r="C4683" s="13" t="n"/>
      <c r="D4683" s="3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4">
      <c r="A4684" s="65" t="inlineStr">
        <is>
          <t>13/04/2022</t>
        </is>
      </c>
      <c r="B4684" s="8" t="n">
        <v>142.378925074</v>
      </c>
      <c r="C4684" s="13" t="n"/>
      <c r="D4684" s="3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5">
      <c r="A4685" s="65" t="inlineStr">
        <is>
          <t>14/04/2022</t>
        </is>
      </c>
      <c r="B4685" s="8" t="n">
        <v>142.378925074</v>
      </c>
      <c r="C4685" s="13" t="n"/>
      <c r="D4685" s="3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6">
      <c r="A4686" s="65" t="inlineStr">
        <is>
          <t>18/04/2022</t>
        </is>
      </c>
      <c r="B4686" s="8" t="n">
        <v>143.375144848</v>
      </c>
      <c r="C4686" s="13" t="n"/>
      <c r="D4686" s="3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7">
      <c r="A4687" s="65" t="inlineStr">
        <is>
          <t>19/04/2022</t>
        </is>
      </c>
      <c r="B4687" s="8" t="n">
        <v>141.875783774</v>
      </c>
      <c r="C4687" s="13" t="n"/>
      <c r="D4687" s="3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8">
      <c r="A4688" s="65" t="inlineStr">
        <is>
          <t>20/04/2022</t>
        </is>
      </c>
      <c r="B4688" s="8" t="n">
        <v>140.446862482</v>
      </c>
      <c r="C4688" s="13" t="n"/>
      <c r="D4688" s="3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9">
      <c r="A4689" s="65" t="inlineStr">
        <is>
          <t>22/04/2022</t>
        </is>
      </c>
      <c r="B4689" s="8" t="n">
        <v>140.446862482</v>
      </c>
      <c r="C4689" s="13" t="n"/>
      <c r="D4689" s="3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0">
      <c r="A4690" s="65" t="inlineStr">
        <is>
          <t>25/04/2022</t>
        </is>
      </c>
      <c r="B4690" s="8" t="n">
        <v>140.356297048</v>
      </c>
      <c r="C4690" s="13" t="n"/>
      <c r="D4690" s="3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1">
      <c r="A4691" s="65" t="inlineStr">
        <is>
          <t>26/04/2022</t>
        </is>
      </c>
      <c r="B4691" s="8" t="n">
        <v>137.981470112</v>
      </c>
      <c r="C4691" s="13" t="n"/>
      <c r="D4691" s="3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2">
      <c r="A4692" s="65" t="inlineStr">
        <is>
          <t>27/04/2022</t>
        </is>
      </c>
      <c r="B4692" s="8" t="n">
        <v>137.800339244</v>
      </c>
      <c r="C4692" s="13" t="n"/>
      <c r="D4692" s="3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3">
      <c r="A4693" s="65" t="inlineStr">
        <is>
          <t>28/04/2022</t>
        </is>
      </c>
      <c r="B4693" s="8" t="n">
        <v>136.311040996</v>
      </c>
      <c r="C4693" s="13" t="n"/>
      <c r="D4693" s="3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4">
      <c r="A4694" s="65" t="inlineStr">
        <is>
          <t>29/04/2022</t>
        </is>
      </c>
      <c r="B4694" s="8" t="n">
        <v>136.280852518</v>
      </c>
      <c r="C4694" s="13" t="n"/>
      <c r="D4694" s="3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5">
      <c r="A4695" s="65" t="inlineStr">
        <is>
          <t>02/05/2022</t>
        </is>
      </c>
      <c r="B4695" s="8" t="n">
        <v>135.25551347</v>
      </c>
      <c r="C4695" s="13" t="n"/>
      <c r="D4695" s="3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6">
      <c r="A4696" s="65" t="inlineStr">
        <is>
          <t>03/05/2022</t>
        </is>
      </c>
      <c r="B4696" s="8" t="n">
        <v>132.83290713</v>
      </c>
      <c r="C4696" s="13" t="n"/>
      <c r="D4696" s="3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7">
      <c r="A4697" s="65" t="inlineStr">
        <is>
          <t>04/05/2022</t>
        </is>
      </c>
      <c r="B4697" s="8" t="n">
        <v>134.35454417</v>
      </c>
      <c r="C4697" s="13" t="n"/>
      <c r="D4697" s="3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8">
      <c r="A4698" s="65" t="inlineStr">
        <is>
          <t>05/05/2022</t>
        </is>
      </c>
      <c r="B4698" s="8" t="n">
        <v>133.57370411</v>
      </c>
      <c r="C4698" s="13" t="n"/>
      <c r="D4698" s="3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9">
      <c r="A4699" s="65" t="inlineStr">
        <is>
          <t>06/05/2022</t>
        </is>
      </c>
      <c r="B4699" s="8" t="n">
        <v>134.52472726</v>
      </c>
      <c r="C4699" s="13" t="n"/>
      <c r="D4699" s="3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0">
      <c r="A4700" s="65" t="inlineStr">
        <is>
          <t>09/05/2022</t>
        </is>
      </c>
      <c r="B4700" s="8" t="n">
        <v>133.46358564</v>
      </c>
      <c r="C4700" s="13" t="n"/>
      <c r="D4700" s="3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1">
      <c r="A4701" s="65" t="inlineStr">
        <is>
          <t>10/05/2022</t>
        </is>
      </c>
      <c r="B4701" s="8" t="n">
        <v>132.97305791</v>
      </c>
      <c r="C4701" s="13" t="n"/>
      <c r="D4701" s="3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2">
      <c r="A4702" s="65" t="inlineStr">
        <is>
          <t>11/05/2022</t>
        </is>
      </c>
      <c r="B4702" s="8" t="n">
        <v>132.92300406</v>
      </c>
      <c r="C4702" s="13" t="n"/>
      <c r="D4702" s="3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3">
      <c r="A4703" s="65" t="inlineStr">
        <is>
          <t>12/05/2022</t>
        </is>
      </c>
      <c r="B4703" s="8" t="n">
        <v>131.35131317</v>
      </c>
      <c r="C4703" s="13" t="n"/>
      <c r="D4703" s="3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4">
      <c r="A4704" s="65" t="inlineStr">
        <is>
          <t>13/05/2022</t>
        </is>
      </c>
      <c r="B4704" s="8" t="n">
        <v>132.10212092</v>
      </c>
      <c r="C4704" s="13" t="n"/>
      <c r="D4704" s="3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5">
      <c r="A4705" s="65" t="inlineStr">
        <is>
          <t>16/05/2022</t>
        </is>
      </c>
      <c r="B4705" s="8" t="n">
        <v>131.141087</v>
      </c>
      <c r="C4705" s="13" t="n"/>
      <c r="D4705" s="3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6">
      <c r="A4706" s="65" t="inlineStr">
        <is>
          <t>17/05/2022</t>
        </is>
      </c>
      <c r="B4706" s="8" t="n">
        <v>130.65055927</v>
      </c>
      <c r="C4706" s="13" t="n"/>
      <c r="D4706" s="3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7">
      <c r="A4707" s="65" t="inlineStr">
        <is>
          <t>18/05/2022</t>
        </is>
      </c>
      <c r="B4707" s="8" t="n">
        <v>129.99985922</v>
      </c>
      <c r="C4707" s="13" t="n"/>
      <c r="D4707" s="3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8">
      <c r="A4708" s="65" t="inlineStr">
        <is>
          <t>19/05/2022</t>
        </is>
      </c>
      <c r="B4708" s="8" t="n">
        <v>129.45927764</v>
      </c>
      <c r="C4708" s="13" t="n"/>
      <c r="D4708" s="3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9">
      <c r="A4709" s="65" t="inlineStr">
        <is>
          <t>20/05/2022</t>
        </is>
      </c>
      <c r="B4709" s="8" t="n">
        <v>130.72063466</v>
      </c>
      <c r="C4709" s="13" t="n"/>
      <c r="D4709" s="3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0">
      <c r="A4710" s="65" t="inlineStr">
        <is>
          <t>23/05/2022</t>
        </is>
      </c>
      <c r="B4710" s="8" t="n">
        <v>132.11213169</v>
      </c>
      <c r="C4710" s="13" t="n"/>
      <c r="D4710" s="3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1">
      <c r="A4711" s="65" t="inlineStr">
        <is>
          <t>24/05/2022</t>
        </is>
      </c>
      <c r="B4711" s="8" t="n">
        <v>131.9419486</v>
      </c>
      <c r="C4711" s="13" t="n"/>
      <c r="D4711" s="3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2">
      <c r="A4712" s="65" t="inlineStr">
        <is>
          <t>25/05/2022</t>
        </is>
      </c>
      <c r="B4712" s="8" t="n">
        <v>132.02203476</v>
      </c>
      <c r="C4712" s="13" t="n"/>
      <c r="D4712" s="3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3">
      <c r="A4713" s="65" t="inlineStr">
        <is>
          <t>26/05/2022</t>
        </is>
      </c>
      <c r="B4713" s="8" t="n">
        <v>130.93086083</v>
      </c>
      <c r="C4713" s="13" t="n"/>
      <c r="D4713" s="3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4">
      <c r="A4714" s="65" t="inlineStr">
        <is>
          <t>27/05/2022</t>
        </is>
      </c>
      <c r="B4714" s="8" t="n">
        <v>130.16003154</v>
      </c>
      <c r="C4714" s="13" t="n"/>
      <c r="D4714" s="3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5">
      <c r="A4715" s="65" t="inlineStr">
        <is>
          <t>30/05/2022</t>
        </is>
      </c>
      <c r="B4715" s="8" t="n">
        <v>130.82074236</v>
      </c>
      <c r="C4715" s="13" t="n"/>
      <c r="D4715" s="3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6">
      <c r="A4716" s="65" t="inlineStr">
        <is>
          <t>31/05/2022</t>
        </is>
      </c>
      <c r="B4716" s="8" t="n">
        <v>131.06100084</v>
      </c>
      <c r="C4716" s="13" t="n"/>
      <c r="D4716" s="3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7">
      <c r="A4717" s="65" t="inlineStr">
        <is>
          <t>01/06/2022</t>
        </is>
      </c>
      <c r="B4717" s="8" t="n">
        <v>130.0136190856</v>
      </c>
      <c r="C4717" s="13" t="n"/>
      <c r="D4717" s="3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8">
      <c r="A4718" s="65" t="inlineStr">
        <is>
          <t>02/06/2022</t>
        </is>
      </c>
      <c r="B4718" s="8" t="n">
        <v>127.9336400295</v>
      </c>
      <c r="C4718" s="13" t="n"/>
      <c r="D4718" s="3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9">
      <c r="A4719" s="65" t="inlineStr">
        <is>
          <t>03/06/2022</t>
        </is>
      </c>
      <c r="B4719" s="8" t="n">
        <v>129.2174548536</v>
      </c>
      <c r="C4719" s="13" t="n"/>
      <c r="D4719" s="3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0">
      <c r="A4720" s="65" t="inlineStr">
        <is>
          <t>06/06/2022</t>
        </is>
      </c>
      <c r="B4720" s="8" t="n">
        <v>129.3368794884</v>
      </c>
      <c r="C4720" s="13" t="n"/>
      <c r="D4720" s="3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1">
      <c r="A4721" s="65" t="inlineStr">
        <is>
          <t>07/06/2022</t>
        </is>
      </c>
      <c r="B4721" s="8" t="n">
        <v>128.6601398912</v>
      </c>
      <c r="C4721" s="13" t="n"/>
      <c r="D4721" s="3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2">
      <c r="A4722" s="65" t="inlineStr">
        <is>
          <t>08/06/2022</t>
        </is>
      </c>
      <c r="B4722" s="8" t="n">
        <v>128.7696124731</v>
      </c>
      <c r="C4722" s="13" t="n"/>
      <c r="D4722" s="3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3">
      <c r="A4723" s="65" t="inlineStr">
        <is>
          <t>09/06/2022</t>
        </is>
      </c>
      <c r="B4723" s="8" t="n">
        <v>128.1724892991</v>
      </c>
      <c r="C4723" s="13" t="n"/>
      <c r="D4723" s="3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4">
      <c r="A4724" s="65" t="inlineStr">
        <is>
          <t>10/06/2022</t>
        </is>
      </c>
      <c r="B4724" s="8" t="n">
        <v>126.5801608351</v>
      </c>
      <c r="C4724" s="13" t="n"/>
      <c r="D4724" s="3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5">
      <c r="A4725" s="65" t="inlineStr">
        <is>
          <t>13/06/2022</t>
        </is>
      </c>
      <c r="B4725" s="8" t="n">
        <v>126.7095375228</v>
      </c>
      <c r="C4725" s="13" t="n"/>
      <c r="D4725" s="3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6">
      <c r="A4726" s="65" t="inlineStr">
        <is>
          <t>14/06/2022</t>
        </is>
      </c>
      <c r="B4726" s="8" t="n">
        <v>126.1024622959</v>
      </c>
      <c r="C4726" s="13" t="n"/>
      <c r="D4726" s="3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7">
      <c r="A4727" s="65" t="inlineStr">
        <is>
          <t>15/06/2022</t>
        </is>
      </c>
      <c r="B4727" s="8" t="n">
        <v>126.490592359</v>
      </c>
      <c r="C4727" s="13" t="n"/>
      <c r="D4727" s="3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8">
      <c r="A4728" s="65" t="inlineStr">
        <is>
          <t>17/06/2022</t>
        </is>
      </c>
      <c r="B4728" s="8" t="n">
        <v>126.0825581901</v>
      </c>
      <c r="C4728" s="13" t="n"/>
      <c r="D4728" s="3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9">
      <c r="A4729" s="65" t="inlineStr">
        <is>
          <t>20/06/2022</t>
        </is>
      </c>
      <c r="B4729" s="8" t="n">
        <v>125.7242842857</v>
      </c>
      <c r="C4729" s="13" t="n"/>
      <c r="D4729" s="3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0">
      <c r="A4730" s="65" t="inlineStr">
        <is>
          <t>21/06/2022</t>
        </is>
      </c>
      <c r="B4730" s="8" t="n">
        <v>126.4109759358</v>
      </c>
      <c r="C4730" s="13" t="n"/>
      <c r="D4730" s="3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1">
      <c r="A4731" s="65" t="inlineStr">
        <is>
          <t>22/06/2022</t>
        </is>
      </c>
      <c r="B4731" s="8" t="n">
        <v>125.5650514393</v>
      </c>
      <c r="C4731" s="13" t="n"/>
      <c r="D4731" s="3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2">
      <c r="A4732" s="65" t="inlineStr">
        <is>
          <t>23/06/2022</t>
        </is>
      </c>
      <c r="B4732" s="8" t="n">
        <v>126.1422705075</v>
      </c>
      <c r="C4732" s="13" t="n"/>
      <c r="D4732" s="3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3">
      <c r="A4733" s="65" t="inlineStr">
        <is>
          <t>24/06/2022</t>
        </is>
      </c>
      <c r="B4733" s="8" t="n">
        <v>126.5304005706</v>
      </c>
      <c r="C4733" s="13" t="n"/>
      <c r="D4733" s="3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4">
      <c r="A4734" s="65" t="inlineStr">
        <is>
          <t>27/06/2022</t>
        </is>
      </c>
      <c r="B4734" s="8" t="n">
        <v>126.7194895757</v>
      </c>
      <c r="C4734" s="13" t="n"/>
      <c r="D4734" s="3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5">
      <c r="A4735" s="65" t="inlineStr">
        <is>
          <t>28/06/2022</t>
        </is>
      </c>
      <c r="B4735" s="8" t="n">
        <v>127.4061812258</v>
      </c>
      <c r="C4735" s="13" t="n"/>
      <c r="D4735" s="3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6">
      <c r="A4736" s="65" t="inlineStr">
        <is>
          <t>29/06/2022</t>
        </is>
      </c>
      <c r="B4736" s="8" t="n">
        <v>127.3265648026</v>
      </c>
      <c r="C4736" s="13" t="n"/>
      <c r="D4736" s="3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7">
      <c r="A4737" s="65" t="inlineStr">
        <is>
          <t>30/06/2022</t>
        </is>
      </c>
      <c r="B4737" s="8" t="n">
        <v>126.4507841474</v>
      </c>
      <c r="C4737" s="13" t="n"/>
      <c r="D4737" s="3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8">
      <c r="A4738" s="65" t="inlineStr">
        <is>
          <t>01/07/2022</t>
        </is>
      </c>
      <c r="B4738" s="8" t="n">
        <v>125.9573766242</v>
      </c>
      <c r="C4738" s="13" t="n"/>
      <c r="D4738" s="3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9">
      <c r="A4739" s="65" t="inlineStr">
        <is>
          <t>04/07/2022</t>
        </is>
      </c>
      <c r="B4739" s="8" t="n">
        <v>126.7618036136</v>
      </c>
      <c r="C4739" s="13" t="n"/>
      <c r="D4739" s="3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0">
      <c r="A4740" s="65" t="inlineStr">
        <is>
          <t>05/07/2022</t>
        </is>
      </c>
      <c r="B4740" s="8" t="n">
        <v>125.778615071</v>
      </c>
      <c r="C4740" s="13" t="n"/>
      <c r="D4740" s="3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1">
      <c r="A4741" s="65" t="inlineStr">
        <is>
          <t>06/07/2022</t>
        </is>
      </c>
      <c r="B4741" s="8" t="n">
        <v>125.579991123</v>
      </c>
      <c r="C4741" s="13" t="n"/>
      <c r="D4741" s="3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2">
      <c r="A4742" s="65" t="inlineStr">
        <is>
          <t>07/07/2022</t>
        </is>
      </c>
      <c r="B4742" s="8" t="n">
        <v>125.9077206372</v>
      </c>
      <c r="C4742" s="13" t="n"/>
      <c r="D4742" s="3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3">
      <c r="A4743" s="65" t="inlineStr">
        <is>
          <t>08/07/2022</t>
        </is>
      </c>
      <c r="B4743" s="8" t="n">
        <v>125.1132248452</v>
      </c>
      <c r="C4743" s="13" t="n"/>
      <c r="D4743" s="3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4">
      <c r="A4744" s="65" t="inlineStr">
        <is>
          <t>11/07/2022</t>
        </is>
      </c>
      <c r="B4744" s="8" t="n">
        <v>125.728959084</v>
      </c>
      <c r="C4744" s="13" t="n"/>
      <c r="D4744" s="3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5">
      <c r="A4745" s="65" t="inlineStr">
        <is>
          <t>12/07/2022</t>
        </is>
      </c>
      <c r="B4745" s="8" t="n">
        <v>125.4111607672</v>
      </c>
      <c r="C4745" s="13" t="n"/>
      <c r="D4745" s="3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6">
      <c r="A4746" s="65" t="inlineStr">
        <is>
          <t>13/07/2022</t>
        </is>
      </c>
      <c r="B4746" s="8" t="n">
        <v>126.2354501514</v>
      </c>
      <c r="C4746" s="13" t="n"/>
      <c r="D4746" s="3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7">
      <c r="A4747" s="65" t="inlineStr">
        <is>
          <t>14/07/2022</t>
        </is>
      </c>
      <c r="B4747" s="8" t="n">
        <v>126.6326980474</v>
      </c>
      <c r="C4747" s="13" t="n"/>
      <c r="D4747" s="3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8">
      <c r="A4748" s="65" t="inlineStr">
        <is>
          <t>15/07/2022</t>
        </is>
      </c>
      <c r="B4748" s="8" t="n">
        <v>126.8412531928</v>
      </c>
      <c r="C4748" s="13" t="n"/>
      <c r="D4748" s="3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9">
      <c r="A4749" s="65" t="inlineStr">
        <is>
          <t>18/07/2022</t>
        </is>
      </c>
      <c r="B4749" s="8" t="n">
        <v>130.09868594</v>
      </c>
      <c r="C4749" s="13" t="n"/>
      <c r="D4749" s="3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0">
      <c r="A4750" s="65" t="inlineStr">
        <is>
          <t>19/07/2022</t>
        </is>
      </c>
      <c r="B4750" s="8" t="n">
        <v>130.2178603088</v>
      </c>
      <c r="C4750" s="13" t="n"/>
      <c r="D4750" s="3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1">
      <c r="A4751" s="65" t="inlineStr">
        <is>
          <t>20/07/2022</t>
        </is>
      </c>
      <c r="B4751" s="8" t="n">
        <v>131.0818744826</v>
      </c>
      <c r="C4751" s="13" t="n"/>
      <c r="D4751" s="3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2">
      <c r="A4752" s="65" t="inlineStr">
        <is>
          <t>21/07/2022</t>
        </is>
      </c>
      <c r="B4752" s="8" t="n">
        <v>130.545589823</v>
      </c>
      <c r="C4752" s="13" t="n"/>
      <c r="D4752" s="3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3">
      <c r="A4753" s="65" t="inlineStr">
        <is>
          <t>22/07/2022</t>
        </is>
      </c>
      <c r="B4753" s="8" t="n">
        <v>130.2079291114</v>
      </c>
      <c r="C4753" s="13" t="n"/>
      <c r="D4753" s="3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4">
      <c r="A4754" s="65" t="inlineStr">
        <is>
          <t>25/07/2022</t>
        </is>
      </c>
      <c r="B4754" s="8" t="n">
        <v>129.1850157792</v>
      </c>
      <c r="C4754" s="13" t="n"/>
      <c r="D4754" s="3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5">
      <c r="A4755" s="65" t="inlineStr">
        <is>
          <t>26/07/2022</t>
        </is>
      </c>
      <c r="B4755" s="8" t="n">
        <v>129.2644653584</v>
      </c>
      <c r="C4755" s="13" t="n"/>
      <c r="D4755" s="3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6">
      <c r="A4756" s="65" t="inlineStr">
        <is>
          <t>27/07/2022</t>
        </is>
      </c>
      <c r="B4756" s="8" t="n">
        <v>129.5921948726</v>
      </c>
      <c r="C4756" s="13" t="n"/>
      <c r="D4756" s="3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7">
      <c r="A4757" s="65" t="inlineStr">
        <is>
          <t>28/07/2022</t>
        </is>
      </c>
      <c r="B4757" s="8" t="n">
        <v>130.793869758</v>
      </c>
      <c r="C4757" s="13" t="n"/>
      <c r="D4757" s="3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8">
      <c r="A4758" s="65" t="inlineStr">
        <is>
          <t>29/07/2022</t>
        </is>
      </c>
      <c r="B4758" s="8" t="n">
        <v>130.5555210204</v>
      </c>
      <c r="C4758" s="13" t="n"/>
      <c r="D4758" s="3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9">
      <c r="A4759" s="65" t="inlineStr">
        <is>
          <t>01/08/2022</t>
        </is>
      </c>
      <c r="B4759" s="8" t="n">
        <v>131.51585627</v>
      </c>
      <c r="C4759" s="13" t="n"/>
      <c r="D4759" s="3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0">
      <c r="A4760" s="65" t="inlineStr">
        <is>
          <t>02/08/2022</t>
        </is>
      </c>
      <c r="B4760" s="8" t="n">
        <v>129.3455946114</v>
      </c>
      <c r="C4760" s="13" t="n"/>
      <c r="D4760" s="3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1">
      <c r="A4761" s="65" t="inlineStr">
        <is>
          <t>03/08/2022</t>
        </is>
      </c>
      <c r="B4761" s="8" t="n">
        <v>128.8555355272</v>
      </c>
      <c r="C4761" s="13" t="n"/>
      <c r="D4761" s="3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2">
      <c r="A4762" s="65" t="inlineStr">
        <is>
          <t>04/08/2022</t>
        </is>
      </c>
      <c r="B4762" s="8" t="n">
        <v>129.4956126984</v>
      </c>
      <c r="C4762" s="13" t="n"/>
      <c r="D4762" s="3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3">
      <c r="A4763" s="65" t="inlineStr">
        <is>
          <t>05/08/2022</t>
        </is>
      </c>
      <c r="B4763" s="8" t="n">
        <v>129.6256283738</v>
      </c>
      <c r="C4763" s="13" t="n"/>
      <c r="D4763" s="3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4">
      <c r="A4764" s="65" t="inlineStr">
        <is>
          <t>08/08/2022</t>
        </is>
      </c>
      <c r="B4764" s="8" t="n">
        <v>129.565621139</v>
      </c>
      <c r="C4764" s="13" t="n"/>
      <c r="D4764" s="3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5">
      <c r="A4765" s="65" t="inlineStr">
        <is>
          <t>09/08/2022</t>
        </is>
      </c>
      <c r="B4765" s="8" t="n">
        <v>129.9756705768</v>
      </c>
      <c r="C4765" s="13" t="n"/>
      <c r="D4765" s="3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6">
      <c r="A4766" s="65" t="inlineStr">
        <is>
          <t>10/08/2022</t>
        </is>
      </c>
      <c r="B4766" s="8" t="n">
        <v>129.7856476666</v>
      </c>
      <c r="C4766" s="13" t="n"/>
      <c r="D4766" s="3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7">
      <c r="A4767" s="65" t="inlineStr">
        <is>
          <t>11/08/2022</t>
        </is>
      </c>
      <c r="B4767" s="8" t="n">
        <v>129.9556681652</v>
      </c>
      <c r="C4767" s="13" t="n"/>
      <c r="D4767" s="3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8">
      <c r="A4768" s="65" t="inlineStr">
        <is>
          <t>12/08/2022</t>
        </is>
      </c>
      <c r="B4768" s="8" t="n">
        <v>129.9556681652</v>
      </c>
      <c r="C4768" s="13" t="n"/>
      <c r="D4768" s="3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9">
      <c r="A4769" s="65" t="inlineStr">
        <is>
          <t>15/08/2022</t>
        </is>
      </c>
      <c r="B4769" s="8" t="n">
        <v>129.1555717012</v>
      </c>
      <c r="C4769" s="13" t="n"/>
      <c r="D4769" s="3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0">
      <c r="A4770" s="65" t="inlineStr">
        <is>
          <t>16/08/2022</t>
        </is>
      </c>
      <c r="B4770" s="8" t="n">
        <v>129.4856114926</v>
      </c>
      <c r="C4770" s="13" t="n"/>
      <c r="D4770" s="3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1">
      <c r="A4771" s="65" t="inlineStr">
        <is>
          <t>17/08/2022</t>
        </is>
      </c>
      <c r="B4771" s="8" t="n">
        <v>130.0056741942</v>
      </c>
      <c r="C4771" s="13" t="n"/>
      <c r="D4771" s="3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2">
      <c r="A4772" s="65" t="inlineStr">
        <is>
          <t>18/08/2022</t>
        </is>
      </c>
      <c r="B4772" s="8" t="n">
        <v>128.2554631792</v>
      </c>
      <c r="C4772" s="13" t="n"/>
      <c r="D4772" s="3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3">
      <c r="A4773" s="65" t="inlineStr">
        <is>
          <t>19/08/2022</t>
        </is>
      </c>
      <c r="B4773" s="8" t="n">
        <v>127.7554028892</v>
      </c>
      <c r="C4773" s="13" t="n"/>
      <c r="D4773" s="3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4">
      <c r="A4774" s="65" t="inlineStr">
        <is>
          <t>22/08/2022</t>
        </is>
      </c>
      <c r="B4774" s="8" t="n">
        <v>128.965548791</v>
      </c>
      <c r="C4774" s="13" t="n"/>
      <c r="D4774" s="3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5">
      <c r="A4775" s="65" t="inlineStr">
        <is>
          <t>23/08/2022</t>
        </is>
      </c>
      <c r="B4775" s="8" t="n">
        <v>129.115566878</v>
      </c>
      <c r="C4775" s="13" t="n"/>
      <c r="D4775" s="3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6">
      <c r="A4776" s="65" t="inlineStr">
        <is>
          <t>24/08/2022</t>
        </is>
      </c>
      <c r="B4776" s="8" t="n">
        <v>128.165452327</v>
      </c>
      <c r="C4776" s="13" t="n"/>
      <c r="D4776" s="3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7">
      <c r="A4777" s="65" t="inlineStr">
        <is>
          <t>25/08/2022</t>
        </is>
      </c>
      <c r="B4777" s="8" t="n">
        <v>128.0954438864</v>
      </c>
      <c r="C4777" s="13" t="n"/>
      <c r="D4777" s="3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8">
      <c r="A4778" s="65" t="inlineStr">
        <is>
          <t>26/08/2022</t>
        </is>
      </c>
      <c r="B4778" s="8" t="n">
        <v>127.7454016834</v>
      </c>
      <c r="C4778" s="13" t="n"/>
      <c r="D4778" s="3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9">
      <c r="A4779" s="65" t="inlineStr">
        <is>
          <t>29/08/2022</t>
        </is>
      </c>
      <c r="B4779" s="8" t="n">
        <v>128.215458356</v>
      </c>
      <c r="C4779" s="13" t="n"/>
      <c r="D4779" s="3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0">
      <c r="A4780" s="65" t="inlineStr">
        <is>
          <t>30/08/2022</t>
        </is>
      </c>
      <c r="B4780" s="8" t="n">
        <v>126.2352196076</v>
      </c>
      <c r="C4780" s="13" t="n"/>
      <c r="D4780" s="3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1">
      <c r="A4781" s="65" t="inlineStr">
        <is>
          <t>31/08/2022</t>
        </is>
      </c>
      <c r="B4781" s="8" t="n">
        <v>125.0850809406</v>
      </c>
      <c r="C4781" s="13" t="n"/>
      <c r="D4781" s="3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2">
      <c r="A4782" s="65" t="inlineStr">
        <is>
          <t>01/09/2022</t>
        </is>
      </c>
      <c r="B4782" s="8" t="n">
        <v>125.1942975114</v>
      </c>
      <c r="C4782" s="13" t="n"/>
      <c r="D4782" s="3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3">
      <c r="A4783" s="65" t="inlineStr">
        <is>
          <t>02/09/2022</t>
        </is>
      </c>
      <c r="B4783" s="8" t="n">
        <v>123.9220593078</v>
      </c>
      <c r="C4783" s="13" t="n"/>
      <c r="D4783" s="3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4">
      <c r="A4784" s="65" t="inlineStr">
        <is>
          <t>05/09/2022</t>
        </is>
      </c>
      <c r="B4784" s="8" t="n">
        <v>126.2141075</v>
      </c>
      <c r="C4784" s="13" t="n"/>
      <c r="D4784" s="3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5">
      <c r="A4785" s="65" t="inlineStr">
        <is>
          <t>06/09/2022</t>
        </is>
      </c>
      <c r="B4785" s="8" t="n">
        <v>126.163621857</v>
      </c>
      <c r="C4785" s="13" t="n"/>
      <c r="D4785" s="3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6">
      <c r="A4786" s="65" t="inlineStr">
        <is>
          <t>08/09/2022</t>
        </is>
      </c>
      <c r="B4786" s="8" t="n">
        <v>126.1535247284</v>
      </c>
      <c r="C4786" s="13" t="n"/>
      <c r="D4786" s="3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7">
      <c r="A4787" s="65" t="inlineStr">
        <is>
          <t>09/09/2022</t>
        </is>
      </c>
      <c r="B4787" s="8" t="n">
        <v>126.3453701718</v>
      </c>
      <c r="C4787" s="13" t="n"/>
      <c r="D4787" s="3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8">
      <c r="A4788" s="65" t="inlineStr">
        <is>
          <t>12/09/2022</t>
        </is>
      </c>
      <c r="B4788" s="8" t="n">
        <v>125.0125491966</v>
      </c>
      <c r="C4788" s="13" t="n"/>
      <c r="D4788" s="3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9">
      <c r="A4789" s="65" t="inlineStr">
        <is>
          <t>13/09/2022</t>
        </is>
      </c>
      <c r="B4789" s="8" t="n">
        <v>125.1438118684</v>
      </c>
      <c r="C4789" s="13" t="n"/>
      <c r="D4789" s="3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0">
      <c r="A4790" s="65" t="inlineStr">
        <is>
          <t>14/09/2022</t>
        </is>
      </c>
      <c r="B4790" s="8" t="n">
        <v>125.254880283</v>
      </c>
      <c r="C4790" s="13" t="n"/>
      <c r="D4790" s="3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1">
      <c r="A4791" s="65" t="inlineStr">
        <is>
          <t>15/09/2022</t>
        </is>
      </c>
      <c r="B4791" s="8" t="n">
        <v>125.456822855</v>
      </c>
      <c r="C4791" s="13" t="n"/>
      <c r="D4791" s="3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2">
      <c r="A4792" s="65" t="inlineStr">
        <is>
          <t>16/09/2022</t>
        </is>
      </c>
      <c r="B4792" s="8" t="n">
        <v>125.103423354</v>
      </c>
      <c r="C4792" s="13" t="n"/>
      <c r="D4792" s="3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3">
      <c r="A4793" s="65" t="inlineStr">
        <is>
          <t>19/09/2022</t>
        </is>
      </c>
      <c r="B4793" s="8" t="n">
        <v>125.759736713</v>
      </c>
      <c r="C4793" s="13" t="n"/>
      <c r="D4793" s="3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4">
      <c r="A4794" s="65" t="inlineStr">
        <is>
          <t>20/09/2022</t>
        </is>
      </c>
      <c r="B4794" s="8" t="n">
        <v>125.9414850278</v>
      </c>
      <c r="C4794" s="13" t="n"/>
      <c r="D4794" s="3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5">
      <c r="A4795" s="65" t="inlineStr">
        <is>
          <t>21/09/2022</t>
        </is>
      </c>
      <c r="B4795" s="8" t="n">
        <v>126.113136214</v>
      </c>
      <c r="C4795" s="13" t="n"/>
      <c r="D4795" s="3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6">
      <c r="A4796" s="65" t="inlineStr">
        <is>
          <t>22/09/2022</t>
        </is>
      </c>
      <c r="B4796" s="8" t="n">
        <v>125.5880855268</v>
      </c>
      <c r="C4796" s="13" t="n"/>
      <c r="D4796" s="3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7">
      <c r="A4797" s="65" t="inlineStr">
        <is>
          <t>23/09/2022</t>
        </is>
      </c>
      <c r="B4797" s="8" t="n">
        <v>125.6385711698</v>
      </c>
      <c r="C4797" s="13" t="n"/>
      <c r="D4797" s="3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8">
      <c r="A4798" s="65" t="inlineStr">
        <is>
          <t>26/09/2022</t>
        </is>
      </c>
      <c r="B4798" s="8" t="n">
        <v>125.8304166132</v>
      </c>
      <c r="C4798" s="13" t="n"/>
      <c r="D4798" s="3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9">
      <c r="A4799" s="65" t="inlineStr">
        <is>
          <t>27/09/2022</t>
        </is>
      </c>
      <c r="B4799" s="8" t="n">
        <v>126.0727476996</v>
      </c>
      <c r="C4799" s="13" t="n"/>
      <c r="D4799" s="3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0">
      <c r="A4800" s="65" t="inlineStr">
        <is>
          <t>28/09/2022</t>
        </is>
      </c>
      <c r="B4800" s="8" t="n">
        <v>126.668478287</v>
      </c>
      <c r="C4800" s="13" t="n"/>
      <c r="D4800" s="3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1">
      <c r="A4801" s="65" t="inlineStr">
        <is>
          <t>29/09/2022</t>
        </is>
      </c>
      <c r="B4801" s="8" t="n">
        <v>125.5174056266</v>
      </c>
      <c r="C4801" s="13" t="n"/>
      <c r="D4801" s="3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2">
      <c r="A4802" s="65" t="inlineStr">
        <is>
          <t>30/09/2022</t>
        </is>
      </c>
      <c r="B4802" s="8" t="n">
        <v>125.6183769126</v>
      </c>
      <c r="C4802" s="13" t="n"/>
      <c r="D4802" s="3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3">
      <c r="A4803" s="65" t="inlineStr">
        <is>
          <t>03/10/2022</t>
        </is>
      </c>
      <c r="B4803" s="8" t="n">
        <v>127.17508219</v>
      </c>
      <c r="C4803" s="13" t="n"/>
      <c r="D4803" s="3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4">
      <c r="A4804" s="65" t="inlineStr">
        <is>
          <t>04/10/2022</t>
        </is>
      </c>
      <c r="B4804" s="8" t="n">
        <v>127.87860826</v>
      </c>
      <c r="C4804" s="13" t="n"/>
      <c r="D4804" s="3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5">
      <c r="A4805" s="65" t="inlineStr">
        <is>
          <t>05/10/2022</t>
        </is>
      </c>
      <c r="B4805" s="8" t="n">
        <v>127.89900032</v>
      </c>
      <c r="C4805" s="13" t="n"/>
      <c r="D4805" s="3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6">
      <c r="A4806" s="65" t="inlineStr">
        <is>
          <t>06/10/2022</t>
        </is>
      </c>
      <c r="B4806" s="8" t="n">
        <v>128.14370504</v>
      </c>
      <c r="C4806" s="13" t="n"/>
      <c r="D4806" s="3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7">
      <c r="A4807" s="65" t="inlineStr">
        <is>
          <t>07/10/2022</t>
        </is>
      </c>
      <c r="B4807" s="8" t="n">
        <v>128.02135268</v>
      </c>
      <c r="C4807" s="13" t="n"/>
      <c r="D4807" s="3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8">
      <c r="A4808" s="65" t="inlineStr">
        <is>
          <t>10/10/2022</t>
        </is>
      </c>
      <c r="B4808" s="8" t="n">
        <v>128.14370504</v>
      </c>
      <c r="C4808" s="13" t="n"/>
      <c r="D4808" s="3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9">
      <c r="A4809" s="65" t="inlineStr">
        <is>
          <t>11/10/2022</t>
        </is>
      </c>
      <c r="B4809" s="8" t="n">
        <v>128.11311695</v>
      </c>
      <c r="C4809" s="13" t="n"/>
      <c r="D4809" s="3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0">
      <c r="A4810" s="65" t="inlineStr">
        <is>
          <t>13/10/2022</t>
        </is>
      </c>
      <c r="B4810" s="8" t="n">
        <v>128.8778192</v>
      </c>
      <c r="C4810" s="13" t="n"/>
      <c r="D4810" s="3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1">
      <c r="A4811" s="65" t="inlineStr">
        <is>
          <t>14/10/2022</t>
        </is>
      </c>
      <c r="B4811" s="8" t="n">
        <v>128.66370257</v>
      </c>
      <c r="C4811" s="13" t="n"/>
      <c r="D4811" s="3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2">
      <c r="A4812" s="65" t="inlineStr">
        <is>
          <t>17/10/2022</t>
        </is>
      </c>
      <c r="B4812" s="8" t="n">
        <v>129.71389366</v>
      </c>
      <c r="C4812" s="13" t="n"/>
      <c r="D4812" s="3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3">
      <c r="A4813" s="65" t="inlineStr">
        <is>
          <t>18/10/2022</t>
        </is>
      </c>
      <c r="B4813" s="8" t="n">
        <v>129.60173733</v>
      </c>
      <c r="C4813" s="13" t="n"/>
      <c r="D4813" s="3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4">
      <c r="A4814" s="65" t="inlineStr">
        <is>
          <t>19/10/2022</t>
        </is>
      </c>
      <c r="B4814" s="8" t="n">
        <v>130.19310707</v>
      </c>
      <c r="C4814" s="13" t="n"/>
      <c r="D4814" s="3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5">
      <c r="A4815" s="65" t="inlineStr">
        <is>
          <t>20/10/2022</t>
        </is>
      </c>
      <c r="B4815" s="8" t="n">
        <v>130.79467284</v>
      </c>
      <c r="C4815" s="13" t="n"/>
      <c r="D4815" s="3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6">
      <c r="A4816" s="65" t="inlineStr">
        <is>
          <t>21/10/2022</t>
        </is>
      </c>
      <c r="B4816" s="8" t="n">
        <v>130.97820138</v>
      </c>
      <c r="C4816" s="13" t="n"/>
      <c r="D4816" s="3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7">
      <c r="A4817" s="65" t="inlineStr">
        <is>
          <t>24/10/2022</t>
        </is>
      </c>
      <c r="B4817" s="8" t="n">
        <v>130.33585149</v>
      </c>
      <c r="C4817" s="13" t="n"/>
      <c r="D4817" s="3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8">
      <c r="A4818" s="65" t="inlineStr">
        <is>
          <t>25/10/2022</t>
        </is>
      </c>
      <c r="B4818" s="8" t="n">
        <v>131.1209458</v>
      </c>
      <c r="C4818" s="13" t="n"/>
      <c r="D4818" s="3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9">
      <c r="A4819" s="65" t="inlineStr">
        <is>
          <t>26/10/2022</t>
        </is>
      </c>
      <c r="B4819" s="8" t="n">
        <v>130.66212445</v>
      </c>
      <c r="C4819" s="13" t="n"/>
      <c r="D4819" s="3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0">
      <c r="A4820" s="65" t="inlineStr">
        <is>
          <t>27/10/2022</t>
        </is>
      </c>
      <c r="B4820" s="8" t="n">
        <v>131.18212198</v>
      </c>
      <c r="C4820" s="13" t="n"/>
      <c r="D4820" s="3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1">
      <c r="A4821" s="65" t="inlineStr">
        <is>
          <t>28/10/2022</t>
        </is>
      </c>
      <c r="B4821" s="8" t="n">
        <v>131.27388625</v>
      </c>
      <c r="C4821" s="13" t="n"/>
      <c r="D4821" s="3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2">
      <c r="A4822" s="65" t="inlineStr">
        <is>
          <t>31/10/2022</t>
        </is>
      </c>
      <c r="B4822" s="8" t="n">
        <v>130.77428078</v>
      </c>
      <c r="C4822" s="13" t="n"/>
      <c r="D4822" s="3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3">
      <c r="A4823" s="65" t="inlineStr">
        <is>
          <t>01/11/2022</t>
        </is>
      </c>
      <c r="B4823" s="8" t="n">
        <v>132.3515248552</v>
      </c>
      <c r="C4823" s="13" t="n"/>
      <c r="D4823" s="3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4">
      <c r="A4824" s="65" t="inlineStr">
        <is>
          <t>03/11/2022</t>
        </is>
      </c>
      <c r="B4824" s="8" t="n">
        <v>132.0951886202</v>
      </c>
      <c r="C4824" s="13" t="n"/>
      <c r="D4824" s="3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5">
      <c r="A4825" s="65" t="inlineStr">
        <is>
          <t>04/11/2022</t>
        </is>
      </c>
      <c r="B4825" s="8" t="n">
        <v>132.4027921022</v>
      </c>
      <c r="C4825" s="13" t="n"/>
      <c r="D4825" s="3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6">
      <c r="A4826" s="65" t="inlineStr">
        <is>
          <t>07/11/2022</t>
        </is>
      </c>
      <c r="B4826" s="8" t="n">
        <v>132.0541748226</v>
      </c>
      <c r="C4826" s="13" t="n"/>
      <c r="D4826" s="3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7">
      <c r="A4827" s="65" t="inlineStr">
        <is>
          <t>08/11/2022</t>
        </is>
      </c>
      <c r="B4827" s="8" t="n">
        <v>132.3925386528</v>
      </c>
      <c r="C4827" s="13" t="n"/>
      <c r="D4827" s="3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8">
      <c r="A4828" s="65" t="inlineStr">
        <is>
          <t>09/11/2022</t>
        </is>
      </c>
      <c r="B4828" s="8" t="n">
        <v>132.320764507</v>
      </c>
      <c r="C4828" s="13" t="n"/>
      <c r="D4828" s="3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9">
      <c r="A4829" s="65" t="inlineStr">
        <is>
          <t>10/11/2022</t>
        </is>
      </c>
      <c r="B4829" s="8" t="n">
        <v>132.78216973</v>
      </c>
      <c r="C4829" s="13" t="n"/>
      <c r="D4829" s="3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0">
      <c r="A4830" s="65" t="inlineStr">
        <is>
          <t>11/11/2022</t>
        </is>
      </c>
      <c r="B4830" s="8" t="n">
        <v>133.3050956494</v>
      </c>
      <c r="C4830" s="13" t="n"/>
      <c r="D4830" s="3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1">
      <c r="A4831" s="65" t="inlineStr">
        <is>
          <t>14/11/2022</t>
        </is>
      </c>
      <c r="B4831" s="8" t="n">
        <v>133.3050956494</v>
      </c>
      <c r="C4831" s="13" t="n"/>
      <c r="D4831" s="3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2">
      <c r="A4832" s="65" t="inlineStr">
        <is>
          <t>16/11/2022</t>
        </is>
      </c>
      <c r="B4832" s="8" t="n">
        <v>133.2128146048</v>
      </c>
      <c r="C4832" s="13" t="n"/>
      <c r="D4832" s="3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3">
      <c r="A4833" s="65" t="inlineStr">
        <is>
          <t>17/11/2022</t>
        </is>
      </c>
      <c r="B4833" s="8" t="n">
        <v>135.0481820474</v>
      </c>
      <c r="C4833" s="13" t="n"/>
      <c r="D4833" s="3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4">
      <c r="A4834" s="65" t="inlineStr">
        <is>
          <t>18/11/2022</t>
        </is>
      </c>
      <c r="B4834" s="8" t="n">
        <v>135.2737579342</v>
      </c>
      <c r="C4834" s="13" t="n"/>
      <c r="D4834" s="3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5">
      <c r="A4835" s="65" t="inlineStr">
        <is>
          <t>21/11/2022</t>
        </is>
      </c>
      <c r="B4835" s="8" t="n">
        <v>135.1609699908</v>
      </c>
      <c r="C4835" s="13" t="n"/>
      <c r="D4835" s="3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6">
      <c r="A4836" s="65" t="inlineStr">
        <is>
          <t>22/11/2022</t>
        </is>
      </c>
      <c r="B4836" s="8" t="n">
        <v>137.498756454</v>
      </c>
      <c r="C4836" s="13" t="n"/>
      <c r="D4836" s="3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7">
      <c r="A4837" s="65" t="inlineStr">
        <is>
          <t>23/11/2022</t>
        </is>
      </c>
      <c r="B4837" s="8" t="n">
        <v>137.8371202842</v>
      </c>
      <c r="C4837" s="13" t="n"/>
      <c r="D4837" s="3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8">
      <c r="A4838" s="65" t="inlineStr">
        <is>
          <t>24/11/2022</t>
        </is>
      </c>
      <c r="B4838" s="8" t="n">
        <v>139.139308358</v>
      </c>
      <c r="C4838" s="13" t="n"/>
      <c r="D4838" s="3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9">
      <c r="A4839" s="65" t="inlineStr">
        <is>
          <t>25/11/2022</t>
        </is>
      </c>
      <c r="B4839" s="8" t="n">
        <v>138.9752531676</v>
      </c>
      <c r="C4839" s="13" t="n"/>
      <c r="D4839" s="3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0">
      <c r="A4840" s="65" t="inlineStr">
        <is>
          <t>28/11/2022</t>
        </is>
      </c>
      <c r="B4840" s="8" t="n">
        <v>139.44691184</v>
      </c>
      <c r="C4840" s="13" t="n"/>
      <c r="D4840" s="3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1">
      <c r="A4841" s="65" t="inlineStr">
        <is>
          <t>29/11/2022</t>
        </is>
      </c>
      <c r="B4841" s="8" t="n">
        <v>139.0162669652</v>
      </c>
      <c r="C4841" s="13" t="n"/>
      <c r="D4841" s="3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2">
      <c r="A4842" s="65" t="inlineStr">
        <is>
          <t>30/11/2022</t>
        </is>
      </c>
      <c r="B4842" s="8" t="n">
        <v>139.7442618726</v>
      </c>
      <c r="C4842" s="13" t="n"/>
      <c r="D4842" s="3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3">
      <c r="A4843" s="65" t="inlineStr">
        <is>
          <t>01/12/2022</t>
        </is>
      </c>
      <c r="B4843" s="8" t="n">
        <v>139.495906823</v>
      </c>
      <c r="C4843" s="13" t="n"/>
      <c r="D4843" s="3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4">
      <c r="A4844" s="65" t="inlineStr">
        <is>
          <t>02/12/2022</t>
        </is>
      </c>
      <c r="B4844" s="8" t="n">
        <v>141.292429551</v>
      </c>
      <c r="C4844" s="13" t="n"/>
      <c r="D4844" s="3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5">
      <c r="A4845" s="65" t="inlineStr">
        <is>
          <t>05/12/2022</t>
        </is>
      </c>
      <c r="B4845" s="8" t="n">
        <v>141.6496925935</v>
      </c>
      <c r="C4845" s="13" t="n"/>
      <c r="D4845" s="3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6">
      <c r="A4846" s="65" t="inlineStr">
        <is>
          <t>06/12/2022</t>
        </is>
      </c>
      <c r="B4846" s="8" t="n">
        <v>141.88446545</v>
      </c>
      <c r="C4846" s="13" t="n"/>
      <c r="D4846" s="3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7">
      <c r="A4847" s="65" t="inlineStr">
        <is>
          <t>07/12/2022</t>
        </is>
      </c>
      <c r="B4847" s="8" t="n">
        <v>141.9150879965</v>
      </c>
      <c r="C4847" s="13" t="n"/>
      <c r="D4847" s="3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8">
      <c r="A4848" s="65" t="inlineStr">
        <is>
          <t>08/12/2022</t>
        </is>
      </c>
      <c r="B4848" s="8" t="n">
        <v>143.558497992</v>
      </c>
      <c r="C4848" s="13" t="n"/>
      <c r="D4848" s="3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9">
      <c r="A4849" s="65" t="inlineStr">
        <is>
          <t>09/12/2022</t>
        </is>
      </c>
      <c r="B4849" s="8" t="n">
        <v>143.4462153215</v>
      </c>
      <c r="C4849" s="13" t="n"/>
      <c r="D4849" s="3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0">
      <c r="A4850" s="65" t="inlineStr">
        <is>
          <t>12/12/2022</t>
        </is>
      </c>
      <c r="B4850" s="8" t="n">
        <v>142.231520977</v>
      </c>
      <c r="C4850" s="13" t="n"/>
      <c r="D4850" s="3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1">
      <c r="A4851" s="65" t="inlineStr">
        <is>
          <t>13/12/2022</t>
        </is>
      </c>
      <c r="B4851" s="8" t="n">
        <v>142.0579932135</v>
      </c>
      <c r="C4851" s="13" t="n"/>
      <c r="D4851" s="3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2">
      <c r="A4852" s="65" t="inlineStr">
        <is>
          <t>14/12/2022</t>
        </is>
      </c>
      <c r="B4852" s="8" t="n">
        <v>142.231520977</v>
      </c>
      <c r="C4852" s="13" t="n"/>
      <c r="D4852" s="3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3">
      <c r="A4853" s="65" t="inlineStr">
        <is>
          <t>15/12/2022</t>
        </is>
      </c>
      <c r="B4853" s="8" t="n">
        <v>142.2417284925</v>
      </c>
      <c r="C4853" s="13" t="n"/>
      <c r="D4853" s="3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4">
      <c r="A4854" s="65" t="inlineStr">
        <is>
          <t>16/12/2022</t>
        </is>
      </c>
      <c r="B4854" s="8" t="n">
        <v>141.966125574</v>
      </c>
      <c r="C4854" s="13" t="n"/>
      <c r="D4854" s="3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5">
      <c r="A4855" s="65" t="inlineStr">
        <is>
          <t>19/12/2022</t>
        </is>
      </c>
      <c r="B4855" s="8" t="n">
        <v>141.966125574</v>
      </c>
      <c r="C4855" s="13" t="n"/>
      <c r="D4855" s="3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6">
      <c r="A4856" s="65" t="inlineStr">
        <is>
          <t>20/12/2022</t>
        </is>
      </c>
      <c r="B4856" s="8" t="n">
        <v>141.925295512</v>
      </c>
      <c r="C4856" s="13" t="n"/>
      <c r="D4856" s="3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7">
      <c r="A4857" s="65" t="inlineStr">
        <is>
          <t>21/12/2022</t>
        </is>
      </c>
      <c r="B4857" s="8" t="n">
        <v>142.986877124</v>
      </c>
      <c r="C4857" s="13" t="n"/>
      <c r="D4857" s="3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8">
      <c r="A4858" s="65" t="inlineStr">
        <is>
          <t>22/12/2022</t>
        </is>
      </c>
      <c r="B4858" s="8" t="n">
        <v>144.5894570575</v>
      </c>
      <c r="C4858" s="13" t="n"/>
      <c r="D4858" s="3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9">
      <c r="A4859" s="65" t="inlineStr">
        <is>
          <t>23/12/2022</t>
        </is>
      </c>
      <c r="B4859" s="8" t="n">
        <v>144.5894570575</v>
      </c>
      <c r="C4859" s="13" t="n"/>
      <c r="D4859" s="3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0">
      <c r="A4860" s="65" t="inlineStr">
        <is>
          <t>26/12/2022</t>
        </is>
      </c>
      <c r="B4860" s="8" t="n">
        <v>143.5074604145</v>
      </c>
      <c r="C4860" s="13" t="n"/>
      <c r="D4860" s="3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1">
      <c r="A4861" s="65" t="inlineStr">
        <is>
          <t>27/12/2022</t>
        </is>
      </c>
      <c r="B4861" s="8" t="n">
        <v>139.5265293695</v>
      </c>
      <c r="C4861" s="13" t="n"/>
      <c r="D4861" s="3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2">
      <c r="A4862" s="65" t="inlineStr">
        <is>
          <t>28/12/2022</t>
        </is>
      </c>
      <c r="B4862" s="8" t="n">
        <v>139.5265293695</v>
      </c>
      <c r="C4862" s="13" t="n"/>
      <c r="D4862" s="3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3">
      <c r="A4863" s="65" t="inlineStr">
        <is>
          <t>29/12/2022</t>
        </is>
      </c>
      <c r="B4863" s="8" t="n">
        <v>139.5265293695</v>
      </c>
      <c r="C4863" s="13" t="n"/>
      <c r="D4863" s="3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4">
      <c r="A4864" s="65" t="inlineStr">
        <is>
          <t>02/01/2023</t>
        </is>
      </c>
      <c r="B4864" s="8" t="n">
        <v>139.0507882797</v>
      </c>
      <c r="C4864" s="13" t="n"/>
      <c r="D4864" s="3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5">
      <c r="A4865" s="65" t="inlineStr">
        <is>
          <t>03/01/2023</t>
        </is>
      </c>
      <c r="B4865" s="8" t="n">
        <v>139.0507882797</v>
      </c>
      <c r="C4865" s="13" t="n"/>
      <c r="D4865" s="3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6">
      <c r="A4866" s="65" t="inlineStr">
        <is>
          <t>04/01/2023</t>
        </is>
      </c>
      <c r="B4866" s="8" t="n">
        <v>137.6451030711</v>
      </c>
      <c r="C4866" s="13" t="n"/>
      <c r="D4866" s="3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7">
      <c r="A4867" s="65" t="inlineStr">
        <is>
          <t>05/01/2023</t>
        </is>
      </c>
      <c r="B4867" s="8" t="n">
        <v>138.1645954308</v>
      </c>
      <c r="C4867" s="13" t="n"/>
      <c r="D4867" s="3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8">
      <c r="A4868" s="65" t="inlineStr">
        <is>
          <t>06/01/2023</t>
        </is>
      </c>
      <c r="B4868" s="8" t="n">
        <v>137.1663552102</v>
      </c>
      <c r="C4868" s="13" t="n"/>
      <c r="D4868" s="3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9">
      <c r="A4869" s="65" t="inlineStr">
        <is>
          <t>09/01/2023</t>
        </is>
      </c>
      <c r="B4869" s="8" t="n">
        <v>137.5432418241</v>
      </c>
      <c r="C4869" s="13" t="n"/>
      <c r="D4869" s="3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0">
      <c r="A4870" s="65" t="inlineStr">
        <is>
          <t>10/01/2023</t>
        </is>
      </c>
      <c r="B4870" s="8" t="n">
        <v>135.0476412726</v>
      </c>
      <c r="C4870" s="13" t="n"/>
      <c r="D4870" s="3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1">
      <c r="A4871" s="65" t="inlineStr">
        <is>
          <t>11/01/2023</t>
        </is>
      </c>
      <c r="B4871" s="8" t="n">
        <v>137.7367781934</v>
      </c>
      <c r="C4871" s="13" t="n"/>
      <c r="D4871" s="3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2">
      <c r="A4872" s="65" t="inlineStr">
        <is>
          <t>12/01/2023</t>
        </is>
      </c>
      <c r="B4872" s="8" t="n">
        <v>137.4515667018</v>
      </c>
      <c r="C4872" s="13" t="n"/>
      <c r="D4872" s="3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3">
      <c r="A4873" s="65" t="inlineStr">
        <is>
          <t>13/01/2023</t>
        </is>
      </c>
      <c r="B4873" s="8" t="n">
        <v>136.6366767258</v>
      </c>
      <c r="C4873" s="13" t="n"/>
      <c r="D4873" s="3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4">
      <c r="A4874" s="65" t="inlineStr">
        <is>
          <t>16/01/2023</t>
        </is>
      </c>
      <c r="B4874" s="8" t="n">
        <v>137.3598915795</v>
      </c>
      <c r="C4874" s="13" t="n"/>
      <c r="D4874" s="3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5">
      <c r="A4875" s="65" t="inlineStr">
        <is>
          <t>17/01/2023</t>
        </is>
      </c>
      <c r="B4875" s="8" t="n">
        <v>137.3598915795</v>
      </c>
      <c r="C4875" s="13" t="n"/>
      <c r="D4875" s="3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6">
      <c r="A4876" s="65" t="inlineStr">
        <is>
          <t>18/01/2023</t>
        </is>
      </c>
      <c r="B4876" s="8" t="n">
        <v>135.8625312486</v>
      </c>
      <c r="C4876" s="13" t="n"/>
      <c r="D4876" s="3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7">
      <c r="A4877" s="65" t="inlineStr">
        <is>
          <t>19/01/2023</t>
        </is>
      </c>
      <c r="B4877" s="8" t="n">
        <v>137.2376580831</v>
      </c>
      <c r="C4877" s="13" t="n"/>
      <c r="D4877" s="3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8">
      <c r="A4878" s="65" t="inlineStr">
        <is>
          <t>20/01/2023</t>
        </is>
      </c>
      <c r="B4878" s="8" t="n">
        <v>135.9745786203</v>
      </c>
      <c r="C4878" s="13" t="n"/>
      <c r="D4878" s="3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9">
      <c r="A4879" s="65" t="inlineStr">
        <is>
          <t>23/01/2023</t>
        </is>
      </c>
      <c r="B4879" s="8" t="n">
        <v>136.1069982414</v>
      </c>
      <c r="C4879" s="13" t="n"/>
      <c r="D4879" s="3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0">
      <c r="A4880" s="65" t="inlineStr">
        <is>
          <t>24/01/2023</t>
        </is>
      </c>
      <c r="B4880" s="8" t="n">
        <v>135.2411776419</v>
      </c>
      <c r="C4880" s="13" t="n"/>
      <c r="D4880" s="3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1">
      <c r="A4881" s="65" t="inlineStr">
        <is>
          <t>25/01/2023</t>
        </is>
      </c>
      <c r="B4881" s="8" t="n">
        <v>134.7216852822</v>
      </c>
      <c r="C4881" s="13" t="n"/>
      <c r="D4881" s="3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2">
      <c r="A4882" s="65" t="inlineStr">
        <is>
          <t>26/01/2023</t>
        </is>
      </c>
      <c r="B4882" s="8" t="n">
        <v>134.9355939009</v>
      </c>
      <c r="C4882" s="13" t="n"/>
      <c r="D4882" s="3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3">
      <c r="A4883" s="65" t="inlineStr">
        <is>
          <t>27/01/2023</t>
        </is>
      </c>
      <c r="B4883" s="8" t="n">
        <v>134.8337326539</v>
      </c>
      <c r="C4883" s="13" t="n"/>
      <c r="D4883" s="3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4">
      <c r="A4884" s="65" t="inlineStr">
        <is>
          <t>30/01/2023</t>
        </is>
      </c>
      <c r="B4884" s="8" t="n">
        <v>132.8779967115</v>
      </c>
      <c r="C4884" s="13" t="n"/>
      <c r="D4884" s="3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5">
      <c r="A4885" s="65" t="inlineStr">
        <is>
          <t>31/01/2023</t>
        </is>
      </c>
      <c r="B4885" s="8" t="n">
        <v>134.3142402942</v>
      </c>
      <c r="C4885" s="13" t="n"/>
      <c r="D4885" s="3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6">
      <c r="A4886" s="65" t="inlineStr">
        <is>
          <t>01/02/2023</t>
        </is>
      </c>
      <c r="B4886" s="8" t="n">
        <v>134.1298784</v>
      </c>
      <c r="C4886" s="13" t="n"/>
      <c r="D4886" s="3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7">
      <c r="A4887" s="65" t="inlineStr">
        <is>
          <t>02/02/2023</t>
        </is>
      </c>
      <c r="B4887" s="8" t="n">
        <v>134.08910944</v>
      </c>
      <c r="C4887" s="13" t="n"/>
      <c r="D4887" s="3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8">
      <c r="A4888" s="65" t="inlineStr">
        <is>
          <t>03/02/2023</t>
        </is>
      </c>
      <c r="B4888" s="8" t="n">
        <v>131.84681664</v>
      </c>
      <c r="C4888" s="13" t="n"/>
      <c r="D4888" s="3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9">
      <c r="A4889" s="65" t="inlineStr">
        <is>
          <t>06/02/2023</t>
        </is>
      </c>
      <c r="B4889" s="8" t="n">
        <v>132.23412176</v>
      </c>
      <c r="C4889" s="13" t="n"/>
      <c r="D4889" s="3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0">
      <c r="A4890" s="65" t="inlineStr">
        <is>
          <t>07/02/2023</t>
        </is>
      </c>
      <c r="B4890" s="8" t="n">
        <v>132.42777432</v>
      </c>
      <c r="C4890" s="13" t="n"/>
      <c r="D4890" s="3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1">
      <c r="A4891" s="65" t="inlineStr">
        <is>
          <t>08/02/2023</t>
        </is>
      </c>
      <c r="B4891" s="8" t="n">
        <v>133.49795952</v>
      </c>
      <c r="C4891" s="13" t="n"/>
      <c r="D4891" s="3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2">
      <c r="A4892" s="65" t="inlineStr">
        <is>
          <t>09/02/2023</t>
        </is>
      </c>
      <c r="B4892" s="8" t="n">
        <v>134.65987488</v>
      </c>
      <c r="C4892" s="13" t="n"/>
      <c r="D4892" s="3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3">
      <c r="A4893" s="65" t="inlineStr">
        <is>
          <t>10/02/2023</t>
        </is>
      </c>
      <c r="B4893" s="8" t="n">
        <v>135.7096756</v>
      </c>
      <c r="C4893" s="13" t="n"/>
      <c r="D4893" s="3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4">
      <c r="A4894" s="65" t="inlineStr">
        <is>
          <t>13/02/2023</t>
        </is>
      </c>
      <c r="B4894" s="8" t="n">
        <v>135.66890664</v>
      </c>
      <c r="C4894" s="13" t="n"/>
      <c r="D4894" s="3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5">
      <c r="A4895" s="65" t="inlineStr">
        <is>
          <t>14/02/2023</t>
        </is>
      </c>
      <c r="B4895" s="8" t="n">
        <v>136.61678496</v>
      </c>
      <c r="C4895" s="13" t="n"/>
      <c r="D4895" s="3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6">
      <c r="A4896" s="65" t="inlineStr">
        <is>
          <t>15/02/2023</t>
        </is>
      </c>
      <c r="B4896" s="8" t="n">
        <v>136.9327444</v>
      </c>
      <c r="C4896" s="13" t="n"/>
      <c r="D4896" s="3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7">
      <c r="A4897" s="65" t="inlineStr">
        <is>
          <t>16/02/2023</t>
        </is>
      </c>
      <c r="B4897" s="8" t="n">
        <v>135.48544632</v>
      </c>
      <c r="C4897" s="13" t="n"/>
      <c r="D4897" s="3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8">
      <c r="A4898" s="65" t="inlineStr">
        <is>
          <t>17/02/2023</t>
        </is>
      </c>
      <c r="B4898" s="8" t="n">
        <v>134.4866068</v>
      </c>
      <c r="C4898" s="13" t="n"/>
      <c r="D4898" s="3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9">
      <c r="A4899" s="65" t="inlineStr">
        <is>
          <t>22/02/2023</t>
        </is>
      </c>
      <c r="B4899" s="8" t="n">
        <v>134.41526112</v>
      </c>
      <c r="C4899" s="13" t="n"/>
      <c r="D4899" s="3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0">
      <c r="A4900" s="65" t="inlineStr">
        <is>
          <t>23/02/2023</t>
        </is>
      </c>
      <c r="B4900" s="8" t="n">
        <v>134.537568</v>
      </c>
      <c r="C4900" s="13" t="n"/>
      <c r="D4900" s="3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1">
      <c r="A4901" s="65" t="inlineStr">
        <is>
          <t>24/02/2023</t>
        </is>
      </c>
      <c r="B4901" s="8" t="n">
        <v>135.83198248</v>
      </c>
      <c r="C4901" s="13" t="n"/>
      <c r="D4901" s="3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2">
      <c r="A4902" s="65" t="inlineStr">
        <is>
          <t>27/02/2023</t>
        </is>
      </c>
      <c r="B4902" s="8" t="n">
        <v>134.6394904</v>
      </c>
      <c r="C4902" s="13" t="n"/>
      <c r="D4902" s="3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3">
      <c r="A4903" s="65" t="inlineStr">
        <is>
          <t>28/02/2023</t>
        </is>
      </c>
      <c r="B4903" s="8" t="n">
        <v>136.05621176</v>
      </c>
      <c r="C4903" s="13" t="n"/>
      <c r="D4903" s="3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4">
      <c r="A4904" s="65" t="inlineStr">
        <is>
          <t>01/03/2023</t>
        </is>
      </c>
      <c r="B4904" s="8" t="n">
        <v>133.7674206915</v>
      </c>
      <c r="C4904" s="13" t="n"/>
      <c r="D4904" s="3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5">
      <c r="A4905" s="65" t="inlineStr">
        <is>
          <t>02/03/2023</t>
        </is>
      </c>
      <c r="B4905" s="8" t="n">
        <v>132.84039036</v>
      </c>
      <c r="C4905" s="13" t="n"/>
      <c r="D4905" s="3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6">
      <c r="A4906" s="65" t="inlineStr">
        <is>
          <t>03/03/2023</t>
        </is>
      </c>
      <c r="B4906" s="8" t="n">
        <v>132.962636118</v>
      </c>
      <c r="C4906" s="13" t="n"/>
      <c r="D4906" s="3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7">
      <c r="A4907" s="65" t="inlineStr">
        <is>
          <t>06/03/2023</t>
        </is>
      </c>
      <c r="B4907" s="8" t="n">
        <v>133.1765661945</v>
      </c>
      <c r="C4907" s="13" t="n"/>
      <c r="D4907" s="3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8">
      <c r="A4908" s="65" t="inlineStr">
        <is>
          <t>07/03/2023</t>
        </is>
      </c>
      <c r="B4908" s="8" t="n">
        <v>133.9507893285</v>
      </c>
      <c r="C4908" s="13" t="n"/>
      <c r="D4908" s="3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9">
      <c r="A4909" s="65" t="inlineStr">
        <is>
          <t>08/03/2023</t>
        </is>
      </c>
      <c r="B4909" s="8" t="n">
        <v>133.349747685</v>
      </c>
      <c r="C4909" s="13" t="n"/>
      <c r="D4909" s="3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0">
      <c r="A4910" s="65" t="inlineStr">
        <is>
          <t>09/03/2023</t>
        </is>
      </c>
      <c r="B4910" s="8" t="n">
        <v>133.9304150355</v>
      </c>
      <c r="C4910" s="13" t="n"/>
      <c r="D4910" s="3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1">
      <c r="A4911" s="65" t="inlineStr">
        <is>
          <t>10/03/2023</t>
        </is>
      </c>
      <c r="B4911" s="8" t="n">
        <v>135.835411431</v>
      </c>
      <c r="C4911" s="13" t="n"/>
      <c r="D4911" s="3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2">
      <c r="A4912" s="65" t="inlineStr">
        <is>
          <t>13/03/2023</t>
        </is>
      </c>
      <c r="B4912" s="8" t="n">
        <v>136.141025826</v>
      </c>
      <c r="C4912" s="13" t="n"/>
      <c r="D4912" s="3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3">
      <c r="A4913" s="65" t="inlineStr">
        <is>
          <t>14/03/2023</t>
        </is>
      </c>
      <c r="B4913" s="8" t="n">
        <v>132.4634659395</v>
      </c>
      <c r="C4913" s="13" t="n"/>
      <c r="D4913" s="3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4">
      <c r="A4914" s="65" t="inlineStr">
        <is>
          <t>15/03/2023</t>
        </is>
      </c>
      <c r="B4914" s="8" t="n">
        <v>134.5823924115</v>
      </c>
      <c r="C4914" s="13" t="n"/>
      <c r="D4914" s="3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5">
      <c r="A4915" s="65" t="inlineStr">
        <is>
          <t>16/03/2023</t>
        </is>
      </c>
      <c r="B4915" s="8" t="n">
        <v>135.163059762</v>
      </c>
      <c r="C4915" s="13" t="n"/>
      <c r="D4915" s="3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6">
      <c r="A4916" s="65" t="inlineStr">
        <is>
          <t>17/03/2023</t>
        </is>
      </c>
      <c r="B4916" s="8" t="n">
        <v>134.735199609</v>
      </c>
      <c r="C4916" s="13" t="n"/>
      <c r="D4916" s="3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7">
      <c r="A4917" s="65" t="inlineStr">
        <is>
          <t>20/03/2023</t>
        </is>
      </c>
      <c r="B4917" s="8" t="n">
        <v>134.9491296855</v>
      </c>
      <c r="C4917" s="13" t="n"/>
      <c r="D4917" s="3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8">
      <c r="A4918" s="65" t="inlineStr">
        <is>
          <t>21/03/2023</t>
        </is>
      </c>
      <c r="B4918" s="8" t="n">
        <v>134.694451023</v>
      </c>
      <c r="C4918" s="13" t="n"/>
      <c r="D4918" s="3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9">
      <c r="A4919" s="65" t="inlineStr">
        <is>
          <t>22/03/2023</t>
        </is>
      </c>
      <c r="B4919" s="8" t="n">
        <v>135.0306268575</v>
      </c>
      <c r="C4919" s="13" t="n"/>
      <c r="D4919" s="3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0">
      <c r="A4920" s="65" t="inlineStr">
        <is>
          <t>23/03/2023</t>
        </is>
      </c>
      <c r="B4920" s="8" t="n">
        <v>134.307339456</v>
      </c>
      <c r="C4920" s="13" t="n"/>
      <c r="D4920" s="3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1">
      <c r="A4921" s="65" t="inlineStr">
        <is>
          <t>24/03/2023</t>
        </is>
      </c>
      <c r="B4921" s="8" t="n">
        <v>134.103596526</v>
      </c>
      <c r="C4921" s="13" t="n"/>
      <c r="D4921" s="3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2">
      <c r="A4922" s="65" t="inlineStr">
        <is>
          <t>27/03/2023</t>
        </is>
      </c>
      <c r="B4922" s="8" t="n">
        <v>133.777607838</v>
      </c>
      <c r="C4922" s="13" t="n"/>
      <c r="D4922" s="3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3">
      <c r="A4923" s="65" t="inlineStr">
        <is>
          <t>28/03/2023</t>
        </is>
      </c>
      <c r="B4923" s="8" t="n">
        <v>134.572205265</v>
      </c>
      <c r="C4923" s="13" t="n"/>
      <c r="D4923" s="3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4">
      <c r="A4924" s="65" t="inlineStr">
        <is>
          <t>29/03/2023</t>
        </is>
      </c>
      <c r="B4924" s="8" t="n">
        <v>136.2734587305</v>
      </c>
      <c r="C4924" s="13" t="n"/>
      <c r="D4924" s="3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5">
      <c r="A4925" s="65" t="inlineStr">
        <is>
          <t>30/03/2023</t>
        </is>
      </c>
      <c r="B4925" s="8" t="n">
        <v>135.0510011505</v>
      </c>
      <c r="C4925" s="13" t="n"/>
      <c r="D4925" s="3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6">
      <c r="A4926" s="65" t="inlineStr">
        <is>
          <t>31/03/2023</t>
        </is>
      </c>
      <c r="B4926" s="8" t="n">
        <v>137.1088047435</v>
      </c>
      <c r="C4926" s="13" t="n"/>
      <c r="D4926" s="3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7">
      <c r="A4927" s="65" t="inlineStr">
        <is>
          <t>03/04/2023</t>
        </is>
      </c>
      <c r="B4927" s="8" t="n">
        <v>141.005329146</v>
      </c>
      <c r="C4927" s="13" t="n"/>
      <c r="D4927" s="3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8">
      <c r="A4928" s="65" t="inlineStr">
        <is>
          <t>04/04/2023</t>
        </is>
      </c>
      <c r="B4928" s="8" t="n">
        <v>140.1722560854</v>
      </c>
      <c r="C4928" s="13" t="n"/>
      <c r="D4928" s="3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9">
      <c r="A4929" s="65" t="inlineStr">
        <is>
          <t>05/04/2023</t>
        </is>
      </c>
      <c r="B4929" s="8" t="n">
        <v>139.616874045</v>
      </c>
      <c r="C4929" s="13" t="n"/>
      <c r="D4929" s="3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0">
      <c r="A4930" s="65" t="inlineStr">
        <is>
          <t>06/04/2023</t>
        </is>
      </c>
      <c r="B4930" s="8" t="n">
        <v>143.1960027498</v>
      </c>
      <c r="C4930" s="13" t="n"/>
      <c r="D4930" s="3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1">
      <c r="A4931" s="65" t="inlineStr">
        <is>
          <t>10/04/2023</t>
        </is>
      </c>
      <c r="B4931" s="8" t="n">
        <v>142.2806508684</v>
      </c>
      <c r="C4931" s="13" t="n"/>
      <c r="D4931" s="3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2">
      <c r="A4932" s="65" t="inlineStr">
        <is>
          <t>11/04/2023</t>
        </is>
      </c>
      <c r="B4932" s="8" t="n">
        <v>141.9103961748</v>
      </c>
      <c r="C4932" s="13" t="n"/>
      <c r="D4932" s="3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3">
      <c r="A4933" s="65" t="inlineStr">
        <is>
          <t>12/04/2023</t>
        </is>
      </c>
      <c r="B4933" s="8" t="n">
        <v>145.5615188478</v>
      </c>
      <c r="C4933" s="13" t="n"/>
      <c r="D4933" s="3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4">
      <c r="A4934" s="65" t="inlineStr">
        <is>
          <t>13/04/2023</t>
        </is>
      </c>
      <c r="B4934" s="8" t="n">
        <v>145.427815764</v>
      </c>
      <c r="C4934" s="13" t="n"/>
      <c r="D4934" s="3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5">
      <c r="A4935" s="65" t="inlineStr">
        <is>
          <t>14/04/2023</t>
        </is>
      </c>
      <c r="B4935" s="8" t="n">
        <v>143.165148192</v>
      </c>
      <c r="C4935" s="13" t="n"/>
      <c r="D4935" s="3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6">
      <c r="A4936" s="65" t="inlineStr">
        <is>
          <t>17/04/2023</t>
        </is>
      </c>
      <c r="B4936" s="8" t="n">
        <v>145.684937079</v>
      </c>
      <c r="C4936" s="13" t="n"/>
      <c r="D4936" s="3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7">
      <c r="A4937" s="65" t="inlineStr">
        <is>
          <t>18/04/2023</t>
        </is>
      </c>
      <c r="B4937" s="8" t="n">
        <v>146.04490692</v>
      </c>
      <c r="C4937" s="13" t="n"/>
      <c r="D4937" s="3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8">
      <c r="A4938" s="65" t="inlineStr">
        <is>
          <t>19/04/2023</t>
        </is>
      </c>
      <c r="B4938" s="8" t="n">
        <v>146.096331183</v>
      </c>
      <c r="C4938" s="13" t="n"/>
      <c r="D4938" s="3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9">
      <c r="A4939" s="65" t="inlineStr">
        <is>
          <t>20/04/2023</t>
        </is>
      </c>
      <c r="B4939" s="8" t="n">
        <v>146.096331183</v>
      </c>
      <c r="C4939" s="13" t="n"/>
      <c r="D4939" s="3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0">
      <c r="A4940" s="65" t="inlineStr">
        <is>
          <t>24/04/2023</t>
        </is>
      </c>
      <c r="B4940" s="8" t="n">
        <v>146.147755446</v>
      </c>
      <c r="C4940" s="13" t="n"/>
      <c r="D4940" s="3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1">
      <c r="A4941" s="65" t="inlineStr">
        <is>
          <t>25/04/2023</t>
        </is>
      </c>
      <c r="B4941" s="8" t="n">
        <v>147.0939618852</v>
      </c>
      <c r="C4941" s="13" t="n"/>
      <c r="D4941" s="3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2">
      <c r="A4942" s="65" t="inlineStr">
        <is>
          <t>26/04/2023</t>
        </is>
      </c>
      <c r="B4942" s="8" t="n">
        <v>148.3178593446</v>
      </c>
      <c r="C4942" s="13" t="n"/>
      <c r="D4942" s="3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3">
      <c r="A4943" s="65" t="inlineStr">
        <is>
          <t>27/04/2023</t>
        </is>
      </c>
      <c r="B4943" s="8" t="n">
        <v>151.598727324</v>
      </c>
      <c r="C4943" s="13" t="n"/>
      <c r="D4943" s="3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4">
      <c r="A4944" s="65" t="inlineStr">
        <is>
          <t>28/04/2023</t>
        </is>
      </c>
      <c r="B4944" s="8" t="n">
        <v>151.4135999772</v>
      </c>
      <c r="C4944" s="13" t="n"/>
      <c r="D4944" s="3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5">
      <c r="A4945" s="65" t="inlineStr">
        <is>
          <t>02/05/2023</t>
        </is>
      </c>
      <c r="B4945" s="8" t="n">
        <v>152.9840377011</v>
      </c>
      <c r="C4945" s="13" t="n"/>
      <c r="D4945" s="3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6">
      <c r="A4946" s="65" t="inlineStr">
        <is>
          <t>03/05/2023</t>
        </is>
      </c>
      <c r="B4946" s="8" t="n">
        <v>153.5079197561</v>
      </c>
      <c r="C4946" s="13" t="n"/>
      <c r="D4946" s="3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7">
      <c r="A4947" s="65" t="inlineStr">
        <is>
          <t>04/05/2023</t>
        </is>
      </c>
      <c r="B4947" s="8" t="n">
        <v>156.9236307547</v>
      </c>
      <c r="C4947" s="13" t="n"/>
      <c r="D4947" s="3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8">
      <c r="A4948" s="65" t="inlineStr">
        <is>
          <t>05/05/2023</t>
        </is>
      </c>
      <c r="B4948" s="8" t="n">
        <v>157.5208562974</v>
      </c>
      <c r="C4948" s="13" t="n"/>
      <c r="D4948" s="3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9">
      <c r="A4949" s="65" t="inlineStr">
        <is>
          <t>08/05/2023</t>
        </is>
      </c>
      <c r="B4949" s="8" t="n">
        <v>156.2740170065</v>
      </c>
      <c r="C4949" s="13" t="n"/>
      <c r="D4949" s="3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0">
      <c r="A4950" s="65" t="inlineStr">
        <is>
          <t>09/05/2023</t>
        </is>
      </c>
      <c r="B4950" s="8" t="n">
        <v>156.2006735188</v>
      </c>
      <c r="C4950" s="13" t="n"/>
      <c r="D4950" s="3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1">
      <c r="A4951" s="65" t="inlineStr">
        <is>
          <t>10/05/2023</t>
        </is>
      </c>
      <c r="B4951" s="8" t="n">
        <v>155.8758666447</v>
      </c>
      <c r="C4951" s="13" t="n"/>
      <c r="D4951" s="3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2">
      <c r="A4952" s="65" t="inlineStr">
        <is>
          <t>11/05/2023</t>
        </is>
      </c>
      <c r="B4952" s="8" t="n">
        <v>155.4148504363</v>
      </c>
      <c r="C4952" s="13" t="n"/>
      <c r="D4952" s="3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3">
      <c r="A4953" s="65" t="inlineStr">
        <is>
          <t>12/05/2023</t>
        </is>
      </c>
      <c r="B4953" s="8" t="n">
        <v>155.2262528965</v>
      </c>
      <c r="C4953" s="13" t="n"/>
      <c r="D4953" s="3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4">
      <c r="A4954" s="65" t="inlineStr">
        <is>
          <t>15/05/2023</t>
        </is>
      </c>
      <c r="B4954" s="8" t="n">
        <v>154.6709379182</v>
      </c>
      <c r="C4954" s="13" t="n"/>
      <c r="D4954" s="3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5">
      <c r="A4955" s="65" t="inlineStr">
        <is>
          <t>16/05/2023</t>
        </is>
      </c>
      <c r="B4955" s="8" t="n">
        <v>156.2111511599</v>
      </c>
      <c r="C4955" s="13" t="n"/>
      <c r="D4955" s="3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6">
      <c r="A4956" s="65" t="inlineStr">
        <is>
          <t>17/05/2023</t>
        </is>
      </c>
      <c r="B4956" s="8" t="n">
        <v>156.1378076722</v>
      </c>
      <c r="C4956" s="13" t="n"/>
      <c r="D4956" s="3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7">
      <c r="A4957" s="65" t="inlineStr">
        <is>
          <t>18/05/2023</t>
        </is>
      </c>
      <c r="B4957" s="8" t="n">
        <v>157.5627668618</v>
      </c>
      <c r="C4957" s="13" t="n"/>
      <c r="D4957" s="3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8">
      <c r="A4958" s="65" t="inlineStr">
        <is>
          <t>19/05/2023</t>
        </is>
      </c>
      <c r="B4958" s="8" t="n">
        <v>156.7036002916</v>
      </c>
      <c r="C4958" s="13" t="n"/>
      <c r="D4958" s="3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9">
      <c r="A4959" s="65" t="inlineStr">
        <is>
          <t>22/05/2023</t>
        </is>
      </c>
      <c r="B4959" s="8" t="n">
        <v>156.9131531136</v>
      </c>
      <c r="C4959" s="13" t="n"/>
      <c r="D4959" s="3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0">
      <c r="A4960" s="65" t="inlineStr">
        <is>
          <t>23/05/2023</t>
        </is>
      </c>
      <c r="B4960" s="8" t="n">
        <v>156.0644641845</v>
      </c>
      <c r="C4960" s="13" t="n"/>
      <c r="D4960" s="3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1">
      <c r="A4961" s="65" t="inlineStr">
        <is>
          <t>24/05/2023</t>
        </is>
      </c>
      <c r="B4961" s="8" t="n">
        <v>156.3578381353</v>
      </c>
      <c r="C4961" s="13" t="n"/>
      <c r="D4961" s="3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2">
      <c r="A4962" s="65" t="inlineStr">
        <is>
          <t>25/05/2023</t>
        </is>
      </c>
      <c r="B4962" s="8" t="n">
        <v>155.5720150528</v>
      </c>
      <c r="C4962" s="13" t="n"/>
      <c r="D4962" s="3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3">
      <c r="A4963" s="65" t="inlineStr">
        <is>
          <t>26/05/2023</t>
        </is>
      </c>
      <c r="B4963" s="8" t="n">
        <v>156.1273300311</v>
      </c>
      <c r="C4963" s="13" t="n"/>
      <c r="D4963" s="3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4">
      <c r="A4964" s="65" t="inlineStr">
        <is>
          <t>29/05/2023</t>
        </is>
      </c>
      <c r="B4964" s="8" t="n">
        <v>155.7187020282</v>
      </c>
      <c r="C4964" s="13" t="n"/>
      <c r="D4964" s="3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5">
      <c r="A4965" s="65" t="inlineStr">
        <is>
          <t>30/05/2023</t>
        </is>
      </c>
      <c r="B4965" s="8" t="n">
        <v>156.6931226505</v>
      </c>
      <c r="C4965" s="13" t="n"/>
      <c r="D4965" s="3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6">
      <c r="A4966" s="65" t="inlineStr">
        <is>
          <t>31/05/2023</t>
        </is>
      </c>
      <c r="B4966" s="8" t="n">
        <v>155.8339560803</v>
      </c>
      <c r="C4966" s="13" t="n"/>
      <c r="D4966" s="3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7">
      <c r="A4967" s="65" t="inlineStr">
        <is>
          <t>01/06/2023</t>
        </is>
      </c>
      <c r="B4967" s="8" t="n">
        <v>161.1550304928</v>
      </c>
      <c r="C4967" s="13" t="n"/>
      <c r="D4967" s="3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8">
      <c r="A4968" s="65" t="inlineStr">
        <is>
          <t>02/06/2023</t>
        </is>
      </c>
      <c r="B4968" s="8" t="n">
        <v>159.8943374672</v>
      </c>
      <c r="C4968" s="13" t="n"/>
      <c r="D4968" s="3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9">
      <c r="A4969" s="65" t="inlineStr">
        <is>
          <t>05/06/2023</t>
        </is>
      </c>
      <c r="B4969" s="8" t="n">
        <v>158.7725343512</v>
      </c>
      <c r="C4969" s="13" t="n"/>
      <c r="D4969" s="3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0">
      <c r="A4970" s="65" t="inlineStr">
        <is>
          <t>06/06/2023</t>
        </is>
      </c>
      <c r="B4970" s="8" t="n">
        <v>157.9391948936</v>
      </c>
      <c r="C4970" s="13" t="n"/>
      <c r="D4970" s="3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1">
      <c r="A4971" s="65" t="inlineStr">
        <is>
          <t>07/06/2023</t>
        </is>
      </c>
      <c r="B4971" s="8" t="n">
        <v>158.4840706928</v>
      </c>
      <c r="C4971" s="13" t="n"/>
      <c r="D4971" s="3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2">
      <c r="A4972" s="65" t="inlineStr">
        <is>
          <t>09/06/2023</t>
        </is>
      </c>
      <c r="B4972" s="8" t="n">
        <v>156.0695230336</v>
      </c>
      <c r="C4972" s="13" t="n"/>
      <c r="D4972" s="3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3">
      <c r="A4973" s="65" t="inlineStr">
        <is>
          <t>12/06/2023</t>
        </is>
      </c>
      <c r="B4973" s="8" t="n">
        <v>158.0246656072</v>
      </c>
      <c r="C4973" s="13" t="n"/>
      <c r="D4973" s="3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4">
      <c r="A4974" s="65" t="inlineStr">
        <is>
          <t>13/06/2023</t>
        </is>
      </c>
      <c r="B4974" s="8" t="n">
        <v>155.7810593752</v>
      </c>
      <c r="C4974" s="13" t="n"/>
      <c r="D4974" s="3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5">
      <c r="A4975" s="65" t="inlineStr">
        <is>
          <t>14/06/2023</t>
        </is>
      </c>
      <c r="B4975" s="8" t="n">
        <v>158.1421878384</v>
      </c>
      <c r="C4975" s="13" t="n"/>
      <c r="D4975" s="3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6">
      <c r="A4976" s="65" t="inlineStr">
        <is>
          <t>15/06/2023</t>
        </is>
      </c>
      <c r="B4976" s="8" t="n">
        <v>155.075925988</v>
      </c>
      <c r="C4976" s="13" t="n"/>
      <c r="D4976" s="3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7">
      <c r="A4977" s="65" t="inlineStr">
        <is>
          <t>16/06/2023</t>
        </is>
      </c>
      <c r="B4977" s="8" t="n">
        <v>155.0011391136</v>
      </c>
      <c r="C4977" s="13" t="n"/>
      <c r="D4977" s="3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8">
      <c r="A4978" s="65" t="inlineStr">
        <is>
          <t>19/06/2023</t>
        </is>
      </c>
      <c r="B4978" s="8" t="n">
        <v>152.725481364</v>
      </c>
      <c r="C4978" s="13" t="n"/>
      <c r="D4978" s="3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9">
      <c r="A4979" s="65" t="inlineStr">
        <is>
          <t>20/06/2023</t>
        </is>
      </c>
      <c r="B4979" s="8" t="n">
        <v>151.4861560168</v>
      </c>
      <c r="C4979" s="13" t="n"/>
      <c r="D4979" s="3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0">
      <c r="A4980" s="65" t="inlineStr">
        <is>
          <t>21/06/2023</t>
        </is>
      </c>
      <c r="B4980" s="8" t="n">
        <v>153.259673324</v>
      </c>
      <c r="C4980" s="13" t="n"/>
      <c r="D4980" s="3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1">
      <c r="A4981" s="65" t="inlineStr">
        <is>
          <t>22/06/2023</t>
        </is>
      </c>
      <c r="B4981" s="8" t="n">
        <v>153.4840339472</v>
      </c>
      <c r="C4981" s="13" t="n"/>
      <c r="D4981" s="3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2">
      <c r="A4982" s="65" t="inlineStr">
        <is>
          <t>23/06/2023</t>
        </is>
      </c>
      <c r="B4982" s="8" t="n">
        <v>153.1742026104</v>
      </c>
      <c r="C4982" s="13" t="n"/>
      <c r="D4982" s="3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3">
      <c r="A4983" s="65" t="inlineStr">
        <is>
          <t>26/06/2023</t>
        </is>
      </c>
      <c r="B4983" s="8" t="n">
        <v>153.259673324</v>
      </c>
      <c r="C4983" s="13" t="n"/>
      <c r="D4983" s="3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4">
      <c r="A4984" s="65" t="inlineStr">
        <is>
          <t>27/06/2023</t>
        </is>
      </c>
      <c r="B4984" s="8" t="n">
        <v>152.8430035952</v>
      </c>
      <c r="C4984" s="13" t="n"/>
      <c r="D4984" s="3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5">
      <c r="A4985" s="65" t="inlineStr">
        <is>
          <t>28/06/2023</t>
        </is>
      </c>
      <c r="B4985" s="8" t="n">
        <v>150.588713524</v>
      </c>
      <c r="C4985" s="13" t="n"/>
      <c r="D4985" s="3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6">
      <c r="A4986" s="65" t="inlineStr">
        <is>
          <t>29/06/2023</t>
        </is>
      </c>
      <c r="B4986" s="8" t="n">
        <v>148.4626295232</v>
      </c>
      <c r="C4986" s="13" t="n"/>
      <c r="D4986" s="3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7">
      <c r="A4987" s="65" t="inlineStr">
        <is>
          <t>30/06/2023</t>
        </is>
      </c>
      <c r="B4987" s="8" t="n">
        <v>149.4562265688</v>
      </c>
      <c r="C4987" s="13" t="n"/>
      <c r="D4987" s="3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8">
      <c r="A4988" s="65" t="inlineStr">
        <is>
          <t>03/07/2023</t>
        </is>
      </c>
      <c r="B4988" s="8" t="n">
        <v>150.8091496912</v>
      </c>
      <c r="C4988" s="13" t="n"/>
      <c r="D4988" s="3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9">
      <c r="A4989" s="65" t="inlineStr">
        <is>
          <t>04/07/2023</t>
        </is>
      </c>
      <c r="B4989" s="8" t="n">
        <v>149.8621534608</v>
      </c>
      <c r="C4989" s="13" t="n"/>
      <c r="D4989" s="3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0">
      <c r="A4990" s="65" t="inlineStr">
        <is>
          <t>05/07/2023</t>
        </is>
      </c>
      <c r="B4990" s="8" t="n">
        <v>152.3480185656</v>
      </c>
      <c r="C4990" s="13" t="n"/>
      <c r="D4990" s="3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1">
      <c r="A4991" s="65" t="inlineStr">
        <is>
          <t>06/07/2023</t>
        </is>
      </c>
      <c r="B4991" s="8" t="n">
        <v>150.4647874256</v>
      </c>
      <c r="C4991" s="13" t="n"/>
      <c r="D4991" s="3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2">
      <c r="A4992" s="65" t="inlineStr">
        <is>
          <t>07/07/2023</t>
        </is>
      </c>
      <c r="B4992" s="8" t="n">
        <v>152.27268932</v>
      </c>
      <c r="C4992" s="13" t="n"/>
      <c r="D4992" s="3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3">
      <c r="A4993" s="65" t="inlineStr">
        <is>
          <t>10/07/2023</t>
        </is>
      </c>
      <c r="B4993" s="8" t="n">
        <v>149.6254044032</v>
      </c>
      <c r="C4993" s="13" t="n"/>
      <c r="D4993" s="3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4">
      <c r="A4994" s="65" t="inlineStr">
        <is>
          <t>11/07/2023</t>
        </is>
      </c>
      <c r="B4994" s="8" t="n">
        <v>150.6692525208</v>
      </c>
      <c r="C4994" s="13" t="n"/>
      <c r="D4994" s="3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5">
      <c r="A4995" s="65" t="inlineStr">
        <is>
          <t>12/07/2023</t>
        </is>
      </c>
      <c r="B4995" s="8" t="n">
        <v>150.7553430872</v>
      </c>
      <c r="C4995" s="13" t="n"/>
      <c r="D4995" s="3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6">
      <c r="A4996" s="65" t="inlineStr">
        <is>
          <t>13/07/2023</t>
        </is>
      </c>
      <c r="B4996" s="8" t="n">
        <v>148.5923176064</v>
      </c>
      <c r="C4996" s="13" t="n"/>
      <c r="D4996" s="3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7">
      <c r="A4997" s="65" t="inlineStr">
        <is>
          <t>14/07/2023</t>
        </is>
      </c>
      <c r="B4997" s="8" t="n">
        <v>146.6875638248</v>
      </c>
      <c r="C4997" s="13" t="n"/>
      <c r="D4997" s="3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8">
      <c r="A4998" s="65" t="inlineStr">
        <is>
          <t>17/07/2023</t>
        </is>
      </c>
      <c r="B4998" s="8" t="n">
        <v>146.2355883512</v>
      </c>
      <c r="C4998" s="13" t="n"/>
      <c r="D4998" s="3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9">
      <c r="A4999" s="65" t="inlineStr">
        <is>
          <t>18/07/2023</t>
        </is>
      </c>
      <c r="B4999" s="8" t="n">
        <v>144.9765138176</v>
      </c>
      <c r="C4999" s="13" t="n"/>
      <c r="D4999" s="3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0">
      <c r="A5000" s="65" t="inlineStr">
        <is>
          <t>19/07/2023</t>
        </is>
      </c>
      <c r="B5000" s="8" t="n">
        <v>145.4607732536</v>
      </c>
      <c r="C5000" s="13" t="n"/>
      <c r="D5000" s="3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1">
      <c r="A5001" s="65" t="inlineStr">
        <is>
          <t>20/07/2023</t>
        </is>
      </c>
      <c r="B5001" s="8" t="n">
        <v>143.9111430584</v>
      </c>
      <c r="C5001" s="13" t="n"/>
      <c r="D5001" s="3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2">
      <c r="A5002" s="65" t="inlineStr">
        <is>
          <t>21/07/2023</t>
        </is>
      </c>
      <c r="B5002" s="8" t="n">
        <v>144.5675836272</v>
      </c>
      <c r="C5002" s="13" t="n"/>
      <c r="D5002" s="3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3">
      <c r="A5003" s="65" t="inlineStr">
        <is>
          <t>24/07/2023</t>
        </is>
      </c>
      <c r="B5003" s="8" t="n">
        <v>146.1602591056</v>
      </c>
      <c r="C5003" s="13" t="n"/>
      <c r="D5003" s="3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4">
      <c r="A5004" s="65" t="inlineStr">
        <is>
          <t>25/07/2023</t>
        </is>
      </c>
      <c r="B5004" s="8" t="n">
        <v>145.0948883464</v>
      </c>
      <c r="C5004" s="13" t="n"/>
      <c r="D5004" s="3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5">
      <c r="A5005" s="65" t="inlineStr">
        <is>
          <t>26/07/2023</t>
        </is>
      </c>
      <c r="B5005" s="8" t="n">
        <v>144.9657524968</v>
      </c>
      <c r="C5005" s="13" t="n"/>
      <c r="D5005" s="3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6">
      <c r="A5006" s="65" t="inlineStr">
        <is>
          <t>27/07/2023</t>
        </is>
      </c>
      <c r="B5006" s="8" t="n">
        <v>143.3730770184</v>
      </c>
      <c r="C5006" s="13" t="n"/>
      <c r="D5006" s="3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7">
      <c r="A5007" s="65" t="inlineStr">
        <is>
          <t>28/07/2023</t>
        </is>
      </c>
      <c r="B5007" s="8" t="n">
        <v>144.793571364</v>
      </c>
      <c r="C5007" s="13" t="n"/>
      <c r="D5007" s="3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8">
      <c r="A5008" s="65" t="inlineStr">
        <is>
          <t>31/07/2023</t>
        </is>
      </c>
      <c r="B5008" s="8" t="n">
        <v>144.3738798528</v>
      </c>
      <c r="C5008" s="13" t="n"/>
      <c r="D5008" s="3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9">
      <c r="A5009" s="65" t="inlineStr">
        <is>
          <t>01/08/2023</t>
        </is>
      </c>
      <c r="B5009" s="8" t="n">
        <v>144.1452293952</v>
      </c>
      <c r="C5009" s="13" t="n"/>
      <c r="D5009" s="3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0">
      <c r="A5010" s="65" t="inlineStr">
        <is>
          <t>02/08/2023</t>
        </is>
      </c>
      <c r="B5010" s="8" t="n">
        <v>144.1344529875</v>
      </c>
      <c r="C5010" s="13" t="n"/>
      <c r="D5010" s="3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1">
      <c r="A5011" s="65" t="inlineStr">
        <is>
          <t>03/08/2023</t>
        </is>
      </c>
      <c r="B5011" s="8" t="n">
        <v>144.5331800724</v>
      </c>
      <c r="C5011" s="13" t="n"/>
      <c r="D5011" s="3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2">
      <c r="A5012" s="65" t="inlineStr">
        <is>
          <t>04/08/2023</t>
        </is>
      </c>
      <c r="B5012" s="8" t="n">
        <v>146.0418771504</v>
      </c>
      <c r="C5012" s="13" t="n"/>
      <c r="D5012" s="3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3">
      <c r="A5013" s="65" t="inlineStr">
        <is>
          <t>07/08/2023</t>
        </is>
      </c>
      <c r="B5013" s="8" t="n">
        <v>145.1258824959</v>
      </c>
      <c r="C5013" s="13" t="n"/>
      <c r="D5013" s="3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4">
      <c r="A5014" s="65" t="inlineStr">
        <is>
          <t>08/08/2023</t>
        </is>
      </c>
      <c r="B5014" s="8" t="n">
        <v>143.9297012412</v>
      </c>
      <c r="C5014" s="13" t="n"/>
      <c r="D5014" s="3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5">
      <c r="A5015" s="65" t="inlineStr">
        <is>
          <t>09/08/2023</t>
        </is>
      </c>
      <c r="B5015" s="8" t="n">
        <v>143.8003843488</v>
      </c>
      <c r="C5015" s="13" t="n"/>
      <c r="D5015" s="3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6">
      <c r="A5016" s="65" t="inlineStr">
        <is>
          <t>10/08/2023</t>
        </is>
      </c>
      <c r="B5016" s="8" t="n">
        <v>145.050447642</v>
      </c>
      <c r="C5016" s="13" t="n"/>
      <c r="D5016" s="3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7">
      <c r="A5017" s="65" t="inlineStr">
        <is>
          <t>11/08/2023</t>
        </is>
      </c>
      <c r="B5017" s="8" t="n">
        <v>143.0244829944</v>
      </c>
      <c r="C5017" s="13" t="n"/>
      <c r="D5017" s="3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8">
      <c r="A5018" s="65" t="inlineStr">
        <is>
          <t>14/08/2023</t>
        </is>
      </c>
      <c r="B5018" s="8" t="n">
        <v>142.7011907634</v>
      </c>
      <c r="C5018" s="13" t="n"/>
      <c r="D5018" s="3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9">
      <c r="A5019" s="65" t="inlineStr">
        <is>
          <t>15/08/2023</t>
        </is>
      </c>
      <c r="B5019" s="8" t="n">
        <v>142.8843896943</v>
      </c>
      <c r="C5019" s="13" t="n"/>
      <c r="D5019" s="3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0">
      <c r="A5020" s="65" t="inlineStr">
        <is>
          <t>16/08/2023</t>
        </is>
      </c>
      <c r="B5020" s="8" t="n">
        <v>143.4016572639</v>
      </c>
      <c r="C5020" s="13" t="n"/>
      <c r="D5020" s="3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1">
      <c r="A5021" s="65" t="inlineStr">
        <is>
          <t>17/08/2023</t>
        </is>
      </c>
      <c r="B5021" s="8" t="n">
        <v>143.865042795</v>
      </c>
      <c r="C5021" s="13" t="n"/>
      <c r="D5021" s="3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2">
      <c r="A5022" s="65" t="inlineStr">
        <is>
          <t>18/08/2023</t>
        </is>
      </c>
      <c r="B5022" s="8" t="n">
        <v>143.865042795</v>
      </c>
      <c r="C5022" s="13" t="n"/>
      <c r="D5022" s="3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3">
      <c r="A5023" s="65" t="inlineStr">
        <is>
          <t>21/08/2023</t>
        </is>
      </c>
      <c r="B5023" s="8" t="n">
        <v>146.0311007427</v>
      </c>
      <c r="C5023" s="13" t="n"/>
      <c r="D5023" s="3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4">
      <c r="A5024" s="65" t="inlineStr">
        <is>
          <t>22/08/2023</t>
        </is>
      </c>
      <c r="B5024" s="8" t="n">
        <v>145.5461623962</v>
      </c>
      <c r="C5024" s="13" t="n"/>
      <c r="D5024" s="3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5">
      <c r="A5025" s="65" t="inlineStr">
        <is>
          <t>23/08/2023</t>
        </is>
      </c>
      <c r="B5025" s="8" t="n">
        <v>146.235852489</v>
      </c>
      <c r="C5025" s="13" t="n"/>
      <c r="D5025" s="3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6">
      <c r="A5026" s="65" t="inlineStr">
        <is>
          <t>24/08/2023</t>
        </is>
      </c>
      <c r="B5026" s="8" t="n">
        <v>146.3543929737</v>
      </c>
      <c r="C5026" s="13" t="n"/>
      <c r="D5026" s="3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7">
      <c r="A5027" s="65" t="inlineStr">
        <is>
          <t>25/08/2023</t>
        </is>
      </c>
      <c r="B5027" s="8" t="n">
        <v>145.9341130734</v>
      </c>
      <c r="C5027" s="13" t="n"/>
      <c r="D5027" s="3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8">
      <c r="A5028" s="65" t="inlineStr">
        <is>
          <t>28/08/2023</t>
        </is>
      </c>
      <c r="B5028" s="8" t="n">
        <v>151.0205775078</v>
      </c>
      <c r="C5028" s="13" t="n"/>
      <c r="D5028" s="3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9">
      <c r="A5029" s="65" t="inlineStr">
        <is>
          <t>29/08/2023</t>
        </is>
      </c>
      <c r="B5029" s="8" t="n">
        <v>151.6132799313</v>
      </c>
      <c r="C5029" s="13" t="n"/>
      <c r="D5029" s="3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0">
      <c r="A5030" s="65" t="inlineStr">
        <is>
          <t>30/08/2023</t>
        </is>
      </c>
      <c r="B5030" s="8" t="n">
        <v>150.6434032383</v>
      </c>
      <c r="C5030" s="13" t="n"/>
      <c r="D5030" s="3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1">
      <c r="A5031" s="65" t="inlineStr">
        <is>
          <t>31/08/2023</t>
        </is>
      </c>
      <c r="B5031" s="8" t="n">
        <v>152.9603308938</v>
      </c>
      <c r="C5031" s="13" t="n"/>
      <c r="D5031" s="3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2">
      <c r="A5032" s="65" t="inlineStr">
        <is>
          <t>01/09/2023</t>
        </is>
      </c>
      <c r="B5032" s="8" t="n">
        <v>155.424208632</v>
      </c>
      <c r="C5032" s="13" t="n"/>
      <c r="D5032" s="3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3">
      <c r="A5033" s="65" t="inlineStr">
        <is>
          <t>04/09/2023</t>
        </is>
      </c>
      <c r="B5033" s="8" t="n">
        <v>159.246467424</v>
      </c>
      <c r="C5033" s="13" t="n"/>
      <c r="D5033" s="3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4">
      <c r="A5034" s="65" t="inlineStr">
        <is>
          <t>05/09/2023</t>
        </is>
      </c>
      <c r="B5034" s="8" t="n">
        <v>157.66817517</v>
      </c>
      <c r="C5034" s="13" t="n"/>
      <c r="D5034" s="3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5">
      <c r="A5035" s="65" t="inlineStr">
        <is>
          <t>06/09/2023</t>
        </is>
      </c>
      <c r="B5035" s="8" t="n">
        <v>157.2923913</v>
      </c>
      <c r="C5035" s="13" t="n"/>
      <c r="D5035" s="3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6">
      <c r="A5036" s="65" t="inlineStr">
        <is>
          <t>08/09/2023</t>
        </is>
      </c>
      <c r="B5036" s="8" t="n">
        <v>157.303127982</v>
      </c>
      <c r="C5036" s="13" t="n"/>
      <c r="D5036" s="3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7">
      <c r="A5037" s="65" t="inlineStr">
        <is>
          <t>11/09/2023</t>
        </is>
      </c>
      <c r="B5037" s="8" t="n">
        <v>156.175776372</v>
      </c>
      <c r="C5037" s="13" t="n"/>
      <c r="D5037" s="3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8">
      <c r="A5038" s="65" t="inlineStr">
        <is>
          <t>12/09/2023</t>
        </is>
      </c>
      <c r="B5038" s="8" t="n">
        <v>156.637453698</v>
      </c>
      <c r="C5038" s="13" t="n"/>
      <c r="D5038" s="3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9">
      <c r="A5039" s="65" t="inlineStr">
        <is>
          <t>13/09/2023</t>
        </is>
      </c>
      <c r="B5039" s="8" t="n">
        <v>159.804774888</v>
      </c>
      <c r="C5039" s="13" t="n"/>
      <c r="D5039" s="3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0">
      <c r="A5040" s="65" t="inlineStr">
        <is>
          <t>14/09/2023</t>
        </is>
      </c>
      <c r="B5040" s="8" t="n">
        <v>160.266452214</v>
      </c>
      <c r="C5040" s="13" t="n"/>
      <c r="D5040" s="3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1">
      <c r="A5041" s="65" t="inlineStr">
        <is>
          <t>15/09/2023</t>
        </is>
      </c>
      <c r="B5041" s="8" t="n">
        <v>163.03651617</v>
      </c>
      <c r="C5041" s="13" t="n"/>
      <c r="D5041" s="3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2">
      <c r="A5042" s="65" t="inlineStr">
        <is>
          <t>18/09/2023</t>
        </is>
      </c>
      <c r="B5042" s="8" t="n">
        <v>162.671468982</v>
      </c>
      <c r="C5042" s="13" t="n"/>
      <c r="D5042" s="3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3">
      <c r="A5043" s="65" t="inlineStr">
        <is>
          <t>19/09/2023</t>
        </is>
      </c>
      <c r="B5043" s="8" t="n">
        <v>163.015042806</v>
      </c>
      <c r="C5043" s="13" t="n"/>
      <c r="D5043" s="3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4">
      <c r="A5044" s="65" t="inlineStr">
        <is>
          <t>20/09/2023</t>
        </is>
      </c>
      <c r="B5044" s="8" t="n">
        <v>167.54592261</v>
      </c>
      <c r="C5044" s="13" t="n"/>
      <c r="D5044" s="3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5">
      <c r="A5045" s="65" t="inlineStr">
        <is>
          <t>21/09/2023</t>
        </is>
      </c>
      <c r="B5045" s="8" t="n">
        <v>166.278994134</v>
      </c>
      <c r="C5045" s="13" t="n"/>
      <c r="D5045" s="3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6">
      <c r="A5046" s="65" t="inlineStr">
        <is>
          <t>22/09/2023</t>
        </is>
      </c>
      <c r="B5046" s="8" t="n">
        <v>165.817316808</v>
      </c>
      <c r="C5046" s="13" t="n"/>
      <c r="D5046" s="3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7">
      <c r="A5047" s="65" t="inlineStr">
        <is>
          <t>25/09/2023</t>
        </is>
      </c>
      <c r="B5047" s="8" t="n">
        <v>170.648823708</v>
      </c>
      <c r="C5047" s="13" t="n"/>
      <c r="D5047" s="3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8">
      <c r="A5048" s="65" t="inlineStr">
        <is>
          <t>26/09/2023</t>
        </is>
      </c>
      <c r="B5048" s="8" t="n">
        <v>166.63330464</v>
      </c>
      <c r="C5048" s="13" t="n"/>
      <c r="D5048" s="3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9">
      <c r="A5049" s="65" t="inlineStr">
        <is>
          <t>27/09/2023</t>
        </is>
      </c>
      <c r="B5049" s="8" t="n">
        <v>167.019825192</v>
      </c>
      <c r="C5049" s="13" t="n"/>
      <c r="D5049" s="3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0">
      <c r="A5050" s="65" t="inlineStr">
        <is>
          <t>28/09/2023</t>
        </is>
      </c>
      <c r="B5050" s="8" t="n">
        <v>166.966141782</v>
      </c>
      <c r="C5050" s="13" t="n"/>
      <c r="D5050" s="3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1">
      <c r="A5051" s="65" t="inlineStr">
        <is>
          <t>29/09/2023</t>
        </is>
      </c>
      <c r="B5051" s="8" t="n">
        <v>167.213085468</v>
      </c>
      <c r="C5051" s="13" t="n"/>
      <c r="D5051" s="3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2">
      <c r="A5052" s="65" t="inlineStr">
        <is>
          <t>02/10/2023</t>
        </is>
      </c>
      <c r="B5052" s="8" t="n">
        <v>166.017948978</v>
      </c>
      <c r="C5052" s="13" t="n"/>
      <c r="D5052" s="3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3">
      <c r="A5053" s="65" t="inlineStr">
        <is>
          <t>03/10/2023</t>
        </is>
      </c>
      <c r="B5053" s="8" t="n">
        <v>167.513606176</v>
      </c>
      <c r="C5053" s="13" t="n"/>
      <c r="D5053" s="3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4">
      <c r="A5054" s="65" t="inlineStr">
        <is>
          <t>04/10/2023</t>
        </is>
      </c>
      <c r="B5054" s="8" t="n">
        <v>168.9665303112</v>
      </c>
      <c r="C5054" s="13" t="n"/>
      <c r="D5054" s="3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5">
      <c r="A5055" s="65" t="inlineStr">
        <is>
          <t>05/10/2023</t>
        </is>
      </c>
      <c r="B5055" s="8" t="n">
        <v>170.2057891324</v>
      </c>
      <c r="C5055" s="13" t="n"/>
      <c r="D5055" s="3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6">
      <c r="A5056" s="65" t="inlineStr">
        <is>
          <t>06/10/2023</t>
        </is>
      </c>
      <c r="B5056" s="8" t="n">
        <v>169.0626797025</v>
      </c>
      <c r="C5056" s="13" t="n"/>
      <c r="D5056" s="3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7">
      <c r="A5057" s="65" t="inlineStr">
        <is>
          <t>09/10/2023</t>
        </is>
      </c>
      <c r="B5057" s="8" t="n">
        <v>167.6418053644</v>
      </c>
      <c r="C5057" s="13" t="n"/>
      <c r="D5057" s="3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8">
      <c r="A5058" s="65" t="inlineStr">
        <is>
          <t>10/10/2023</t>
        </is>
      </c>
      <c r="B5058" s="8" t="n">
        <v>167.5883890359</v>
      </c>
      <c r="C5058" s="13" t="n"/>
      <c r="D5058" s="3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9">
      <c r="A5059" s="65" t="inlineStr">
        <is>
          <t>11/10/2023</t>
        </is>
      </c>
      <c r="B5059" s="8" t="n">
        <v>166.4559628717</v>
      </c>
      <c r="C5059" s="13" t="n"/>
      <c r="D5059" s="3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0">
      <c r="A5060" s="65" t="inlineStr">
        <is>
          <t>13/10/2023</t>
        </is>
      </c>
      <c r="B5060" s="8" t="n">
        <v>165.1419211906</v>
      </c>
      <c r="C5060" s="13" t="n"/>
      <c r="D5060" s="3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1">
      <c r="A5061" s="65" t="inlineStr">
        <is>
          <t>16/10/2023</t>
        </is>
      </c>
      <c r="B5061" s="8" t="n">
        <v>164.8855228138</v>
      </c>
      <c r="C5061" s="13" t="n"/>
      <c r="D5061" s="3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2">
      <c r="A5062" s="65" t="inlineStr">
        <is>
          <t>17/10/2023</t>
        </is>
      </c>
      <c r="B5062" s="8" t="n">
        <v>164.6611742341</v>
      </c>
      <c r="C5062" s="13" t="n"/>
      <c r="D5062" s="3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3">
      <c r="A5063" s="65" t="inlineStr">
        <is>
          <t>18/10/2023</t>
        </is>
      </c>
      <c r="B5063" s="8" t="n">
        <v>167.1610584079</v>
      </c>
      <c r="C5063" s="13" t="n"/>
      <c r="D5063" s="3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4">
      <c r="A5064" s="65" t="inlineStr">
        <is>
          <t>19/10/2023</t>
        </is>
      </c>
      <c r="B5064" s="8" t="n">
        <v>167.4281400504</v>
      </c>
      <c r="C5064" s="13" t="n"/>
      <c r="D5064" s="3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5">
      <c r="A5065" s="65" t="inlineStr">
        <is>
          <t>20/10/2023</t>
        </is>
      </c>
      <c r="B5065" s="8" t="n">
        <v>170.0028070841</v>
      </c>
      <c r="C5065" s="13" t="n"/>
      <c r="D5065" s="3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6">
      <c r="A5066" s="65" t="inlineStr">
        <is>
          <t>23/10/2023</t>
        </is>
      </c>
      <c r="B5066" s="8" t="n">
        <v>167.9302535383</v>
      </c>
      <c r="C5066" s="13" t="n"/>
      <c r="D5066" s="3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7">
      <c r="A5067" s="65" t="inlineStr">
        <is>
          <t>24/10/2023</t>
        </is>
      </c>
      <c r="B5067" s="8" t="n">
        <v>167.7165882243</v>
      </c>
      <c r="C5067" s="13" t="n"/>
      <c r="D5067" s="3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8">
      <c r="A5068" s="65" t="inlineStr">
        <is>
          <t>25/10/2023</t>
        </is>
      </c>
      <c r="B5068" s="8" t="n">
        <v>168.047769461</v>
      </c>
      <c r="C5068" s="13" t="n"/>
      <c r="D5068" s="3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9">
      <c r="A5069" s="65" t="inlineStr">
        <is>
          <t>26/10/2023</t>
        </is>
      </c>
      <c r="B5069" s="8" t="n">
        <v>167.8020543499</v>
      </c>
      <c r="C5069" s="13" t="n"/>
      <c r="D5069" s="3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0">
      <c r="A5070" s="65" t="inlineStr">
        <is>
          <t>27/10/2023</t>
        </is>
      </c>
      <c r="B5070" s="8" t="n">
        <v>168.79559806</v>
      </c>
      <c r="C5070" s="13" t="n"/>
      <c r="D5070" s="3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1">
      <c r="A5071" s="65" t="inlineStr">
        <is>
          <t>30/10/2023</t>
        </is>
      </c>
      <c r="B5071" s="8" t="n">
        <v>169.0199466397</v>
      </c>
      <c r="C5071" s="13" t="n"/>
      <c r="D5071" s="3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2">
      <c r="A5072" s="65" t="inlineStr">
        <is>
          <t>31/10/2023</t>
        </is>
      </c>
      <c r="B5072" s="8" t="n">
        <v>167.9302535383</v>
      </c>
      <c r="C5072" s="13" t="n"/>
      <c r="D5072" s="3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3">
      <c r="A5073" s="65" t="inlineStr">
        <is>
          <t>01/11/2023</t>
        </is>
      </c>
      <c r="B5073" s="8" t="n">
        <v>168.6020900875</v>
      </c>
      <c r="C5073" s="13" t="n"/>
      <c r="D5073" s="3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4">
      <c r="A5074" s="65" t="inlineStr">
        <is>
          <t>03/11/2023</t>
        </is>
      </c>
      <c r="B5074" s="8" t="n">
        <v>168.6020900875</v>
      </c>
      <c r="C5074" s="13" t="n"/>
      <c r="D5074" s="3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5">
      <c r="A5075" s="65" t="inlineStr">
        <is>
          <t>06/11/2023</t>
        </is>
      </c>
      <c r="B5075" s="8" t="n">
        <v>166.4779692675</v>
      </c>
      <c r="C5075" s="13" t="n"/>
      <c r="D5075" s="3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6">
      <c r="A5076" s="65" t="inlineStr">
        <is>
          <t>07/11/2023</t>
        </is>
      </c>
      <c r="B5076" s="8" t="n">
        <v>165.8407330215</v>
      </c>
      <c r="C5076" s="13" t="n"/>
      <c r="D5076" s="3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7">
      <c r="A5077" s="65" t="inlineStr">
        <is>
          <t>08/11/2023</t>
        </is>
      </c>
      <c r="B5077" s="8" t="n">
        <v>165.256599796</v>
      </c>
      <c r="C5077" s="13" t="n"/>
      <c r="D5077" s="3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8">
      <c r="A5078" s="65" t="inlineStr">
        <is>
          <t>09/11/2023</t>
        </is>
      </c>
      <c r="B5078" s="8" t="n">
        <v>163.9290242835</v>
      </c>
      <c r="C5078" s="13" t="n"/>
      <c r="D5078" s="3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9">
      <c r="A5079" s="65" t="inlineStr">
        <is>
          <t>10/11/2023</t>
        </is>
      </c>
      <c r="B5079" s="8" t="n">
        <v>168.2516101522</v>
      </c>
      <c r="C5079" s="13" t="n"/>
      <c r="D5079" s="3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0">
      <c r="A5080" s="65" t="inlineStr">
        <is>
          <t>13/11/2023</t>
        </is>
      </c>
      <c r="B5080" s="8" t="n">
        <v>168.017956862</v>
      </c>
      <c r="C5080" s="13" t="n"/>
      <c r="D5080" s="3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1">
      <c r="A5081" s="65" t="inlineStr">
        <is>
          <t>14/11/2023</t>
        </is>
      </c>
      <c r="B5081" s="8" t="n">
        <v>165.6283209395</v>
      </c>
      <c r="C5081" s="13" t="n"/>
      <c r="D5081" s="3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2">
      <c r="A5082" s="65" t="inlineStr">
        <is>
          <t>16/11/2023</t>
        </is>
      </c>
      <c r="B5082" s="8" t="n">
        <v>166.1593511445</v>
      </c>
      <c r="C5082" s="13" t="n"/>
      <c r="D5082" s="3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3">
      <c r="A5083" s="65" t="inlineStr">
        <is>
          <t>17/11/2023</t>
        </is>
      </c>
      <c r="B5083" s="8" t="n">
        <v>165.8194918133</v>
      </c>
      <c r="C5083" s="13" t="n"/>
      <c r="D5083" s="3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4">
      <c r="A5084" s="65" t="inlineStr">
        <is>
          <t>20/11/2023</t>
        </is>
      </c>
      <c r="B5084" s="8" t="n">
        <v>165.8194918133</v>
      </c>
      <c r="C5084" s="13" t="n"/>
      <c r="D5084" s="3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5">
      <c r="A5085" s="65" t="inlineStr">
        <is>
          <t>21/11/2023</t>
        </is>
      </c>
      <c r="B5085" s="8" t="n">
        <v>167.3063763873</v>
      </c>
      <c r="C5085" s="13" t="n"/>
      <c r="D5085" s="3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6">
      <c r="A5086" s="65" t="inlineStr">
        <is>
          <t>22/11/2023</t>
        </is>
      </c>
      <c r="B5086" s="8" t="n">
        <v>166.0319038953</v>
      </c>
      <c r="C5086" s="13" t="n"/>
      <c r="D5086" s="3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7">
      <c r="A5087" s="65" t="inlineStr">
        <is>
          <t>23/11/2023</t>
        </is>
      </c>
      <c r="B5087" s="8" t="n">
        <v>165.6601827518</v>
      </c>
      <c r="C5087" s="13" t="n"/>
      <c r="D5087" s="3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8">
      <c r="A5088" s="65" t="inlineStr">
        <is>
          <t>24/11/2023</t>
        </is>
      </c>
      <c r="B5088" s="8" t="n">
        <v>163.7484740138</v>
      </c>
      <c r="C5088" s="13" t="n"/>
      <c r="D5088" s="3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9">
      <c r="A5089" s="65" t="inlineStr">
        <is>
          <t>27/11/2023</t>
        </is>
      </c>
      <c r="B5089" s="8" t="n">
        <v>163.3555116621</v>
      </c>
      <c r="C5089" s="13" t="n"/>
      <c r="D5089" s="3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0">
      <c r="A5090" s="65" t="inlineStr">
        <is>
          <t>28/11/2023</t>
        </is>
      </c>
      <c r="B5090" s="8" t="n">
        <v>163.7059915974</v>
      </c>
      <c r="C5090" s="13" t="n"/>
      <c r="D5090" s="3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1">
      <c r="A5091" s="65" t="inlineStr">
        <is>
          <t>29/11/2023</t>
        </is>
      </c>
      <c r="B5091" s="8" t="n">
        <v>164.831775632</v>
      </c>
      <c r="C5091" s="13" t="n"/>
      <c r="D5091" s="3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2">
      <c r="A5092" s="65" t="inlineStr">
        <is>
          <t>30/11/2023</t>
        </is>
      </c>
      <c r="B5092" s="8" t="n">
        <v>164.6087429459</v>
      </c>
      <c r="C5092" s="13" t="n"/>
      <c r="D5092" s="3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3">
      <c r="A5093" s="65" t="inlineStr">
        <is>
          <t>01/12/2023</t>
        </is>
      </c>
      <c r="B5093" s="8" t="n">
        <v>163.283618432</v>
      </c>
      <c r="C5093" s="13" t="n"/>
      <c r="D5093" s="3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4">
      <c r="A5094" s="65" t="inlineStr">
        <is>
          <t>04/12/2023</t>
        </is>
      </c>
      <c r="B5094" s="8" t="n">
        <v>163.473385034</v>
      </c>
      <c r="C5094" s="13" t="n"/>
      <c r="D5094" s="3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5">
      <c r="A5095" s="65" t="inlineStr">
        <is>
          <t>05/12/2023</t>
        </is>
      </c>
      <c r="B5095" s="8" t="n">
        <v>164.316792154</v>
      </c>
      <c r="C5095" s="13" t="n"/>
      <c r="D5095" s="3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6">
      <c r="A5096" s="65" t="inlineStr">
        <is>
          <t>06/12/2023</t>
        </is>
      </c>
      <c r="B5096" s="8" t="n">
        <v>164.158653319</v>
      </c>
      <c r="C5096" s="13" t="n"/>
      <c r="D5096" s="3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7">
      <c r="A5097" s="65" t="inlineStr">
        <is>
          <t>07/12/2023</t>
        </is>
      </c>
      <c r="B5097" s="8" t="n">
        <v>163.842375649</v>
      </c>
      <c r="C5097" s="13" t="n"/>
      <c r="D5097" s="3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8">
      <c r="A5098" s="65" t="inlineStr">
        <is>
          <t>08/12/2023</t>
        </is>
      </c>
      <c r="B5098" s="8" t="n">
        <v>163.673694225</v>
      </c>
      <c r="C5098" s="13" t="n"/>
      <c r="D5098" s="3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9">
      <c r="A5099" s="65" t="inlineStr">
        <is>
          <t>11/12/2023</t>
        </is>
      </c>
      <c r="B5099" s="8" t="n">
        <v>163.104394419</v>
      </c>
      <c r="C5099" s="13" t="n"/>
      <c r="D5099" s="3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0">
      <c r="A5100" s="65" t="inlineStr">
        <is>
          <t>12/12/2023</t>
        </is>
      </c>
      <c r="B5100" s="8" t="n">
        <v>162.3558706</v>
      </c>
      <c r="C5100" s="13" t="n"/>
      <c r="D5100" s="3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1">
      <c r="A5101" s="65" t="inlineStr">
        <is>
          <t>13/12/2023</t>
        </is>
      </c>
      <c r="B5101" s="8" t="n">
        <v>162.471839079</v>
      </c>
      <c r="C5101" s="13" t="n"/>
      <c r="D5101" s="3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2">
      <c r="A5102" s="65" t="inlineStr">
        <is>
          <t>14/12/2023</t>
        </is>
      </c>
      <c r="B5102" s="8" t="n">
        <v>162.587807558</v>
      </c>
      <c r="C5102" s="13" t="n"/>
      <c r="D5102" s="3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3">
      <c r="A5103" s="65" t="inlineStr">
        <is>
          <t>15/12/2023</t>
        </is>
      </c>
      <c r="B5103" s="8" t="n">
        <v>160.120841732</v>
      </c>
      <c r="C5103" s="13" t="n"/>
      <c r="D5103" s="3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4">
      <c r="A5104" s="65" t="inlineStr">
        <is>
          <t>18/12/2023</t>
        </is>
      </c>
      <c r="B5104" s="8" t="n">
        <v>159.656967816</v>
      </c>
      <c r="C5104" s="13" t="n"/>
      <c r="D5104" s="3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5">
      <c r="A5105" s="65" t="inlineStr">
        <is>
          <t>19/12/2023</t>
        </is>
      </c>
      <c r="B5105" s="8" t="n">
        <v>162.303157655</v>
      </c>
      <c r="C5105" s="13" t="n"/>
      <c r="D5105" s="3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6">
      <c r="A5106" s="65" t="inlineStr">
        <is>
          <t>20/12/2023</t>
        </is>
      </c>
      <c r="B5106" s="8" t="n">
        <v>156.483648527</v>
      </c>
      <c r="C5106" s="13" t="n"/>
      <c r="D5106" s="3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7">
      <c r="A5107" s="65" t="inlineStr">
        <is>
          <t>21/12/2023</t>
        </is>
      </c>
      <c r="B5107" s="8" t="n">
        <v>155.144739724</v>
      </c>
      <c r="C5107" s="13" t="n"/>
      <c r="D5107" s="3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8">
      <c r="A5108" s="65" t="inlineStr">
        <is>
          <t>22/12/2023</t>
        </is>
      </c>
      <c r="B5108" s="8" t="n">
        <v>156.97915021</v>
      </c>
      <c r="C5108" s="13" t="n"/>
      <c r="D5108" s="3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9">
      <c r="A5109" s="65" t="inlineStr">
        <is>
          <t>26/12/2023</t>
        </is>
      </c>
      <c r="B5109" s="8" t="n">
        <v>160.068128787</v>
      </c>
      <c r="C5109" s="13" t="n"/>
      <c r="D5109" s="3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0">
      <c r="A5110" s="65" t="inlineStr">
        <is>
          <t>27/12/2023</t>
        </is>
      </c>
      <c r="B5110" s="8" t="n">
        <v>155.229080436</v>
      </c>
      <c r="C5110" s="13" t="n"/>
      <c r="D5110" s="3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1">
      <c r="A5111" s="65" t="inlineStr">
        <is>
          <t>28/12/2023</t>
        </is>
      </c>
      <c r="B5111" s="8" t="n">
        <v>158.012323932</v>
      </c>
      <c r="C5111" s="13" t="n"/>
      <c r="D5111" s="3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2">
      <c r="A5112" s="65" t="inlineStr">
        <is>
          <t>02/01/2024</t>
        </is>
      </c>
      <c r="B5112" s="8" t="n">
        <v>157.9017919284</v>
      </c>
      <c r="C5112" s="13" t="n"/>
      <c r="D5112" s="3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3">
      <c r="A5113" s="65" t="inlineStr">
        <is>
          <t>03/01/2024</t>
        </is>
      </c>
      <c r="B5113" s="8" t="n">
        <v>155.3311996392</v>
      </c>
      <c r="C5113" s="13" t="n"/>
      <c r="D5113" s="3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4">
      <c r="A5114" s="65" t="inlineStr">
        <is>
          <t>04/01/2024</t>
        </is>
      </c>
      <c r="B5114" s="8" t="n">
        <v>153.7930583514</v>
      </c>
      <c r="C5114" s="13" t="n"/>
      <c r="D5114" s="3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5">
      <c r="A5115" s="65" t="inlineStr">
        <is>
          <t>05/01/2024</t>
        </is>
      </c>
      <c r="B5115" s="8" t="n">
        <v>150.4323249897</v>
      </c>
      <c r="C5115" s="13" t="n"/>
      <c r="D5115" s="3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6">
      <c r="A5116" s="65" t="inlineStr">
        <is>
          <t>08/01/2024</t>
        </is>
      </c>
      <c r="B5116" s="8" t="n">
        <v>150.1057333464</v>
      </c>
      <c r="C5116" s="13" t="n"/>
      <c r="D5116" s="3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7">
      <c r="A5117" s="65" t="inlineStr">
        <is>
          <t>09/01/2024</t>
        </is>
      </c>
      <c r="B5117" s="8" t="n">
        <v>151.8756493488</v>
      </c>
      <c r="C5117" s="13" t="n"/>
      <c r="D5117" s="3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8">
      <c r="A5118" s="65" t="inlineStr">
        <is>
          <t>10/01/2024</t>
        </is>
      </c>
      <c r="B5118" s="8" t="n">
        <v>154.0880443518</v>
      </c>
      <c r="C5118" s="13" t="n"/>
      <c r="D5118" s="3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9">
      <c r="A5119" s="65" t="inlineStr">
        <is>
          <t>11/01/2024</t>
        </is>
      </c>
      <c r="B5119" s="8" t="n">
        <v>153.8457344229</v>
      </c>
      <c r="C5119" s="13" t="n"/>
      <c r="D5119" s="3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0">
      <c r="A5120" s="65" t="inlineStr">
        <is>
          <t>12/01/2024</t>
        </is>
      </c>
      <c r="B5120" s="8" t="n">
        <v>153.9300161373</v>
      </c>
      <c r="C5120" s="13" t="n"/>
      <c r="D5120" s="3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1">
      <c r="A5121" s="65" t="inlineStr">
        <is>
          <t>15/01/2024</t>
        </is>
      </c>
      <c r="B5121" s="8" t="n">
        <v>151.7597619915</v>
      </c>
      <c r="C5121" s="13" t="n"/>
      <c r="D5121" s="3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2">
      <c r="A5122" s="65" t="inlineStr">
        <is>
          <t>16/01/2024</t>
        </is>
      </c>
      <c r="B5122" s="8" t="n">
        <v>151.8756493488</v>
      </c>
      <c r="C5122" s="13" t="n"/>
      <c r="D5122" s="3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3">
      <c r="A5123" s="65" t="inlineStr">
        <is>
          <t>17/01/2024</t>
        </is>
      </c>
      <c r="B5123" s="8" t="n">
        <v>151.4647759911</v>
      </c>
      <c r="C5123" s="13" t="n"/>
      <c r="D5123" s="3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4">
      <c r="A5124" s="65" t="inlineStr">
        <is>
          <t>18/01/2024</t>
        </is>
      </c>
      <c r="B5124" s="8" t="n">
        <v>152.655255207</v>
      </c>
      <c r="C5124" s="13" t="n"/>
      <c r="D5124" s="3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5">
      <c r="A5125" s="65" t="inlineStr">
        <is>
          <t>19/01/2024</t>
        </is>
      </c>
      <c r="B5125" s="8" t="n">
        <v>153.4559314938</v>
      </c>
      <c r="C5125" s="13" t="n"/>
      <c r="D5125" s="3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6">
      <c r="A5126" s="65" t="inlineStr">
        <is>
          <t>22/01/2024</t>
        </is>
      </c>
      <c r="B5126" s="8" t="n">
        <v>152.8238186358</v>
      </c>
      <c r="C5126" s="13" t="n"/>
      <c r="D5126" s="3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7">
      <c r="A5127" s="65" t="inlineStr">
        <is>
          <t>23/01/2024</t>
        </is>
      </c>
      <c r="B5127" s="8" t="n">
        <v>151.5490577055</v>
      </c>
      <c r="C5127" s="13" t="n"/>
      <c r="D5127" s="3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8">
      <c r="A5128" s="65" t="inlineStr">
        <is>
          <t>24/01/2024</t>
        </is>
      </c>
      <c r="B5128" s="8" t="n">
        <v>151.8756493488</v>
      </c>
      <c r="C5128" s="13" t="n"/>
      <c r="D5128" s="3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9">
      <c r="A5129" s="65" t="inlineStr">
        <is>
          <t>25/01/2024</t>
        </is>
      </c>
      <c r="B5129" s="8" t="n">
        <v>151.8440437059</v>
      </c>
      <c r="C5129" s="13" t="n"/>
      <c r="D5129" s="3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0">
      <c r="A5130" s="65" t="inlineStr">
        <is>
          <t>26/01/2024</t>
        </is>
      </c>
      <c r="B5130" s="8" t="n">
        <v>151.7913676344</v>
      </c>
      <c r="C5130" s="13" t="n"/>
      <c r="D5130" s="3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1">
      <c r="A5131" s="65" t="inlineStr">
        <is>
          <t>29/01/2024</t>
        </is>
      </c>
      <c r="B5131" s="8" t="n">
        <v>153.2768328507</v>
      </c>
      <c r="C5131" s="13" t="n"/>
      <c r="D5131" s="3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2">
      <c r="A5132" s="65" t="inlineStr">
        <is>
          <t>30/01/2024</t>
        </is>
      </c>
      <c r="B5132" s="8" t="n">
        <v>152.1811705635</v>
      </c>
      <c r="C5132" s="13" t="n"/>
      <c r="D5132" s="3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3">
      <c r="A5133" s="65" t="inlineStr">
        <is>
          <t>31/01/2024</t>
        </is>
      </c>
      <c r="B5133" s="8" t="n">
        <v>153.8878752801</v>
      </c>
      <c r="C5133" s="13" t="n"/>
      <c r="D5133" s="3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4">
      <c r="A5134" s="65" t="inlineStr">
        <is>
          <t>01/02/2024</t>
        </is>
      </c>
      <c r="B5134" s="8" t="n">
        <v>153.6967887894</v>
      </c>
      <c r="C5134" s="13" t="n"/>
      <c r="D5134" s="3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5">
      <c r="A5135" s="65" t="inlineStr">
        <is>
          <t>02/02/2024</t>
        </is>
      </c>
      <c r="B5135" s="8" t="n">
        <v>153.6438373704</v>
      </c>
      <c r="C5135" s="13" t="n"/>
      <c r="D5135" s="3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6">
      <c r="A5136" s="65" t="inlineStr">
        <is>
          <t>05/02/2024</t>
        </is>
      </c>
      <c r="B5136" s="8" t="n">
        <v>153.1037328966</v>
      </c>
      <c r="C5136" s="13" t="n"/>
      <c r="D5136" s="3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7">
      <c r="A5137" s="65" t="inlineStr">
        <is>
          <t>06/02/2024</t>
        </is>
      </c>
      <c r="B5137" s="8" t="n">
        <v>152.6801215446</v>
      </c>
      <c r="C5137" s="13" t="n"/>
      <c r="D5137" s="3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8">
      <c r="A5138" s="65" t="inlineStr">
        <is>
          <t>07/02/2024</t>
        </is>
      </c>
      <c r="B5138" s="8" t="n">
        <v>155.0841159672</v>
      </c>
      <c r="C5138" s="13" t="n"/>
      <c r="D5138" s="3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9">
      <c r="A5139" s="65" t="inlineStr">
        <is>
          <t>08/02/2024</t>
        </is>
      </c>
      <c r="B5139" s="8" t="n">
        <v>156.3867208746</v>
      </c>
      <c r="C5139" s="13" t="n"/>
      <c r="D5139" s="3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0">
      <c r="A5140" s="65" t="inlineStr">
        <is>
          <t>09/02/2024</t>
        </is>
      </c>
      <c r="B5140" s="8" t="n">
        <v>154.9570325616</v>
      </c>
      <c r="C5140" s="13" t="n"/>
      <c r="D5140" s="3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1">
      <c r="A5141" s="65" t="inlineStr">
        <is>
          <t>14/02/2024</t>
        </is>
      </c>
      <c r="B5141" s="8" t="n">
        <v>154.2051224118</v>
      </c>
      <c r="C5141" s="13" t="n"/>
      <c r="D5141" s="3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2">
      <c r="A5142" s="65" t="inlineStr">
        <is>
          <t>15/02/2024</t>
        </is>
      </c>
      <c r="B5142" s="8" t="n">
        <v>157.3610269842</v>
      </c>
      <c r="C5142" s="13" t="n"/>
      <c r="D5142" s="3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3">
      <c r="A5143" s="65" t="inlineStr">
        <is>
          <t>16/02/2024</t>
        </is>
      </c>
      <c r="B5143" s="8" t="n">
        <v>157.2445338624</v>
      </c>
      <c r="C5143" s="13" t="n"/>
      <c r="D5143" s="3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4">
      <c r="A5144" s="65" t="inlineStr">
        <is>
          <t>19/02/2024</t>
        </is>
      </c>
      <c r="B5144" s="8" t="n">
        <v>156.471443145</v>
      </c>
      <c r="C5144" s="13" t="n"/>
      <c r="D5144" s="3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5">
      <c r="A5145" s="65" t="inlineStr">
        <is>
          <t>20/02/2024</t>
        </is>
      </c>
      <c r="B5145" s="8" t="n">
        <v>155.6877621438</v>
      </c>
      <c r="C5145" s="13" t="n"/>
      <c r="D5145" s="3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6">
      <c r="A5146" s="65" t="inlineStr">
        <is>
          <t>21/02/2024</t>
        </is>
      </c>
      <c r="B5146" s="8" t="n">
        <v>153.5802956676</v>
      </c>
      <c r="C5146" s="13" t="n"/>
      <c r="D5146" s="3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7">
      <c r="A5147" s="65" t="inlineStr">
        <is>
          <t>22/02/2024</t>
        </is>
      </c>
      <c r="B5147" s="8" t="n">
        <v>153.823872195</v>
      </c>
      <c r="C5147" s="13" t="n"/>
      <c r="D5147" s="3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8">
      <c r="A5148" s="65" t="inlineStr">
        <is>
          <t>23/02/2024</t>
        </is>
      </c>
      <c r="B5148" s="8" t="n">
        <v>153.876823614</v>
      </c>
      <c r="C5148" s="13" t="n"/>
      <c r="D5148" s="3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9">
      <c r="A5149" s="65" t="inlineStr">
        <is>
          <t>26/02/2024</t>
        </is>
      </c>
      <c r="B5149" s="8" t="n">
        <v>153.3367191402</v>
      </c>
      <c r="C5149" s="13" t="n"/>
      <c r="D5149" s="3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0">
      <c r="A5150" s="65" t="inlineStr">
        <is>
          <t>27/02/2024</t>
        </is>
      </c>
      <c r="B5150" s="8" t="n">
        <v>153.4320316944</v>
      </c>
      <c r="C5150" s="13" t="n"/>
      <c r="D5150" s="3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1">
      <c r="A5151" s="65" t="inlineStr">
        <is>
          <t>28/02/2024</t>
        </is>
      </c>
      <c r="B5151" s="8" t="n">
        <v>155.1900188052</v>
      </c>
      <c r="C5151" s="13" t="n"/>
      <c r="D5151" s="3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2">
      <c r="A5152" s="65" t="inlineStr">
        <is>
          <t>29/02/2024</t>
        </is>
      </c>
      <c r="B5152" s="8" t="n">
        <v>153.8026916274</v>
      </c>
      <c r="C5152" s="13" t="n"/>
      <c r="D5152" s="3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3">
      <c r="A5153" s="65" t="inlineStr">
        <is>
          <t>01/03/2024</t>
        </is>
      </c>
      <c r="B5153" s="8" t="n">
        <v>152.2838762784</v>
      </c>
      <c r="C5153" s="13" t="n"/>
      <c r="D5153" s="3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4">
      <c r="A5154" s="65" t="inlineStr">
        <is>
          <t>04/03/2024</t>
        </is>
      </c>
      <c r="B5154" s="8" t="n">
        <v>152.0923510008</v>
      </c>
      <c r="C5154" s="13" t="n"/>
      <c r="D5154" s="3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5">
      <c r="A5155" s="65" t="inlineStr">
        <is>
          <t>05/03/2024</t>
        </is>
      </c>
      <c r="B5155" s="8" t="n">
        <v>151.3156095972</v>
      </c>
      <c r="C5155" s="13" t="n"/>
      <c r="D5155" s="3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6">
      <c r="A5156" s="65" t="inlineStr">
        <is>
          <t>06/03/2024</t>
        </is>
      </c>
      <c r="B5156" s="8" t="n">
        <v>150.7303934712</v>
      </c>
      <c r="C5156" s="13" t="n"/>
      <c r="D5156" s="3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7">
      <c r="A5157" s="65" t="inlineStr">
        <is>
          <t>07/03/2024</t>
        </is>
      </c>
      <c r="B5157" s="8" t="n">
        <v>150.8048755236</v>
      </c>
      <c r="C5157" s="13" t="n"/>
      <c r="D5157" s="3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8">
      <c r="A5158" s="65" t="inlineStr">
        <is>
          <t>08/03/2024</t>
        </is>
      </c>
      <c r="B5158" s="8" t="n">
        <v>150.1770982248</v>
      </c>
      <c r="C5158" s="13" t="n"/>
      <c r="D5158" s="3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9">
      <c r="A5159" s="65" t="inlineStr">
        <is>
          <t>11/03/2024</t>
        </is>
      </c>
      <c r="B5159" s="8" t="n">
        <v>151.943386896</v>
      </c>
      <c r="C5159" s="13" t="n"/>
      <c r="D5159" s="3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0">
      <c r="A5160" s="65" t="inlineStr">
        <is>
          <t>12/03/2024</t>
        </is>
      </c>
      <c r="B5160" s="8" t="n">
        <v>151.2624081312</v>
      </c>
      <c r="C5160" s="13" t="n"/>
      <c r="D5160" s="3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1">
      <c r="A5161" s="65" t="inlineStr">
        <is>
          <t>13/03/2024</t>
        </is>
      </c>
      <c r="B5161" s="8" t="n">
        <v>151.6667392728</v>
      </c>
      <c r="C5161" s="13" t="n"/>
      <c r="D5161" s="3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2">
      <c r="A5162" s="65" t="inlineStr">
        <is>
          <t>14/03/2024</t>
        </is>
      </c>
      <c r="B5162" s="8" t="n">
        <v>151.8795451368</v>
      </c>
      <c r="C5162" s="13" t="n"/>
      <c r="D5162" s="3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3">
      <c r="A5163" s="65" t="inlineStr">
        <is>
          <t>15/03/2024</t>
        </is>
      </c>
      <c r="B5163" s="8" t="n">
        <v>153.4223876508</v>
      </c>
      <c r="C5163" s="13" t="n"/>
      <c r="D5163" s="3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4">
      <c r="A5164" s="65" t="inlineStr">
        <is>
          <t>18/03/2024</t>
        </is>
      </c>
      <c r="B5164" s="8" t="n">
        <v>153.6671143944</v>
      </c>
      <c r="C5164" s="13" t="n"/>
      <c r="D5164" s="3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5">
      <c r="A5165" s="65" t="inlineStr">
        <is>
          <t>19/03/2024</t>
        </is>
      </c>
      <c r="B5165" s="8" t="n">
        <v>153.2308623732</v>
      </c>
      <c r="C5165" s="13" t="n"/>
      <c r="D5165" s="3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6">
      <c r="A5166" s="65" t="inlineStr">
        <is>
          <t>20/03/2024</t>
        </is>
      </c>
      <c r="B5166" s="8" t="n">
        <v>154.2204096408</v>
      </c>
      <c r="C5166" s="13" t="n"/>
      <c r="D5166" s="3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7">
      <c r="A5167" s="65" t="inlineStr">
        <is>
          <t>21/03/2024</t>
        </is>
      </c>
      <c r="B5167" s="8" t="n">
        <v>153.8267187924</v>
      </c>
      <c r="C5167" s="13" t="n"/>
      <c r="D5167" s="3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8">
      <c r="A5168" s="65" t="inlineStr">
        <is>
          <t>22/03/2024</t>
        </is>
      </c>
      <c r="B5168" s="8" t="n">
        <v>154.55025873</v>
      </c>
      <c r="C5168" s="13" t="n"/>
      <c r="D5168" s="3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9">
      <c r="A5169" s="65" t="inlineStr">
        <is>
          <t>25/03/2024</t>
        </is>
      </c>
      <c r="B5169" s="8" t="n">
        <v>154.922668992</v>
      </c>
      <c r="C5169" s="13" t="n"/>
      <c r="D5169" s="3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0">
      <c r="A5170" s="65" t="inlineStr">
        <is>
          <t>26/03/2024</t>
        </is>
      </c>
      <c r="B5170" s="8" t="n">
        <v>154.3055319864</v>
      </c>
      <c r="C5170" s="13" t="n"/>
      <c r="D5170" s="3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1">
      <c r="A5171" s="65" t="inlineStr">
        <is>
          <t>27/03/2024</t>
        </is>
      </c>
      <c r="B5171" s="8" t="n">
        <v>154.4544960912</v>
      </c>
      <c r="C5171" s="13" t="n"/>
      <c r="D5171" s="3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2">
      <c r="A5172" s="65" t="inlineStr">
        <is>
          <t>28/03/2024</t>
        </is>
      </c>
      <c r="B5172" s="8" t="n">
        <v>154.8056257668</v>
      </c>
      <c r="C5172" s="13" t="n"/>
      <c r="D5172" s="3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3">
      <c r="A5173" s="65" t="inlineStr">
        <is>
          <t>01/04/2024</t>
        </is>
      </c>
      <c r="B5173" s="8" t="n">
        <v>154.4120702814</v>
      </c>
      <c r="C5173" s="13" t="n"/>
      <c r="D5173" s="3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4">
      <c r="A5174" s="65" t="inlineStr">
        <is>
          <t>02/04/2024</t>
        </is>
      </c>
      <c r="B5174" s="8" t="n">
        <v>154.86818892</v>
      </c>
      <c r="C5174" s="13" t="n"/>
      <c r="D5174" s="3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5">
      <c r="A5175" s="65" t="inlineStr">
        <is>
          <t>03/04/2024</t>
        </is>
      </c>
      <c r="B5175" s="8" t="n">
        <v>155.6213150442</v>
      </c>
      <c r="C5175" s="13" t="n"/>
      <c r="D5175" s="3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6">
      <c r="A5176" s="65" t="inlineStr">
        <is>
          <t>04/04/2024</t>
        </is>
      </c>
      <c r="B5176" s="8" t="n">
        <v>155.4197742504</v>
      </c>
      <c r="C5176" s="13" t="n"/>
      <c r="D5176" s="3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7">
      <c r="A5177" s="65" t="inlineStr">
        <is>
          <t>05/04/2024</t>
        </is>
      </c>
      <c r="B5177" s="8" t="n">
        <v>155.4197742504</v>
      </c>
      <c r="C5177" s="13" t="n"/>
      <c r="D5177" s="3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8">
      <c r="A5178" s="65" t="inlineStr">
        <is>
          <t>08/04/2024</t>
        </is>
      </c>
      <c r="B5178" s="8" t="n">
        <v>155.875892889</v>
      </c>
      <c r="C5178" s="13" t="n"/>
      <c r="D5178" s="3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9">
      <c r="A5179" s="65" t="inlineStr">
        <is>
          <t>09/04/2024</t>
        </is>
      </c>
      <c r="B5179" s="8" t="n">
        <v>156.2895818868</v>
      </c>
      <c r="C5179" s="13" t="n"/>
      <c r="D5179" s="3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0">
      <c r="A5180" s="65" t="inlineStr">
        <is>
          <t>10/04/2024</t>
        </is>
      </c>
      <c r="B5180" s="8" t="n">
        <v>155.4409890708</v>
      </c>
      <c r="C5180" s="13" t="n"/>
      <c r="D5180" s="3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1">
      <c r="A5181" s="65" t="inlineStr">
        <is>
          <t>11/04/2024</t>
        </is>
      </c>
      <c r="B5181" s="8" t="n">
        <v>155.769818787</v>
      </c>
      <c r="C5181" s="13" t="n"/>
      <c r="D5181" s="3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2">
      <c r="A5182" s="65" t="inlineStr">
        <is>
          <t>12/04/2024</t>
        </is>
      </c>
      <c r="B5182" s="8" t="n">
        <v>155.1758038158</v>
      </c>
      <c r="C5182" s="13" t="n"/>
      <c r="D5182" s="3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3">
      <c r="A5183" s="65" t="inlineStr">
        <is>
          <t>15/04/2024</t>
        </is>
      </c>
      <c r="B5183" s="8" t="n">
        <v>155.1758038158</v>
      </c>
      <c r="C5183" s="13" t="n"/>
      <c r="D5183" s="3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4">
      <c r="A5184" s="65" t="inlineStr">
        <is>
          <t>16/04/2024</t>
        </is>
      </c>
      <c r="B5184" s="8" t="n">
        <v>157.1806043436</v>
      </c>
      <c r="C5184" s="13" t="n"/>
      <c r="D5184" s="3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5">
      <c r="A5185" s="65" t="inlineStr">
        <is>
          <t>17/04/2024</t>
        </is>
      </c>
      <c r="B5185" s="8" t="n">
        <v>158.8671825654</v>
      </c>
      <c r="C5185" s="13" t="n"/>
      <c r="D5185" s="3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6">
      <c r="A5186" s="65" t="inlineStr">
        <is>
          <t>18/04/2024</t>
        </is>
      </c>
      <c r="B5186" s="8" t="n">
        <v>159.7263827916</v>
      </c>
      <c r="C5186" s="13" t="n"/>
      <c r="D5186" s="3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7">
      <c r="A5187" s="65" t="inlineStr">
        <is>
          <t>19/04/2024</t>
        </is>
      </c>
      <c r="B5187" s="8" t="n">
        <v>159.4187678958</v>
      </c>
      <c r="C5187" s="13" t="n"/>
      <c r="D5187" s="3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8">
      <c r="A5188" s="65" t="inlineStr">
        <is>
          <t>22/04/2024</t>
        </is>
      </c>
      <c r="B5188" s="8" t="n">
        <v>157.2230339844</v>
      </c>
      <c r="C5188" s="13" t="n"/>
      <c r="D5188" s="3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9">
      <c r="A5189" s="65" t="inlineStr">
        <is>
          <t>23/04/2024</t>
        </is>
      </c>
      <c r="B5189" s="8" t="n">
        <v>157.4563970088</v>
      </c>
      <c r="C5189" s="13" t="n"/>
      <c r="D5189" s="3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0">
      <c r="A5190" s="65" t="inlineStr">
        <is>
          <t>24/04/2024</t>
        </is>
      </c>
      <c r="B5190" s="8" t="n">
        <v>156.8093449866</v>
      </c>
      <c r="C5190" s="13" t="n"/>
      <c r="D5190" s="3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1">
      <c r="A5191" s="65" t="inlineStr">
        <is>
          <t>25/04/2024</t>
        </is>
      </c>
      <c r="B5191" s="8" t="n">
        <v>156.0986485032</v>
      </c>
      <c r="C5191" s="13" t="n"/>
      <c r="D5191" s="3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2">
      <c r="A5192" s="65" t="inlineStr">
        <is>
          <t>26/04/2024</t>
        </is>
      </c>
      <c r="B5192" s="8" t="n">
        <v>155.5364557626</v>
      </c>
      <c r="C5192" s="13" t="n"/>
      <c r="D5192" s="3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3">
      <c r="A5193" s="65" t="inlineStr">
        <is>
          <t>29/04/2024</t>
        </is>
      </c>
      <c r="B5193" s="8" t="n">
        <v>153.7862330796</v>
      </c>
      <c r="C5193" s="13" t="n"/>
      <c r="D5193" s="3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4">
      <c r="A5194" s="65" t="inlineStr">
        <is>
          <t>30/04/2024</t>
        </is>
      </c>
      <c r="B5194" s="8" t="n">
        <v>152.2587660108</v>
      </c>
      <c r="C5194" s="13" t="n"/>
      <c r="D5194" s="3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5">
      <c r="A5195" s="65" t="inlineStr">
        <is>
          <t>02/05/2024</t>
        </is>
      </c>
      <c r="B5195" s="8" t="n">
        <v>151.378225126</v>
      </c>
      <c r="C5195" s="13" t="n"/>
      <c r="D5195" s="3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6">
      <c r="A5196" s="65" t="inlineStr">
        <is>
          <t>03/05/2024</t>
        </is>
      </c>
      <c r="B5196" s="8" t="n">
        <v>150.55814584</v>
      </c>
      <c r="C5196" s="13" t="n"/>
      <c r="D5196" s="3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7">
      <c r="A5197" s="65" t="inlineStr">
        <is>
          <t>06/05/2024</t>
        </is>
      </c>
      <c r="B5197" s="8" t="n">
        <v>150.03245399</v>
      </c>
      <c r="C5197" s="13" t="n"/>
      <c r="D5197" s="3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8">
      <c r="A5198" s="65" t="inlineStr">
        <is>
          <t>07/05/2024</t>
        </is>
      </c>
      <c r="B5198" s="8" t="n">
        <v>149.317513074</v>
      </c>
      <c r="C5198" s="13" t="n"/>
      <c r="D5198" s="3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9">
      <c r="A5199" s="65" t="inlineStr">
        <is>
          <t>08/05/2024</t>
        </is>
      </c>
      <c r="B5199" s="8" t="n">
        <v>150.726367232</v>
      </c>
      <c r="C5199" s="13" t="n"/>
      <c r="D5199" s="3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0">
      <c r="A5200" s="65" t="inlineStr">
        <is>
          <t>09/05/2024</t>
        </is>
      </c>
      <c r="B5200" s="8" t="n">
        <v>146.541860106</v>
      </c>
      <c r="C5200" s="13" t="n"/>
      <c r="D5200" s="3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1">
      <c r="A5201" s="65" t="inlineStr">
        <is>
          <t>10/05/2024</t>
        </is>
      </c>
      <c r="B5201" s="8" t="n">
        <v>145.93205756</v>
      </c>
      <c r="C5201" s="13" t="n"/>
      <c r="D5201" s="3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2">
      <c r="A5202" s="65" t="inlineStr">
        <is>
          <t>13/05/2024</t>
        </is>
      </c>
      <c r="B5202" s="8" t="n">
        <v>146.77316452</v>
      </c>
      <c r="C5202" s="13" t="n"/>
      <c r="D5202" s="3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3">
      <c r="A5203" s="65" t="inlineStr">
        <is>
          <t>14/05/2024</t>
        </is>
      </c>
      <c r="B5203" s="8" t="n">
        <v>145.206602807</v>
      </c>
      <c r="C5203" s="13" t="n"/>
      <c r="D5203" s="3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4">
      <c r="A5204" s="65" t="inlineStr">
        <is>
          <t>15/05/2024</t>
        </is>
      </c>
      <c r="B5204" s="8" t="n">
        <v>146.804706031</v>
      </c>
      <c r="C5204" s="13" t="n"/>
      <c r="D5204" s="3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5">
      <c r="A5205" s="65" t="inlineStr">
        <is>
          <t>16/05/2024</t>
        </is>
      </c>
      <c r="B5205" s="8" t="n">
        <v>144.922729208</v>
      </c>
      <c r="C5205" s="13" t="n"/>
      <c r="D5205" s="3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6">
      <c r="A5206" s="65" t="inlineStr">
        <is>
          <t>17/05/2024</t>
        </is>
      </c>
      <c r="B5206" s="8" t="n">
        <v>144.575772587</v>
      </c>
      <c r="C5206" s="13" t="n"/>
      <c r="D5206" s="3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7">
      <c r="A5207" s="65" t="inlineStr">
        <is>
          <t>20/05/2024</t>
        </is>
      </c>
      <c r="B5207" s="8" t="n">
        <v>143.009210874</v>
      </c>
      <c r="C5207" s="13" t="n"/>
      <c r="D5207" s="3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8">
      <c r="A5208" s="65" t="inlineStr">
        <is>
          <t>21/05/2024</t>
        </is>
      </c>
      <c r="B5208" s="8" t="n">
        <v>142.599171231</v>
      </c>
      <c r="C5208" s="13" t="n"/>
      <c r="D5208" s="3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9">
      <c r="A5209" s="65" t="inlineStr">
        <is>
          <t>22/05/2024</t>
        </is>
      </c>
      <c r="B5209" s="8" t="n">
        <v>144.24984364</v>
      </c>
      <c r="C5209" s="13" t="n"/>
      <c r="D5209" s="3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0">
      <c r="A5210" s="65" t="inlineStr">
        <is>
          <t>23/05/2024</t>
        </is>
      </c>
      <c r="B5210" s="8" t="n">
        <v>146.604943128</v>
      </c>
      <c r="C5210" s="13" t="n"/>
      <c r="D5210" s="3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1">
      <c r="A5211" s="65" t="inlineStr">
        <is>
          <t>24/05/2024</t>
        </is>
      </c>
      <c r="B5211" s="8" t="n">
        <v>145.984626745</v>
      </c>
      <c r="C5211" s="13" t="n"/>
      <c r="D5211" s="3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2">
      <c r="A5212" s="65" t="inlineStr">
        <is>
          <t>27/05/2024</t>
        </is>
      </c>
      <c r="B5212" s="8" t="n">
        <v>144.344468173</v>
      </c>
      <c r="C5212" s="13" t="n"/>
      <c r="D5212" s="3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3">
      <c r="A5213" s="65" t="inlineStr">
        <is>
          <t>28/05/2024</t>
        </is>
      </c>
      <c r="B5213" s="8" t="n">
        <v>143.566444235</v>
      </c>
      <c r="C5213" s="13" t="n"/>
      <c r="D5213" s="3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4">
      <c r="A5214" s="65" t="inlineStr">
        <is>
          <t>29/05/2024</t>
        </is>
      </c>
      <c r="B5214" s="8" t="n">
        <v>142.557115883</v>
      </c>
      <c r="C5214" s="13" t="n"/>
      <c r="D5214" s="3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5">
      <c r="A5215" s="65" t="inlineStr">
        <is>
          <t>31/05/2024</t>
        </is>
      </c>
      <c r="B5215" s="8" t="n">
        <v>142.788420297</v>
      </c>
      <c r="C5215" s="13" t="n"/>
      <c r="D5215" s="3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6">
      <c r="A5216" s="65" t="inlineStr">
        <is>
          <t>03/06/2024</t>
        </is>
      </c>
      <c r="B5216" s="8" t="n">
        <v>141.1300886944</v>
      </c>
      <c r="C5216" s="13" t="n"/>
      <c r="D5216" s="3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7">
      <c r="A5217" s="65" t="inlineStr">
        <is>
          <t>04/06/2024</t>
        </is>
      </c>
      <c r="B5217" s="8" t="n">
        <v>140.8172079184</v>
      </c>
      <c r="C5217" s="13" t="n"/>
      <c r="D5217" s="3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8">
      <c r="A5218" s="65" t="inlineStr">
        <is>
          <t>05/06/2024</t>
        </is>
      </c>
      <c r="B5218" s="8" t="n">
        <v>140.0767234152</v>
      </c>
      <c r="C5218" s="13" t="n"/>
      <c r="D5218" s="3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9">
      <c r="A5219" s="65" t="inlineStr">
        <is>
          <t>06/06/2024</t>
        </is>
      </c>
      <c r="B5219" s="8" t="n">
        <v>141.4846869072</v>
      </c>
      <c r="C5219" s="13" t="n"/>
      <c r="D5219" s="3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0">
      <c r="A5220" s="65" t="inlineStr">
        <is>
          <t>07/06/2024</t>
        </is>
      </c>
      <c r="B5220" s="8" t="n">
        <v>140.8067785592</v>
      </c>
      <c r="C5220" s="13" t="n"/>
      <c r="D5220" s="3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1">
      <c r="A5221" s="65" t="inlineStr">
        <is>
          <t>10/06/2024</t>
        </is>
      </c>
      <c r="B5221" s="8" t="n">
        <v>140.7337730448</v>
      </c>
      <c r="C5221" s="13" t="n"/>
      <c r="D5221" s="3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2">
      <c r="A5222" s="65" t="inlineStr">
        <is>
          <t>11/06/2024</t>
        </is>
      </c>
      <c r="B5222" s="8" t="n">
        <v>142.412899876</v>
      </c>
      <c r="C5222" s="13" t="n"/>
      <c r="D5222" s="3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3">
      <c r="A5223" s="65" t="inlineStr">
        <is>
          <t>12/06/2024</t>
        </is>
      </c>
      <c r="B5223" s="8" t="n">
        <v>144.5926359488</v>
      </c>
      <c r="C5223" s="13" t="n"/>
      <c r="D5223" s="3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4">
      <c r="A5224" s="65" t="inlineStr">
        <is>
          <t>13/06/2024</t>
        </is>
      </c>
      <c r="B5224" s="8" t="n">
        <v>142.2668888472</v>
      </c>
      <c r="C5224" s="13" t="n"/>
      <c r="D5224" s="3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5">
      <c r="A5225" s="65" t="inlineStr">
        <is>
          <t>14/06/2024</t>
        </is>
      </c>
      <c r="B5225" s="8" t="n">
        <v>142.6006283416</v>
      </c>
      <c r="C5225" s="13" t="n"/>
      <c r="D5225" s="3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6">
      <c r="A5226" s="65" t="inlineStr">
        <is>
          <t>17/06/2024</t>
        </is>
      </c>
      <c r="B5226" s="8" t="n">
        <v>142.1313071776</v>
      </c>
      <c r="C5226" s="13" t="n"/>
      <c r="D5226" s="3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7">
      <c r="A5227" s="65" t="inlineStr">
        <is>
          <t>18/06/2024</t>
        </is>
      </c>
      <c r="B5227" s="8" t="n">
        <v>142.5589109048</v>
      </c>
      <c r="C5227" s="13" t="n"/>
      <c r="D5227" s="3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8">
      <c r="A5228" s="65" t="inlineStr">
        <is>
          <t>19/06/2024</t>
        </is>
      </c>
      <c r="B5228" s="8" t="n">
        <v>141.9644374304</v>
      </c>
      <c r="C5228" s="13" t="n"/>
      <c r="D5228" s="3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9">
      <c r="A5229" s="65" t="inlineStr">
        <is>
          <t>20/06/2024</t>
        </is>
      </c>
      <c r="B5229" s="8" t="n">
        <v>143.4349770776</v>
      </c>
      <c r="C5229" s="13" t="n"/>
      <c r="D5229" s="3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0">
      <c r="A5230" s="65" t="inlineStr">
        <is>
          <t>21/06/2024</t>
        </is>
      </c>
      <c r="B5230" s="8" t="n">
        <v>143.873010164</v>
      </c>
      <c r="C5230" s="13" t="n"/>
      <c r="D5230" s="3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1">
      <c r="A5231" s="65" t="inlineStr">
        <is>
          <t>24/06/2024</t>
        </is>
      </c>
      <c r="B5231" s="8" t="n">
        <v>142.7466393704</v>
      </c>
      <c r="C5231" s="13" t="n"/>
      <c r="D5231" s="3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2">
      <c r="A5232" s="65" t="inlineStr">
        <is>
          <t>25/06/2024</t>
        </is>
      </c>
      <c r="B5232" s="8" t="n">
        <v>140.9319308696</v>
      </c>
      <c r="C5232" s="13" t="n"/>
      <c r="D5232" s="3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3">
      <c r="A5233" s="65" t="inlineStr">
        <is>
          <t>26/06/2024</t>
        </is>
      </c>
      <c r="B5233" s="8" t="n">
        <v>139.1693691648</v>
      </c>
      <c r="C5233" s="13" t="n"/>
      <c r="D5233" s="3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4">
      <c r="A5234" s="65" t="inlineStr">
        <is>
          <t>27/06/2024</t>
        </is>
      </c>
      <c r="B5234" s="8" t="n">
        <v>138.9503526216</v>
      </c>
      <c r="C5234" s="13" t="n"/>
      <c r="D5234" s="3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5">
      <c r="A5235" s="65" t="inlineStr">
        <is>
          <t>28/06/2024</t>
        </is>
      </c>
      <c r="B5235" s="8" t="n">
        <v>138.5644663312</v>
      </c>
      <c r="C5235" s="13" t="n"/>
      <c r="D5235" s="3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6">
      <c r="A5236" s="65" t="inlineStr">
        <is>
          <t>01/07/2024</t>
        </is>
      </c>
      <c r="B5236" s="8" t="n">
        <v>137.1956762865</v>
      </c>
      <c r="C5236" s="13" t="n"/>
      <c r="D5236" s="3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7">
      <c r="A5237" s="65" t="inlineStr">
        <is>
          <t>02/07/2024</t>
        </is>
      </c>
      <c r="B5237" s="8" t="n">
        <v>137.3926326786</v>
      </c>
      <c r="C5237" s="13" t="n"/>
      <c r="D5237" s="3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8">
      <c r="A5238" s="65" t="inlineStr">
        <is>
          <t>03/07/2024</t>
        </is>
      </c>
      <c r="B5238" s="8" t="n">
        <v>138.8438903046</v>
      </c>
      <c r="C5238" s="13" t="n"/>
      <c r="D5238" s="3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9">
      <c r="A5239" s="65" t="inlineStr">
        <is>
          <t>04/07/2024</t>
        </is>
      </c>
      <c r="B5239" s="8" t="n">
        <v>138.8853548082</v>
      </c>
      <c r="C5239" s="13" t="n"/>
      <c r="D5239" s="3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0">
      <c r="A5240" s="65" t="inlineStr">
        <is>
          <t>05/07/2024</t>
        </is>
      </c>
      <c r="B5240" s="8" t="n">
        <v>138.2737533801</v>
      </c>
      <c r="C5240" s="13" t="n"/>
      <c r="D5240" s="3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1">
      <c r="A5241" s="65" t="inlineStr">
        <is>
          <t>08/07/2024</t>
        </is>
      </c>
      <c r="B5241" s="8" t="n">
        <v>137.765813211</v>
      </c>
      <c r="C5241" s="13" t="n"/>
      <c r="D5241" s="3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2">
      <c r="A5242" s="65" t="inlineStr">
        <is>
          <t>09/07/2024</t>
        </is>
      </c>
      <c r="B5242" s="8" t="n">
        <v>137.765813211</v>
      </c>
      <c r="C5242" s="13" t="n"/>
      <c r="D5242" s="3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3">
      <c r="A5243" s="65" t="inlineStr">
        <is>
          <t>10/07/2024</t>
        </is>
      </c>
      <c r="B5243" s="8" t="n">
        <v>137.8072777146</v>
      </c>
      <c r="C5243" s="13" t="n"/>
      <c r="D5243" s="3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4">
      <c r="A5244" s="65" t="inlineStr">
        <is>
          <t>11/07/2024</t>
        </is>
      </c>
      <c r="B5244" s="8" t="n">
        <v>137.8487422182</v>
      </c>
      <c r="C5244" s="13" t="n"/>
      <c r="D5244" s="3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5">
      <c r="A5245" s="65" t="inlineStr">
        <is>
          <t>12/07/2024</t>
        </is>
      </c>
      <c r="B5245" s="8" t="n">
        <v>136.8846925095</v>
      </c>
      <c r="C5245" s="13" t="n"/>
      <c r="D5245" s="3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6">
      <c r="A5246" s="65" t="inlineStr">
        <is>
          <t>15/07/2024</t>
        </is>
      </c>
      <c r="B5246" s="8" t="n">
        <v>137.2993375455</v>
      </c>
      <c r="C5246" s="13" t="n"/>
      <c r="D5246" s="3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7">
      <c r="A5247" s="65" t="inlineStr">
        <is>
          <t>16/07/2024</t>
        </is>
      </c>
      <c r="B5247" s="8" t="n">
        <v>137.0298182721</v>
      </c>
      <c r="C5247" s="13" t="n"/>
      <c r="D5247" s="3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8">
      <c r="A5248" s="65" t="inlineStr">
        <is>
          <t>17/07/2024</t>
        </is>
      </c>
      <c r="B5248" s="8" t="n">
        <v>140.0774592867</v>
      </c>
      <c r="C5248" s="13" t="n"/>
      <c r="D5248" s="3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9">
      <c r="A5249" s="65" t="inlineStr">
        <is>
          <t>18/07/2024</t>
        </is>
      </c>
      <c r="B5249" s="8" t="n">
        <v>139.1859724593</v>
      </c>
      <c r="C5249" s="13" t="n"/>
      <c r="D5249" s="3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0">
      <c r="A5250" s="65" t="inlineStr">
        <is>
          <t>19/07/2024</t>
        </is>
      </c>
      <c r="B5250" s="8" t="n">
        <v>138.2426550024</v>
      </c>
      <c r="C5250" s="13" t="n"/>
      <c r="D5250" s="3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1">
      <c r="A5251" s="65" t="inlineStr">
        <is>
          <t>22/07/2024</t>
        </is>
      </c>
      <c r="B5251" s="8" t="n">
        <v>137.3304359232</v>
      </c>
      <c r="C5251" s="13" t="n"/>
      <c r="D5251" s="3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2">
      <c r="A5252" s="65" t="inlineStr">
        <is>
          <t>23/07/2024</t>
        </is>
      </c>
      <c r="B5252" s="8" t="n">
        <v>137.9109389736</v>
      </c>
      <c r="C5252" s="13" t="n"/>
      <c r="D5252" s="3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3">
      <c r="A5253" s="65" t="inlineStr">
        <is>
          <t>24/07/2024</t>
        </is>
      </c>
      <c r="B5253" s="8" t="n">
        <v>139.2585353406</v>
      </c>
      <c r="C5253" s="13" t="n"/>
      <c r="D5253" s="3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4">
      <c r="A5254" s="65" t="inlineStr">
        <is>
          <t>25/07/2024</t>
        </is>
      </c>
      <c r="B5254" s="8" t="n">
        <v>137.1542117829</v>
      </c>
      <c r="C5254" s="13" t="n"/>
      <c r="D5254" s="3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5">
      <c r="A5255" s="65" t="inlineStr">
        <is>
          <t>26/07/2024</t>
        </is>
      </c>
      <c r="B5255" s="8" t="n">
        <v>137.86947447</v>
      </c>
      <c r="C5255" s="13" t="n"/>
      <c r="D5255" s="3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6">
      <c r="A5256" s="65" t="inlineStr">
        <is>
          <t>29/07/2024</t>
        </is>
      </c>
      <c r="B5256" s="8" t="n">
        <v>138.0664308621</v>
      </c>
      <c r="C5256" s="13" t="n"/>
      <c r="D5256" s="3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7">
      <c r="A5257" s="65" t="inlineStr">
        <is>
          <t>30/07/2024</t>
        </is>
      </c>
      <c r="B5257" s="8" t="n">
        <v>137.2267746642</v>
      </c>
      <c r="C5257" s="13" t="n"/>
      <c r="D5257" s="3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8">
      <c r="A5258" s="65" t="inlineStr">
        <is>
          <t>31/07/2024</t>
        </is>
      </c>
      <c r="B5258" s="8" t="n">
        <v>138.6883984161</v>
      </c>
      <c r="C5258" s="13" t="n"/>
      <c r="D5258" s="3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9">
      <c r="A5259" s="65" t="inlineStr">
        <is>
          <t>01/08/2024</t>
        </is>
      </c>
      <c r="B5259" s="8" t="n">
        <v>136.933328448</v>
      </c>
      <c r="C5259" s="13" t="n"/>
      <c r="D5259" s="3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0">
      <c r="A5260" s="65" t="inlineStr">
        <is>
          <t>02/08/2024</t>
        </is>
      </c>
      <c r="B5260" s="8" t="n">
        <v>136.509546257</v>
      </c>
      <c r="C5260" s="13" t="n"/>
      <c r="D5260" s="3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1">
      <c r="A5261" s="65" t="inlineStr">
        <is>
          <t>05/08/2024</t>
        </is>
      </c>
      <c r="B5261" s="8" t="n">
        <v>137.140051468</v>
      </c>
      <c r="C5261" s="13" t="n"/>
      <c r="D5261" s="3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2">
      <c r="A5262" s="65" t="inlineStr">
        <is>
          <t>06/08/2024</t>
        </is>
      </c>
      <c r="B5262" s="8" t="n">
        <v>135.858368744</v>
      </c>
      <c r="C5262" s="13" t="n"/>
      <c r="D5262" s="3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3">
      <c r="A5263" s="65" t="inlineStr">
        <is>
          <t>07/08/2024</t>
        </is>
      </c>
      <c r="B5263" s="8" t="n">
        <v>135.765343385</v>
      </c>
      <c r="C5263" s="13" t="n"/>
      <c r="D5263" s="3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4">
      <c r="A5264" s="65" t="inlineStr">
        <is>
          <t>08/08/2024</t>
        </is>
      </c>
      <c r="B5264" s="8" t="n">
        <v>136.974673052</v>
      </c>
      <c r="C5264" s="13" t="n"/>
      <c r="D5264" s="3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5">
      <c r="A5265" s="65" t="inlineStr">
        <is>
          <t>09/08/2024</t>
        </is>
      </c>
      <c r="B5265" s="8" t="n">
        <v>135.155510476</v>
      </c>
      <c r="C5265" s="13" t="n"/>
      <c r="D5265" s="3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6">
      <c r="A5266" s="65" t="inlineStr">
        <is>
          <t>12/08/2024</t>
        </is>
      </c>
      <c r="B5266" s="8" t="n">
        <v>134.597358322</v>
      </c>
      <c r="C5266" s="13" t="n"/>
      <c r="D5266" s="3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7">
      <c r="A5267" s="65" t="inlineStr">
        <is>
          <t>13/08/2024</t>
        </is>
      </c>
      <c r="B5267" s="8" t="n">
        <v>134.545677567</v>
      </c>
      <c r="C5267" s="13" t="n"/>
      <c r="D5267" s="3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8">
      <c r="A5268" s="65" t="inlineStr">
        <is>
          <t>14/08/2024</t>
        </is>
      </c>
      <c r="B5268" s="8" t="n">
        <v>134.142567678</v>
      </c>
      <c r="C5268" s="13" t="n"/>
      <c r="D5268" s="3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9">
      <c r="A5269" s="65" t="inlineStr">
        <is>
          <t>15/08/2024</t>
        </is>
      </c>
      <c r="B5269" s="8" t="n">
        <v>133.677440883</v>
      </c>
      <c r="C5269" s="13" t="n"/>
      <c r="D5269" s="3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0">
      <c r="A5270" s="65" t="inlineStr">
        <is>
          <t>16/08/2024</t>
        </is>
      </c>
      <c r="B5270" s="8" t="n">
        <v>135.599964969</v>
      </c>
      <c r="C5270" s="13" t="n"/>
      <c r="D5270" s="3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1">
      <c r="A5271" s="65" t="inlineStr">
        <is>
          <t>19/08/2024</t>
        </is>
      </c>
      <c r="B5271" s="8" t="n">
        <v>133.057271823</v>
      </c>
      <c r="C5271" s="13" t="n"/>
      <c r="D5271" s="3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2">
      <c r="A5272" s="65" t="inlineStr">
        <is>
          <t>20/08/2024</t>
        </is>
      </c>
      <c r="B5272" s="8" t="n">
        <v>134.287273792</v>
      </c>
      <c r="C5272" s="13" t="n"/>
      <c r="D5272" s="3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3">
      <c r="A5273" s="65" t="inlineStr">
        <is>
          <t>21/08/2024</t>
        </is>
      </c>
      <c r="B5273" s="8" t="n">
        <v>133.811810846</v>
      </c>
      <c r="C5273" s="13" t="n"/>
      <c r="D5273" s="3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4">
      <c r="A5274" s="65" t="inlineStr">
        <is>
          <t>22/08/2024</t>
        </is>
      </c>
      <c r="B5274" s="8" t="n">
        <v>132.71617884</v>
      </c>
      <c r="C5274" s="13" t="n"/>
      <c r="D5274" s="3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5">
      <c r="A5275" s="65" t="inlineStr">
        <is>
          <t>23/08/2024</t>
        </is>
      </c>
      <c r="B5275" s="8" t="n">
        <v>134.070214621</v>
      </c>
      <c r="C5275" s="13" t="n"/>
      <c r="D5275" s="3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6">
      <c r="A5276" s="65" t="inlineStr">
        <is>
          <t>26/08/2024</t>
        </is>
      </c>
      <c r="B5276" s="8" t="n">
        <v>136.147780972</v>
      </c>
      <c r="C5276" s="13" t="n"/>
      <c r="D5276" s="3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7">
      <c r="A5277" s="65" t="inlineStr">
        <is>
          <t>27/08/2024</t>
        </is>
      </c>
      <c r="B5277" s="8" t="n">
        <v>135.052148966</v>
      </c>
      <c r="C5277" s="13" t="n"/>
      <c r="D5277" s="3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8">
      <c r="A5278" s="65" t="inlineStr">
        <is>
          <t>28/08/2024</t>
        </is>
      </c>
      <c r="B5278" s="8" t="n">
        <v>135.124502023</v>
      </c>
      <c r="C5278" s="13" t="n"/>
      <c r="D5278" s="3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9">
      <c r="A5279" s="65" t="inlineStr">
        <is>
          <t>29/08/2024</t>
        </is>
      </c>
      <c r="B5279" s="8" t="n">
        <v>133.780802393</v>
      </c>
      <c r="C5279" s="13" t="n"/>
      <c r="D5279" s="3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0">
      <c r="A5280" s="65" t="inlineStr">
        <is>
          <t>30/08/2024</t>
        </is>
      </c>
      <c r="B5280" s="8" t="n">
        <v>137.925598944</v>
      </c>
      <c r="C5280" s="13" t="n"/>
      <c r="D5280" s="3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1">
      <c r="A5281" s="65" t="inlineStr">
        <is>
          <t>02/09/2024</t>
        </is>
      </c>
      <c r="B5281" s="8" t="n">
        <v>139.4075790878</v>
      </c>
      <c r="C5281" s="13" t="n"/>
      <c r="D5281" s="3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2">
      <c r="A5282" s="65" t="inlineStr">
        <is>
          <t>03/09/2024</t>
        </is>
      </c>
      <c r="B5282" s="8" t="n">
        <v>139.6746630946</v>
      </c>
      <c r="C5282" s="13" t="n"/>
      <c r="D5282" s="3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3">
      <c r="A5283" s="65" t="inlineStr">
        <is>
          <t>04/09/2024</t>
        </is>
      </c>
      <c r="B5283" s="8" t="n">
        <v>140.6710918892</v>
      </c>
      <c r="C5283" s="13" t="n"/>
      <c r="D5283" s="3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4">
      <c r="A5284" s="65" t="inlineStr">
        <is>
          <t>05/09/2024</t>
        </is>
      </c>
      <c r="B5284" s="8" t="n">
        <v>140.3937354206</v>
      </c>
      <c r="C5284" s="13" t="n"/>
      <c r="D5284" s="3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5">
      <c r="A5285" s="65" t="inlineStr">
        <is>
          <t>06/09/2024</t>
        </is>
      </c>
      <c r="B5285" s="8" t="n">
        <v>140.7943614308</v>
      </c>
      <c r="C5285" s="13" t="n"/>
      <c r="D5285" s="3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6">
      <c r="A5286" s="65" t="inlineStr">
        <is>
          <t>09/09/2024</t>
        </is>
      </c>
      <c r="B5286" s="8" t="n">
        <v>142.6742219402</v>
      </c>
      <c r="C5286" s="13" t="n"/>
      <c r="D5286" s="3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7">
      <c r="A5287" s="65" t="inlineStr">
        <is>
          <t>10/09/2024</t>
        </is>
      </c>
      <c r="B5287" s="8" t="n">
        <v>142.684494402</v>
      </c>
      <c r="C5287" s="13" t="n"/>
      <c r="D5287" s="3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8">
      <c r="A5288" s="65" t="inlineStr">
        <is>
          <t>11/09/2024</t>
        </is>
      </c>
      <c r="B5288" s="8" t="n">
        <v>143.7939202764</v>
      </c>
      <c r="C5288" s="13" t="n"/>
      <c r="D5288" s="3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9">
      <c r="A5289" s="65" t="inlineStr">
        <is>
          <t>12/09/2024</t>
        </is>
      </c>
      <c r="B5289" s="8" t="n">
        <v>144.071276745</v>
      </c>
      <c r="C5289" s="13" t="n"/>
      <c r="D5289" s="3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0">
      <c r="A5290" s="65" t="inlineStr">
        <is>
          <t>13/09/2024</t>
        </is>
      </c>
      <c r="B5290" s="8" t="n">
        <v>144.2869984428</v>
      </c>
      <c r="C5290" s="13" t="n"/>
      <c r="D5290" s="3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1">
      <c r="A5291" s="65" t="inlineStr">
        <is>
          <t>16/09/2024</t>
        </is>
      </c>
      <c r="B5291" s="8" t="n">
        <v>146.279856032</v>
      </c>
      <c r="C5291" s="13" t="n"/>
      <c r="D5291" s="3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2">
      <c r="A5292" s="65" t="inlineStr">
        <is>
          <t>17/09/2024</t>
        </is>
      </c>
      <c r="B5292" s="8" t="n">
        <v>145.5402387824</v>
      </c>
      <c r="C5292" s="13" t="n"/>
      <c r="D5292" s="3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3">
      <c r="A5293" s="65" t="inlineStr">
        <is>
          <t>18/09/2024</t>
        </is>
      </c>
      <c r="B5293" s="8" t="n">
        <v>145.6943257094</v>
      </c>
      <c r="C5293" s="13" t="n"/>
      <c r="D5293" s="3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4">
      <c r="A5294" s="65" t="inlineStr">
        <is>
          <t>19/09/2024</t>
        </is>
      </c>
      <c r="B5294" s="8" t="n">
        <v>145.2936996992</v>
      </c>
      <c r="C5294" s="13" t="n"/>
      <c r="D5294" s="3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5">
      <c r="A5295" s="65" t="inlineStr">
        <is>
          <t>20/09/2024</t>
        </is>
      </c>
      <c r="B5295" s="8" t="n">
        <v>147.4509166772</v>
      </c>
      <c r="C5295" s="13" t="n"/>
      <c r="D5295" s="3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6">
      <c r="A5296" s="65" t="inlineStr">
        <is>
          <t>23/09/2024</t>
        </is>
      </c>
      <c r="B5296" s="8" t="n">
        <v>148.231623774</v>
      </c>
      <c r="C5296" s="13" t="n"/>
      <c r="D5296" s="3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7">
      <c r="A5297" s="65" t="inlineStr">
        <is>
          <t>24/09/2024</t>
        </is>
      </c>
      <c r="B5297" s="8" t="n">
        <v>147.4714616008</v>
      </c>
      <c r="C5297" s="13" t="n"/>
      <c r="D5297" s="3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8">
      <c r="A5298" s="65" t="inlineStr">
        <is>
          <t>25/09/2024</t>
        </is>
      </c>
      <c r="B5298" s="8" t="n">
        <v>148.3959831628</v>
      </c>
      <c r="C5298" s="13" t="n"/>
      <c r="D5298" s="3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9">
      <c r="A5299" s="65" t="inlineStr">
        <is>
          <t>26/09/2024</t>
        </is>
      </c>
      <c r="B5299" s="8" t="n">
        <v>150.5634726026</v>
      </c>
      <c r="C5299" s="13" t="n"/>
      <c r="D5299" s="3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0">
      <c r="A5300" s="65" t="inlineStr">
        <is>
          <t>27/09/2024</t>
        </is>
      </c>
      <c r="B5300" s="8" t="n">
        <v>150.7894667622</v>
      </c>
      <c r="C5300" s="13" t="n"/>
      <c r="D5300" s="3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1">
      <c r="A5301" s="65" t="inlineStr">
        <is>
          <t>30/09/2024</t>
        </is>
      </c>
      <c r="B5301" s="8" t="n">
        <v>150.3066610576</v>
      </c>
      <c r="C5301" s="13" t="n"/>
      <c r="D5301" s="3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2">
      <c r="A5302" s="65" t="inlineStr">
        <is>
          <t>01/10/2024</t>
        </is>
      </c>
      <c r="B5302" s="8" t="n">
        <v>147.0544596206</v>
      </c>
      <c r="C5302" s="13" t="n"/>
      <c r="D5302" s="3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3">
      <c r="A5303" s="65" t="inlineStr">
        <is>
          <t>02/10/2024</t>
        </is>
      </c>
      <c r="B5303" s="8" t="n">
        <v>146.821730482</v>
      </c>
      <c r="C5303" s="13" t="n"/>
      <c r="D5303" s="3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4">
      <c r="A5304" s="65" t="inlineStr">
        <is>
          <t>03/10/2024</t>
        </is>
      </c>
      <c r="B5304" s="8" t="n">
        <v>147.5199178978</v>
      </c>
      <c r="C5304" s="13" t="n"/>
      <c r="D5304" s="3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5">
      <c r="A5305" s="65" t="inlineStr">
        <is>
          <t>04/10/2024</t>
        </is>
      </c>
      <c r="B5305" s="8" t="n">
        <v>148.7139195654</v>
      </c>
      <c r="C5305" s="13" t="n"/>
      <c r="D5305" s="3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6">
      <c r="A5306" s="65" t="inlineStr">
        <is>
          <t>07/10/2024</t>
        </is>
      </c>
      <c r="B5306" s="8" t="n">
        <v>148.6026143252</v>
      </c>
      <c r="C5306" s="13" t="n"/>
      <c r="D5306" s="3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7">
      <c r="A5307" s="65" t="inlineStr">
        <is>
          <t>08/10/2024</t>
        </is>
      </c>
      <c r="B5307" s="8" t="n">
        <v>148.5621396924</v>
      </c>
      <c r="C5307" s="13" t="n"/>
      <c r="D5307" s="3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8">
      <c r="A5308" s="65" t="inlineStr">
        <is>
          <t>09/10/2024</t>
        </is>
      </c>
      <c r="B5308" s="8" t="n">
        <v>147.934782884</v>
      </c>
      <c r="C5308" s="13" t="n"/>
      <c r="D5308" s="3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9">
      <c r="A5309" s="65" t="inlineStr">
        <is>
          <t>10/10/2024</t>
        </is>
      </c>
      <c r="B5309" s="8" t="n">
        <v>150.2013623208</v>
      </c>
      <c r="C5309" s="13" t="n"/>
      <c r="D5309" s="3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0">
      <c r="A5310" s="65" t="inlineStr">
        <is>
          <t>11/10/2024</t>
        </is>
      </c>
      <c r="B5310" s="8" t="n">
        <v>151.779873</v>
      </c>
      <c r="C5310" s="13" t="n"/>
      <c r="D5310" s="3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1">
      <c r="A5311" s="65" t="inlineStr">
        <is>
          <t>14/10/2024</t>
        </is>
      </c>
      <c r="B5311" s="8" t="n">
        <v>152.134026037</v>
      </c>
      <c r="C5311" s="13" t="n"/>
      <c r="D5311" s="3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2">
      <c r="A5312" s="65" t="inlineStr">
        <is>
          <t>15/10/2024</t>
        </is>
      </c>
      <c r="B5312" s="8" t="n">
        <v>153.4393329448</v>
      </c>
      <c r="C5312" s="13" t="n"/>
      <c r="D5312" s="3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3">
      <c r="A5313" s="65" t="inlineStr">
        <is>
          <t>16/10/2024</t>
        </is>
      </c>
      <c r="B5313" s="8" t="n">
        <v>153.80360464</v>
      </c>
      <c r="C5313" s="13" t="n"/>
      <c r="D5313" s="3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4">
      <c r="A5314" s="65" t="inlineStr">
        <is>
          <t>17/10/2024</t>
        </is>
      </c>
      <c r="B5314" s="8" t="n">
        <v>155.8475735964</v>
      </c>
      <c r="C5314" s="13" t="n"/>
      <c r="D5314" s="3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5">
      <c r="A5315" s="65" t="inlineStr">
        <is>
          <t>18/10/2024</t>
        </is>
      </c>
      <c r="B5315" s="8" t="n">
        <v>157.243948428</v>
      </c>
      <c r="C5315" s="13" t="n"/>
      <c r="D5315" s="3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6">
      <c r="A5316" s="65" t="inlineStr">
        <is>
          <t>21/10/2024</t>
        </is>
      </c>
      <c r="B5316" s="8" t="n">
        <v>157.3248976936</v>
      </c>
      <c r="C5316" s="13" t="n"/>
      <c r="D5316" s="3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7">
      <c r="A5317" s="65" t="inlineStr">
        <is>
          <t>22/10/2024</t>
        </is>
      </c>
      <c r="B5317" s="8" t="n">
        <v>158.154627666</v>
      </c>
      <c r="C5317" s="13" t="n"/>
      <c r="D5317" s="3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8">
      <c r="A5318" s="65" t="inlineStr">
        <is>
          <t>23/10/2024</t>
        </is>
      </c>
      <c r="B5318" s="8" t="n">
        <v>159.773612978</v>
      </c>
      <c r="C5318" s="13" t="n"/>
      <c r="D5318" s="3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9">
      <c r="A5319" s="65" t="inlineStr">
        <is>
          <t>24/10/2024</t>
        </is>
      </c>
      <c r="B5319" s="8" t="n">
        <v>160.1378846732</v>
      </c>
      <c r="C5319" s="13" t="n"/>
      <c r="D5319" s="3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0">
      <c r="A5320" s="65" t="inlineStr">
        <is>
          <t>25/10/2024</t>
        </is>
      </c>
      <c r="B5320" s="8" t="n">
        <v>160.1378846732</v>
      </c>
      <c r="C5320" s="13" t="n"/>
      <c r="D5320" s="3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1">
      <c r="A5321" s="65" t="inlineStr">
        <is>
          <t>28/10/2024</t>
        </is>
      </c>
      <c r="B5321" s="8" t="n">
        <v>159.4498159156</v>
      </c>
      <c r="C5321" s="13" t="n"/>
      <c r="D5321" s="3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2">
      <c r="A5322" s="65" t="inlineStr">
        <is>
          <t>29/10/2024</t>
        </is>
      </c>
      <c r="B5322" s="8" t="n">
        <v>161.9288871746</v>
      </c>
      <c r="C5322" s="13" t="n"/>
      <c r="D5322" s="3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3">
      <c r="A5323" s="65" t="inlineStr">
        <is>
          <t>30/10/2024</t>
        </is>
      </c>
      <c r="B5323" s="8" t="n">
        <v>164.2055852696</v>
      </c>
      <c r="C5323" s="13" t="n"/>
      <c r="D5323" s="3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4">
      <c r="A5324" s="65" t="inlineStr">
        <is>
          <t>31/10/2024</t>
        </is>
      </c>
      <c r="B5324" s="8" t="n">
        <v>165.7335026578</v>
      </c>
      <c r="C5324" s="13" t="n"/>
      <c r="D5324" s="3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5">
      <c r="A5325" s="65" t="inlineStr">
        <is>
          <t>01/11/2024</t>
        </is>
      </c>
      <c r="B5325" s="8" t="n">
        <v>164.4756417242</v>
      </c>
      <c r="C5325" s="13" t="n"/>
      <c r="D5325" s="3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6">
      <c r="A5326" s="65" t="inlineStr">
        <is>
          <t>04/11/2024</t>
        </is>
      </c>
      <c r="B5326" s="8" t="n">
        <v>165.5943877386</v>
      </c>
      <c r="C5326" s="13" t="n"/>
      <c r="D5326" s="3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7">
      <c r="A5327" s="65" t="inlineStr">
        <is>
          <t>05/11/2024</t>
        </is>
      </c>
      <c r="B5327" s="8" t="n">
        <v>165.6842869719</v>
      </c>
      <c r="C5327" s="13" t="n"/>
      <c r="D5327" s="3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8">
      <c r="A5328" s="65" t="inlineStr">
        <is>
          <t>06/11/2024</t>
        </is>
      </c>
      <c r="B5328" s="8" t="n">
        <v>165.6443317571</v>
      </c>
      <c r="C5328" s="13" t="n"/>
      <c r="D5328" s="3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9">
      <c r="A5329" s="65" t="inlineStr">
        <is>
          <t>07/11/2024</t>
        </is>
      </c>
      <c r="B5329" s="8" t="n">
        <v>165.9040406533</v>
      </c>
      <c r="C5329" s="13" t="n"/>
      <c r="D5329" s="3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0">
      <c r="A5330" s="65" t="inlineStr">
        <is>
          <t>08/11/2024</t>
        </is>
      </c>
      <c r="B5330" s="8" t="n">
        <v>166.2736263902</v>
      </c>
      <c r="C5330" s="13" t="n"/>
      <c r="D5330" s="3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1">
      <c r="A5331" s="65" t="inlineStr">
        <is>
          <t>11/11/2024</t>
        </is>
      </c>
      <c r="B5331" s="8" t="n">
        <v>166.5732905012</v>
      </c>
      <c r="C5331" s="13" t="n"/>
      <c r="D5331" s="3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2">
      <c r="A5332" s="65" t="inlineStr">
        <is>
          <t>12/11/2024</t>
        </is>
      </c>
      <c r="B5332" s="8" t="n">
        <v>167.3424283861</v>
      </c>
      <c r="C5332" s="13" t="n"/>
      <c r="D5332" s="3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3">
      <c r="A5333" s="65" t="inlineStr">
        <is>
          <t>13/11/2024</t>
        </is>
      </c>
      <c r="B5333" s="8" t="n">
        <v>167.0028090603</v>
      </c>
      <c r="C5333" s="13" t="n"/>
      <c r="D5333" s="3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4">
      <c r="A5334" s="65" t="inlineStr">
        <is>
          <t>14/11/2024</t>
        </is>
      </c>
      <c r="B5334" s="8" t="n">
        <v>167.5322156564</v>
      </c>
      <c r="C5334" s="13" t="n"/>
      <c r="D5334" s="3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5">
      <c r="A5335" s="65" t="inlineStr">
        <is>
          <t>18/11/2024</t>
        </is>
      </c>
      <c r="B5335" s="8" t="n">
        <v>167.9717230192</v>
      </c>
      <c r="C5335" s="13" t="n"/>
      <c r="D5335" s="3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6">
      <c r="A5336" s="65" t="inlineStr">
        <is>
          <t>19/11/2024</t>
        </is>
      </c>
      <c r="B5336" s="8" t="n">
        <v>167.6420924971</v>
      </c>
      <c r="C5336" s="13" t="n"/>
      <c r="D5336" s="3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7">
      <c r="A5337" s="65" t="inlineStr">
        <is>
          <t>21/11/2024</t>
        </is>
      </c>
      <c r="B5337" s="8" t="n">
        <v>167.7819357489</v>
      </c>
      <c r="C5337" s="13" t="n"/>
      <c r="D5337" s="3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8">
      <c r="A5338" s="65" t="inlineStr">
        <is>
          <t>22/11/2024</t>
        </is>
      </c>
      <c r="B5338" s="8" t="n">
        <v>166.9828314529</v>
      </c>
      <c r="C5338" s="13" t="n"/>
      <c r="D5338" s="3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9">
      <c r="A5339" s="65" t="inlineStr">
        <is>
          <t>25/11/2024</t>
        </is>
      </c>
      <c r="B5339" s="8" t="n">
        <v>166.213693568</v>
      </c>
      <c r="C5339" s="13" t="n"/>
      <c r="D5339" s="3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0">
      <c r="A5340" s="65" t="inlineStr">
        <is>
          <t>26/11/2024</t>
        </is>
      </c>
      <c r="B5340" s="8" t="n">
        <v>166.3835032309</v>
      </c>
      <c r="C5340" s="13" t="n"/>
      <c r="D5340" s="3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1">
      <c r="A5341" s="65" t="inlineStr">
        <is>
          <t>27/11/2024</t>
        </is>
      </c>
      <c r="B5341" s="8" t="n">
        <v>165.3446676461</v>
      </c>
      <c r="C5341" s="13" t="n"/>
      <c r="D5341" s="3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2">
      <c r="A5342" s="65" t="inlineStr">
        <is>
          <t>28/11/2024</t>
        </is>
      </c>
      <c r="B5342" s="8" t="n">
        <v>164.4057200983</v>
      </c>
      <c r="C5342" s="13" t="n"/>
      <c r="D5342" s="3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3">
      <c r="A5343" s="65" t="inlineStr">
        <is>
          <t>29/11/2024</t>
        </is>
      </c>
      <c r="B5343" s="8" t="n">
        <v>164.3657648835</v>
      </c>
      <c r="C5343" s="13" t="n"/>
      <c r="D5343" s="3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4">
      <c r="A5344" s="65" t="inlineStr">
        <is>
          <t>02/12/2024</t>
        </is>
      </c>
      <c r="B5344" s="8" t="n">
        <v>161.895014788</v>
      </c>
      <c r="C5344" s="13" t="n"/>
      <c r="D5344" s="3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5">
      <c r="A5345" s="65" t="inlineStr">
        <is>
          <t>03/12/2024</t>
        </is>
      </c>
      <c r="B5345" s="8" t="n">
        <v>160.6283545256</v>
      </c>
      <c r="C5345" s="13" t="n"/>
      <c r="D5345" s="3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6">
      <c r="A5346" s="65" t="inlineStr">
        <is>
          <t>04/12/2024</t>
        </is>
      </c>
      <c r="B5346" s="8" t="n">
        <v>162.8054268516</v>
      </c>
      <c r="C5346" s="13" t="n"/>
      <c r="D5346" s="3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7">
      <c r="A5347" s="65" t="inlineStr">
        <is>
          <t>05/12/2024</t>
        </is>
      </c>
      <c r="B5347" s="8" t="n">
        <v>162.4788660027</v>
      </c>
      <c r="C5347" s="13" t="n"/>
      <c r="D5347" s="3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8">
      <c r="A5348" s="65" t="inlineStr">
        <is>
          <t>06/12/2024</t>
        </is>
      </c>
      <c r="B5348" s="8" t="n">
        <v>161.7069949053</v>
      </c>
      <c r="C5348" s="13" t="n"/>
      <c r="D5348" s="3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9">
      <c r="A5349" s="65" t="inlineStr">
        <is>
          <t>09/12/2024</t>
        </is>
      </c>
      <c r="B5349" s="8" t="n">
        <v>161.400225623</v>
      </c>
      <c r="C5349" s="13" t="n"/>
      <c r="D5349" s="3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0">
      <c r="A5350" s="65" t="inlineStr">
        <is>
          <t>10/12/2024</t>
        </is>
      </c>
      <c r="B5350" s="8" t="n">
        <v>159.3419026966</v>
      </c>
      <c r="C5350" s="13" t="n"/>
      <c r="D5350" s="3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1">
      <c r="A5351" s="65" t="inlineStr">
        <is>
          <t>11/12/2024</t>
        </is>
      </c>
      <c r="B5351" s="8" t="n">
        <v>158.1247213507</v>
      </c>
      <c r="C5351" s="13" t="n"/>
      <c r="D5351" s="3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2">
      <c r="A5352" s="65" t="inlineStr">
        <is>
          <t>12/12/2024</t>
        </is>
      </c>
      <c r="B5352" s="8" t="n">
        <v>159.6486719789</v>
      </c>
      <c r="C5352" s="13" t="n"/>
      <c r="D5352" s="3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3">
      <c r="A5353" s="65" t="inlineStr">
        <is>
          <t>13/12/2024</t>
        </is>
      </c>
      <c r="B5353" s="8" t="n">
        <v>159.6090888457</v>
      </c>
      <c r="C5353" s="13" t="n"/>
      <c r="D5353" s="3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4">
      <c r="A5354" s="65" t="inlineStr">
        <is>
          <t>16/12/2024</t>
        </is>
      </c>
      <c r="B5354" s="8" t="n">
        <v>159.0945081141</v>
      </c>
      <c r="C5354" s="13" t="n"/>
      <c r="D5354" s="3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5">
      <c r="A5355" s="65" t="inlineStr">
        <is>
          <t>17/12/2024</t>
        </is>
      </c>
      <c r="B5355" s="8" t="n">
        <v>158.7580514819</v>
      </c>
      <c r="C5355" s="13" t="n"/>
      <c r="D5355" s="3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6">
      <c r="A5356" s="65" t="inlineStr">
        <is>
          <t>18/12/2024</t>
        </is>
      </c>
      <c r="B5356" s="8" t="n">
        <v>159.4705478795</v>
      </c>
      <c r="C5356" s="13" t="n"/>
      <c r="D5356" s="3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7">
      <c r="A5357" s="65" t="inlineStr">
        <is>
          <t>19/12/2024</t>
        </is>
      </c>
      <c r="B5357" s="8" t="n">
        <v>159.3122153467</v>
      </c>
      <c r="C5357" s="13" t="n"/>
      <c r="D5357" s="3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8">
      <c r="A5358" s="65" t="inlineStr">
        <is>
          <t>20/12/2024</t>
        </is>
      </c>
      <c r="B5358" s="8" t="n">
        <v>159.3122153467</v>
      </c>
      <c r="C5358" s="13" t="n"/>
      <c r="D5358" s="3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9">
      <c r="A5359" s="65" t="inlineStr">
        <is>
          <t>23/12/2024</t>
        </is>
      </c>
      <c r="B5359" s="8" t="n">
        <v>158.9163840147</v>
      </c>
      <c r="C5359" s="13" t="n"/>
      <c r="D5359" s="3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0">
      <c r="A5360" s="65" t="inlineStr">
        <is>
          <t>26/12/2024</t>
        </is>
      </c>
      <c r="B5360" s="8" t="n">
        <v>157.9070141181</v>
      </c>
      <c r="C5360" s="13" t="n"/>
      <c r="D5360" s="3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1">
      <c r="A5361" s="65" t="inlineStr">
        <is>
          <t>27/12/2024</t>
        </is>
      </c>
      <c r="B5361" s="8" t="n">
        <v>159.0945081141</v>
      </c>
      <c r="C5361" s="13" t="n"/>
      <c r="D5361" s="3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2">
      <c r="A5362" s="65" t="inlineStr">
        <is>
          <t>30/12/2024</t>
        </is>
      </c>
      <c r="B5362" s="8" t="n">
        <v>159.5892972791</v>
      </c>
      <c r="C5362" s="13" t="n"/>
      <c r="D5362" s="3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3">
      <c r="A5363" s="65" t="inlineStr">
        <is>
          <t>02/01/2025</t>
        </is>
      </c>
      <c r="B5363" s="8" t="n">
        <v>157.8667106532</v>
      </c>
      <c r="C5363" s="13" t="n"/>
      <c r="D5363" s="3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4">
      <c r="A5364" s="65" t="inlineStr">
        <is>
          <t>03/01/2025</t>
        </is>
      </c>
      <c r="B5364" s="8" t="n">
        <v>157.9752711569</v>
      </c>
      <c r="C5364" s="13" t="n"/>
      <c r="D5364" s="3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5">
      <c r="A5365" s="65" t="inlineStr">
        <is>
          <t>06/01/2025</t>
        </is>
      </c>
      <c r="B5365" s="8" t="n">
        <v>158.8634934599</v>
      </c>
      <c r="C5365" s="13" t="n"/>
      <c r="D5365" s="3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6">
      <c r="A5366" s="65" t="inlineStr">
        <is>
          <t>07/01/2025</t>
        </is>
      </c>
      <c r="B5366" s="8" t="n">
        <v>156.9094043933</v>
      </c>
      <c r="C5366" s="13" t="n"/>
      <c r="D5366" s="3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7">
      <c r="A5367" s="65" t="inlineStr">
        <is>
          <t>08/01/2025</t>
        </is>
      </c>
      <c r="B5367" s="8" t="n">
        <v>156.4554241051</v>
      </c>
      <c r="C5367" s="13" t="n"/>
      <c r="D5367" s="3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8">
      <c r="A5368" s="65" t="inlineStr">
        <is>
          <t>09/01/2025</t>
        </is>
      </c>
      <c r="B5368" s="8" t="n">
        <v>156.1100043206</v>
      </c>
      <c r="C5368" s="13" t="n"/>
      <c r="D5368" s="3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9">
      <c r="A5369" s="65" t="inlineStr">
        <is>
          <t>10/01/2025</t>
        </is>
      </c>
      <c r="B5369" s="8" t="n">
        <v>157.6890661926</v>
      </c>
      <c r="C5369" s="13" t="n"/>
      <c r="D5369" s="3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0">
      <c r="A5370" s="65" t="inlineStr">
        <is>
          <t>13/01/2025</t>
        </is>
      </c>
      <c r="B5370" s="8" t="n">
        <v>156.2876487812</v>
      </c>
      <c r="C5370" s="13" t="n"/>
      <c r="D5370" s="3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1">
      <c r="A5371" s="65" t="inlineStr">
        <is>
          <t>14/01/2025</t>
        </is>
      </c>
      <c r="B5371" s="8" t="n">
        <v>154.8961005065</v>
      </c>
      <c r="C5371" s="13" t="n"/>
      <c r="D5371" s="3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2">
      <c r="A5372" s="65" t="inlineStr">
        <is>
          <t>15/01/2025</t>
        </is>
      </c>
      <c r="B5372" s="8" t="n">
        <v>151.3629495679</v>
      </c>
      <c r="C5372" s="13" t="n"/>
      <c r="D5372" s="3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3">
      <c r="A5373" s="65" t="inlineStr">
        <is>
          <t>16/01/2025</t>
        </is>
      </c>
      <c r="B5373" s="8" t="n">
        <v>151.4024261147</v>
      </c>
      <c r="C5373" s="13" t="n"/>
      <c r="D5373" s="3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4">
      <c r="A5374" s="65" t="inlineStr">
        <is>
          <t>17/01/2025</t>
        </is>
      </c>
      <c r="B5374" s="8" t="n">
        <v>150.800408776</v>
      </c>
      <c r="C5374" s="13" t="n"/>
      <c r="D5374" s="3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5">
      <c r="A5375" s="65" t="inlineStr">
        <is>
          <t>20/01/2025</t>
        </is>
      </c>
      <c r="B5375" s="8" t="n">
        <v>152.7051521591</v>
      </c>
      <c r="C5375" s="13" t="n"/>
      <c r="D5375" s="3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6">
      <c r="A5376" s="65" t="inlineStr">
        <is>
          <t>21/01/2025</t>
        </is>
      </c>
      <c r="B5376" s="8" t="n">
        <v>151.5603323019</v>
      </c>
      <c r="C5376" s="13" t="n"/>
      <c r="D5376" s="3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7">
      <c r="A5377" s="65" t="inlineStr">
        <is>
          <t>22/01/2025</t>
        </is>
      </c>
      <c r="B5377" s="8" t="n">
        <v>151.195174244</v>
      </c>
      <c r="C5377" s="13" t="n"/>
      <c r="D5377" s="3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8">
      <c r="A5378" s="65" t="inlineStr">
        <is>
          <t>23/01/2025</t>
        </is>
      </c>
      <c r="B5378" s="8" t="n">
        <v>152.7643669793</v>
      </c>
      <c r="C5378" s="13" t="n"/>
      <c r="D5378" s="3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9">
      <c r="A5379" s="65" t="inlineStr">
        <is>
          <t>24/01/2025</t>
        </is>
      </c>
      <c r="B5379" s="8" t="n">
        <v>151.589939712</v>
      </c>
      <c r="C5379" s="13" t="n"/>
      <c r="D5379" s="3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0">
      <c r="A5380" s="65" t="inlineStr">
        <is>
          <t>27/01/2025</t>
        </is>
      </c>
      <c r="B5380" s="8" t="n">
        <v>148.7476283424</v>
      </c>
      <c r="C5380" s="13" t="n"/>
      <c r="D5380" s="3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1">
      <c r="A5381" s="65" t="inlineStr">
        <is>
          <t>28/01/2025</t>
        </is>
      </c>
      <c r="B5381" s="8" t="n">
        <v>147.6718924421</v>
      </c>
      <c r="C5381" s="13" t="n"/>
      <c r="D5381" s="3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2">
      <c r="A5382" s="65" t="inlineStr">
        <is>
          <t>29/01/2025</t>
        </is>
      </c>
      <c r="B5382" s="8" t="n">
        <v>149.8036259693</v>
      </c>
      <c r="C5382" s="13" t="n"/>
      <c r="D5382" s="3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3">
      <c r="A5383" s="65" t="inlineStr">
        <is>
          <t>30/01/2025</t>
        </is>
      </c>
      <c r="B5383" s="8" t="n">
        <v>148.2443023707</v>
      </c>
      <c r="C5383" s="13" t="n"/>
      <c r="D5383" s="3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4">
      <c r="A5384" s="65" t="inlineStr">
        <is>
          <t>31/01/2025</t>
        </is>
      </c>
      <c r="B5384" s="8" t="n">
        <v>151.2445199275</v>
      </c>
      <c r="C5384" s="13" t="n"/>
      <c r="D5384" s="3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5">
      <c r="A5385" s="65" t="inlineStr">
        <is>
          <t>03/02/2025</t>
        </is>
      </c>
      <c r="B5385" s="8" t="n">
        <v>146.5331446055</v>
      </c>
      <c r="C5385" s="13" t="n"/>
      <c r="D5385" s="3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6">
      <c r="A5386" s="65" t="inlineStr">
        <is>
          <t>04/02/2025</t>
        </is>
      </c>
      <c r="B5386" s="8" t="n">
        <v>144.8046296708</v>
      </c>
      <c r="C5386" s="13" t="n"/>
      <c r="D5386" s="3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7">
      <c r="A5387" s="65" t="inlineStr">
        <is>
          <t>05/02/2025</t>
        </is>
      </c>
      <c r="B5387" s="8" t="n">
        <v>145.0585358194</v>
      </c>
      <c r="C5387" s="13" t="n"/>
      <c r="D5387" s="3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8">
      <c r="A5388" s="65" t="inlineStr">
        <is>
          <t>06/02/2025</t>
        </is>
      </c>
      <c r="B5388" s="8" t="n">
        <v>145.7323636753</v>
      </c>
      <c r="C5388" s="13" t="n"/>
      <c r="D5388" s="3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9">
      <c r="A5389" s="65" t="inlineStr">
        <is>
          <t>07/02/2025</t>
        </is>
      </c>
      <c r="B5389" s="8" t="n">
        <v>143.2714271581</v>
      </c>
      <c r="C5389" s="13" t="n"/>
      <c r="D5389" s="3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0">
      <c r="A5390" s="65" t="inlineStr">
        <is>
          <t>10/02/2025</t>
        </is>
      </c>
      <c r="B5390" s="8" t="n">
        <v>143.847598803</v>
      </c>
      <c r="C5390" s="13" t="n"/>
      <c r="D5390" s="3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1">
      <c r="A5391" s="65" t="inlineStr">
        <is>
          <t>11/02/2025</t>
        </is>
      </c>
      <c r="B5391" s="8" t="n">
        <v>141.4940841179</v>
      </c>
      <c r="C5391" s="13" t="n"/>
      <c r="D5391" s="3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2">
      <c r="A5392" s="65" t="inlineStr">
        <is>
          <t>12/02/2025</t>
        </is>
      </c>
      <c r="B5392" s="8" t="n">
        <v>140.4882251446</v>
      </c>
      <c r="C5392" s="13" t="n"/>
      <c r="D5392" s="3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3">
      <c r="A5393" s="65" t="inlineStr">
        <is>
          <t>13/02/2025</t>
        </is>
      </c>
      <c r="B5393" s="8" t="n">
        <v>139.5702567612</v>
      </c>
      <c r="C5393" s="13" t="n"/>
      <c r="D5393" s="3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4">
      <c r="A5394" s="65" t="inlineStr">
        <is>
          <t>14/02/2025</t>
        </is>
      </c>
      <c r="B5394" s="8" t="n">
        <v>139.2089287805</v>
      </c>
      <c r="C5394" s="13" t="n"/>
      <c r="D5394" s="3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5">
      <c r="A5395" s="65" t="inlineStr">
        <is>
          <t>17/02/2025</t>
        </is>
      </c>
      <c r="B5395" s="8" t="n">
        <v>138.9940851163</v>
      </c>
      <c r="C5395" s="13" t="n"/>
      <c r="D5395" s="3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6">
      <c r="A5396" s="65" t="inlineStr">
        <is>
          <t>18/02/2025</t>
        </is>
      </c>
      <c r="B5396" s="8" t="n">
        <v>138.7597102099</v>
      </c>
      <c r="C5396" s="13" t="n"/>
      <c r="D5396" s="3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7">
      <c r="A5397" s="65" t="inlineStr">
        <is>
          <t>19/02/2025</t>
        </is>
      </c>
      <c r="B5397" s="8" t="n">
        <v>135.9765081964</v>
      </c>
      <c r="C5397" s="13" t="n"/>
      <c r="D5397" s="3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8">
      <c r="A5398" s="65" t="inlineStr">
        <is>
          <t>20/02/2025</t>
        </is>
      </c>
      <c r="B5398" s="8" t="n">
        <v>138.7890070732</v>
      </c>
      <c r="C5398" s="13" t="n"/>
      <c r="D5398" s="3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9">
      <c r="A5399" s="65" t="inlineStr">
        <is>
          <t>21/02/2025</t>
        </is>
      </c>
      <c r="B5399" s="8" t="n">
        <v>138.3397885026</v>
      </c>
      <c r="C5399" s="13" t="n"/>
      <c r="D5399" s="3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0">
      <c r="A5400" s="65" t="inlineStr">
        <is>
          <t>24/02/2025</t>
        </is>
      </c>
      <c r="B5400" s="8" t="n">
        <v>138.7401789677</v>
      </c>
      <c r="C5400" s="13" t="n"/>
      <c r="D5400" s="3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1">
      <c r="A5401" s="65" t="inlineStr">
        <is>
          <t>25/02/2025</t>
        </is>
      </c>
      <c r="B5401" s="8" t="n">
        <v>136.6601016734</v>
      </c>
      <c r="C5401" s="13" t="n"/>
      <c r="D5401" s="3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2">
      <c r="A5402" s="65" t="inlineStr">
        <is>
          <t>26/02/2025</t>
        </is>
      </c>
      <c r="B5402" s="8" t="n">
        <v>138.4960384402</v>
      </c>
      <c r="C5402" s="13" t="n"/>
      <c r="D5402" s="3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3">
      <c r="A5403" s="65" t="inlineStr">
        <is>
          <t>27/02/2025</t>
        </is>
      </c>
      <c r="B5403" s="8" t="n">
        <v>137.0507265174</v>
      </c>
      <c r="C5403" s="13" t="n"/>
      <c r="D5403" s="3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4">
      <c r="A5404" s="65" t="inlineStr">
        <is>
          <t>28/02/2025</t>
        </is>
      </c>
      <c r="B5404" s="8" t="n">
        <v>135.6151802157</v>
      </c>
      <c r="C5404" s="13" t="n"/>
      <c r="D5404" s="3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5">
      <c r="A5405" s="65" t="inlineStr">
        <is>
          <t>05/03/2025</t>
        </is>
      </c>
      <c r="B5405" s="8" t="n">
        <v>138.3903943125</v>
      </c>
      <c r="C5405" s="13" t="n"/>
      <c r="D5405" s="3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6">
      <c r="A5406" s="65" t="inlineStr">
        <is>
          <t>06/03/2025</t>
        </is>
      </c>
      <c r="B5406" s="8" t="n">
        <v>137.1361303125</v>
      </c>
      <c r="C5406" s="13" t="n"/>
      <c r="D5406" s="3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7">
      <c r="A5407" s="65" t="inlineStr">
        <is>
          <t>07/03/2025</t>
        </is>
      </c>
      <c r="B5407" s="8" t="n">
        <v>140.2129966875</v>
      </c>
      <c r="C5407" s="13" t="n"/>
      <c r="D5407" s="3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8">
      <c r="A5408" s="65" t="inlineStr">
        <is>
          <t>10/03/2025</t>
        </is>
      </c>
      <c r="B5408" s="8" t="n">
        <v>137.5770825</v>
      </c>
      <c r="C5408" s="13" t="n"/>
      <c r="D5408" s="3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9">
      <c r="A5409" s="65" t="inlineStr">
        <is>
          <t>11/03/2025</t>
        </is>
      </c>
      <c r="B5409" s="8" t="n">
        <v>137.45949525</v>
      </c>
      <c r="C5409" s="13" t="n"/>
      <c r="D5409" s="3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0">
      <c r="A5410" s="65" t="inlineStr">
        <is>
          <t>12/03/2025</t>
        </is>
      </c>
      <c r="B5410" s="8" t="n">
        <v>137.126331375</v>
      </c>
      <c r="C5410" s="13" t="n"/>
      <c r="D5410" s="3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1">
      <c r="A5411" s="65" t="inlineStr">
        <is>
          <t>13/03/2025</t>
        </is>
      </c>
      <c r="B5411" s="8" t="n">
        <v>139.88963175</v>
      </c>
      <c r="C5411" s="13" t="n"/>
      <c r="D5411" s="3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2">
      <c r="A5412" s="65" t="inlineStr">
        <is>
          <t>14/03/2025</t>
        </is>
      </c>
      <c r="B5412" s="8" t="n">
        <v>136.695178125</v>
      </c>
      <c r="C5412" s="13" t="n"/>
      <c r="D5412" s="3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3">
      <c r="A5413" s="65" t="inlineStr">
        <is>
          <t>17/03/2025</t>
        </is>
      </c>
      <c r="B5413" s="8" t="n">
        <v>137.0577388125</v>
      </c>
      <c r="C5413" s="13" t="n"/>
      <c r="D5413" s="3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4">
      <c r="A5414" s="65" t="inlineStr">
        <is>
          <t>18/03/2025</t>
        </is>
      </c>
      <c r="B5414" s="8" t="n">
        <v>135.4703109375</v>
      </c>
      <c r="C5414" s="13" t="n"/>
      <c r="D5414" s="3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5">
      <c r="A5415" s="65" t="inlineStr">
        <is>
          <t>19/03/2025</t>
        </is>
      </c>
      <c r="B5415" s="8" t="n">
        <v>137.126331375</v>
      </c>
      <c r="C5415" s="13" t="n"/>
      <c r="D5415" s="3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6">
      <c r="A5416" s="65" t="inlineStr">
        <is>
          <t>20/03/2025</t>
        </is>
      </c>
      <c r="B5416" s="8" t="n">
        <v>134.1964490625</v>
      </c>
      <c r="C5416" s="13" t="n"/>
      <c r="D5416" s="3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7">
      <c r="A5417" s="65" t="inlineStr">
        <is>
          <t>21/03/2025</t>
        </is>
      </c>
      <c r="B5417" s="8" t="n">
        <v>136.342416375</v>
      </c>
      <c r="C5417" s="13" t="n"/>
      <c r="D5417" s="3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8">
      <c r="A5418" s="65" t="inlineStr">
        <is>
          <t>24/03/2025</t>
        </is>
      </c>
      <c r="B5418" s="8" t="n">
        <v>135.2351364375</v>
      </c>
      <c r="C5418" s="13" t="n"/>
      <c r="D5418" s="3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9">
      <c r="A5419" s="65" t="inlineStr">
        <is>
          <t>25/03/2025</t>
        </is>
      </c>
      <c r="B5419" s="8" t="n">
        <v>135.1175491875</v>
      </c>
      <c r="C5419" s="13" t="n"/>
      <c r="D5419" s="3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0">
      <c r="A5420" s="65" t="inlineStr">
        <is>
          <t>26/03/2025</t>
        </is>
      </c>
      <c r="B5420" s="8" t="n">
        <v>136.8225643125</v>
      </c>
      <c r="C5420" s="13" t="n"/>
      <c r="D5420" s="3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1">
      <c r="A5421" s="65" t="inlineStr">
        <is>
          <t>27/03/2025</t>
        </is>
      </c>
      <c r="B5421" s="8" t="n">
        <v>135.18614175</v>
      </c>
      <c r="C5421" s="13" t="n"/>
      <c r="D5421" s="3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2">
      <c r="A5422" s="65" t="inlineStr">
        <is>
          <t>28/03/2025</t>
        </is>
      </c>
      <c r="B5422" s="8" t="n">
        <v>136.616786625</v>
      </c>
      <c r="C5422" s="13" t="n"/>
      <c r="D5422" s="3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3">
      <c r="A5423" s="65" t="inlineStr">
        <is>
          <t>31/03/2025</t>
        </is>
      </c>
      <c r="B5423" s="8" t="n">
        <v>136.91075475</v>
      </c>
      <c r="C5423" s="13" t="n"/>
      <c r="D5423" s="3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4">
      <c r="A5424" s="65" t="inlineStr">
        <is>
          <t>01/04/2025</t>
        </is>
      </c>
      <c r="B5424" s="8" t="n">
        <v>137.8635422589</v>
      </c>
      <c r="C5424" s="13" t="n"/>
      <c r="D5424" s="3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5">
      <c r="A5425" s="65" t="inlineStr">
        <is>
          <t>02/04/2025</t>
        </is>
      </c>
      <c r="B5425" s="8" t="n">
        <v>138.4989482184</v>
      </c>
      <c r="C5425" s="13" t="n"/>
      <c r="D5425" s="3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6">
      <c r="A5426" s="65" t="inlineStr">
        <is>
          <t>03/04/2025</t>
        </is>
      </c>
      <c r="B5426" s="8" t="n">
        <v>135.87912057</v>
      </c>
      <c r="C5426" s="13" t="n"/>
      <c r="D5426" s="3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7">
      <c r="A5427" s="65" t="inlineStr">
        <is>
          <t>04/04/2025</t>
        </is>
      </c>
      <c r="B5427" s="8" t="n">
        <v>136.7002605792</v>
      </c>
      <c r="C5427" s="13" t="n"/>
      <c r="D5427" s="3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8">
      <c r="A5428" s="65" t="inlineStr">
        <is>
          <t>07/04/2025</t>
        </is>
      </c>
      <c r="B5428" s="8" t="n">
        <v>137.2672382046</v>
      </c>
      <c r="C5428" s="13" t="n"/>
      <c r="D5428" s="3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9">
      <c r="A5429" s="65" t="inlineStr">
        <is>
          <t>08/04/2025</t>
        </is>
      </c>
      <c r="B5429" s="8" t="n">
        <v>138.0590517849</v>
      </c>
      <c r="C5429" s="13" t="n"/>
      <c r="D5429" s="3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0">
      <c r="A5430" s="65" t="inlineStr">
        <is>
          <t>09/04/2025</t>
        </is>
      </c>
      <c r="B5430" s="8" t="n">
        <v>138.1177046427</v>
      </c>
      <c r="C5430" s="13" t="n"/>
      <c r="D5430" s="3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1">
      <c r="A5431" s="65" t="inlineStr">
        <is>
          <t>10/04/2025</t>
        </is>
      </c>
      <c r="B5431" s="8" t="n">
        <v>139.0854767964</v>
      </c>
      <c r="C5431" s="13" t="n"/>
      <c r="D5431" s="3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2">
      <c r="A5432" s="65" t="inlineStr">
        <is>
          <t>11/04/2025</t>
        </is>
      </c>
      <c r="B5432" s="8" t="n">
        <v>138.4109689317</v>
      </c>
      <c r="C5432" s="13" t="n"/>
      <c r="D5432" s="3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3">
      <c r="A5433" s="65" t="inlineStr">
        <is>
          <t>14/04/2025</t>
        </is>
      </c>
      <c r="B5433" s="8" t="n">
        <v>139.1539051305</v>
      </c>
      <c r="C5433" s="13" t="n"/>
      <c r="D5433" s="3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4">
      <c r="A5434" s="65" t="inlineStr">
        <is>
          <t>15/04/2025</t>
        </is>
      </c>
      <c r="B5434" s="8" t="n">
        <v>139.4764958484</v>
      </c>
      <c r="C5434" s="13" t="n"/>
      <c r="D5434" s="3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5">
      <c r="A5435" s="65" t="inlineStr">
        <is>
          <t>16/04/2025</t>
        </is>
      </c>
      <c r="B5435" s="8" t="n">
        <v>139.2712108461</v>
      </c>
      <c r="C5435" s="13" t="n"/>
      <c r="D5435" s="3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6">
      <c r="A5436" s="65" t="inlineStr">
        <is>
          <t>17/04/2025</t>
        </is>
      </c>
      <c r="B5436" s="8" t="n">
        <v>141.0698984853</v>
      </c>
      <c r="C5436" s="13" t="n"/>
      <c r="D5436" s="3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7">
      <c r="A5437" s="65" t="inlineStr">
        <is>
          <t>22/04/2025</t>
        </is>
      </c>
      <c r="B5437" s="8" t="n">
        <v>141.6173251581</v>
      </c>
      <c r="C5437" s="13" t="n"/>
      <c r="D5437" s="3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8">
      <c r="A5438" s="65" t="inlineStr">
        <is>
          <t>23/04/2025</t>
        </is>
      </c>
      <c r="B5438" s="8" t="n">
        <v>141.3924892032</v>
      </c>
      <c r="C5438" s="13" t="n"/>
      <c r="D5438" s="3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9">
      <c r="A5439" s="65" t="inlineStr">
        <is>
          <t>24/04/2025</t>
        </is>
      </c>
      <c r="B5439" s="8" t="n">
        <v>140.3953906206</v>
      </c>
      <c r="C5439" s="13" t="n"/>
      <c r="D5439" s="3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0">
      <c r="A5440" s="65" t="inlineStr">
        <is>
          <t>25/04/2025</t>
        </is>
      </c>
      <c r="B5440" s="8" t="n">
        <v>140.5811246703</v>
      </c>
      <c r="C5440" s="13" t="n"/>
      <c r="D5440" s="3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1">
      <c r="A5441" s="65" t="inlineStr">
        <is>
          <t>28/04/2025</t>
        </is>
      </c>
      <c r="B5441" s="8" t="n">
        <v>139.8284129952</v>
      </c>
      <c r="C5441" s="13" t="n"/>
      <c r="D5441" s="3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2">
      <c r="A5442" s="65" t="inlineStr">
        <is>
          <t>29/04/2025</t>
        </is>
      </c>
      <c r="B5442" s="8" t="n">
        <v>139.6329034692</v>
      </c>
      <c r="C5442" s="13" t="n"/>
      <c r="D5442" s="3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3">
      <c r="A5443" s="65" t="inlineStr">
        <is>
          <t>30/04/2025</t>
        </is>
      </c>
      <c r="B5443" s="8" t="n">
        <v>140.6886549096</v>
      </c>
      <c r="C5443" s="13" t="n"/>
      <c r="D5443" s="3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4">
      <c r="A5444" s="65" t="inlineStr">
        <is>
          <t>02/05/2025</t>
        </is>
      </c>
      <c r="B5444" s="8" t="n">
        <v>139.141640368</v>
      </c>
      <c r="C5444" s="13" t="n"/>
      <c r="D5444" s="3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5">
      <c r="A5445" s="65" t="inlineStr">
        <is>
          <t>05/05/2025</t>
        </is>
      </c>
      <c r="B5445" s="8" t="n">
        <v>139.318465384</v>
      </c>
      <c r="C5445" s="13" t="n"/>
      <c r="D5445" s="3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6">
      <c r="A5446" s="65" t="inlineStr">
        <is>
          <t>06/05/2025</t>
        </is>
      </c>
      <c r="B5446" s="8" t="n">
        <v>139.564055684</v>
      </c>
      <c r="C5446" s="13" t="n"/>
      <c r="D5446" s="3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7">
      <c r="A5447" s="65" t="inlineStr">
        <is>
          <t>07/05/2025</t>
        </is>
      </c>
      <c r="B5447" s="8" t="n">
        <v>139.2497001</v>
      </c>
      <c r="C5447" s="13" t="n"/>
      <c r="D5447" s="3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8">
      <c r="A5448" s="65" t="inlineStr">
        <is>
          <t>08/05/2025</t>
        </is>
      </c>
      <c r="B5448" s="8" t="n">
        <v>138.866579232</v>
      </c>
      <c r="C5448" s="13" t="n"/>
      <c r="D5448" s="3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9">
      <c r="A5449" s="65" t="inlineStr">
        <is>
          <t>09/05/2025</t>
        </is>
      </c>
      <c r="B5449" s="8" t="n">
        <v>138.797813948</v>
      </c>
      <c r="C5449" s="13" t="n"/>
      <c r="D5449" s="3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0">
      <c r="A5450" s="65" t="inlineStr">
        <is>
          <t>12/05/2025</t>
        </is>
      </c>
      <c r="B5450" s="8" t="n">
        <v>138.66028338</v>
      </c>
      <c r="C5450" s="13" t="n"/>
      <c r="D5450" s="3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1">
      <c r="A5451" s="65" t="inlineStr">
        <is>
          <t>13/05/2025</t>
        </is>
      </c>
      <c r="B5451" s="8" t="n">
        <v>136.99026934</v>
      </c>
      <c r="C5451" s="13" t="n"/>
      <c r="D5451" s="3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2">
      <c r="A5452" s="65" t="inlineStr">
        <is>
          <t>14/05/2025</t>
        </is>
      </c>
      <c r="B5452" s="8" t="n">
        <v>136.263322052</v>
      </c>
      <c r="C5452" s="13" t="n"/>
      <c r="D5452" s="3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3">
      <c r="A5453" s="65" t="inlineStr">
        <is>
          <t>15/05/2025</t>
        </is>
      </c>
      <c r="B5453" s="8" t="n">
        <v>135.585492824</v>
      </c>
      <c r="C5453" s="13" t="n"/>
      <c r="D5453" s="3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4">
      <c r="A5454" s="65" t="inlineStr">
        <is>
          <t>16/05/2025</t>
        </is>
      </c>
      <c r="B5454" s="8" t="n">
        <v>134.524542728</v>
      </c>
      <c r="C5454" s="13" t="n"/>
      <c r="D5454" s="3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5">
      <c r="A5455" s="65" t="inlineStr">
        <is>
          <t>19/05/2025</t>
        </is>
      </c>
      <c r="B5455" s="8" t="n">
        <v>132.559820328</v>
      </c>
      <c r="C5455" s="13" t="n"/>
      <c r="D5455" s="3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6">
      <c r="A5456" s="65" t="inlineStr">
        <is>
          <t>20/05/2025</t>
        </is>
      </c>
      <c r="B5456" s="8" t="n">
        <v>130.919277124</v>
      </c>
      <c r="C5456" s="13" t="n"/>
      <c r="D5456" s="3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7">
      <c r="A5457" s="65" t="inlineStr">
        <is>
          <t>21/05/2025</t>
        </is>
      </c>
      <c r="B5457" s="8" t="n">
        <v>132.638409224</v>
      </c>
      <c r="C5457" s="13" t="n"/>
      <c r="D5457" s="3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8">
      <c r="A5458" s="65" t="inlineStr">
        <is>
          <t>22/05/2025</t>
        </is>
      </c>
      <c r="B5458" s="8" t="n">
        <v>130.840688228</v>
      </c>
      <c r="C5458" s="13" t="n"/>
      <c r="D5458" s="3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9">
      <c r="A5459" s="65" t="inlineStr">
        <is>
          <t>23/05/2025</t>
        </is>
      </c>
      <c r="B5459" s="8" t="n">
        <v>131.93110916</v>
      </c>
      <c r="C5459" s="13" t="n"/>
      <c r="D5459" s="3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0">
      <c r="A5460" s="65" t="inlineStr">
        <is>
          <t>26/05/2025</t>
        </is>
      </c>
      <c r="B5460" s="8" t="n">
        <v>132.32405364</v>
      </c>
      <c r="C5460" s="13" t="n"/>
      <c r="D5460" s="3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1">
      <c r="A5461" s="65" t="inlineStr">
        <is>
          <t>27/05/2025</t>
        </is>
      </c>
      <c r="B5461" s="8" t="n">
        <v>130.978218796</v>
      </c>
      <c r="C5461" s="13" t="n"/>
      <c r="D5461" s="3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2">
      <c r="A5462" s="65" t="inlineStr">
        <is>
          <t>28/05/2025</t>
        </is>
      </c>
      <c r="B5462" s="8" t="n">
        <v>132.255288356</v>
      </c>
      <c r="C5462" s="13" t="n"/>
      <c r="D5462" s="3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3">
      <c r="A5463" s="65" t="inlineStr">
        <is>
          <t>29/05/2025</t>
        </is>
      </c>
      <c r="B5463" s="8" t="n">
        <v>134.013714904</v>
      </c>
      <c r="C5463" s="13" t="n"/>
      <c r="D5463" s="3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4">
      <c r="A5464" s="65" t="inlineStr">
        <is>
          <t>30/05/2025</t>
        </is>
      </c>
      <c r="B5464" s="8" t="n">
        <v>131.233632708</v>
      </c>
      <c r="C5464" s="13" t="n"/>
      <c r="D5464" s="3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5">
      <c r="A5465" s="65" t="inlineStr">
        <is>
          <t>02/06/2025</t>
        </is>
      </c>
      <c r="B5465" s="8" t="n">
        <v>133.8820552926</v>
      </c>
      <c r="C5465" s="13" t="n"/>
      <c r="D5465" s="3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6">
      <c r="A5466" s="65" t="inlineStr">
        <is>
          <t>03/06/2025</t>
        </is>
      </c>
      <c r="B5466" s="8" t="n">
        <v>134.571396522</v>
      </c>
      <c r="C5466" s="13" t="n"/>
      <c r="D5466" s="3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7">
      <c r="A5467" s="65" t="inlineStr">
        <is>
          <t>04/06/2025</t>
        </is>
      </c>
      <c r="B5467" s="8" t="n">
        <v>134.0419025342</v>
      </c>
      <c r="C5467" s="13" t="n"/>
      <c r="D5467" s="3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8">
      <c r="A5468" s="65" t="inlineStr">
        <is>
          <t>05/06/2025</t>
        </is>
      </c>
      <c r="B5468" s="8" t="n">
        <v>131.274547164</v>
      </c>
      <c r="C5468" s="13" t="n"/>
      <c r="D5468" s="3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9">
      <c r="A5469" s="65" t="inlineStr">
        <is>
          <t>06/06/2025</t>
        </is>
      </c>
      <c r="B5469" s="8" t="n">
        <v>131.674165268</v>
      </c>
      <c r="C5469" s="13" t="n"/>
      <c r="D5469" s="3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0">
      <c r="A5470" s="65" t="inlineStr">
        <is>
          <t>09/06/2025</t>
        </is>
      </c>
      <c r="B5470" s="8" t="n">
        <v>132.3535160448</v>
      </c>
      <c r="C5470" s="13" t="n"/>
      <c r="D5470" s="3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1">
      <c r="A5471" s="65" t="inlineStr">
        <is>
          <t>10/06/2025</t>
        </is>
      </c>
      <c r="B5471" s="8" t="n">
        <v>129.9558074208</v>
      </c>
      <c r="C5471" s="13" t="n"/>
      <c r="D5471" s="3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2">
      <c r="A5472" s="65" t="inlineStr">
        <is>
          <t>11/06/2025</t>
        </is>
      </c>
      <c r="B5472" s="8" t="n">
        <v>126.9386907356</v>
      </c>
      <c r="C5472" s="13" t="n"/>
      <c r="D5472" s="3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3">
      <c r="A5473" s="65" t="inlineStr">
        <is>
          <t>12/06/2025</t>
        </is>
      </c>
      <c r="B5473" s="8" t="n">
        <v>126.4391681056</v>
      </c>
      <c r="C5473" s="13" t="n"/>
      <c r="D5473" s="3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4">
      <c r="A5474" s="65" t="inlineStr">
        <is>
          <t>13/06/2025</t>
        </is>
      </c>
      <c r="B5474" s="8" t="n">
        <v>125.4101514878</v>
      </c>
      <c r="C5474" s="13" t="n"/>
      <c r="D5474" s="3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5">
      <c r="A5475" s="65" t="inlineStr">
        <is>
          <t>16/06/2025</t>
        </is>
      </c>
      <c r="B5475" s="8" t="n">
        <v>128.0975832372</v>
      </c>
      <c r="C5475" s="13" t="n"/>
      <c r="D5475" s="3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6">
      <c r="A5476" s="65" t="inlineStr">
        <is>
          <t>17/06/2025</t>
        </is>
      </c>
      <c r="B5476" s="8" t="n">
        <v>126.7688530414</v>
      </c>
      <c r="C5476" s="13" t="n"/>
      <c r="D5476" s="3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7">
      <c r="A5477" s="65" t="inlineStr">
        <is>
          <t>18/06/2025</t>
        </is>
      </c>
      <c r="B5477" s="8" t="n">
        <v>124.8706670474</v>
      </c>
      <c r="C5477" s="13" t="n"/>
      <c r="D5477" s="3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8">
      <c r="A5478" s="65" t="inlineStr">
        <is>
          <t>20/06/2025</t>
        </is>
      </c>
      <c r="B5478" s="8" t="n">
        <v>122.9025478852</v>
      </c>
      <c r="C5478" s="13" t="n"/>
      <c r="D5478" s="3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9">
      <c r="A5479" s="65" t="inlineStr">
        <is>
          <t>23/06/2025</t>
        </is>
      </c>
      <c r="B5479" s="8" t="n">
        <v>124.0914117446</v>
      </c>
      <c r="C5479" s="13" t="n"/>
      <c r="D5479" s="3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0">
      <c r="A5480" s="65" t="inlineStr">
        <is>
          <t>24/06/2025</t>
        </is>
      </c>
      <c r="B5480" s="8" t="n">
        <v>120.6147342398</v>
      </c>
      <c r="C5480" s="13" t="n"/>
      <c r="D5480" s="3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1">
      <c r="A5481" s="65" t="inlineStr">
        <is>
          <t>25/06/2025</t>
        </is>
      </c>
      <c r="B5481" s="8" t="n">
        <v>119.7255839584</v>
      </c>
      <c r="C5481" s="13" t="n"/>
      <c r="D5481" s="3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2">
      <c r="A5482" s="65" t="inlineStr">
        <is>
          <t>26/06/2025</t>
        </is>
      </c>
      <c r="B5482" s="8" t="n">
        <v>118.6466150776</v>
      </c>
      <c r="C5482" s="13" t="n"/>
      <c r="D5482" s="3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3">
      <c r="A5483" s="65" t="inlineStr">
        <is>
          <t>27/06/2025</t>
        </is>
      </c>
      <c r="B5483" s="8" t="n">
        <v>117.5776366494</v>
      </c>
      <c r="C5483" s="13" t="n"/>
      <c r="D5483" s="3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4">
      <c r="A5484" s="65" t="inlineStr">
        <is>
          <t>30/06/2025</t>
        </is>
      </c>
      <c r="B5484" s="8" t="n">
        <v>116.4986677686</v>
      </c>
      <c r="C5484" s="13" t="n"/>
      <c r="D5484" s="3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5">
      <c r="A5485" s="65" t="inlineStr">
        <is>
          <t>01/07/2025</t>
        </is>
      </c>
      <c r="B5485" s="8" t="n">
        <v>117.251648496</v>
      </c>
      <c r="C5485" s="13" t="n"/>
      <c r="D5485" s="3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6">
      <c r="A5486" s="65" t="inlineStr">
        <is>
          <t>02/07/2025</t>
        </is>
      </c>
      <c r="B5486" s="8" t="n">
        <v>116.73818172</v>
      </c>
      <c r="C5486" s="13" t="n"/>
      <c r="D5486" s="3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7">
      <c r="A5487" s="65" t="inlineStr">
        <is>
          <t>03/07/2025</t>
        </is>
      </c>
      <c r="B5487" s="8" t="n">
        <v>117.362396232</v>
      </c>
      <c r="C5487" s="13" t="n"/>
      <c r="D5487" s="3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8">
      <c r="A5488" s="65" t="inlineStr">
        <is>
          <t>04/07/2025</t>
        </is>
      </c>
      <c r="B5488" s="8" t="n">
        <v>117.523483848</v>
      </c>
      <c r="C5488" s="13" t="n"/>
      <c r="D5488" s="3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9">
      <c r="A5489" s="65" t="inlineStr">
        <is>
          <t>07/07/2025</t>
        </is>
      </c>
      <c r="B5489" s="8" t="n">
        <v>118.238310144</v>
      </c>
      <c r="C5489" s="13" t="n"/>
      <c r="D5489" s="3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0">
      <c r="A5490" s="65" t="inlineStr">
        <is>
          <t>08/07/2025</t>
        </is>
      </c>
      <c r="B5490" s="8" t="n">
        <v>116.879133384</v>
      </c>
      <c r="C5490" s="13" t="n"/>
      <c r="D5490" s="3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1">
      <c r="A5491" s="65" t="inlineStr">
        <is>
          <t>09/07/2025</t>
        </is>
      </c>
      <c r="B5491" s="8" t="n">
        <v>116.879133384</v>
      </c>
      <c r="C5491" s="13" t="n"/>
      <c r="D5491" s="3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2">
      <c r="A5492" s="65" t="inlineStr">
        <is>
          <t>10/07/2025</t>
        </is>
      </c>
      <c r="B5492" s="8" t="n">
        <v>116.68784184</v>
      </c>
      <c r="C5492" s="13" t="n"/>
      <c r="D5492" s="3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3">
      <c r="A5493" s="65" t="inlineStr">
        <is>
          <t>11/07/2025</t>
        </is>
      </c>
      <c r="B5493" s="8" t="n">
        <v>116.879133384</v>
      </c>
      <c r="C5493" s="13" t="n"/>
      <c r="D5493" s="3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4">
      <c r="A5494" s="65" t="inlineStr">
        <is>
          <t>14/07/2025</t>
        </is>
      </c>
      <c r="B5494" s="8" t="n">
        <v>117.724843368</v>
      </c>
      <c r="C5494" s="13" t="n"/>
      <c r="D5494" s="3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5">
      <c r="A5495" s="65" t="inlineStr">
        <is>
          <t>15/07/2025</t>
        </is>
      </c>
      <c r="B5495" s="8" t="n">
        <v>118.117494432</v>
      </c>
      <c r="C5495" s="13" t="n"/>
      <c r="D5495" s="3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6">
      <c r="A5496" s="65" t="inlineStr">
        <is>
          <t>16/07/2025</t>
        </is>
      </c>
      <c r="B5496" s="8" t="n">
        <v>119.084020128</v>
      </c>
      <c r="C5496" s="13" t="n"/>
      <c r="D5496" s="3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7">
      <c r="A5497" s="65" t="inlineStr">
        <is>
          <t>17/07/2025</t>
        </is>
      </c>
      <c r="B5497" s="8" t="n">
        <v>120.926459736</v>
      </c>
      <c r="C5497" s="13" t="n"/>
      <c r="D5497" s="3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8">
      <c r="A5498" s="65" t="inlineStr">
        <is>
          <t>18/07/2025</t>
        </is>
      </c>
      <c r="B5498" s="8" t="n">
        <v>122.044005072</v>
      </c>
      <c r="C5498" s="13" t="n"/>
      <c r="D5498" s="3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9">
      <c r="A5499" s="65" t="inlineStr">
        <is>
          <t>21/07/2025</t>
        </is>
      </c>
      <c r="B5499" s="8" t="n">
        <v>121.137887232</v>
      </c>
      <c r="C5499" s="13" t="n"/>
      <c r="D5499" s="3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0">
      <c r="A5500" s="65" t="inlineStr">
        <is>
          <t>22/07/2025</t>
        </is>
      </c>
      <c r="B5500" s="8" t="n">
        <v>121.007003544</v>
      </c>
      <c r="C5500" s="13" t="n"/>
      <c r="D5500" s="3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1">
      <c r="A5501" s="65" t="inlineStr">
        <is>
          <t>23/07/2025</t>
        </is>
      </c>
      <c r="B5501" s="8" t="n">
        <v>120.644556408</v>
      </c>
      <c r="C5501" s="13" t="n"/>
      <c r="D5501" s="3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2">
      <c r="A5502" s="65" t="inlineStr">
        <is>
          <t>24/07/2025</t>
        </is>
      </c>
      <c r="B5502" s="8" t="n">
        <v>120.91639176</v>
      </c>
      <c r="C5502" s="13" t="n"/>
      <c r="D5502" s="3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3">
      <c r="A5503" s="65" t="inlineStr">
        <is>
          <t>25/07/2025</t>
        </is>
      </c>
      <c r="B5503" s="8" t="n">
        <v>121.913121384</v>
      </c>
      <c r="C5503" s="13" t="n"/>
      <c r="D5503" s="3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4">
      <c r="A5504" s="65" t="inlineStr">
        <is>
          <t>28/07/2025</t>
        </is>
      </c>
      <c r="B5504" s="8" t="n">
        <v>121.762101744</v>
      </c>
      <c r="C5504" s="13" t="n"/>
      <c r="D5504" s="3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5">
      <c r="A5505" s="65" t="inlineStr">
        <is>
          <t>29/07/2025</t>
        </is>
      </c>
      <c r="B5505" s="8" t="n">
        <v>121.439926512</v>
      </c>
      <c r="C5505" s="13" t="n"/>
      <c r="D5505" s="3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6">
      <c r="A5506" s="65" t="inlineStr">
        <is>
          <t>30/07/2025</t>
        </is>
      </c>
      <c r="B5506" s="8" t="n">
        <v>121.41979056</v>
      </c>
      <c r="C5506" s="13" t="n"/>
      <c r="D5506" s="3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7">
      <c r="A5507" s="65" t="inlineStr">
        <is>
          <t>31/07/2025</t>
        </is>
      </c>
      <c r="B5507" s="8" t="n">
        <v>121.26877092</v>
      </c>
      <c r="C5507" s="13" t="n"/>
      <c r="D5507" s="3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8">
      <c r="A5508" s="65" t="inlineStr">
        <is>
          <t>01/08/2025</t>
        </is>
      </c>
      <c r="B5508" s="8" t="n">
        <v>119.7202327542</v>
      </c>
      <c r="C5508" s="13" t="n"/>
      <c r="D5508" s="3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9">
      <c r="A5509" s="65" t="inlineStr">
        <is>
          <t>04/08/2025</t>
        </is>
      </c>
      <c r="B5509" s="8" t="n">
        <v>119.6199141412</v>
      </c>
      <c r="C5509" s="13" t="n"/>
      <c r="D5509" s="3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0">
      <c r="A5510" s="65" t="inlineStr">
        <is>
          <t>05/08/2025</t>
        </is>
      </c>
      <c r="B5510" s="8" t="n">
        <v>120.9240561102</v>
      </c>
      <c r="C5510" s="13" t="n"/>
      <c r="D5510" s="3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1">
      <c r="A5511" s="65" t="inlineStr">
        <is>
          <t>06/08/2025</t>
        </is>
      </c>
      <c r="B5511" s="8" t="n">
        <v>120.7434826068</v>
      </c>
      <c r="C5511" s="13" t="n"/>
      <c r="D5511" s="3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2">
      <c r="A5512" s="65" t="inlineStr">
        <is>
          <t>07/08/2025</t>
        </is>
      </c>
      <c r="B5512" s="8" t="n">
        <v>120.4224630452</v>
      </c>
      <c r="C5512" s="13" t="n"/>
      <c r="D5512" s="3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3">
      <c r="A5513" s="65" t="inlineStr">
        <is>
          <t>08/08/2025</t>
        </is>
      </c>
      <c r="B5513" s="8" t="n">
        <v>120.2117939579</v>
      </c>
      <c r="C5513" s="13" t="n"/>
      <c r="D5513" s="3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4">
      <c r="A5514" s="65" t="inlineStr">
        <is>
          <t>11/08/2025</t>
        </is>
      </c>
      <c r="B5514" s="8" t="n">
        <v>119.7102008929</v>
      </c>
      <c r="C5514" s="13" t="n"/>
      <c r="D5514" s="3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5">
      <c r="A5515" s="65" t="inlineStr">
        <is>
          <t>12/08/2025</t>
        </is>
      </c>
      <c r="B5515" s="8" t="n">
        <v>120.3020807096</v>
      </c>
      <c r="C5515" s="13" t="n"/>
      <c r="D5515" s="3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6">
      <c r="A5516" s="65" t="inlineStr">
        <is>
          <t>13/08/2025</t>
        </is>
      </c>
      <c r="B5516" s="8" t="n">
        <v>120.2318576805</v>
      </c>
      <c r="C5516" s="13" t="n"/>
      <c r="D5516" s="3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7">
      <c r="A5517" s="65" t="inlineStr">
        <is>
          <t>14/08/2025</t>
        </is>
      </c>
      <c r="B5517" s="8" t="n">
        <v>120.0312204545</v>
      </c>
      <c r="C5517" s="13" t="n"/>
      <c r="D5517" s="3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8">
      <c r="A5518" s="65" t="inlineStr">
        <is>
          <t>15/08/2025</t>
        </is>
      </c>
      <c r="B5518" s="8" t="n">
        <v>121.5660952334</v>
      </c>
      <c r="C5518" s="13" t="n"/>
      <c r="D5518" s="3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9">
      <c r="A5519" s="65" t="inlineStr">
        <is>
          <t>18/08/2025</t>
        </is>
      </c>
      <c r="B5519" s="8" t="n">
        <v>121.4958722043</v>
      </c>
      <c r="C5519" s="13" t="n"/>
      <c r="D5519" s="3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0">
      <c r="A5520" s="65" t="inlineStr">
        <is>
          <t>19/08/2025</t>
        </is>
      </c>
      <c r="B5520" s="8" t="n">
        <v>120.8738968037</v>
      </c>
      <c r="C5520" s="13" t="n"/>
      <c r="D5520" s="3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1">
      <c r="A5521" s="65" t="inlineStr">
        <is>
          <t>20/08/2025</t>
        </is>
      </c>
      <c r="B5521" s="8" t="n">
        <v>119.7202327542</v>
      </c>
      <c r="C5521" s="13" t="n"/>
      <c r="D5521" s="3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2">
      <c r="A5522" s="65" t="inlineStr">
        <is>
          <t>21/08/2025</t>
        </is>
      </c>
      <c r="B5522" s="8" t="n">
        <v>120.5930046873</v>
      </c>
      <c r="C5522" s="13" t="n"/>
      <c r="D5522" s="3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3">
      <c r="A5523" s="65" t="inlineStr">
        <is>
          <t>22/08/2025</t>
        </is>
      </c>
      <c r="B5523" s="8" t="n">
        <v>120.8036737746</v>
      </c>
      <c r="C5523" s="13" t="n"/>
      <c r="D5523" s="3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4">
      <c r="A5524" s="65" t="inlineStr">
        <is>
          <t>25/08/2025</t>
        </is>
      </c>
      <c r="B5524" s="8" t="n">
        <v>119.9208699802</v>
      </c>
      <c r="C5524" s="13" t="n"/>
      <c r="D5524" s="3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5">
      <c r="A5525" s="65" t="inlineStr">
        <is>
          <t>26/08/2025</t>
        </is>
      </c>
      <c r="B5525" s="8" t="n">
        <v>119.4192769152</v>
      </c>
      <c r="C5525" s="13" t="n"/>
      <c r="D5525" s="3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6">
      <c r="A5526" s="65" t="inlineStr">
        <is>
          <t>27/08/2025</t>
        </is>
      </c>
      <c r="B5526" s="8" t="n">
        <v>118.2054216979</v>
      </c>
      <c r="C5526" s="13" t="n"/>
      <c r="D5526" s="3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7">
      <c r="A5527" s="65" t="inlineStr">
        <is>
          <t>28/08/2025</t>
        </is>
      </c>
      <c r="B5527" s="8" t="n">
        <v>118.977875018</v>
      </c>
      <c r="C5527" s="13" t="n"/>
      <c r="D5527" s="3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8">
      <c r="A5528" s="65" t="inlineStr">
        <is>
          <t>29/08/2025</t>
        </is>
      </c>
      <c r="B5528" s="8" t="n">
        <v>118.8173652372</v>
      </c>
      <c r="C5528" s="13" t="n"/>
      <c r="D5528" s="3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9">
      <c r="A5529" s="65" t="inlineStr">
        <is>
          <t>01/09/2025</t>
        </is>
      </c>
      <c r="B5529" s="8" t="n">
        <v>118.7200155708</v>
      </c>
      <c r="C5529" s="13" t="n"/>
      <c r="D5529" s="3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0">
      <c r="A5530" s="65" t="inlineStr">
        <is>
          <t>02/09/2025</t>
        </is>
      </c>
      <c r="B5530" s="8" t="n">
        <v>118.8698641263</v>
      </c>
      <c r="C5530" s="13" t="n"/>
      <c r="D5530" s="3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1">
      <c r="A5531" s="65" t="inlineStr">
        <is>
          <t>03/09/2025</t>
        </is>
      </c>
      <c r="B5531" s="8" t="n">
        <v>117.6910554897</v>
      </c>
      <c r="C5531" s="13" t="n"/>
      <c r="D5531" s="3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2">
      <c r="A5532" s="65" t="inlineStr">
        <is>
          <t>04/09/2025</t>
        </is>
      </c>
      <c r="B5532" s="8" t="n">
        <v>117.2115401121</v>
      </c>
      <c r="C5532" s="13" t="n"/>
      <c r="D5532" s="3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3">
      <c r="A5533" s="65" t="inlineStr">
        <is>
          <t>05/09/2025</t>
        </is>
      </c>
      <c r="B5533" s="8" t="n">
        <v>119.5291977705</v>
      </c>
      <c r="C5533" s="13" t="n"/>
      <c r="D5533" s="3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4">
      <c r="A5534" s="65" t="inlineStr">
        <is>
          <t>08/09/2025</t>
        </is>
      </c>
      <c r="B5534" s="8" t="n">
        <v>118.7200155708</v>
      </c>
      <c r="C5534" s="13" t="n"/>
      <c r="D5534" s="3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5">
      <c r="A5535" s="65" t="inlineStr">
        <is>
          <t>09/09/2025</t>
        </is>
      </c>
      <c r="B5535" s="8" t="n">
        <v>119.3993290224</v>
      </c>
      <c r="C5535" s="13" t="n"/>
      <c r="D5535" s="3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6">
      <c r="A5536" s="65" t="inlineStr">
        <is>
          <t>10/09/2025</t>
        </is>
      </c>
      <c r="B5536" s="8" t="n">
        <v>119.2694602743</v>
      </c>
      <c r="C5536" s="13" t="n"/>
      <c r="D5536" s="3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7">
      <c r="A5537" s="65" t="inlineStr">
        <is>
          <t>11/09/2025</t>
        </is>
      </c>
      <c r="B5537" s="8" t="n">
        <v>118.8398944152</v>
      </c>
      <c r="C5537" s="13" t="n"/>
      <c r="D5537" s="3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8">
      <c r="A5538" s="65" t="inlineStr">
        <is>
          <t>12/09/2025</t>
        </is>
      </c>
      <c r="B5538" s="8" t="n">
        <v>117.1116410751</v>
      </c>
      <c r="C5538" s="13" t="n"/>
      <c r="D5538" s="3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9">
      <c r="A5539" s="65" t="inlineStr">
        <is>
          <t>15/09/2025</t>
        </is>
      </c>
      <c r="B5539" s="8" t="n">
        <v>117.6510958749</v>
      </c>
      <c r="C5539" s="13" t="n"/>
      <c r="D5539" s="3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0">
      <c r="A5540" s="65" t="inlineStr">
        <is>
          <t>16/09/2025</t>
        </is>
      </c>
      <c r="B5540" s="8" t="n">
        <v>117.8708737563</v>
      </c>
      <c r="C5540" s="13" t="n"/>
      <c r="D5540" s="3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1">
      <c r="A5541" s="65" t="inlineStr">
        <is>
          <t>17/09/2025</t>
        </is>
      </c>
      <c r="B5541" s="8" t="n">
        <v>119.2494804669</v>
      </c>
      <c r="C5541" s="13" t="n"/>
      <c r="D5541" s="3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2">
      <c r="A5542" s="65" t="inlineStr">
        <is>
          <t>18/09/2025</t>
        </is>
      </c>
      <c r="B5542" s="8" t="n">
        <v>119.2095208521</v>
      </c>
      <c r="C5542" s="13" t="n"/>
      <c r="D5542" s="3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3">
      <c r="A5543" s="65" t="inlineStr">
        <is>
          <t>19/09/2025</t>
        </is>
      </c>
      <c r="B5543" s="8" t="n">
        <v>120.3283900665</v>
      </c>
      <c r="C5543" s="13" t="n"/>
      <c r="D5543" s="3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4">
      <c r="A5544" s="65" t="inlineStr">
        <is>
          <t>22/09/2025</t>
        </is>
      </c>
      <c r="B5544" s="8" t="n">
        <v>119.579147289</v>
      </c>
      <c r="C5544" s="13" t="n"/>
      <c r="D5544" s="3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5">
      <c r="A5545" s="65" t="inlineStr">
        <is>
          <t>23/09/2025</t>
        </is>
      </c>
      <c r="B5545" s="8" t="n">
        <v>119.6690564223</v>
      </c>
      <c r="C5545" s="13" t="n"/>
      <c r="D5545" s="3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6">
      <c r="A5546" s="65" t="inlineStr">
        <is>
          <t>24/09/2025</t>
        </is>
      </c>
      <c r="B5546" s="8" t="n">
        <v>118.580156919</v>
      </c>
      <c r="C5546" s="13" t="n"/>
      <c r="D5546" s="3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7">
      <c r="A5547" s="65" t="inlineStr">
        <is>
          <t>25/09/2025</t>
        </is>
      </c>
      <c r="B5547" s="8" t="n">
        <v>118.3204194228</v>
      </c>
      <c r="C5547" s="13" t="n"/>
      <c r="D5547" s="3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8">
      <c r="A5548" s="65" t="inlineStr">
        <is>
          <t>26/09/2025</t>
        </is>
      </c>
      <c r="B5548" s="8" t="n">
        <v>117.4912574157</v>
      </c>
      <c r="C5548" s="13" t="n"/>
      <c r="D5548" s="3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9">
      <c r="A5549" s="65" t="inlineStr">
        <is>
          <t>29/09/2025</t>
        </is>
      </c>
      <c r="B5549" s="8" t="n">
        <v>117.081671364</v>
      </c>
      <c r="C5549" s="13" t="n"/>
      <c r="D5549" s="3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0">
      <c r="A5550" s="65" t="inlineStr">
        <is>
          <t>30/09/2025</t>
        </is>
      </c>
      <c r="B5550" s="8" t="n">
        <v>117.2115401121</v>
      </c>
      <c r="C5550" s="13" t="n"/>
      <c r="D5550" s="3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1">
      <c r="A5551" s="65" t="inlineStr">
        <is>
          <t>01/10/2025</t>
        </is>
      </c>
      <c r="B5551" s="8" t="n">
        <v>115.9406327772</v>
      </c>
      <c r="C5551" s="13" t="n"/>
      <c r="D5551" s="3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2">
      <c r="A5552" s="65" t="inlineStr">
        <is>
          <t>02/10/2025</t>
        </is>
      </c>
      <c r="B5552" s="8" t="n">
        <v>117.9157542453</v>
      </c>
      <c r="C5552" s="13" t="n"/>
      <c r="D5552" s="3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3">
      <c r="A5553" s="65" t="inlineStr">
        <is>
          <t>03/10/2025</t>
        </is>
      </c>
      <c r="B5553" s="8" t="n">
        <v>116.7627645558</v>
      </c>
      <c r="C5553" s="13" t="n"/>
      <c r="D5553" s="3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4">
      <c r="A5554" s="65" t="inlineStr">
        <is>
          <t>06/10/2025</t>
        </is>
      </c>
      <c r="B5554" s="8" t="n">
        <v>117.8656242588</v>
      </c>
      <c r="C5554" s="13" t="n"/>
      <c r="D5554" s="3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5">
      <c r="A5555" s="65" t="inlineStr">
        <is>
          <t>07/10/2025</t>
        </is>
      </c>
      <c r="B5555" s="8" t="n">
        <v>118.2967421427</v>
      </c>
      <c r="C5555" s="13" t="n"/>
      <c r="D5555" s="3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6">
      <c r="A5556" s="65" t="inlineStr">
        <is>
          <t>08/10/2025</t>
        </is>
      </c>
      <c r="B5556" s="8" t="n">
        <v>117.5147143533</v>
      </c>
      <c r="C5556" s="13" t="n"/>
      <c r="D5556" s="3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7">
      <c r="A5557" s="65" t="inlineStr">
        <is>
          <t>09/10/2025</t>
        </is>
      </c>
      <c r="B5557" s="8" t="n">
        <v>117.2841164154</v>
      </c>
      <c r="C5557" s="13" t="n"/>
      <c r="D5557" s="3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8">
      <c r="A5558" s="65" t="inlineStr">
        <is>
          <t>10/10/2025</t>
        </is>
      </c>
      <c r="B5558" s="8" t="n">
        <v>117.3542983965</v>
      </c>
      <c r="C5558" s="13" t="n"/>
      <c r="D5558" s="3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9">
      <c r="A5559" s="65" t="inlineStr">
        <is>
          <t>13/10/2025</t>
        </is>
      </c>
      <c r="B5559" s="8" t="n">
        <v>117.0334664829</v>
      </c>
      <c r="C5559" s="13" t="n"/>
      <c r="D5559" s="3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0">
      <c r="A5560" s="65" t="inlineStr">
        <is>
          <t>14/10/2025</t>
        </is>
      </c>
      <c r="B5560" s="8" t="n">
        <v>116.1411527232</v>
      </c>
      <c r="C5560" s="13" t="n"/>
      <c r="D5560" s="3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1">
      <c r="A5561" s="65" t="inlineStr">
        <is>
          <t>15/10/2025</t>
        </is>
      </c>
      <c r="B5561" s="8" t="n">
        <v>116.8229205396</v>
      </c>
      <c r="C5561" s="13" t="n"/>
      <c r="D5561" s="3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2">
      <c r="A5562" s="65" t="inlineStr">
        <is>
          <t>16/10/2025</t>
        </is>
      </c>
      <c r="B5562" s="8" t="n">
        <v>115.9707107691</v>
      </c>
      <c r="C5562" s="13" t="n"/>
      <c r="D5562" s="3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3">
      <c r="A5563" s="65" t="inlineStr">
        <is>
          <t>17/10/2025</t>
        </is>
      </c>
      <c r="B5563" s="8" t="n">
        <v>116.401828653</v>
      </c>
      <c r="C5563" s="13" t="n"/>
      <c r="D5563" s="3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4">
      <c r="A5564" s="65" t="inlineStr">
        <is>
          <t>20/10/2025</t>
        </is>
      </c>
      <c r="B5564" s="8" t="n">
        <v>115.098449004</v>
      </c>
      <c r="C5564" s="13" t="n"/>
      <c r="D5564" s="3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5">
      <c r="A5565" s="65" t="inlineStr">
        <is>
          <t>21/10/2025</t>
        </is>
      </c>
      <c r="B5565" s="8" t="n">
        <v>113.8451993415</v>
      </c>
      <c r="C5565" s="13" t="n"/>
      <c r="D5565" s="3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6">
      <c r="A5566" s="65" t="inlineStr">
        <is>
          <t>22/10/2025</t>
        </is>
      </c>
      <c r="B5566" s="8" t="n">
        <v>112.3112217546</v>
      </c>
      <c r="C5566" s="13" t="n"/>
      <c r="D5566" s="3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7">
      <c r="A5567" s="65" t="inlineStr">
        <is>
          <t>23/10/2025</t>
        </is>
      </c>
      <c r="B5567" s="8" t="n">
        <v>112.5718976844</v>
      </c>
      <c r="C5567" s="13" t="n"/>
      <c r="D5567" s="3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8">
      <c r="A5568" s="65" t="inlineStr">
        <is>
          <t>24/10/2025</t>
        </is>
      </c>
      <c r="B5568" s="8" t="n">
        <v>113.7750173604</v>
      </c>
      <c r="C5568" s="13" t="n"/>
      <c r="D5568" s="3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9">
      <c r="A5569" s="65" t="inlineStr">
        <is>
          <t>27/10/2025</t>
        </is>
      </c>
      <c r="B5569" s="8" t="n">
        <v>111.4189079949</v>
      </c>
      <c r="C5569" s="13" t="n"/>
      <c r="D5569" s="3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0">
      <c r="A5570" s="65" t="inlineStr">
        <is>
          <t>28/10/2025</t>
        </is>
      </c>
      <c r="B5570" s="8" t="n">
        <v>111.3286740192</v>
      </c>
      <c r="C5570" s="13" t="n"/>
      <c r="D5570" s="3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1">
      <c r="A5571" s="65" t="inlineStr">
        <is>
          <t>29/10/2025</t>
        </is>
      </c>
      <c r="B5571" s="8" t="n">
        <v>112.0605718221</v>
      </c>
      <c r="C5571" s="13" t="n"/>
      <c r="D5571" s="3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2">
      <c r="A5572" s="65" t="inlineStr">
        <is>
          <t>30/10/2025</t>
        </is>
      </c>
      <c r="B5572" s="8" t="n">
        <v>113.2135615116</v>
      </c>
      <c r="C5572" s="13" t="n"/>
      <c r="D5572" s="3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3">
      <c r="A5573" s="65" t="inlineStr">
        <is>
          <t>31/10/2025</t>
        </is>
      </c>
      <c r="B5573" s="8" t="n">
        <v>113.9454593145</v>
      </c>
      <c r="C5573" s="13" t="n"/>
      <c r="D5573" s="3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4">
      <c r="A5574" s="65" t="inlineStr">
        <is>
          <t>03/11/2025</t>
        </is>
      </c>
      <c r="B5574" s="8" t="n">
        <v>112.328766</v>
      </c>
      <c r="C5574" s="13" t="n"/>
      <c r="D5574" s="3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5">
      <c r="A5575" s="65" t="inlineStr">
        <is>
          <t>04/11/2025</t>
        </is>
      </c>
      <c r="B5575" s="8" t="n">
        <v>109.669032</v>
      </c>
      <c r="C5575" s="13" t="n"/>
      <c r="D5575" s="3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6">
      <c r="A5576" s="65" t="inlineStr">
        <is>
          <t>05/11/2025</t>
        </is>
      </c>
      <c r="B5576" s="8" t="n">
        <v>108.959103</v>
      </c>
      <c r="C5576" s="13" t="n"/>
      <c r="D5576" s="3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7">
      <c r="A5577" s="65" t="inlineStr">
        <is>
          <t>06/11/2025</t>
        </is>
      </c>
      <c r="B5577" s="8" t="n">
        <v>108.309168</v>
      </c>
      <c r="C5577" s="13" t="n"/>
      <c r="D5577" s="3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8">
      <c r="A5578" s="65" t="inlineStr">
        <is>
          <t>07/11/2025</t>
        </is>
      </c>
      <c r="B5578" s="8" t="n">
        <v>107.149284</v>
      </c>
      <c r="C5578" s="13" t="n"/>
      <c r="D5578" s="3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9">
      <c r="A5579" s="65" t="inlineStr">
        <is>
          <t>10/11/2025</t>
        </is>
      </c>
      <c r="B5579" s="8" t="n">
        <v>107.829216</v>
      </c>
      <c r="C5579" s="13" t="n"/>
      <c r="D5579" s="3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0">
      <c r="A5580" s="65" t="inlineStr">
        <is>
          <t>11/11/2025</t>
        </is>
      </c>
      <c r="B5580" s="8" t="n">
        <v>108.699129</v>
      </c>
      <c r="C5580" s="13" t="n"/>
      <c r="D5580" s="3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1">
      <c r="A5581" s="65" t="inlineStr">
        <is>
          <t>12/11/2025</t>
        </is>
      </c>
      <c r="B5581" s="8" t="n">
        <v>107.129286</v>
      </c>
      <c r="C5581" s="13" t="n"/>
      <c r="D5581" s="3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2">
      <c r="A5582" s="65" t="inlineStr">
        <is>
          <t>13/11/2025</t>
        </is>
      </c>
      <c r="B5582" s="8" t="n">
        <v>107.049294</v>
      </c>
      <c r="C5582" s="13" t="n"/>
      <c r="D5582" s="3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3">
      <c r="A5583" s="65" t="inlineStr">
        <is>
          <t>14/11/2025</t>
        </is>
      </c>
      <c r="B5583" s="8" t="n">
        <v>106.399359</v>
      </c>
      <c r="C5583" s="13" t="n"/>
      <c r="D5583" s="3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4">
      <c r="A5584" s="65" t="inlineStr">
        <is>
          <t>17/11/2025</t>
        </is>
      </c>
      <c r="B5584" s="8" t="n">
        <v>106.239375</v>
      </c>
      <c r="C5584" s="13" t="n"/>
      <c r="D5584" s="3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5">
      <c r="A5585" s="65" t="inlineStr">
        <is>
          <t>18/11/2025</t>
        </is>
      </c>
      <c r="B5585" s="8" t="n">
        <v>107.149284</v>
      </c>
      <c r="C5585" s="13" t="n"/>
      <c r="D5585" s="3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6">
      <c r="A5586" s="65" t="inlineStr">
        <is>
          <t>19/11/2025</t>
        </is>
      </c>
      <c r="B5586" s="8" t="n">
        <v>106.799319</v>
      </c>
      <c r="C5586" s="13" t="n"/>
      <c r="D5586" s="3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7">
      <c r="A5587" s="65" t="inlineStr">
        <is>
          <t>21/11/2025</t>
        </is>
      </c>
      <c r="B5587" s="8" t="n">
        <v>106.48935</v>
      </c>
      <c r="C5587" s="13" t="n"/>
      <c r="D5587" s="3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8">
      <c r="A5588" s="65" t="inlineStr">
        <is>
          <t>24/11/2025</t>
        </is>
      </c>
      <c r="B5588" s="8" t="n">
        <v>106.109388</v>
      </c>
      <c r="C5588" s="13" t="n"/>
      <c r="D5588" s="3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9">
      <c r="A5589" s="65" t="inlineStr">
        <is>
          <t>25/11/2025</t>
        </is>
      </c>
      <c r="B5589" s="8" t="n">
        <v>105.509448</v>
      </c>
      <c r="C5589" s="13" t="n"/>
      <c r="D5589" s="3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0">
      <c r="A5590" s="65" t="inlineStr">
        <is>
          <t>26/11/2025</t>
        </is>
      </c>
      <c r="B5590" s="8" t="n">
        <v>106.969302</v>
      </c>
      <c r="C5590" s="13" t="n"/>
      <c r="D5590" s="3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1">
      <c r="A5591" s="65" t="inlineStr">
        <is>
          <t>27/11/2025</t>
        </is>
      </c>
      <c r="B5591" s="8" t="n">
        <v>107.439255</v>
      </c>
      <c r="C5591" s="13" t="n"/>
      <c r="D5591" s="3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2">
      <c r="A5592" s="65" t="inlineStr">
        <is>
          <t>28/11/2025</t>
        </is>
      </c>
      <c r="B5592" s="8" t="n">
        <v>108.48915</v>
      </c>
      <c r="C5592" s="13" t="n"/>
      <c r="D5592" s="3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3">
      <c r="A5593" s="65" t="inlineStr">
        <is>
          <t>01/12/2025</t>
        </is>
      </c>
      <c r="B5593" s="8" t="n">
        <v>109.02</v>
      </c>
      <c r="C5593" s="13" t="n"/>
      <c r="D5593" s="3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4">
      <c r="A5594" s="65" t="inlineStr">
        <is>
          <t>02/12/2025</t>
        </is>
      </c>
      <c r="B5594" s="8" t="n">
        <v>108.77</v>
      </c>
      <c r="C5594" s="13" t="n"/>
      <c r="D5594" s="3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5">
      <c r="A5595" s="65" t="inlineStr">
        <is>
          <t>03/12/2025</t>
        </is>
      </c>
      <c r="B5595" s="8" t="n">
        <v>107.42</v>
      </c>
      <c r="C5595" s="13" t="n"/>
      <c r="D5595" s="3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6">
      <c r="A5596" s="65" t="inlineStr">
        <is>
          <t>04/12/2025</t>
        </is>
      </c>
      <c r="B5596" s="8" t="n">
        <v>107.58</v>
      </c>
      <c r="C5596" s="13" t="n"/>
      <c r="D5596" s="3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7">
      <c r="A5597" s="65" t="inlineStr">
        <is>
          <t>05/12/2025</t>
        </is>
      </c>
      <c r="B5597" s="8" t="n">
        <v>107.39</v>
      </c>
      <c r="C5597" s="13" t="n"/>
      <c r="D5597" s="3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8">
      <c r="A5598" s="65" t="inlineStr">
        <is>
          <t>08/12/2025</t>
        </is>
      </c>
      <c r="B5598" s="8" t="n">
        <v>107.39</v>
      </c>
      <c r="C5598" s="13" t="n"/>
      <c r="D5598" s="3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9">
      <c r="A5599" s="65" t="inlineStr">
        <is>
          <t>09/12/2025</t>
        </is>
      </c>
      <c r="B5599" s="8" t="n">
        <v>110.82</v>
      </c>
      <c r="C5599" s="13" t="n"/>
      <c r="D5599" s="3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0">
      <c r="A5600" s="65" t="inlineStr">
        <is>
          <t>10/12/2025</t>
        </is>
      </c>
      <c r="B5600" s="8" t="n">
        <v>112.9</v>
      </c>
      <c r="C5600" s="13" t="n"/>
      <c r="D5600" s="3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1">
      <c r="A5601" s="65" t="inlineStr">
        <is>
          <t>11/12/2025</t>
        </is>
      </c>
      <c r="B5601" s="8" t="n">
        <v>109.94</v>
      </c>
      <c r="C5601" s="13" t="n"/>
      <c r="D5601" s="3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2">
      <c r="A5602" s="65" t="inlineStr">
        <is>
          <t>12/12/2025</t>
        </is>
      </c>
      <c r="B5602" s="8" t="n">
        <v>110.43</v>
      </c>
      <c r="C5602" s="13" t="n"/>
      <c r="D5602" s="3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3">
      <c r="A5603" s="65" t="inlineStr">
        <is>
          <t>15/12/2025</t>
        </is>
      </c>
      <c r="B5603" s="8" t="n">
        <v>109.1</v>
      </c>
      <c r="C5603" s="13" t="n"/>
      <c r="D5603" s="3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4">
      <c r="A5604" s="65" t="inlineStr">
        <is>
          <t>16/12/2025</t>
        </is>
      </c>
      <c r="B5604" s="8" t="n">
        <v>109.74</v>
      </c>
      <c r="C5604" s="13" t="n"/>
      <c r="D5604" s="3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5">
      <c r="A5605" s="65" t="inlineStr">
        <is>
          <t>17/12/2025</t>
        </is>
      </c>
      <c r="B5605" s="8" t="n">
        <v>109.65</v>
      </c>
      <c r="C5605" s="13" t="n"/>
      <c r="D5605" s="3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6">
      <c r="A5606" s="65" t="inlineStr">
        <is>
          <t>18/12/2025</t>
        </is>
      </c>
      <c r="B5606" s="8" t="n">
        <v>111</v>
      </c>
      <c r="C5606" s="13" t="n"/>
      <c r="D5606" s="3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7">
      <c r="A5607" s="65" t="inlineStr">
        <is>
          <t>19/12/2025</t>
        </is>
      </c>
      <c r="B5607" s="8" t="n">
        <v>110.75</v>
      </c>
      <c r="C5607" s="13" t="n"/>
      <c r="D5607" s="3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8">
      <c r="A5608" s="65" t="inlineStr">
        <is>
          <t>22/12/2025</t>
        </is>
      </c>
      <c r="B5608" s="8" t="n">
        <v>110.63</v>
      </c>
      <c r="C5608" s="13" t="n"/>
      <c r="D5608" s="3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9">
      <c r="A5609" s="65" t="inlineStr">
        <is>
          <t>23/12/2025</t>
        </is>
      </c>
      <c r="B5609" s="8" t="n">
        <v>110.63</v>
      </c>
      <c r="C5609" s="13" t="n"/>
      <c r="D5609" s="3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0">
      <c r="A5610" s="65" t="inlineStr">
        <is>
          <t>26/12/2025</t>
        </is>
      </c>
      <c r="B5610" s="8" t="n">
        <v>110.63</v>
      </c>
      <c r="C5610" s="13" t="n"/>
      <c r="D5610" s="3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1">
      <c r="A5611" s="65" t="inlineStr">
        <is>
          <t>29/12/2025</t>
        </is>
      </c>
      <c r="B5611" s="8" t="n">
        <v>109.99</v>
      </c>
      <c r="C5611" s="13" t="n"/>
      <c r="D5611" s="3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2">
      <c r="A5612" s="65" t="inlineStr">
        <is>
          <t>30/12/2025</t>
        </is>
      </c>
      <c r="B5612" s="8" t="n">
        <v>109.99</v>
      </c>
      <c r="C5612" s="13" t="n"/>
      <c r="D5612" s="3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3">
      <c r="A5613" s="65" t="inlineStr">
        <is>
          <t>02/01/2026</t>
        </is>
      </c>
      <c r="B5613" s="8" t="n">
        <v>109.99</v>
      </c>
      <c r="C5613" s="13" t="n"/>
      <c r="D5613" s="3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4">
      <c r="A5614" s="65" t="inlineStr">
        <is>
          <t>05/01/2026</t>
        </is>
      </c>
      <c r="B5614" s="8" t="n">
        <v>108.77</v>
      </c>
      <c r="C5614" s="13" t="n"/>
      <c r="D5614" s="3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5">
      <c r="A5615" s="65" t="inlineStr">
        <is>
          <t>06/01/2026</t>
        </is>
      </c>
      <c r="B5615" s="8" t="n">
        <v>106.76</v>
      </c>
      <c r="C5615" s="13" t="n"/>
      <c r="D5615" s="3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6">
      <c r="A5616" s="65" t="inlineStr">
        <is>
          <t>07/01/2026</t>
        </is>
      </c>
      <c r="B5616" s="8" t="n">
        <v>107.91</v>
      </c>
      <c r="C5616" s="13" t="n"/>
      <c r="D5616" s="3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7">
      <c r="A5617" s="65" t="inlineStr">
        <is>
          <t>08/01/2026</t>
        </is>
      </c>
      <c r="B5617" s="8" t="n">
        <v>107.34</v>
      </c>
      <c r="C5617" s="13" t="n"/>
      <c r="D5617" s="3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8">
      <c r="A5618" s="65" t="inlineStr">
        <is>
          <t>09/01/2026</t>
        </is>
      </c>
      <c r="B5618" s="8" t="n">
        <v>106.65</v>
      </c>
      <c r="C5618" s="13" t="n"/>
      <c r="D5618" s="3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9">
      <c r="A5619" s="65" t="inlineStr">
        <is>
          <t>12/01/2026</t>
        </is>
      </c>
      <c r="B5619" s="8" t="n">
        <v>106.65</v>
      </c>
      <c r="C5619" s="13" t="n"/>
      <c r="D5619" s="3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0">
      <c r="A5620" s="65" t="inlineStr">
        <is>
          <t>13/01/2026</t>
        </is>
      </c>
      <c r="B5620" s="8" t="n">
        <v>105.4</v>
      </c>
      <c r="C5620" s="13" t="n"/>
      <c r="D5620" s="3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1">
      <c r="A5621" s="65" t="inlineStr">
        <is>
          <t>14/01/2026</t>
        </is>
      </c>
      <c r="B5621" s="8" t="n">
        <v>106.71</v>
      </c>
      <c r="C5621" s="13" t="n"/>
      <c r="D5621" s="3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2">
      <c r="A5622" s="65" t="inlineStr">
        <is>
          <t>15/01/2026</t>
        </is>
      </c>
      <c r="B5622" s="8" t="n">
        <v>106.98</v>
      </c>
      <c r="C5622" s="13" t="n"/>
      <c r="D5622" s="3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3">
      <c r="A5623" s="65" t="inlineStr">
        <is>
          <t>16/01/2026</t>
        </is>
      </c>
      <c r="B5623" s="8" t="n">
        <v>103.97</v>
      </c>
      <c r="C5623" s="13" t="n"/>
      <c r="D5623" s="3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4">
      <c r="A5624" s="65" t="inlineStr">
        <is>
          <t>19/01/2026</t>
        </is>
      </c>
      <c r="B5624" s="8" t="n">
        <v>104.37</v>
      </c>
      <c r="C5624" s="13" t="n"/>
      <c r="D5624" s="3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5">
      <c r="A5625" s="65" t="inlineStr">
        <is>
          <t>20/01/2026</t>
        </is>
      </c>
      <c r="B5625" s="8" t="n">
        <v>103.44</v>
      </c>
      <c r="C5625" s="13" t="n"/>
      <c r="D5625" s="3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6">
      <c r="A5626" s="65" t="inlineStr">
        <is>
          <t>21/01/2026</t>
        </is>
      </c>
      <c r="B5626" s="8" t="n">
        <v>104.66</v>
      </c>
      <c r="C5626" s="13" t="n"/>
      <c r="D5626" s="3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7">
      <c r="A5627" s="65" t="inlineStr">
        <is>
          <t>22/01/2026</t>
        </is>
      </c>
      <c r="B5627" s="8" t="n">
        <v>104.59</v>
      </c>
      <c r="C5627" s="13" t="n"/>
      <c r="D5627" s="3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8">
      <c r="A5628" s="65" t="inlineStr">
        <is>
          <t>23/01/2026</t>
        </is>
      </c>
      <c r="B5628" s="8" t="n">
        <v>104.84</v>
      </c>
      <c r="C5628" s="13" t="n"/>
      <c r="D5628" s="3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9">
      <c r="A5629" s="65" t="inlineStr">
        <is>
          <t>26/01/2026</t>
        </is>
      </c>
      <c r="B5629" s="8" t="n">
        <v>104.92</v>
      </c>
      <c r="C5629" s="13" t="n"/>
      <c r="D5629" s="3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0">
      <c r="A5630" s="65" t="inlineStr">
        <is>
          <t>27/01/2026</t>
        </is>
      </c>
      <c r="B5630" s="8" t="n">
        <v>104.95</v>
      </c>
      <c r="C5630" s="13" t="n"/>
      <c r="D5630" s="3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1">
      <c r="A5631" s="65" t="inlineStr">
        <is>
          <t>28/01/2026</t>
        </is>
      </c>
      <c r="B5631" s="8" t="n">
        <v>104.6</v>
      </c>
      <c r="C5631" s="13" t="n"/>
      <c r="D5631" s="3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2">
      <c r="A5632" s="65" t="inlineStr">
        <is>
          <t>29/01/2026</t>
        </is>
      </c>
      <c r="B5632" s="8" t="n">
        <v>104.78</v>
      </c>
      <c r="C5632" s="13" t="n"/>
      <c r="D5632" s="3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3">
      <c r="A5633" s="65" t="inlineStr">
        <is>
          <t>30/01/2026</t>
        </is>
      </c>
      <c r="B5633" s="8" t="n">
        <v>104.89</v>
      </c>
      <c r="C5633" s="13" t="n"/>
      <c r="D5633" s="3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4">
      <c r="A5634" s="65" t="inlineStr">
        <is>
          <t>02/02/2026</t>
        </is>
      </c>
      <c r="B5634" s="8" t="n">
        <v>106.29</v>
      </c>
      <c r="C5634" s="13" t="n"/>
      <c r="D5634" s="3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5">
      <c r="A5635" s="65" t="inlineStr">
        <is>
          <t>03/02/2026</t>
        </is>
      </c>
      <c r="B5635" s="8" t="n">
        <v>105.81</v>
      </c>
      <c r="C5635" s="13" t="n"/>
      <c r="D5635" s="3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6">
      <c r="A5636" s="65" t="inlineStr">
        <is>
          <t>04/02/2026</t>
        </is>
      </c>
      <c r="B5636" s="8" t="n">
        <v>102.82</v>
      </c>
      <c r="C5636" s="13" t="n"/>
      <c r="D5636" s="3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7">
      <c r="A5637" s="65" t="inlineStr">
        <is>
          <t>05/02/2026</t>
        </is>
      </c>
      <c r="B5637" s="8" t="n">
        <v>101.76</v>
      </c>
      <c r="C5637" s="13" t="n"/>
      <c r="D5637" s="3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8">
      <c r="A5638" s="65" t="inlineStr">
        <is>
          <t>06/02/2026</t>
        </is>
      </c>
      <c r="B5638" s="8" t="n">
        <v>100.63</v>
      </c>
      <c r="C5638" s="13" t="n"/>
      <c r="D5638" s="3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9">
      <c r="A5639" s="65" t="inlineStr">
        <is>
          <t>09/02/2026</t>
        </is>
      </c>
      <c r="B5639" s="8" t="n">
        <v>100.1</v>
      </c>
      <c r="C5639" s="13" t="n"/>
      <c r="D5639" s="3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0">
      <c r="A5640" s="65" t="inlineStr">
        <is>
          <t>10/02/2026</t>
        </is>
      </c>
      <c r="B5640" s="8" t="n">
        <v>101.65</v>
      </c>
      <c r="C5640" s="13" t="n"/>
      <c r="D5640" s="3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1">
      <c r="A5641" s="65" t="inlineStr">
        <is>
          <t>11/02/2026</t>
        </is>
      </c>
      <c r="B5641" s="8" t="n">
        <v>99.67</v>
      </c>
      <c r="C5641" s="13" t="n"/>
      <c r="D5641" s="3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2">
      <c r="A5642" s="65" t="inlineStr">
        <is>
          <t>12/02/2026</t>
        </is>
      </c>
      <c r="B5642" s="8" t="n">
        <v>98.53</v>
      </c>
      <c r="C5642" s="13" t="n"/>
      <c r="D5642" s="3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3">
      <c r="A5643" s="65" t="inlineStr">
        <is>
          <t>13/02/2026</t>
        </is>
      </c>
      <c r="B5643" s="8" t="n">
        <v>99.51000000000001</v>
      </c>
      <c r="C5643" s="13" t="n"/>
      <c r="D5643" s="3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4">
      <c r="A5644" s="65" t="inlineStr">
        <is>
          <t>18/02/2026</t>
        </is>
      </c>
      <c r="B5644" s="8" t="n">
        <v>99.25</v>
      </c>
      <c r="C5644" s="13" t="n"/>
      <c r="D5644" s="3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5">
      <c r="A5645" s="65" t="inlineStr">
        <is>
          <t>19/02/2026</t>
        </is>
      </c>
      <c r="B5645" s="8" t="n">
        <v>101.9</v>
      </c>
      <c r="C5645" s="13" t="n"/>
      <c r="D5645" s="3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6">
      <c r="A5646" s="65" t="inlineStr">
        <is>
          <t>20/02/2026</t>
        </is>
      </c>
      <c r="B5646" s="8" t="n">
        <v>100.45</v>
      </c>
      <c r="C5646" s="13" t="n"/>
      <c r="D5646" s="3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7">
      <c r="A5647" s="65" t="inlineStr">
        <is>
          <t>23/02/2026</t>
        </is>
      </c>
      <c r="B5647" s="8" t="n">
        <v>99.09</v>
      </c>
      <c r="C5647" s="13" t="n"/>
      <c r="D5647" s="3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8">
      <c r="A5648" s="65" t="inlineStr">
        <is>
          <t>24/02/2026</t>
        </is>
      </c>
      <c r="B5648" s="8" t="n">
        <v>99.11</v>
      </c>
      <c r="C5648" s="13" t="n"/>
      <c r="D5648" s="3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9">
      <c r="A5649" s="65" t="inlineStr">
        <is>
          <t>25/02/2026</t>
        </is>
      </c>
      <c r="B5649" s="8" t="n">
        <v>98.28</v>
      </c>
      <c r="C5649" s="13" t="n"/>
      <c r="D5649" s="3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0">
      <c r="A5650" s="65" t="inlineStr">
        <is>
          <t>26/02/2026</t>
        </is>
      </c>
      <c r="B5650" s="8" t="n">
        <v>98.14</v>
      </c>
      <c r="C5650" s="13" t="n"/>
      <c r="D5650" s="3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1">
      <c r="A5651" s="65" t="inlineStr">
        <is>
          <t>27/02/2026</t>
        </is>
      </c>
      <c r="B5651" s="8" t="n">
        <v>98.59</v>
      </c>
      <c r="C5651" s="13" t="n"/>
      <c r="D5651" s="3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2">
      <c r="A5652" s="65" t="inlineStr">
        <is>
          <t>02/03/2026</t>
        </is>
      </c>
      <c r="B5652" s="8" t="n">
        <v>98.55</v>
      </c>
      <c r="C5652" s="13" t="n"/>
      <c r="D5652" s="3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3">
      <c r="A5653" s="65" t="inlineStr">
        <is>
          <t>03/03/2026</t>
        </is>
      </c>
      <c r="B5653" s="8" t="n">
        <v>98.23</v>
      </c>
      <c r="C5653" s="13" t="n"/>
      <c r="D5653" s="3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4">
      <c r="A5654" s="65" t="inlineStr">
        <is>
          <t>04/03/2026</t>
        </is>
      </c>
      <c r="B5654" s="8" t="n">
        <v>98.23</v>
      </c>
      <c r="C5654" s="13" t="n"/>
      <c r="D5654" s="3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5">
      <c r="A5655" s="65" t="inlineStr">
        <is>
          <t>05/03/2026</t>
        </is>
      </c>
      <c r="B5655" s="8" t="n">
        <v>97.62</v>
      </c>
      <c r="C5655" s="13" t="n"/>
      <c r="D5655" s="3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6">
      <c r="A5656" s="65" t="inlineStr">
        <is>
          <t>06/03/2026</t>
        </is>
      </c>
      <c r="B5656" s="8" t="n">
        <v>97.38</v>
      </c>
      <c r="C5656" s="13" t="n"/>
      <c r="D5656" s="3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7">
      <c r="A5657" s="65" t="inlineStr">
        <is>
          <t>09/03/2026</t>
        </is>
      </c>
      <c r="B5657" s="8" t="n">
        <v>98.31</v>
      </c>
      <c r="C5657" s="13" t="n"/>
      <c r="D5657" s="3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8">
      <c r="A5658" s="65" t="inlineStr">
        <is>
          <t>10/03/2026</t>
        </is>
      </c>
      <c r="B5658" s="8" t="n">
        <v>98.52</v>
      </c>
      <c r="C5658" s="13" t="n"/>
      <c r="D5658" s="3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9">
      <c r="A5659" s="65" t="inlineStr">
        <is>
          <t>11/03/2026</t>
        </is>
      </c>
      <c r="B5659" s="8" t="n">
        <v>97.28</v>
      </c>
      <c r="C5659" s="13" t="n"/>
      <c r="D5659" s="3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0">
      <c r="A5660" s="65" t="inlineStr">
        <is>
          <t>12/03/2026</t>
        </is>
      </c>
      <c r="B5660" s="8" t="n">
        <v>95.79000000000001</v>
      </c>
      <c r="C5660" s="13" t="n"/>
      <c r="D5660" s="3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1">
      <c r="A5661" s="65" t="inlineStr">
        <is>
          <t>13/03/2026</t>
        </is>
      </c>
      <c r="B5661" s="8" t="n">
        <v>97.23999999999999</v>
      </c>
      <c r="C5661" s="13" t="n"/>
      <c r="D5661" s="3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2">
      <c r="A5662" s="65" t="inlineStr">
        <is>
          <t>16/03/2026</t>
        </is>
      </c>
      <c r="B5662" s="8" t="n">
        <v>97.62</v>
      </c>
      <c r="C5662" s="13" t="n"/>
      <c r="D5662" s="3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3">
      <c r="A5663" s="65" t="inlineStr">
        <is>
          <t>17/03/2026</t>
        </is>
      </c>
      <c r="B5663" s="8" t="n">
        <v>97.11</v>
      </c>
      <c r="C5663" s="13" t="n"/>
      <c r="D5663" s="3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4">
      <c r="A5664" s="65" t="inlineStr">
        <is>
          <t>18/03/2026</t>
        </is>
      </c>
      <c r="B5664" s="8" t="n">
        <v>98.16</v>
      </c>
      <c r="C5664" s="13" t="n"/>
      <c r="D5664" s="3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5">
      <c r="A5665" s="65" t="inlineStr">
        <is>
          <t>19/03/2026</t>
        </is>
      </c>
      <c r="B5665" s="8" t="n">
        <v>100.51</v>
      </c>
      <c r="C5665" s="13" t="n"/>
      <c r="D5665" s="3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6">
      <c r="A5666" s="65" t="inlineStr">
        <is>
          <t>20/03/2026</t>
        </is>
      </c>
      <c r="B5666" s="8" t="n">
        <v>101.32</v>
      </c>
      <c r="C5666" s="13" t="n"/>
      <c r="D5666" s="3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7">
      <c r="A5667" s="65" t="inlineStr">
        <is>
          <t>23/03/2026</t>
        </is>
      </c>
      <c r="B5667" s="8" t="n">
        <v>100.77</v>
      </c>
      <c r="C5667" s="13" t="n"/>
      <c r="D5667" s="3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8">
      <c r="A5668" s="65" t="inlineStr">
        <is>
          <t>24/03/2026</t>
        </is>
      </c>
      <c r="B5668" s="8" t="n">
        <v>102.26</v>
      </c>
      <c r="C5668" s="13" t="n"/>
      <c r="D5668" s="3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9">
      <c r="A5669" s="65" t="inlineStr">
        <is>
          <t>25/03/2026</t>
        </is>
      </c>
      <c r="B5669" s="8" t="n">
        <v>102.28</v>
      </c>
      <c r="C5669" s="13" t="n"/>
      <c r="D5669" s="3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0">
      <c r="A5670" s="65" t="inlineStr">
        <is>
          <t>26/03/2026</t>
        </is>
      </c>
      <c r="B5670" s="8" t="n">
        <v>103.83</v>
      </c>
      <c r="C5670" s="13" t="n"/>
      <c r="D5670" s="3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1">
      <c r="A5671" s="65" t="inlineStr">
        <is>
          <t>27/03/2026</t>
        </is>
      </c>
      <c r="B5671" s="8" t="n">
        <v>103.29</v>
      </c>
      <c r="C5671" s="13" t="n"/>
      <c r="D5671" s="3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2">
      <c r="A5672" s="65" t="inlineStr">
        <is>
          <t>30/03/2026</t>
        </is>
      </c>
      <c r="B5672" s="8" t="n">
        <v>105.41</v>
      </c>
      <c r="C5672" s="13" t="n"/>
      <c r="D5672" s="3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3">
      <c r="A5673" s="65" t="inlineStr">
        <is>
          <t>31/03/2026</t>
        </is>
      </c>
      <c r="B5673" s="8" t="n">
        <v>105.46</v>
      </c>
      <c r="C5673" s="13" t="n"/>
      <c r="D5673" s="3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4">
      <c r="A5674" s="65" t="inlineStr">
        <is>
          <t>01/04/2026</t>
        </is>
      </c>
      <c r="B5674" s="8" t="n">
        <v>105.33</v>
      </c>
      <c r="C5674" s="13" t="n"/>
      <c r="D5674" s="3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5">
      <c r="A5675" s="65" t="inlineStr">
        <is>
          <t>02/04/2026</t>
        </is>
      </c>
      <c r="B5675" s="8" t="n">
        <v>105.06</v>
      </c>
      <c r="C5675" s="13" t="n"/>
      <c r="D5675" s="3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6">
      <c r="A5676" s="65" t="inlineStr">
        <is>
          <t>06/04/2026</t>
        </is>
      </c>
      <c r="B5676" s="8" t="n">
        <v>104.16</v>
      </c>
      <c r="C5676" s="13" t="n"/>
      <c r="D5676" s="3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7">
      <c r="A5677" s="65" t="inlineStr">
        <is>
          <t>07/04/2026</t>
        </is>
      </c>
      <c r="B5677" s="8" t="n">
        <v>103.38</v>
      </c>
      <c r="C5677" s="13" t="n"/>
      <c r="D5677" s="3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8">
      <c r="A5678" s="65" t="inlineStr">
        <is>
          <t>08/04/2026</t>
        </is>
      </c>
      <c r="B5678" s="8" t="n">
        <v>103.82</v>
      </c>
      <c r="C5678" s="13" t="n"/>
      <c r="D5678" s="3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9">
      <c r="A5679" s="65" t="inlineStr">
        <is>
          <t>09/04/2026</t>
        </is>
      </c>
      <c r="B5679" s="8" t="n">
        <v>104.16</v>
      </c>
      <c r="C5679" s="13" t="n"/>
      <c r="D5679" s="3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0">
      <c r="A5680" s="65" t="inlineStr">
        <is>
          <t>10/04/2026</t>
        </is>
      </c>
      <c r="B5680" s="8" t="n">
        <v>105.78</v>
      </c>
      <c r="C5680" s="13" t="n"/>
      <c r="D5680" s="3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1">
      <c r="A5681" s="65" t="inlineStr">
        <is>
          <t>13/04/2026</t>
        </is>
      </c>
      <c r="B5681" s="8" t="n">
        <v>103.47</v>
      </c>
      <c r="C5681" s="13" t="n"/>
      <c r="D5681" s="3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2">
      <c r="A5682" s="65" t="inlineStr">
        <is>
          <t>14/04/2026</t>
        </is>
      </c>
      <c r="B5682" s="8" t="n">
        <v>101.5</v>
      </c>
      <c r="C5682" s="13" t="n"/>
      <c r="D5682" s="3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3">
      <c r="A5683" s="65" t="inlineStr">
        <is>
          <t>15/04/2026</t>
        </is>
      </c>
      <c r="B5683" s="8" t="n">
        <v>99.37</v>
      </c>
      <c r="C5683" s="13" t="n"/>
      <c r="D5683" s="3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4">
      <c r="A5684" s="65" t="inlineStr">
        <is>
          <t>16/04/2026</t>
        </is>
      </c>
      <c r="B5684" s="8" t="n">
        <v>99.14</v>
      </c>
      <c r="C5684" s="13" t="n"/>
      <c r="D5684" s="3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5">
      <c r="A5685" s="65" t="inlineStr">
        <is>
          <t>17/04/2026</t>
        </is>
      </c>
      <c r="B5685" s="8" t="n">
        <v>99.90000000000001</v>
      </c>
      <c r="C5685" s="13" t="n"/>
      <c r="D5685" s="3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6">
      <c r="A5686" s="65" t="inlineStr">
        <is>
          <t>20/04/2026</t>
        </is>
      </c>
      <c r="B5686" s="8" t="n">
        <v>99.39</v>
      </c>
      <c r="C5686" s="13" t="n"/>
      <c r="D5686" s="3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7">
      <c r="A5687" s="65" t="inlineStr">
        <is>
          <t>22/04/2026</t>
        </is>
      </c>
      <c r="B5687" s="8" t="n">
        <v>99.04000000000001</v>
      </c>
      <c r="C5687" s="13" t="n"/>
      <c r="D5687" s="3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8">
      <c r="A5688" s="65" t="inlineStr">
        <is>
          <t>23/04/2026</t>
        </is>
      </c>
      <c r="B5688" s="8" t="n">
        <v>96.06</v>
      </c>
      <c r="C5688" s="13" t="n"/>
      <c r="D5688" s="3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9">
      <c r="A5689" s="65" t="inlineStr">
        <is>
          <t>24/04/2026</t>
        </is>
      </c>
      <c r="B5689" s="8" t="n">
        <v>99.66</v>
      </c>
      <c r="C5689" s="13" t="n"/>
      <c r="D5689" s="3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0">
      <c r="A5690" s="65" t="inlineStr">
        <is>
          <t>27/04/2026</t>
        </is>
      </c>
      <c r="B5690" s="8" t="n">
        <v>98.70999999999999</v>
      </c>
      <c r="C5690" s="13" t="n"/>
      <c r="D5690" s="3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1">
      <c r="A5691" s="65" t="inlineStr">
        <is>
          <t>28/04/2026</t>
        </is>
      </c>
      <c r="B5691" s="8" t="n">
        <v>97.66</v>
      </c>
      <c r="C5691" s="13" t="n"/>
      <c r="D5691" s="3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2">
      <c r="A5692" s="65" t="inlineStr">
        <is>
          <t>29/04/2026</t>
        </is>
      </c>
      <c r="B5692" s="8" t="n">
        <v>99.81999999999999</v>
      </c>
      <c r="C5692" s="13" t="n"/>
      <c r="D5692" s="3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3">
      <c r="A5693" s="65" t="inlineStr">
        <is>
          <t>30/04/2026</t>
        </is>
      </c>
      <c r="B5693" s="8" t="n">
        <v>97.91</v>
      </c>
      <c r="C5693" s="13" t="n"/>
      <c r="D5693" s="3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4">
      <c r="A5694" s="65" t="inlineStr">
        <is>
          <t>04/05/2026</t>
        </is>
      </c>
      <c r="B5694" s="8" t="n">
        <v>97.83</v>
      </c>
      <c r="C5694" s="13" t="n"/>
      <c r="D5694" s="3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5">
      <c r="A5695" s="65" t="inlineStr">
        <is>
          <t>05/05/2026</t>
        </is>
      </c>
      <c r="B5695" s="8" t="n">
        <v>97.43000000000001</v>
      </c>
      <c r="C5695" s="13" t="n"/>
      <c r="D5695" s="3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6">
      <c r="A5696" s="65" t="inlineStr">
        <is>
          <t>06/05/2026</t>
        </is>
      </c>
      <c r="B5696" s="8" t="n">
        <v>97.72</v>
      </c>
      <c r="C5696" s="13" t="n"/>
      <c r="D5696" s="3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7">
      <c r="A5697" s="65" t="inlineStr">
        <is>
          <t>07/05/2026</t>
        </is>
      </c>
      <c r="B5697" s="8" t="n">
        <v>97.83</v>
      </c>
      <c r="C5697" s="13" t="n"/>
      <c r="D5697" s="3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8">
      <c r="A5698" s="65" t="inlineStr">
        <is>
          <t>08/05/2026</t>
        </is>
      </c>
      <c r="B5698" s="8" t="n">
        <v>96.59</v>
      </c>
      <c r="C5698" s="13" t="n"/>
      <c r="D5698" s="3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9">
      <c r="A5699" s="65" t="inlineStr">
        <is>
          <t>11/05/2026</t>
        </is>
      </c>
      <c r="B5699" s="8" t="n">
        <v>96.59999999999999</v>
      </c>
      <c r="C5699" s="13" t="n"/>
      <c r="D5699" s="3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0">
      <c r="A5700" s="65" t="inlineStr">
        <is>
          <t>12/05/2026</t>
        </is>
      </c>
      <c r="B5700" s="8" t="n">
        <v>96.3</v>
      </c>
      <c r="C5700" s="13" t="n"/>
      <c r="D5700" s="3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1">
      <c r="A5701" s="65" t="inlineStr">
        <is>
          <t>13/05/2026</t>
        </is>
      </c>
      <c r="B5701" s="8" t="n">
        <v>96.52</v>
      </c>
      <c r="C5701" s="13" t="n"/>
      <c r="D5701" s="3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2">
      <c r="A5702" s="65" t="inlineStr">
        <is>
          <t>14/05/2026</t>
        </is>
      </c>
      <c r="B5702" s="8" t="n">
        <v>95.23</v>
      </c>
      <c r="C5702" s="13" t="n"/>
      <c r="D5702" s="3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3">
      <c r="A5703" s="65" t="inlineStr">
        <is>
          <t>15/05/2026</t>
        </is>
      </c>
      <c r="B5703" s="8" t="n">
        <v>95.04000000000001</v>
      </c>
      <c r="C5703" s="13" t="n"/>
      <c r="D5703" s="3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4">
      <c r="A5704" s="65" t="inlineStr">
        <is>
          <t>18/05/2026</t>
        </is>
      </c>
      <c r="B5704" s="8" t="n">
        <v>94.7</v>
      </c>
      <c r="C5704" s="13" t="n"/>
      <c r="D5704" s="3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5">
      <c r="A5705" s="65" t="inlineStr">
        <is>
          <t>19/05/2026</t>
        </is>
      </c>
      <c r="B5705" s="8" t="n">
        <v>93.95999999999999</v>
      </c>
      <c r="C5705" s="13" t="n"/>
      <c r="D5705" s="3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6">
      <c r="A5706" s="65" t="inlineStr">
        <is>
          <t>20/05/2026</t>
        </is>
      </c>
      <c r="B5706" s="8" t="n">
        <v>93.25</v>
      </c>
      <c r="C5706" s="13" t="n"/>
      <c r="D5706" s="3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7">
      <c r="A5707" s="65" t="inlineStr">
        <is>
          <t>21/05/2026</t>
        </is>
      </c>
      <c r="B5707" s="8" t="n">
        <v>94.08</v>
      </c>
      <c r="C5707" s="13" t="n"/>
      <c r="D5707" s="3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8">
      <c r="A5708" s="65" t="inlineStr">
        <is>
          <t>22/05/2026</t>
        </is>
      </c>
      <c r="B5708" s="8" t="n">
        <v>93.56</v>
      </c>
      <c r="C5708" s="13" t="n"/>
      <c r="D5708" s="3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9">
      <c r="A5709" s="65" t="inlineStr">
        <is>
          <t>25/05/2026</t>
        </is>
      </c>
      <c r="B5709" s="8" t="n">
        <v>93.69</v>
      </c>
      <c r="C5709" s="13" t="n"/>
      <c r="D5709" s="3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0">
      <c r="A5710" s="65" t="inlineStr">
        <is>
          <t>26/05/2026</t>
        </is>
      </c>
      <c r="B5710" s="8" t="n">
        <v>93.09</v>
      </c>
      <c r="C5710" s="13" t="n"/>
      <c r="D5710" s="3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1">
      <c r="A5711" s="65" t="inlineStr">
        <is>
          <t>27/05/2026</t>
        </is>
      </c>
      <c r="B5711" s="8" t="n">
        <v>94.22</v>
      </c>
      <c r="C5711" s="13" t="n"/>
      <c r="D5711" s="3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2">
      <c r="A5712" s="65" t="inlineStr">
        <is>
          <t>28/05/2026</t>
        </is>
      </c>
      <c r="B5712" s="8" t="n">
        <v>93.84</v>
      </c>
      <c r="C5712" s="13" t="n"/>
      <c r="D5712" s="3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3">
      <c r="A5713" s="65" t="inlineStr">
        <is>
          <t>29/05/2026</t>
        </is>
      </c>
      <c r="B5713" s="8" t="n">
        <v>93</v>
      </c>
      <c r="C5713" s="13" t="n"/>
      <c r="D5713" s="3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4">
      <c r="A5714" s="65" t="inlineStr">
        <is>
          <t>01/06/2026</t>
        </is>
      </c>
      <c r="B5714" s="8" t="n">
        <v>94.27</v>
      </c>
      <c r="C5714" s="13" t="n"/>
      <c r="D5714" s="3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5">
      <c r="A5715" s="65" t="inlineStr">
        <is>
          <t>02/06/2026</t>
        </is>
      </c>
      <c r="B5715" s="8" t="n">
        <v>93.02</v>
      </c>
      <c r="C5715" s="13" t="n"/>
      <c r="D5715" s="3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6">
      <c r="A5716" s="65" t="inlineStr">
        <is>
          <t>03/06/2026</t>
        </is>
      </c>
      <c r="B5716" s="8" t="n">
        <v>93.23999999999999</v>
      </c>
      <c r="C5716" s="13" t="n"/>
      <c r="D5716" s="3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7">
      <c r="A5717" s="65" t="inlineStr">
        <is>
          <t>05/06/2026</t>
        </is>
      </c>
      <c r="B5717" s="8" t="n">
        <v>93.23999999999999</v>
      </c>
      <c r="C5717" s="13" t="n"/>
      <c r="D5717" s="3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8">
      <c r="A5718" s="65" t="inlineStr">
        <is>
          <t>08/06/2026</t>
        </is>
      </c>
      <c r="B5718" s="8" t="n">
        <v>91.36</v>
      </c>
      <c r="C5718" s="13" t="n"/>
      <c r="D5718" s="3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9">
      <c r="A5719" s="65" t="inlineStr">
        <is>
          <t>09/06/2026</t>
        </is>
      </c>
      <c r="B5719" s="8" t="n">
        <v>92.90000000000001</v>
      </c>
      <c r="C5719" s="13" t="n"/>
      <c r="D5719" s="3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0">
      <c r="A5720" s="65" t="inlineStr">
        <is>
          <t>10/06/2026</t>
        </is>
      </c>
      <c r="B5720" s="8" t="n">
        <v>92.34999999999999</v>
      </c>
      <c r="C5720" s="13" t="n"/>
      <c r="D5720" s="3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1">
      <c r="A5721" s="65" t="inlineStr">
        <is>
          <t>11/06/2026</t>
        </is>
      </c>
      <c r="B5721" s="8" t="n">
        <v>92.18000000000001</v>
      </c>
      <c r="C5721" s="13" t="n"/>
      <c r="D5721" s="3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2">
      <c r="A5722" s="65" t="inlineStr">
        <is>
          <t>12/06/2026</t>
        </is>
      </c>
      <c r="B5722" s="8" t="n">
        <v>92.84</v>
      </c>
      <c r="C5722" s="13" t="n"/>
      <c r="D5722" s="3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3">
      <c r="A5723" s="65" t="inlineStr">
        <is>
          <t>15/06/2026</t>
        </is>
      </c>
      <c r="B5723" s="8" t="n">
        <v>93.63</v>
      </c>
      <c r="C5723" s="13" t="n"/>
      <c r="D5723" s="3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4">
      <c r="A5724" s="65" t="inlineStr">
        <is>
          <t>16/06/2026</t>
        </is>
      </c>
      <c r="B5724" s="8" t="n">
        <v>92.09999999999999</v>
      </c>
      <c r="C5724" s="13" t="n"/>
      <c r="D5724" s="3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5">
      <c r="A5725" s="65" t="inlineStr">
        <is>
          <t>17/06/2026</t>
        </is>
      </c>
      <c r="B5725" s="8" t="n">
        <v>91.48</v>
      </c>
      <c r="C5725" s="13" t="n"/>
      <c r="D5725" s="3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6">
      <c r="A5726" s="65" t="inlineStr">
        <is>
          <t>18/06/2026</t>
        </is>
      </c>
      <c r="B5726" s="8" t="n">
        <v>90.75</v>
      </c>
      <c r="C5726" s="13" t="n"/>
      <c r="D5726" s="3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7">
      <c r="A5727" s="65" t="inlineStr">
        <is>
          <t>19/06/2026</t>
        </is>
      </c>
      <c r="B5727" s="8" t="n">
        <v>91.45999999999999</v>
      </c>
      <c r="C5727" s="13" t="n"/>
      <c r="D5727" s="3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8">
      <c r="A5728" s="65" t="inlineStr">
        <is>
          <t>22/06/2026</t>
        </is>
      </c>
      <c r="B5728" s="8" t="n">
        <v>91.59999999999999</v>
      </c>
      <c r="C5728" s="13" t="n"/>
      <c r="D5728" s="3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9">
      <c r="A5729" s="65" t="inlineStr">
        <is>
          <t>23/06/2026</t>
        </is>
      </c>
      <c r="B5729" s="8" t="n">
        <v>94.06999999999999</v>
      </c>
      <c r="C5729" s="13" t="n"/>
      <c r="D5729" s="3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Planilha3">
    <outlinePr summaryBelow="1" summaryRight="1"/>
    <pageSetUpPr/>
  </sheetPr>
  <dimension ref="A1:X1230"/>
  <sheetViews>
    <sheetView topLeftCell="A7" workbookViewId="0">
      <selection activeCell="J16" sqref="J16"/>
    </sheetView>
  </sheetViews>
  <sheetFormatPr baseColWidth="8" defaultRowHeight="15" outlineLevelCol="0"/>
  <cols>
    <col width="12.5703125" bestFit="1" customWidth="1" style="11" min="1" max="1"/>
    <col width="9.140625" customWidth="1" style="3" min="2" max="2"/>
    <col width="12.5703125" bestFit="1" customWidth="1" style="2" min="3" max="3"/>
    <col width="15.28515625" bestFit="1" customWidth="1" style="1" min="4" max="4"/>
    <col width="9.140625" customWidth="1" style="1" min="5" max="14"/>
    <col width="9.140625" customWidth="1" style="1" min="15" max="16384"/>
  </cols>
  <sheetData>
    <row r="1">
      <c r="A1" s="62" t="inlineStr">
        <is>
          <t>Data</t>
        </is>
      </c>
      <c r="B1" s="63" t="inlineStr">
        <is>
          <t>Cotação</t>
        </is>
      </c>
      <c r="C1" s="60" t="inlineStr">
        <is>
          <t>Mês</t>
        </is>
      </c>
      <c r="D1" s="59" t="inlineStr">
        <is>
          <t>Média Mensal</t>
        </is>
      </c>
      <c r="E1" s="59" t="inlineStr">
        <is>
          <t>M.B 100</t>
        </is>
      </c>
      <c r="G1" s="59" t="inlineStr">
        <is>
          <t>M.B 100 Histórico</t>
        </is>
      </c>
      <c r="H1" s="59" t="inlineStr">
        <is>
          <t>+1 D.P</t>
        </is>
      </c>
      <c r="I1" s="59" t="inlineStr">
        <is>
          <t>+2 D.P</t>
        </is>
      </c>
      <c r="J1" s="59" t="inlineStr">
        <is>
          <t>-1 D.P</t>
        </is>
      </c>
      <c r="K1" s="59" t="inlineStr">
        <is>
          <t>-2 D.P</t>
        </is>
      </c>
      <c r="L1" s="59" t="inlineStr">
        <is>
          <t>D.P</t>
        </is>
      </c>
      <c r="M1" s="39" t="str">
        <f>"M.B 100 - "&amp;YEAR(TODAY())</f>
        <v>M.B 100 - 2026</v>
      </c>
      <c r="N1" s="39" t="str">
        <f>"Média "&amp;YEAR(TODAY())</f>
        <v>Média 2026</v>
      </c>
      <c r="O1" s="59" t="inlineStr">
        <is>
          <t>Média Histórica</t>
        </is>
      </c>
      <c r="P1" s="59" t="inlineStr">
        <is>
          <t>D.P</t>
        </is>
      </c>
      <c r="Q1" s="59" t="inlineStr">
        <is>
          <t>+1 D.P</t>
        </is>
      </c>
      <c r="R1" s="59" t="inlineStr">
        <is>
          <t>+2 D.P</t>
        </is>
      </c>
      <c r="S1" s="59" t="inlineStr">
        <is>
          <t>-1 D.P</t>
        </is>
      </c>
      <c r="T1" s="59" t="inlineStr">
        <is>
          <t>-2 D.P</t>
        </is>
      </c>
    </row>
    <row r="2">
      <c r="A2" s="65" t="inlineStr">
        <is>
          <t>06/12/2002</t>
        </is>
      </c>
      <c r="B2" s="28" t="n">
        <v>3.019</v>
      </c>
      <c r="C2" s="40" t="n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/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" s="41" t="n">
        <v>100</v>
      </c>
      <c r="H2" s="41" t="n">
        <v>100</v>
      </c>
      <c r="I2" s="41" t="n">
        <v>100</v>
      </c>
      <c r="J2" s="41" t="n">
        <v>100</v>
      </c>
      <c r="K2" s="41" t="n">
        <v>100</v>
      </c>
      <c r="L2" s="41">
        <f t="array" ref="L2">IFERROR(_xlfn.STDEV.P(_xlfn._xlws.FILTER($E$2:$E$2000,(IFERROR(MONTH($C$2:$C$2000),0)=1)*ISNUMBER($D$2:$D$2000))),0)</f>
        <v/>
      </c>
      <c r="M2" s="41" t="n">
        <v>100</v>
      </c>
      <c r="N2" s="41">
        <f t="array" ref="N2">IFERROR(AVERAGE(_xlfn._xlws.FILTER($D$2:$D$2000,(IFERROR(MONTH($C$2:$C$2000),0)=1)*(IFERROR(YEAR($C$2:$C$2000),0)=YEAR(TODAY())))),"")</f>
        <v/>
      </c>
      <c r="O2" s="41">
        <f t="array" ref="O2">AVERAGE(_xlfn._xlws.FILTER($D$2:$D$2000,(IFERROR(MONTH($C$2:$C$2000),0)=1)*ISNUMBER($D$2:$D$2000)))</f>
        <v/>
      </c>
      <c r="P2" s="41">
        <f t="array" ref="P2">_xlfn.STDEV.P(_xlfn._xlws.FILTER($D$2:$D$2000,(IFERROR(MONTH($C$2:$C$2000),0)=1)*ISNUMBER($D$2:$D$2000)))</f>
        <v/>
      </c>
      <c r="Q2" s="41">
        <f>O2+(1*P2)</f>
        <v/>
      </c>
      <c r="R2" s="41">
        <f>O2+(2*P2)</f>
        <v/>
      </c>
      <c r="S2" s="41">
        <f>O2+(-1*P2)</f>
        <v/>
      </c>
      <c r="T2" s="41">
        <f>O2+(-2*P2)</f>
        <v/>
      </c>
      <c r="V2" s="1">
        <f>1</f>
        <v/>
      </c>
      <c r="W2" s="46">
        <f>DATE(2026,7,1)</f>
        <v/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3">
      <c r="A3" s="65" t="inlineStr">
        <is>
          <t>13/12/2002</t>
        </is>
      </c>
      <c r="B3" s="28" t="n">
        <v>3.0317</v>
      </c>
      <c r="C3" s="49" t="n">
        <v>37622</v>
      </c>
      <c r="D3" s="50">
        <f t="array" ref="D3">IF(C3="","",IFERROR(AVERAGE(_xlfn._xlws.FILTER($B$2:$B$2000,(IFERROR(VALUE(MID($A$2:$A$2000,4,2)),0)=MONTH(C3))*(IFERROR(VALUE(RIGHT($A$2:$A$2000,4)),0)=YEAR(C3)))),""))</f>
        <v/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3" s="51">
        <f>G$2*O3/O$2</f>
        <v/>
      </c>
      <c r="H3" s="51">
        <f>$G3+(1*$L3)</f>
        <v/>
      </c>
      <c r="I3" s="51">
        <f>$G3+(2*$L3)</f>
        <v/>
      </c>
      <c r="J3" s="51">
        <f>$G3+(-1*$L3)</f>
        <v/>
      </c>
      <c r="K3" s="51">
        <f>$G3+(-2*$L3)</f>
        <v/>
      </c>
      <c r="L3" s="51">
        <f t="array" ref="L3">IFERROR(_xlfn.STDEV.P(_xlfn._xlws.FILTER($E$2:$E$2000,(IFERROR(MONTH($C$2:$C$2000),0)=2)*ISNUMBER($D$2:$D$2000))),0)</f>
        <v/>
      </c>
      <c r="M3" s="51">
        <f>IFERROR($M$2*N3/$N$2,"")</f>
        <v/>
      </c>
      <c r="N3" s="51">
        <f t="array" ref="N3">IFERROR(AVERAGE(_xlfn._xlws.FILTER($D$2:$D$2000,(IFERROR(MONTH($C$2:$C$2000),0)=2)*(IFERROR(YEAR($C$2:$C$2000),0)=YEAR(TODAY())))),"")</f>
        <v/>
      </c>
      <c r="O3" s="51">
        <f t="array" ref="O3">AVERAGE(_xlfn._xlws.FILTER($D$2:$D$2000,(IFERROR(MONTH($C$2:$C$2000),0)=2)*ISNUMBER($D$2:$D$2000)))</f>
        <v/>
      </c>
      <c r="P3" s="51">
        <f t="array" ref="P3">_xlfn.STDEV.P(_xlfn._xlws.FILTER($D$2:$D$2000,(IFERROR(MONTH($C$2:$C$2000),0)=2)*ISNUMBER($D$2:$D$2000)))</f>
        <v/>
      </c>
      <c r="Q3" s="51">
        <f>O3+(1*P3)</f>
        <v/>
      </c>
      <c r="R3" s="51">
        <f>O3+(2*P3)</f>
        <v/>
      </c>
      <c r="S3" s="51">
        <f>O3+(-1*P3)</f>
        <v/>
      </c>
      <c r="T3" s="51">
        <f>O3+(-2*P3)</f>
        <v/>
      </c>
      <c r="V3" s="20">
        <f>1</f>
        <v/>
      </c>
      <c r="W3" s="52">
        <f>DATE(2026,7,1)</f>
        <v/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>
      <c r="A4" s="65" t="inlineStr">
        <is>
          <t>20/12/2002</t>
        </is>
      </c>
      <c r="B4" s="28" t="n">
        <v>3.0925</v>
      </c>
      <c r="C4" s="49" t="n">
        <v>37653</v>
      </c>
      <c r="D4" s="50">
        <f t="array" ref="D4">IF(C4="","",IFERROR(AVERAGE(_xlfn._xlws.FILTER($B$2:$B$2000,(IFERROR(VALUE(MID($A$2:$A$2000,4,2)),0)=MONTH(C4))*(IFERROR(VALUE(RIGHT($A$2:$A$2000,4)),0)=YEAR(C4)))),""))</f>
        <v/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4" s="51">
        <f>G$2*O4/O$2</f>
        <v/>
      </c>
      <c r="H4" s="51">
        <f>$G4+(1*$L4)</f>
        <v/>
      </c>
      <c r="I4" s="51">
        <f>$G4+(2*$L4)</f>
        <v/>
      </c>
      <c r="J4" s="51">
        <f>$G4+(-1*$L4)</f>
        <v/>
      </c>
      <c r="K4" s="51">
        <f>$G4+(-2*$L4)</f>
        <v/>
      </c>
      <c r="L4" s="51">
        <f t="array" ref="L4">IFERROR(_xlfn.STDEV.P(_xlfn._xlws.FILTER($E$2:$E$2000,(IFERROR(MONTH($C$2:$C$2000),0)=3)*ISNUMBER($D$2:$D$2000))),0)</f>
        <v/>
      </c>
      <c r="M4" s="51">
        <f>IFERROR($M$2*N4/$N$2,"")</f>
        <v/>
      </c>
      <c r="N4" s="51">
        <f t="array" ref="N4">IFERROR(AVERAGE(_xlfn._xlws.FILTER($D$2:$D$2000,(IFERROR(MONTH($C$2:$C$2000),0)=3)*(IFERROR(YEAR($C$2:$C$2000),0)=YEAR(TODAY())))),"")</f>
        <v/>
      </c>
      <c r="O4" s="51">
        <f t="array" ref="O4">AVERAGE(_xlfn._xlws.FILTER($D$2:$D$2000,(IFERROR(MONTH($C$2:$C$2000),0)=3)*ISNUMBER($D$2:$D$2000)))</f>
        <v/>
      </c>
      <c r="P4" s="51">
        <f t="array" ref="P4">_xlfn.STDEV.P(_xlfn._xlws.FILTER($D$2:$D$2000,(IFERROR(MONTH($C$2:$C$2000),0)=3)*ISNUMBER($D$2:$D$2000)))</f>
        <v/>
      </c>
      <c r="Q4" s="51">
        <f>O4+(1*P4)</f>
        <v/>
      </c>
      <c r="R4" s="51">
        <f>O4+(2*P4)</f>
        <v/>
      </c>
      <c r="S4" s="51">
        <f>O4+(-1*P4)</f>
        <v/>
      </c>
      <c r="T4" s="51">
        <f>O4+(-2*P4)</f>
        <v/>
      </c>
      <c r="V4" s="20">
        <f>1</f>
        <v/>
      </c>
      <c r="W4" s="52">
        <f>DATE(2026,7,1)</f>
        <v/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>
      <c r="A5" s="65" t="inlineStr">
        <is>
          <t>27/12/2002</t>
        </is>
      </c>
      <c r="B5" s="28" t="n">
        <v>3.0382</v>
      </c>
      <c r="C5" s="49" t="n">
        <v>37681</v>
      </c>
      <c r="D5" s="50">
        <f t="array" ref="D5">IF(C5="","",IFERROR(AVERAGE(_xlfn._xlws.FILTER($B$2:$B$2000,(IFERROR(VALUE(MID($A$2:$A$2000,4,2)),0)=MONTH(C5))*(IFERROR(VALUE(RIGHT($A$2:$A$2000,4)),0)=YEAR(C5)))),""))</f>
        <v/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5" s="51">
        <f>G$2*O5/O$2</f>
        <v/>
      </c>
      <c r="H5" s="51">
        <f>$G5+(1*$L5)</f>
        <v/>
      </c>
      <c r="I5" s="51">
        <f>$G5+(2*$L5)</f>
        <v/>
      </c>
      <c r="J5" s="51">
        <f>$G5+(-1*$L5)</f>
        <v/>
      </c>
      <c r="K5" s="51">
        <f>$G5+(-2*$L5)</f>
        <v/>
      </c>
      <c r="L5" s="51">
        <f t="array" ref="L5">IFERROR(_xlfn.STDEV.P(_xlfn._xlws.FILTER($E$2:$E$2000,(IFERROR(MONTH($C$2:$C$2000),0)=4)*ISNUMBER($D$2:$D$2000))),0)</f>
        <v/>
      </c>
      <c r="M5" s="51">
        <f>IFERROR($M$2*N5/$N$2,"")</f>
        <v/>
      </c>
      <c r="N5" s="51">
        <f t="array" ref="N5">IFERROR(AVERAGE(_xlfn._xlws.FILTER($D$2:$D$2000,(IFERROR(MONTH($C$2:$C$2000),0)=4)*(IFERROR(YEAR($C$2:$C$2000),0)=YEAR(TODAY())))),"")</f>
        <v/>
      </c>
      <c r="O5" s="51">
        <f t="array" ref="O5">AVERAGE(_xlfn._xlws.FILTER($D$2:$D$2000,(IFERROR(MONTH($C$2:$C$2000),0)=4)*ISNUMBER($D$2:$D$2000)))</f>
        <v/>
      </c>
      <c r="P5" s="51">
        <f t="array" ref="P5">_xlfn.STDEV.P(_xlfn._xlws.FILTER($D$2:$D$2000,(IFERROR(MONTH($C$2:$C$2000),0)=4)*ISNUMBER($D$2:$D$2000)))</f>
        <v/>
      </c>
      <c r="Q5" s="51">
        <f>O5+(1*P5)</f>
        <v/>
      </c>
      <c r="R5" s="51">
        <f>O5+(2*P5)</f>
        <v/>
      </c>
      <c r="S5" s="51">
        <f>O5+(-1*P5)</f>
        <v/>
      </c>
      <c r="T5" s="51">
        <f>O5+(-2*P5)</f>
        <v/>
      </c>
      <c r="V5" s="20">
        <f>1</f>
        <v/>
      </c>
      <c r="W5" s="52">
        <f>DATE(2026,7,1)</f>
        <v/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>
      <c r="A6" s="65" t="inlineStr">
        <is>
          <t>03/01/2003</t>
        </is>
      </c>
      <c r="B6" s="28" t="n">
        <v>3.1145</v>
      </c>
      <c r="C6" s="49" t="n">
        <v>37712</v>
      </c>
      <c r="D6" s="50">
        <f t="array" ref="D6">IF(C6="","",IFERROR(AVERAGE(_xlfn._xlws.FILTER($B$2:$B$2000,(IFERROR(VALUE(MID($A$2:$A$2000,4,2)),0)=MONTH(C6))*(IFERROR(VALUE(RIGHT($A$2:$A$2000,4)),0)=YEAR(C6)))),""))</f>
        <v/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6" s="51">
        <f>G$2*O6/O$2</f>
        <v/>
      </c>
      <c r="H6" s="51">
        <f>$G6+(1*$L6)</f>
        <v/>
      </c>
      <c r="I6" s="51">
        <f>$G6+(2*$L6)</f>
        <v/>
      </c>
      <c r="J6" s="51">
        <f>$G6+(-1*$L6)</f>
        <v/>
      </c>
      <c r="K6" s="51">
        <f>$G6+(-2*$L6)</f>
        <v/>
      </c>
      <c r="L6" s="51">
        <f t="array" ref="L6">IFERROR(_xlfn.STDEV.P(_xlfn._xlws.FILTER($E$2:$E$2000,(IFERROR(MONTH($C$2:$C$2000),0)=5)*ISNUMBER($D$2:$D$2000))),0)</f>
        <v/>
      </c>
      <c r="M6" s="51">
        <f>IFERROR($M$2*N6/$N$2,"")</f>
        <v/>
      </c>
      <c r="N6" s="51">
        <f t="array" ref="N6">IFERROR(AVERAGE(_xlfn._xlws.FILTER($D$2:$D$2000,(IFERROR(MONTH($C$2:$C$2000),0)=5)*(IFERROR(YEAR($C$2:$C$2000),0)=YEAR(TODAY())))),"")</f>
        <v/>
      </c>
      <c r="O6" s="51">
        <f t="array" ref="O6">AVERAGE(_xlfn._xlws.FILTER($D$2:$D$2000,(IFERROR(MONTH($C$2:$C$2000),0)=5)*ISNUMBER($D$2:$D$2000)))</f>
        <v/>
      </c>
      <c r="P6" s="51">
        <f t="array" ref="P6">_xlfn.STDEV.P(_xlfn._xlws.FILTER($D$2:$D$2000,(IFERROR(MONTH($C$2:$C$2000),0)=5)*ISNUMBER($D$2:$D$2000)))</f>
        <v/>
      </c>
      <c r="Q6" s="51">
        <f>O6+(1*P6)</f>
        <v/>
      </c>
      <c r="R6" s="51">
        <f>O6+(2*P6)</f>
        <v/>
      </c>
      <c r="S6" s="51">
        <f>O6+(-1*P6)</f>
        <v/>
      </c>
      <c r="T6" s="51">
        <f>O6+(-2*P6)</f>
        <v/>
      </c>
      <c r="V6" s="20">
        <f>1</f>
        <v/>
      </c>
      <c r="W6" s="52">
        <f>DATE(2026,7,1)</f>
        <v/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>
      <c r="A7" s="65" t="inlineStr">
        <is>
          <t>10/01/2003</t>
        </is>
      </c>
      <c r="B7" s="28" t="n">
        <v>3.3908</v>
      </c>
      <c r="C7" s="49" t="n">
        <v>37742</v>
      </c>
      <c r="D7" s="50">
        <f t="array" ref="D7">IF(C7="","",IFERROR(AVERAGE(_xlfn._xlws.FILTER($B$2:$B$2000,(IFERROR(VALUE(MID($A$2:$A$2000,4,2)),0)=MONTH(C7))*(IFERROR(VALUE(RIGHT($A$2:$A$2000,4)),0)=YEAR(C7)))),""))</f>
        <v/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7" s="51">
        <f>G$2*O7/O$2</f>
        <v/>
      </c>
      <c r="H7" s="51">
        <f>$G7+(1*$L7)</f>
        <v/>
      </c>
      <c r="I7" s="51">
        <f>$G7+(2*$L7)</f>
        <v/>
      </c>
      <c r="J7" s="51">
        <f>$G7+(-1*$L7)</f>
        <v/>
      </c>
      <c r="K7" s="51">
        <f>$G7+(-2*$L7)</f>
        <v/>
      </c>
      <c r="L7" s="51">
        <f t="array" ref="L7">IFERROR(_xlfn.STDEV.P(_xlfn._xlws.FILTER($E$2:$E$2000,(IFERROR(MONTH($C$2:$C$2000),0)=6)*ISNUMBER($D$2:$D$2000))),0)</f>
        <v/>
      </c>
      <c r="M7" s="51">
        <f>IFERROR($M$2*N7/$N$2,"")</f>
        <v/>
      </c>
      <c r="N7" s="51">
        <f t="array" ref="N7">IFERROR(AVERAGE(_xlfn._xlws.FILTER($D$2:$D$2000,(IFERROR(MONTH($C$2:$C$2000),0)=6)*(IFERROR(YEAR($C$2:$C$2000),0)=YEAR(TODAY())))),"")</f>
        <v/>
      </c>
      <c r="O7" s="51">
        <f t="array" ref="O7">AVERAGE(_xlfn._xlws.FILTER($D$2:$D$2000,(IFERROR(MONTH($C$2:$C$2000),0)=6)*ISNUMBER($D$2:$D$2000)))</f>
        <v/>
      </c>
      <c r="P7" s="51">
        <f t="array" ref="P7">_xlfn.STDEV.P(_xlfn._xlws.FILTER($D$2:$D$2000,(IFERROR(MONTH($C$2:$C$2000),0)=6)*ISNUMBER($D$2:$D$2000)))</f>
        <v/>
      </c>
      <c r="Q7" s="51">
        <f>O7+(1*P7)</f>
        <v/>
      </c>
      <c r="R7" s="51">
        <f>O7+(2*P7)</f>
        <v/>
      </c>
      <c r="S7" s="51">
        <f>O7+(-1*P7)</f>
        <v/>
      </c>
      <c r="T7" s="51">
        <f>O7+(-2*P7)</f>
        <v/>
      </c>
      <c r="V7" s="20">
        <f>1</f>
        <v/>
      </c>
      <c r="W7" s="52">
        <f>DATE(2026,7,1)</f>
        <v/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>
      <c r="A8" s="65" t="inlineStr">
        <is>
          <t>17/01/2003</t>
        </is>
      </c>
      <c r="B8" s="28" t="n">
        <v>3.5054</v>
      </c>
      <c r="C8" s="49" t="n">
        <v>37773</v>
      </c>
      <c r="D8" s="50">
        <f t="array" ref="D8">IF(C8="","",IFERROR(AVERAGE(_xlfn._xlws.FILTER($B$2:$B$2000,(IFERROR(VALUE(MID($A$2:$A$2000,4,2)),0)=MONTH(C8))*(IFERROR(VALUE(RIGHT($A$2:$A$2000,4)),0)=YEAR(C8)))),""))</f>
        <v/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8" s="51">
        <f>G$2*O8/O$2</f>
        <v/>
      </c>
      <c r="H8" s="51">
        <f>$G8+(1*$L8)</f>
        <v/>
      </c>
      <c r="I8" s="51">
        <f>$G8+(2*$L8)</f>
        <v/>
      </c>
      <c r="J8" s="51">
        <f>$G8+(-1*$L8)</f>
        <v/>
      </c>
      <c r="K8" s="51">
        <f>$G8+(-2*$L8)</f>
        <v/>
      </c>
      <c r="L8" s="51">
        <f t="array" ref="L8">IFERROR(_xlfn.STDEV.P(_xlfn._xlws.FILTER($E$2:$E$2000,(IFERROR(MONTH($C$2:$C$2000),0)=7)*ISNUMBER($D$2:$D$2000))),0)</f>
        <v/>
      </c>
      <c r="M8" s="51">
        <f>IFERROR($M$2*N8/$N$2,"")</f>
        <v/>
      </c>
      <c r="N8" s="51">
        <f t="array" ref="N8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/>
      </c>
      <c r="P8" s="51">
        <f t="array" ref="P8">_xlfn.STDEV.P(_xlfn._xlws.FILTER($D$2:$D$2000,(IFERROR(MONTH($C$2:$C$2000),0)=7)*ISNUMBER($D$2:$D$2000)))</f>
        <v/>
      </c>
      <c r="Q8" s="51">
        <f>O8+(1*P8)</f>
        <v/>
      </c>
      <c r="R8" s="51">
        <f>O8+(2*P8)</f>
        <v/>
      </c>
      <c r="S8" s="51">
        <f>O8+(-1*P8)</f>
        <v/>
      </c>
      <c r="T8" s="51">
        <f>O8+(-2*P8)</f>
        <v/>
      </c>
      <c r="V8" s="20">
        <f>1</f>
        <v/>
      </c>
      <c r="W8" s="52">
        <f>DATE(2026,7,1)</f>
        <v/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>
      <c r="A9" s="65" t="inlineStr">
        <is>
          <t>24/01/2003</t>
        </is>
      </c>
      <c r="B9" s="28" t="n">
        <v>3.683</v>
      </c>
      <c r="C9" s="49" t="n">
        <v>37803</v>
      </c>
      <c r="D9" s="50">
        <f t="array" ref="D9">IF(C9="","",IFERROR(AVERAGE(_xlfn._xlws.FILTER($B$2:$B$2000,(IFERROR(VALUE(MID($A$2:$A$2000,4,2)),0)=MONTH(C9))*(IFERROR(VALUE(RIGHT($A$2:$A$2000,4)),0)=YEAR(C9)))),""))</f>
        <v/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9" s="51">
        <f>G$2*O9/O$2</f>
        <v/>
      </c>
      <c r="H9" s="51">
        <f>$G9+(1*$L9)</f>
        <v/>
      </c>
      <c r="I9" s="51">
        <f>$G9+(2*$L9)</f>
        <v/>
      </c>
      <c r="J9" s="51">
        <f>$G9+(-1*$L9)</f>
        <v/>
      </c>
      <c r="K9" s="51">
        <f>$G9+(-2*$L9)</f>
        <v/>
      </c>
      <c r="L9" s="51">
        <f t="array" ref="L9">IFERROR(_xlfn.STDEV.P(_xlfn._xlws.FILTER($E$2:$E$2000,(IFERROR(MONTH($C$2:$C$2000),0)=8)*ISNUMBER($D$2:$D$2000))),0)</f>
        <v/>
      </c>
      <c r="M9" s="51">
        <f>IFERROR($M$2*N9/$N$2,"")</f>
        <v/>
      </c>
      <c r="N9" s="51">
        <f t="array" ref="N9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/>
      </c>
      <c r="P9" s="51">
        <f t="array" ref="P9">_xlfn.STDEV.P(_xlfn._xlws.FILTER($D$2:$D$2000,(IFERROR(MONTH($C$2:$C$2000),0)=8)*ISNUMBER($D$2:$D$2000)))</f>
        <v/>
      </c>
      <c r="Q9" s="51">
        <f>O9+(1*P9)</f>
        <v/>
      </c>
      <c r="R9" s="51">
        <f>O9+(2*P9)</f>
        <v/>
      </c>
      <c r="S9" s="51">
        <f>O9+(-1*P9)</f>
        <v/>
      </c>
      <c r="T9" s="51">
        <f>O9+(-2*P9)</f>
        <v/>
      </c>
      <c r="V9" s="20">
        <f>1</f>
        <v/>
      </c>
      <c r="W9" s="52">
        <f>DATE(2026,7,1)</f>
        <v/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>
      <c r="A10" s="65" t="inlineStr">
        <is>
          <t>31/01/2003</t>
        </is>
      </c>
      <c r="B10" s="28" t="n">
        <v>3.6689</v>
      </c>
      <c r="C10" s="49" t="n">
        <v>37834</v>
      </c>
      <c r="D10" s="50">
        <f t="array" ref="D10">IF(C10="","",IFERROR(AVERAGE(_xlfn._xlws.FILTER($B$2:$B$2000,(IFERROR(VALUE(MID($A$2:$A$2000,4,2)),0)=MONTH(C10))*(IFERROR(VALUE(RIGHT($A$2:$A$2000,4)),0)=YEAR(C10)))),""))</f>
        <v/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0" s="51">
        <f>G$2*O10/O$2</f>
        <v/>
      </c>
      <c r="H10" s="51">
        <f>$G10+(1*$L10)</f>
        <v/>
      </c>
      <c r="I10" s="51">
        <f>$G10+(2*$L10)</f>
        <v/>
      </c>
      <c r="J10" s="51">
        <f>$G10+(-1*$L10)</f>
        <v/>
      </c>
      <c r="K10" s="51">
        <f>$G10+(-2*$L10)</f>
        <v/>
      </c>
      <c r="L10" s="51">
        <f t="array" ref="L10">IFERROR(_xlfn.STDEV.P(_xlfn._xlws.FILTER($E$2:$E$2000,(IFERROR(MONTH($C$2:$C$2000),0)=9)*ISNUMBER($D$2:$D$2000))),0)</f>
        <v/>
      </c>
      <c r="M10" s="51">
        <f>IFERROR($M$2*N10/$N$2,"")</f>
        <v/>
      </c>
      <c r="N10" s="51">
        <f t="array" ref="N10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/>
      </c>
      <c r="P10" s="51">
        <f t="array" ref="P10">_xlfn.STDEV.P(_xlfn._xlws.FILTER($D$2:$D$2000,(IFERROR(MONTH($C$2:$C$2000),0)=9)*ISNUMBER($D$2:$D$2000)))</f>
        <v/>
      </c>
      <c r="Q10" s="51">
        <f>O10+(1*P10)</f>
        <v/>
      </c>
      <c r="R10" s="51">
        <f>O10+(2*P10)</f>
        <v/>
      </c>
      <c r="S10" s="51">
        <f>O10+(-1*P10)</f>
        <v/>
      </c>
      <c r="T10" s="51">
        <f>O10+(-2*P10)</f>
        <v/>
      </c>
      <c r="V10" s="20">
        <f>1</f>
        <v/>
      </c>
      <c r="W10" s="52">
        <f>DATE(2026,7,1)</f>
        <v/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>
      <c r="A11" s="65" t="inlineStr">
        <is>
          <t>07/02/2003</t>
        </is>
      </c>
      <c r="B11" s="28" t="n">
        <v>3.6971</v>
      </c>
      <c r="C11" s="49" t="n">
        <v>37865</v>
      </c>
      <c r="D11" s="50">
        <f t="array" ref="D11">IF(C11="","",IFERROR(AVERAGE(_xlfn._xlws.FILTER($B$2:$B$2000,(IFERROR(VALUE(MID($A$2:$A$2000,4,2)),0)=MONTH(C11))*(IFERROR(VALUE(RIGHT($A$2:$A$2000,4)),0)=YEAR(C11)))),""))</f>
        <v/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1" s="51">
        <f>G$2*O11/O$2</f>
        <v/>
      </c>
      <c r="H11" s="51">
        <f>$G11+(1*$L11)</f>
        <v/>
      </c>
      <c r="I11" s="51">
        <f>$G11+(2*$L11)</f>
        <v/>
      </c>
      <c r="J11" s="51">
        <f>$G11+(-1*$L11)</f>
        <v/>
      </c>
      <c r="K11" s="51">
        <f>$G11+(-2*$L11)</f>
        <v/>
      </c>
      <c r="L11" s="51">
        <f t="array" ref="L11">IFERROR(_xlfn.STDEV.P(_xlfn._xlws.FILTER($E$2:$E$2000,(IFERROR(MONTH($C$2:$C$2000),0)=10)*ISNUMBER($D$2:$D$2000))),0)</f>
        <v/>
      </c>
      <c r="M11" s="51">
        <f>IFERROR($M$2*N11/$N$2,"")</f>
        <v/>
      </c>
      <c r="N11" s="51">
        <f t="array" ref="N1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/>
      </c>
      <c r="P11" s="51">
        <f t="array" ref="P11">_xlfn.STDEV.P(_xlfn._xlws.FILTER($D$2:$D$2000,(IFERROR(MONTH($C$2:$C$2000),0)=10)*ISNUMBER($D$2:$D$2000)))</f>
        <v/>
      </c>
      <c r="Q11" s="51">
        <f>O11+(1*P11)</f>
        <v/>
      </c>
      <c r="R11" s="51">
        <f>O11+(2*P11)</f>
        <v/>
      </c>
      <c r="S11" s="51">
        <f>O11+(-1*P11)</f>
        <v/>
      </c>
      <c r="T11" s="51">
        <f>O11+(-2*P11)</f>
        <v/>
      </c>
      <c r="V11" s="20">
        <f>1</f>
        <v/>
      </c>
      <c r="W11" s="52">
        <f>DATE(2026,7,1)</f>
        <v/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>
      <c r="A12" s="65" t="inlineStr">
        <is>
          <t>14/02/2003</t>
        </is>
      </c>
      <c r="B12" s="28" t="n">
        <v>3.6055</v>
      </c>
      <c r="C12" s="49" t="n">
        <v>37895</v>
      </c>
      <c r="D12" s="50">
        <f t="array" ref="D12">IF(C12="","",IFERROR(AVERAGE(_xlfn._xlws.FILTER($B$2:$B$2000,(IFERROR(VALUE(MID($A$2:$A$2000,4,2)),0)=MONTH(C12))*(IFERROR(VALUE(RIGHT($A$2:$A$2000,4)),0)=YEAR(C12)))),""))</f>
        <v/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2" s="51">
        <f>G$2*O12/O$2</f>
        <v/>
      </c>
      <c r="H12" s="51">
        <f>$G12+(1*$L12)</f>
        <v/>
      </c>
      <c r="I12" s="51">
        <f>$G12+(2*$L12)</f>
        <v/>
      </c>
      <c r="J12" s="51">
        <f>$G12+(-1*$L12)</f>
        <v/>
      </c>
      <c r="K12" s="51">
        <f>$G12+(-2*$L12)</f>
        <v/>
      </c>
      <c r="L12" s="51">
        <f t="array" ref="L12">IFERROR(_xlfn.STDEV.P(_xlfn._xlws.FILTER($E$2:$E$2000,(IFERROR(MONTH($C$2:$C$2000),0)=11)*ISNUMBER($D$2:$D$2000))),0)</f>
        <v/>
      </c>
      <c r="M12" s="51">
        <f>IFERROR($M$2*N12/$N$2,"")</f>
        <v/>
      </c>
      <c r="N12" s="51">
        <f t="array" ref="N12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/>
      </c>
      <c r="P12" s="51">
        <f t="array" ref="P12">_xlfn.STDEV.P(_xlfn._xlws.FILTER($D$2:$D$2000,(IFERROR(MONTH($C$2:$C$2000),0)=11)*ISNUMBER($D$2:$D$2000)))</f>
        <v/>
      </c>
      <c r="Q12" s="51">
        <f>O12+(1*P12)</f>
        <v/>
      </c>
      <c r="R12" s="51">
        <f>O12+(2*P12)</f>
        <v/>
      </c>
      <c r="S12" s="51">
        <f>O12+(-1*P12)</f>
        <v/>
      </c>
      <c r="T12" s="51">
        <f>O12+(-2*P12)</f>
        <v/>
      </c>
      <c r="V12" s="20">
        <f>1</f>
        <v/>
      </c>
      <c r="W12" s="52">
        <f>DATE(2026,7,1)</f>
        <v/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>
      <c r="A13" s="65" t="inlineStr">
        <is>
          <t>21/02/2003</t>
        </is>
      </c>
      <c r="B13" s="28" t="n">
        <v>3.6368</v>
      </c>
      <c r="C13" s="49" t="n">
        <v>37926</v>
      </c>
      <c r="D13" s="50">
        <f t="array" ref="D13">IF(C13="","",IFERROR(AVERAGE(_xlfn._xlws.FILTER($B$2:$B$2000,(IFERROR(VALUE(MID($A$2:$A$2000,4,2)),0)=MONTH(C13))*(IFERROR(VALUE(RIGHT($A$2:$A$2000,4)),0)=YEAR(C13)))),""))</f>
        <v/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3" s="57">
        <f>G$2*O13/O$2</f>
        <v/>
      </c>
      <c r="H13" s="57">
        <f>$G13+(1*$L13)</f>
        <v/>
      </c>
      <c r="I13" s="57">
        <f>$G13+(2*$L13)</f>
        <v/>
      </c>
      <c r="J13" s="57">
        <f>$G13+(-1*$L13)</f>
        <v/>
      </c>
      <c r="K13" s="57">
        <f>$G13+(-2*$L13)</f>
        <v/>
      </c>
      <c r="L13" s="57">
        <f t="array" ref="L13">IFERROR(_xlfn.STDEV.P(_xlfn._xlws.FILTER($E$2:$E$2000,(IFERROR(MONTH($C$2:$C$2000),0)=12)*ISNUMBER($D$2:$D$2000))),0)</f>
        <v/>
      </c>
      <c r="M13" s="57">
        <f>IFERROR($M$2*N13/$N$2,"")</f>
        <v/>
      </c>
      <c r="N13" s="57">
        <f t="array" ref="N13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/>
      </c>
      <c r="P13" s="57">
        <f t="array" ref="P13">_xlfn.STDEV.P(_xlfn._xlws.FILTER($D$2:$D$2000,(IFERROR(MONTH($C$2:$C$2000),0)=12)*ISNUMBER($D$2:$D$2000)))</f>
        <v/>
      </c>
      <c r="Q13" s="57">
        <f>O3+(1*P3)</f>
        <v/>
      </c>
      <c r="R13" s="57">
        <f>O3+(2*P3)</f>
        <v/>
      </c>
      <c r="S13" s="57">
        <f>O3+(-1*P3)</f>
        <v/>
      </c>
      <c r="T13" s="57">
        <f>O3+(-2*P3)</f>
        <v/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/>
      </c>
      <c r="W13" s="46">
        <f>DATE(2026,8,1)</f>
        <v/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>
      <c r="A14" s="65" t="inlineStr">
        <is>
          <t>28/02/2003</t>
        </is>
      </c>
      <c r="B14" s="28" t="n">
        <v>3.6469</v>
      </c>
      <c r="C14" s="49" t="n">
        <v>37956</v>
      </c>
      <c r="D14" s="50">
        <f t="array" ref="D14">IF(C14="","",IFERROR(AVERAGE(_xlfn._xlws.FILTER($B$2:$B$2000,(IFERROR(VALUE(MID($A$2:$A$2000,4,2)),0)=MONTH(C14))*(IFERROR(VALUE(RIGHT($A$2:$A$2000,4)),0)=YEAR(C14)))),""))</f>
        <v/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/>
      </c>
      <c r="W14" s="46">
        <f>DATE(2026,9,1)</f>
        <v/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>
      <c r="A15" s="65" t="inlineStr">
        <is>
          <t>07/03/2003</t>
        </is>
      </c>
      <c r="B15" s="28" t="n">
        <v>3.6904</v>
      </c>
      <c r="C15" s="49" t="n">
        <v>37987</v>
      </c>
      <c r="D15" s="50">
        <f t="array" ref="D15">IF(C15="","",IFERROR(AVERAGE(_xlfn._xlws.FILTER($B$2:$B$2000,(IFERROR(VALUE(MID($A$2:$A$2000,4,2)),0)=MONTH(C15))*(IFERROR(VALUE(RIGHT($A$2:$A$2000,4)),0)=YEAR(C15)))),""))</f>
        <v/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/>
      </c>
      <c r="W15" s="46">
        <f>DATE(2026,10,1)</f>
        <v/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>
      <c r="A16" s="65" t="inlineStr">
        <is>
          <t>14/03/2003</t>
        </is>
      </c>
      <c r="B16" s="28" t="n">
        <v>3.6932</v>
      </c>
      <c r="C16" s="49" t="n">
        <v>38018</v>
      </c>
      <c r="D16" s="50">
        <f t="array" ref="D16">IF(C16="","",IFERROR(AVERAGE(_xlfn._xlws.FILTER($B$2:$B$2000,(IFERROR(VALUE(MID($A$2:$A$2000,4,2)),0)=MONTH(C16))*(IFERROR(VALUE(RIGHT($A$2:$A$2000,4)),0)=YEAR(C16)))),""))</f>
        <v/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/>
      </c>
      <c r="W16" s="46">
        <f>DATE(2026,11,1)</f>
        <v/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>
      <c r="A17" s="65" t="inlineStr">
        <is>
          <t>21/03/2003</t>
        </is>
      </c>
      <c r="B17" s="28" t="n">
        <v>3.552</v>
      </c>
      <c r="C17" s="49" t="n">
        <v>38047</v>
      </c>
      <c r="D17" s="50">
        <f t="array" ref="D17">IF(C17="","",IFERROR(AVERAGE(_xlfn._xlws.FILTER($B$2:$B$2000,(IFERROR(VALUE(MID($A$2:$A$2000,4,2)),0)=MONTH(C17))*(IFERROR(VALUE(RIGHT($A$2:$A$2000,4)),0)=YEAR(C17)))),""))</f>
        <v/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/>
      </c>
      <c r="W17" s="46">
        <f>DATE(2026,12,1)</f>
        <v/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>
      <c r="A18" s="65" t="inlineStr">
        <is>
          <t>28/03/2003</t>
        </is>
      </c>
      <c r="B18" s="28" t="n">
        <v>3.4679</v>
      </c>
      <c r="C18" s="49" t="n">
        <v>38078</v>
      </c>
      <c r="D18" s="50">
        <f t="array" ref="D18">IF(C18="","",IFERROR(AVERAGE(_xlfn._xlws.FILTER($B$2:$B$2000,(IFERROR(VALUE(MID($A$2:$A$2000,4,2)),0)=MONTH(C18))*(IFERROR(VALUE(RIGHT($A$2:$A$2000,4)),0)=YEAR(C18)))),""))</f>
        <v/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/>
      </c>
      <c r="W18" s="46">
        <f>DATE(2027,1,1)</f>
        <v/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>
      <c r="A19" s="65" t="inlineStr">
        <is>
          <t>04/04/2003</t>
        </is>
      </c>
      <c r="B19" s="28" t="n">
        <v>3.4192</v>
      </c>
      <c r="C19" s="49" t="n">
        <v>38108</v>
      </c>
      <c r="D19" s="50">
        <f t="array" ref="D19">IF(C19="","",IFERROR(AVERAGE(_xlfn._xlws.FILTER($B$2:$B$2000,(IFERROR(VALUE(MID($A$2:$A$2000,4,2)),0)=MONTH(C19))*(IFERROR(VALUE(RIGHT($A$2:$A$2000,4)),0)=YEAR(C19)))),""))</f>
        <v/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/>
      </c>
      <c r="W19" s="46">
        <f>DATE(2027,2,1)</f>
        <v/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>
      <c r="A20" s="65" t="inlineStr">
        <is>
          <t>11/04/2003</t>
        </is>
      </c>
      <c r="B20" s="28" t="n">
        <v>3.4179</v>
      </c>
      <c r="C20" s="49" t="n">
        <v>38139</v>
      </c>
      <c r="D20" s="50">
        <f t="array" ref="D20">IF(C20="","",IFERROR(AVERAGE(_xlfn._xlws.FILTER($B$2:$B$2000,(IFERROR(VALUE(MID($A$2:$A$2000,4,2)),0)=MONTH(C20))*(IFERROR(VALUE(RIGHT($A$2:$A$2000,4)),0)=YEAR(C20)))),""))</f>
        <v/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/>
      </c>
      <c r="W20" s="46">
        <f>DATE(2027,3,1)</f>
        <v/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>
      <c r="A21" s="65" t="inlineStr">
        <is>
          <t>17/04/2003</t>
        </is>
      </c>
      <c r="B21" s="28" t="n">
        <v>3.4326</v>
      </c>
      <c r="C21" s="49" t="n">
        <v>38169</v>
      </c>
      <c r="D21" s="50">
        <f t="array" ref="D21">IF(C21="","",IFERROR(AVERAGE(_xlfn._xlws.FILTER($B$2:$B$2000,(IFERROR(VALUE(MID($A$2:$A$2000,4,2)),0)=MONTH(C21))*(IFERROR(VALUE(RIGHT($A$2:$A$2000,4)),0)=YEAR(C21)))),""))</f>
        <v/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/>
      </c>
      <c r="W21" s="44" t="n"/>
      <c r="X21" s="45" t="n"/>
    </row>
    <row r="22">
      <c r="A22" s="65" t="inlineStr">
        <is>
          <t>25/04/2003</t>
        </is>
      </c>
      <c r="B22" s="28" t="n">
        <v>3.4673</v>
      </c>
      <c r="C22" s="49" t="n">
        <v>38200</v>
      </c>
      <c r="D22" s="50">
        <f t="array" ref="D22">IF(C22="","",IFERROR(AVERAGE(_xlfn._xlws.FILTER($B$2:$B$2000,(IFERROR(VALUE(MID($A$2:$A$2000,4,2)),0)=MONTH(C22))*(IFERROR(VALUE(RIGHT($A$2:$A$2000,4)),0)=YEAR(C22)))),""))</f>
        <v/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/>
      </c>
      <c r="W22" s="44" t="n"/>
      <c r="X22" s="45" t="n"/>
    </row>
    <row r="23">
      <c r="A23" s="65" t="inlineStr">
        <is>
          <t>02/05/2003</t>
        </is>
      </c>
      <c r="B23" s="28" t="n">
        <v>3.3724</v>
      </c>
      <c r="C23" s="49" t="n">
        <v>38231</v>
      </c>
      <c r="D23" s="50">
        <f t="array" ref="D23">IF(C23="","",IFERROR(AVERAGE(_xlfn._xlws.FILTER($B$2:$B$2000,(IFERROR(VALUE(MID($A$2:$A$2000,4,2)),0)=MONTH(C23))*(IFERROR(VALUE(RIGHT($A$2:$A$2000,4)),0)=YEAR(C23)))),""))</f>
        <v/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/>
      </c>
      <c r="W23" s="44" t="n"/>
      <c r="X23" s="45" t="n"/>
    </row>
    <row r="24">
      <c r="A24" s="65" t="inlineStr">
        <is>
          <t>09/05/2003</t>
        </is>
      </c>
      <c r="B24" s="28" t="n">
        <v>3.2566</v>
      </c>
      <c r="C24" s="49" t="n">
        <v>38261</v>
      </c>
      <c r="D24" s="50">
        <f t="array" ref="D24">IF(C24="","",IFERROR(AVERAGE(_xlfn._xlws.FILTER($B$2:$B$2000,(IFERROR(VALUE(MID($A$2:$A$2000,4,2)),0)=MONTH(C24))*(IFERROR(VALUE(RIGHT($A$2:$A$2000,4)),0)=YEAR(C24)))),""))</f>
        <v/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4" s="44" t="n"/>
      <c r="X24" s="45" t="n"/>
    </row>
    <row r="25">
      <c r="A25" s="65" t="inlineStr">
        <is>
          <t>16/05/2003</t>
        </is>
      </c>
      <c r="B25" s="28" t="n">
        <v>3.1924</v>
      </c>
      <c r="C25" s="49" t="n">
        <v>38292</v>
      </c>
      <c r="D25" s="50">
        <f t="array" ref="D25">IF(C25="","",IFERROR(AVERAGE(_xlfn._xlws.FILTER($B$2:$B$2000,(IFERROR(VALUE(MID($A$2:$A$2000,4,2)),0)=MONTH(C25))*(IFERROR(VALUE(RIGHT($A$2:$A$2000,4)),0)=YEAR(C25)))),""))</f>
        <v/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5" s="44" t="n"/>
      <c r="X25" s="45" t="n"/>
    </row>
    <row r="26">
      <c r="A26" s="65" t="inlineStr">
        <is>
          <t>23/05/2003</t>
        </is>
      </c>
      <c r="B26" s="28" t="n">
        <v>2.831</v>
      </c>
      <c r="C26" s="49" t="n">
        <v>38322</v>
      </c>
      <c r="D26" s="50">
        <f t="array" ref="D26">IF(C26="","",IFERROR(AVERAGE(_xlfn._xlws.FILTER($B$2:$B$2000,(IFERROR(VALUE(MID($A$2:$A$2000,4,2)),0)=MONTH(C26))*(IFERROR(VALUE(RIGHT($A$2:$A$2000,4)),0)=YEAR(C26)))),""))</f>
        <v/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6" s="44" t="n"/>
      <c r="X26" s="45" t="n"/>
    </row>
    <row r="27">
      <c r="A27" s="65" t="inlineStr">
        <is>
          <t>30/05/2003</t>
        </is>
      </c>
      <c r="B27" s="28" t="n">
        <v>2.5822</v>
      </c>
      <c r="C27" s="49" t="n">
        <v>38353</v>
      </c>
      <c r="D27" s="50">
        <f t="array" ref="D27">IF(C27="","",IFERROR(AVERAGE(_xlfn._xlws.FILTER($B$2:$B$2000,(IFERROR(VALUE(MID($A$2:$A$2000,4,2)),0)=MONTH(C27))*(IFERROR(VALUE(RIGHT($A$2:$A$2000,4)),0)=YEAR(C27)))),""))</f>
        <v/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7" s="44" t="n"/>
      <c r="X27" s="45" t="n"/>
    </row>
    <row r="28">
      <c r="A28" s="65" t="inlineStr">
        <is>
          <t>06/06/2003</t>
        </is>
      </c>
      <c r="B28" s="28" t="n">
        <v>2.5124</v>
      </c>
      <c r="C28" s="49" t="n">
        <v>38384</v>
      </c>
      <c r="D28" s="50">
        <f t="array" ref="D28">IF(C28="","",IFERROR(AVERAGE(_xlfn._xlws.FILTER($B$2:$B$2000,(IFERROR(VALUE(MID($A$2:$A$2000,4,2)),0)=MONTH(C28))*(IFERROR(VALUE(RIGHT($A$2:$A$2000,4)),0)=YEAR(C28)))),""))</f>
        <v/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8" s="44" t="n"/>
      <c r="X28" s="45" t="n"/>
    </row>
    <row r="29">
      <c r="A29" s="65" t="inlineStr">
        <is>
          <t>13/06/2003</t>
        </is>
      </c>
      <c r="B29" s="28" t="n">
        <v>2.4136</v>
      </c>
      <c r="C29" s="49" t="n">
        <v>38412</v>
      </c>
      <c r="D29" s="50">
        <f t="array" ref="D29">IF(C29="","",IFERROR(AVERAGE(_xlfn._xlws.FILTER($B$2:$B$2000,(IFERROR(VALUE(MID($A$2:$A$2000,4,2)),0)=MONTH(C29))*(IFERROR(VALUE(RIGHT($A$2:$A$2000,4)),0)=YEAR(C29)))),""))</f>
        <v/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29" s="44" t="n"/>
      <c r="X29" s="45" t="n"/>
    </row>
    <row r="30">
      <c r="A30" s="65" t="inlineStr">
        <is>
          <t>20/06/2003</t>
        </is>
      </c>
      <c r="B30" s="28" t="n">
        <v>2.2867</v>
      </c>
      <c r="C30" s="49" t="n">
        <v>38443</v>
      </c>
      <c r="D30" s="50">
        <f t="array" ref="D30">IF(C30="","",IFERROR(AVERAGE(_xlfn._xlws.FILTER($B$2:$B$2000,(IFERROR(VALUE(MID($A$2:$A$2000,4,2)),0)=MONTH(C30))*(IFERROR(VALUE(RIGHT($A$2:$A$2000,4)),0)=YEAR(C30)))),""))</f>
        <v/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  <c r="W30" s="44" t="n"/>
      <c r="X30" s="45" t="n"/>
    </row>
    <row r="31">
      <c r="A31" s="65" t="inlineStr">
        <is>
          <t>27/06/2003</t>
        </is>
      </c>
      <c r="B31" s="28" t="n">
        <v>2.1424</v>
      </c>
      <c r="C31" s="49" t="n">
        <v>38473</v>
      </c>
      <c r="D31" s="50">
        <f t="array" ref="D31">IF(C31="","",IFERROR(AVERAGE(_xlfn._xlws.FILTER($B$2:$B$2000,(IFERROR(VALUE(MID($A$2:$A$2000,4,2)),0)=MONTH(C31))*(IFERROR(VALUE(RIGHT($A$2:$A$2000,4)),0)=YEAR(C31)))),""))</f>
        <v/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">
      <c r="A32" s="65" t="inlineStr">
        <is>
          <t>04/07/2003</t>
        </is>
      </c>
      <c r="B32" s="28" t="n">
        <v>1.9257</v>
      </c>
      <c r="C32" s="49" t="n">
        <v>38504</v>
      </c>
      <c r="D32" s="50">
        <f t="array" ref="D32">IF(C32="","",IFERROR(AVERAGE(_xlfn._xlws.FILTER($B$2:$B$2000,(IFERROR(VALUE(MID($A$2:$A$2000,4,2)),0)=MONTH(C32))*(IFERROR(VALUE(RIGHT($A$2:$A$2000,4)),0)=YEAR(C32)))),""))</f>
        <v/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">
      <c r="A33" s="65" t="inlineStr">
        <is>
          <t>11/07/2003</t>
        </is>
      </c>
      <c r="B33" s="28" t="n">
        <v>1.9244</v>
      </c>
      <c r="C33" s="49" t="n">
        <v>38534</v>
      </c>
      <c r="D33" s="50">
        <f t="array" ref="D33">IF(C33="","",IFERROR(AVERAGE(_xlfn._xlws.FILTER($B$2:$B$2000,(IFERROR(VALUE(MID($A$2:$A$2000,4,2)),0)=MONTH(C33))*(IFERROR(VALUE(RIGHT($A$2:$A$2000,4)),0)=YEAR(C33)))),""))</f>
        <v/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">
      <c r="A34" s="65" t="inlineStr">
        <is>
          <t>18/07/2003</t>
        </is>
      </c>
      <c r="B34" s="28" t="n">
        <v>1.9398</v>
      </c>
      <c r="C34" s="49" t="n">
        <v>38565</v>
      </c>
      <c r="D34" s="50">
        <f t="array" ref="D34">IF(C34="","",IFERROR(AVERAGE(_xlfn._xlws.FILTER($B$2:$B$2000,(IFERROR(VALUE(MID($A$2:$A$2000,4,2)),0)=MONTH(C34))*(IFERROR(VALUE(RIGHT($A$2:$A$2000,4)),0)=YEAR(C34)))),""))</f>
        <v/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">
      <c r="A35" s="65" t="inlineStr">
        <is>
          <t>25/07/2003</t>
        </is>
      </c>
      <c r="B35" s="28" t="n">
        <v>2.2092</v>
      </c>
      <c r="C35" s="49" t="n">
        <v>38596</v>
      </c>
      <c r="D35" s="50">
        <f t="array" ref="D35">IF(C35="","",IFERROR(AVERAGE(_xlfn._xlws.FILTER($B$2:$B$2000,(IFERROR(VALUE(MID($A$2:$A$2000,4,2)),0)=MONTH(C35))*(IFERROR(VALUE(RIGHT($A$2:$A$2000,4)),0)=YEAR(C35)))),""))</f>
        <v/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">
      <c r="A36" s="65" t="inlineStr">
        <is>
          <t>01/08/2003</t>
        </is>
      </c>
      <c r="B36" s="28" t="n">
        <v>2.4187</v>
      </c>
      <c r="C36" s="49" t="n">
        <v>38626</v>
      </c>
      <c r="D36" s="50">
        <f t="array" ref="D36">IF(C36="","",IFERROR(AVERAGE(_xlfn._xlws.FILTER($B$2:$B$2000,(IFERROR(VALUE(MID($A$2:$A$2000,4,2)),0)=MONTH(C36))*(IFERROR(VALUE(RIGHT($A$2:$A$2000,4)),0)=YEAR(C36)))),""))</f>
        <v/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">
      <c r="A37" s="65" t="inlineStr">
        <is>
          <t>08/08/2003</t>
        </is>
      </c>
      <c r="B37" s="28" t="n">
        <v>2.4543</v>
      </c>
      <c r="C37" s="49" t="n">
        <v>38657</v>
      </c>
      <c r="D37" s="50">
        <f t="array" ref="D37">IF(C37="","",IFERROR(AVERAGE(_xlfn._xlws.FILTER($B$2:$B$2000,(IFERROR(VALUE(MID($A$2:$A$2000,4,2)),0)=MONTH(C37))*(IFERROR(VALUE(RIGHT($A$2:$A$2000,4)),0)=YEAR(C37)))),""))</f>
        <v/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">
      <c r="A38" s="65" t="inlineStr">
        <is>
          <t>15/08/2003</t>
        </is>
      </c>
      <c r="B38" s="28" t="n">
        <v>2.5246</v>
      </c>
      <c r="C38" s="49" t="n">
        <v>38687</v>
      </c>
      <c r="D38" s="50">
        <f t="array" ref="D38">IF(C38="","",IFERROR(AVERAGE(_xlfn._xlws.FILTER($B$2:$B$2000,(IFERROR(VALUE(MID($A$2:$A$2000,4,2)),0)=MONTH(C38))*(IFERROR(VALUE(RIGHT($A$2:$A$2000,4)),0)=YEAR(C38)))),""))</f>
        <v/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">
      <c r="A39" s="65" t="inlineStr">
        <is>
          <t>22/08/2003</t>
        </is>
      </c>
      <c r="B39" s="28" t="n">
        <v>2.5279</v>
      </c>
      <c r="C39" s="49" t="n">
        <v>38718</v>
      </c>
      <c r="D39" s="50">
        <f t="array" ref="D39">IF(C39="","",IFERROR(AVERAGE(_xlfn._xlws.FILTER($B$2:$B$2000,(IFERROR(VALUE(MID($A$2:$A$2000,4,2)),0)=MONTH(C39))*(IFERROR(VALUE(RIGHT($A$2:$A$2000,4)),0)=YEAR(C39)))),""))</f>
        <v/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">
      <c r="A40" s="65" t="inlineStr">
        <is>
          <t>29/08/2003</t>
        </is>
      </c>
      <c r="B40" s="28" t="n">
        <v>2.5465</v>
      </c>
      <c r="C40" s="49" t="n">
        <v>38749</v>
      </c>
      <c r="D40" s="50">
        <f t="array" ref="D40">IF(C40="","",IFERROR(AVERAGE(_xlfn._xlws.FILTER($B$2:$B$2000,(IFERROR(VALUE(MID($A$2:$A$2000,4,2)),0)=MONTH(C40))*(IFERROR(VALUE(RIGHT($A$2:$A$2000,4)),0)=YEAR(C40)))),""))</f>
        <v/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">
      <c r="A41" s="65" t="inlineStr">
        <is>
          <t>05/09/2003</t>
        </is>
      </c>
      <c r="B41" s="28" t="n">
        <v>2.5042</v>
      </c>
      <c r="C41" s="49" t="n">
        <v>38777</v>
      </c>
      <c r="D41" s="50">
        <f t="array" ref="D41">IF(C41="","",IFERROR(AVERAGE(_xlfn._xlws.FILTER($B$2:$B$2000,(IFERROR(VALUE(MID($A$2:$A$2000,4,2)),0)=MONTH(C41))*(IFERROR(VALUE(RIGHT($A$2:$A$2000,4)),0)=YEAR(C41)))),""))</f>
        <v/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">
      <c r="A42" s="65" t="inlineStr">
        <is>
          <t>12/09/2003</t>
        </is>
      </c>
      <c r="B42" s="28" t="n">
        <v>2.4535</v>
      </c>
      <c r="C42" s="49" t="n">
        <v>38808</v>
      </c>
      <c r="D42" s="50">
        <f t="array" ref="D42">IF(C42="","",IFERROR(AVERAGE(_xlfn._xlws.FILTER($B$2:$B$2000,(IFERROR(VALUE(MID($A$2:$A$2000,4,2)),0)=MONTH(C42))*(IFERROR(VALUE(RIGHT($A$2:$A$2000,4)),0)=YEAR(C42)))),""))</f>
        <v/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">
      <c r="A43" s="65" t="inlineStr">
        <is>
          <t>19/09/2003</t>
        </is>
      </c>
      <c r="B43" s="28" t="n">
        <v>2.2655</v>
      </c>
      <c r="C43" s="49" t="n">
        <v>38838</v>
      </c>
      <c r="D43" s="50">
        <f t="array" ref="D43">IF(C43="","",IFERROR(AVERAGE(_xlfn._xlws.FILTER($B$2:$B$2000,(IFERROR(VALUE(MID($A$2:$A$2000,4,2)),0)=MONTH(C43))*(IFERROR(VALUE(RIGHT($A$2:$A$2000,4)),0)=YEAR(C43)))),""))</f>
        <v/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">
      <c r="A44" s="65" t="inlineStr">
        <is>
          <t>26/09/2003</t>
        </is>
      </c>
      <c r="B44" s="28" t="n">
        <v>2.178</v>
      </c>
      <c r="C44" s="49" t="n">
        <v>38869</v>
      </c>
      <c r="D44" s="50">
        <f t="array" ref="D44">IF(C44="","",IFERROR(AVERAGE(_xlfn._xlws.FILTER($B$2:$B$2000,(IFERROR(VALUE(MID($A$2:$A$2000,4,2)),0)=MONTH(C44))*(IFERROR(VALUE(RIGHT($A$2:$A$2000,4)),0)=YEAR(C44)))),""))</f>
        <v/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">
      <c r="A45" s="65" t="inlineStr">
        <is>
          <t>03/10/2003</t>
        </is>
      </c>
      <c r="B45" s="28" t="n">
        <v>1.9776</v>
      </c>
      <c r="C45" s="49" t="n">
        <v>38899</v>
      </c>
      <c r="D45" s="50">
        <f t="array" ref="D45">IF(C45="","",IFERROR(AVERAGE(_xlfn._xlws.FILTER($B$2:$B$2000,(IFERROR(VALUE(MID($A$2:$A$2000,4,2)),0)=MONTH(C45))*(IFERROR(VALUE(RIGHT($A$2:$A$2000,4)),0)=YEAR(C45)))),""))</f>
        <v/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">
      <c r="A46" s="65" t="inlineStr">
        <is>
          <t>10/10/2003</t>
        </is>
      </c>
      <c r="B46" s="28" t="n">
        <v>2.1286</v>
      </c>
      <c r="C46" s="49" t="n">
        <v>38930</v>
      </c>
      <c r="D46" s="50">
        <f t="array" ref="D46">IF(C46="","",IFERROR(AVERAGE(_xlfn._xlws.FILTER($B$2:$B$2000,(IFERROR(VALUE(MID($A$2:$A$2000,4,2)),0)=MONTH(C46))*(IFERROR(VALUE(RIGHT($A$2:$A$2000,4)),0)=YEAR(C46)))),""))</f>
        <v/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">
      <c r="A47" s="65" t="inlineStr">
        <is>
          <t>17/10/2003</t>
        </is>
      </c>
      <c r="B47" s="28" t="n">
        <v>2.2667</v>
      </c>
      <c r="C47" s="49" t="n">
        <v>38961</v>
      </c>
      <c r="D47" s="50">
        <f t="array" ref="D47">IF(C47="","",IFERROR(AVERAGE(_xlfn._xlws.FILTER($B$2:$B$2000,(IFERROR(VALUE(MID($A$2:$A$2000,4,2)),0)=MONTH(C47))*(IFERROR(VALUE(RIGHT($A$2:$A$2000,4)),0)=YEAR(C47)))),""))</f>
        <v/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">
      <c r="A48" s="65" t="inlineStr">
        <is>
          <t>24/10/2003</t>
        </is>
      </c>
      <c r="B48" s="28" t="n">
        <v>2.2768</v>
      </c>
      <c r="C48" s="49" t="n">
        <v>38991</v>
      </c>
      <c r="D48" s="50">
        <f t="array" ref="D48">IF(C48="","",IFERROR(AVERAGE(_xlfn._xlws.FILTER($B$2:$B$2000,(IFERROR(VALUE(MID($A$2:$A$2000,4,2)),0)=MONTH(C48))*(IFERROR(VALUE(RIGHT($A$2:$A$2000,4)),0)=YEAR(C48)))),""))</f>
        <v/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">
      <c r="A49" s="65" t="inlineStr">
        <is>
          <t>31/10/2003</t>
        </is>
      </c>
      <c r="B49" s="28" t="n">
        <v>2.0965</v>
      </c>
      <c r="C49" s="49" t="n">
        <v>39022</v>
      </c>
      <c r="D49" s="50">
        <f t="array" ref="D49">IF(C49="","",IFERROR(AVERAGE(_xlfn._xlws.FILTER($B$2:$B$2000,(IFERROR(VALUE(MID($A$2:$A$2000,4,2)),0)=MONTH(C49))*(IFERROR(VALUE(RIGHT($A$2:$A$2000,4)),0)=YEAR(C49)))),""))</f>
        <v/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">
      <c r="A50" s="65" t="inlineStr">
        <is>
          <t>07/11/2003</t>
        </is>
      </c>
      <c r="B50" s="28" t="n">
        <v>2.147</v>
      </c>
      <c r="C50" s="49" t="n">
        <v>39052</v>
      </c>
      <c r="D50" s="50">
        <f t="array" ref="D50">IF(C50="","",IFERROR(AVERAGE(_xlfn._xlws.FILTER($B$2:$B$2000,(IFERROR(VALUE(MID($A$2:$A$2000,4,2)),0)=MONTH(C50))*(IFERROR(VALUE(RIGHT($A$2:$A$2000,4)),0)=YEAR(C50)))),""))</f>
        <v/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">
      <c r="A51" s="65" t="inlineStr">
        <is>
          <t>14/11/2003</t>
        </is>
      </c>
      <c r="B51" s="28" t="n">
        <v>2.2824</v>
      </c>
      <c r="C51" s="49" t="n">
        <v>39083</v>
      </c>
      <c r="D51" s="50">
        <f t="array" ref="D51">IF(C51="","",IFERROR(AVERAGE(_xlfn._xlws.FILTER($B$2:$B$2000,(IFERROR(VALUE(MID($A$2:$A$2000,4,2)),0)=MONTH(C51))*(IFERROR(VALUE(RIGHT($A$2:$A$2000,4)),0)=YEAR(C51)))),""))</f>
        <v/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">
      <c r="A52" s="65" t="inlineStr">
        <is>
          <t>21/11/2003</t>
        </is>
      </c>
      <c r="B52" s="28" t="n">
        <v>2.2828</v>
      </c>
      <c r="C52" s="49" t="n">
        <v>39114</v>
      </c>
      <c r="D52" s="50">
        <f t="array" ref="D52">IF(C52="","",IFERROR(AVERAGE(_xlfn._xlws.FILTER($B$2:$B$2000,(IFERROR(VALUE(MID($A$2:$A$2000,4,2)),0)=MONTH(C52))*(IFERROR(VALUE(RIGHT($A$2:$A$2000,4)),0)=YEAR(C52)))),""))</f>
        <v/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">
      <c r="A53" s="65" t="inlineStr">
        <is>
          <t>28/11/2003</t>
        </is>
      </c>
      <c r="B53" s="28" t="n">
        <v>2.3354</v>
      </c>
      <c r="C53" s="49" t="n">
        <v>39142</v>
      </c>
      <c r="D53" s="50">
        <f t="array" ref="D53">IF(C53="","",IFERROR(AVERAGE(_xlfn._xlws.FILTER($B$2:$B$2000,(IFERROR(VALUE(MID($A$2:$A$2000,4,2)),0)=MONTH(C53))*(IFERROR(VALUE(RIGHT($A$2:$A$2000,4)),0)=YEAR(C53)))),""))</f>
        <v/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">
      <c r="A54" s="65" t="inlineStr">
        <is>
          <t>05/12/2003</t>
        </is>
      </c>
      <c r="B54" s="28" t="n">
        <v>2.4312</v>
      </c>
      <c r="C54" s="49" t="n">
        <v>39173</v>
      </c>
      <c r="D54" s="50">
        <f t="array" ref="D54">IF(C54="","",IFERROR(AVERAGE(_xlfn._xlws.FILTER($B$2:$B$2000,(IFERROR(VALUE(MID($A$2:$A$2000,4,2)),0)=MONTH(C54))*(IFERROR(VALUE(RIGHT($A$2:$A$2000,4)),0)=YEAR(C54)))),""))</f>
        <v/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">
      <c r="A55" s="65" t="inlineStr">
        <is>
          <t>12/12/2003</t>
        </is>
      </c>
      <c r="B55" s="28" t="n">
        <v>2.4735</v>
      </c>
      <c r="C55" s="49" t="n">
        <v>39203</v>
      </c>
      <c r="D55" s="50">
        <f t="array" ref="D55">IF(C55="","",IFERROR(AVERAGE(_xlfn._xlws.FILTER($B$2:$B$2000,(IFERROR(VALUE(MID($A$2:$A$2000,4,2)),0)=MONTH(C55))*(IFERROR(VALUE(RIGHT($A$2:$A$2000,4)),0)=YEAR(C55)))),""))</f>
        <v/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">
      <c r="A56" s="65" t="inlineStr">
        <is>
          <t>19/12/2003</t>
        </is>
      </c>
      <c r="B56" s="28" t="n">
        <v>2.4848</v>
      </c>
      <c r="C56" s="49" t="n">
        <v>39234</v>
      </c>
      <c r="D56" s="50">
        <f t="array" ref="D56">IF(C56="","",IFERROR(AVERAGE(_xlfn._xlws.FILTER($B$2:$B$2000,(IFERROR(VALUE(MID($A$2:$A$2000,4,2)),0)=MONTH(C56))*(IFERROR(VALUE(RIGHT($A$2:$A$2000,4)),0)=YEAR(C56)))),""))</f>
        <v/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">
      <c r="A57" s="65" t="inlineStr">
        <is>
          <t>26/12/2003</t>
        </is>
      </c>
      <c r="B57" s="28" t="n">
        <v>2.4437</v>
      </c>
      <c r="C57" s="49" t="n">
        <v>39264</v>
      </c>
      <c r="D57" s="50">
        <f t="array" ref="D57">IF(C57="","",IFERROR(AVERAGE(_xlfn._xlws.FILTER($B$2:$B$2000,(IFERROR(VALUE(MID($A$2:$A$2000,4,2)),0)=MONTH(C57))*(IFERROR(VALUE(RIGHT($A$2:$A$2000,4)),0)=YEAR(C57)))),""))</f>
        <v/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">
      <c r="A58" s="65" t="inlineStr">
        <is>
          <t>02/01/2004</t>
        </is>
      </c>
      <c r="B58" s="28" t="n">
        <v>2.4236</v>
      </c>
      <c r="C58" s="49" t="n">
        <v>39295</v>
      </c>
      <c r="D58" s="50">
        <f t="array" ref="D58">IF(C58="","",IFERROR(AVERAGE(_xlfn._xlws.FILTER($B$2:$B$2000,(IFERROR(VALUE(MID($A$2:$A$2000,4,2)),0)=MONTH(C58))*(IFERROR(VALUE(RIGHT($A$2:$A$2000,4)),0)=YEAR(C58)))),""))</f>
        <v/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">
      <c r="A59" s="65" t="inlineStr">
        <is>
          <t>09/01/2004</t>
        </is>
      </c>
      <c r="B59" s="28" t="n">
        <v>2.3565</v>
      </c>
      <c r="C59" s="49" t="n">
        <v>39326</v>
      </c>
      <c r="D59" s="50">
        <f t="array" ref="D59">IF(C59="","",IFERROR(AVERAGE(_xlfn._xlws.FILTER($B$2:$B$2000,(IFERROR(VALUE(MID($A$2:$A$2000,4,2)),0)=MONTH(C59))*(IFERROR(VALUE(RIGHT($A$2:$A$2000,4)),0)=YEAR(C59)))),""))</f>
        <v/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">
      <c r="A60" s="65" t="inlineStr">
        <is>
          <t>16/01/2004</t>
        </is>
      </c>
      <c r="B60" s="28" t="n">
        <v>2.2308</v>
      </c>
      <c r="C60" s="49" t="n">
        <v>39356</v>
      </c>
      <c r="D60" s="50">
        <f t="array" ref="D60">IF(C60="","",IFERROR(AVERAGE(_xlfn._xlws.FILTER($B$2:$B$2000,(IFERROR(VALUE(MID($A$2:$A$2000,4,2)),0)=MONTH(C60))*(IFERROR(VALUE(RIGHT($A$2:$A$2000,4)),0)=YEAR(C60)))),""))</f>
        <v/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">
      <c r="A61" s="65" t="inlineStr">
        <is>
          <t>23/01/2004</t>
        </is>
      </c>
      <c r="B61" s="28" t="n">
        <v>2.0328</v>
      </c>
      <c r="C61" s="49" t="n">
        <v>39387</v>
      </c>
      <c r="D61" s="50">
        <f t="array" ref="D61">IF(C61="","",IFERROR(AVERAGE(_xlfn._xlws.FILTER($B$2:$B$2000,(IFERROR(VALUE(MID($A$2:$A$2000,4,2)),0)=MONTH(C61))*(IFERROR(VALUE(RIGHT($A$2:$A$2000,4)),0)=YEAR(C61)))),""))</f>
        <v/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">
      <c r="A62" s="65" t="inlineStr">
        <is>
          <t>30/01/2004</t>
        </is>
      </c>
      <c r="B62" s="28" t="n">
        <v>2.0958</v>
      </c>
      <c r="C62" s="49" t="n">
        <v>39417</v>
      </c>
      <c r="D62" s="50">
        <f t="array" ref="D62">IF(C62="","",IFERROR(AVERAGE(_xlfn._xlws.FILTER($B$2:$B$2000,(IFERROR(VALUE(MID($A$2:$A$2000,4,2)),0)=MONTH(C62))*(IFERROR(VALUE(RIGHT($A$2:$A$2000,4)),0)=YEAR(C62)))),""))</f>
        <v/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">
      <c r="A63" s="65" t="inlineStr">
        <is>
          <t>06/02/2004</t>
        </is>
      </c>
      <c r="B63" s="28" t="n">
        <v>1.9181</v>
      </c>
      <c r="C63" s="49" t="n">
        <v>39448</v>
      </c>
      <c r="D63" s="50">
        <f t="array" ref="D63">IF(C63="","",IFERROR(AVERAGE(_xlfn._xlws.FILTER($B$2:$B$2000,(IFERROR(VALUE(MID($A$2:$A$2000,4,2)),0)=MONTH(C63))*(IFERROR(VALUE(RIGHT($A$2:$A$2000,4)),0)=YEAR(C63)))),""))</f>
        <v/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">
      <c r="A64" s="65" t="inlineStr">
        <is>
          <t>13/02/2004</t>
        </is>
      </c>
      <c r="B64" s="28" t="n">
        <v>1.4729</v>
      </c>
      <c r="C64" s="49" t="n">
        <v>39479</v>
      </c>
      <c r="D64" s="50">
        <f t="array" ref="D64">IF(C64="","",IFERROR(AVERAGE(_xlfn._xlws.FILTER($B$2:$B$2000,(IFERROR(VALUE(MID($A$2:$A$2000,4,2)),0)=MONTH(C64))*(IFERROR(VALUE(RIGHT($A$2:$A$2000,4)),0)=YEAR(C64)))),""))</f>
        <v/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">
      <c r="A65" s="65" t="inlineStr">
        <is>
          <t>20/02/2004</t>
        </is>
      </c>
      <c r="B65" s="28" t="n">
        <v>1.2632</v>
      </c>
      <c r="C65" s="49" t="n">
        <v>39508</v>
      </c>
      <c r="D65" s="50">
        <f t="array" ref="D65">IF(C65="","",IFERROR(AVERAGE(_xlfn._xlws.FILTER($B$2:$B$2000,(IFERROR(VALUE(MID($A$2:$A$2000,4,2)),0)=MONTH(C65))*(IFERROR(VALUE(RIGHT($A$2:$A$2000,4)),0)=YEAR(C65)))),""))</f>
        <v/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">
      <c r="A66" s="65" t="inlineStr">
        <is>
          <t>27/02/2004</t>
        </is>
      </c>
      <c r="B66" s="28" t="n">
        <v>1.4297</v>
      </c>
      <c r="C66" s="49" t="n">
        <v>39539</v>
      </c>
      <c r="D66" s="50">
        <f t="array" ref="D66">IF(C66="","",IFERROR(AVERAGE(_xlfn._xlws.FILTER($B$2:$B$2000,(IFERROR(VALUE(MID($A$2:$A$2000,4,2)),0)=MONTH(C66))*(IFERROR(VALUE(RIGHT($A$2:$A$2000,4)),0)=YEAR(C66)))),""))</f>
        <v/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">
      <c r="A67" s="65" t="inlineStr">
        <is>
          <t>05/03/2004</t>
        </is>
      </c>
      <c r="B67" s="28" t="n">
        <v>1.3886</v>
      </c>
      <c r="C67" s="49" t="n">
        <v>39569</v>
      </c>
      <c r="D67" s="50">
        <f t="array" ref="D67">IF(C67="","",IFERROR(AVERAGE(_xlfn._xlws.FILTER($B$2:$B$2000,(IFERROR(VALUE(MID($A$2:$A$2000,4,2)),0)=MONTH(C67))*(IFERROR(VALUE(RIGHT($A$2:$A$2000,4)),0)=YEAR(C67)))),""))</f>
        <v/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">
      <c r="A68" s="65" t="inlineStr">
        <is>
          <t>12/03/2004</t>
        </is>
      </c>
      <c r="B68" s="28" t="n">
        <v>1.2714</v>
      </c>
      <c r="C68" s="49" t="n">
        <v>39600</v>
      </c>
      <c r="D68" s="50">
        <f t="array" ref="D68">IF(C68="","",IFERROR(AVERAGE(_xlfn._xlws.FILTER($B$2:$B$2000,(IFERROR(VALUE(MID($A$2:$A$2000,4,2)),0)=MONTH(C68))*(IFERROR(VALUE(RIGHT($A$2:$A$2000,4)),0)=YEAR(C68)))),""))</f>
        <v/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">
      <c r="A69" s="65" t="inlineStr">
        <is>
          <t>19/03/2004</t>
        </is>
      </c>
      <c r="B69" s="28" t="n">
        <v>1.2926</v>
      </c>
      <c r="C69" s="49" t="n">
        <v>39630</v>
      </c>
      <c r="D69" s="50">
        <f t="array" ref="D69">IF(C69="","",IFERROR(AVERAGE(_xlfn._xlws.FILTER($B$2:$B$2000,(IFERROR(VALUE(MID($A$2:$A$2000,4,2)),0)=MONTH(C69))*(IFERROR(VALUE(RIGHT($A$2:$A$2000,4)),0)=YEAR(C69)))),""))</f>
        <v/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">
      <c r="A70" s="65" t="inlineStr">
        <is>
          <t>26/03/2004</t>
        </is>
      </c>
      <c r="B70" s="28" t="n">
        <v>1.3498</v>
      </c>
      <c r="C70" s="49" t="n">
        <v>39661</v>
      </c>
      <c r="D70" s="50">
        <f t="array" ref="D70">IF(C70="","",IFERROR(AVERAGE(_xlfn._xlws.FILTER($B$2:$B$2000,(IFERROR(VALUE(MID($A$2:$A$2000,4,2)),0)=MONTH(C70))*(IFERROR(VALUE(RIGHT($A$2:$A$2000,4)),0)=YEAR(C70)))),""))</f>
        <v/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">
      <c r="A71" s="65" t="inlineStr">
        <is>
          <t>02/04/2004</t>
        </is>
      </c>
      <c r="B71" s="28" t="n">
        <v>1.6463</v>
      </c>
      <c r="C71" s="49" t="n">
        <v>39692</v>
      </c>
      <c r="D71" s="50">
        <f t="array" ref="D71">IF(C71="","",IFERROR(AVERAGE(_xlfn._xlws.FILTER($B$2:$B$2000,(IFERROR(VALUE(MID($A$2:$A$2000,4,2)),0)=MONTH(C71))*(IFERROR(VALUE(RIGHT($A$2:$A$2000,4)),0)=YEAR(C71)))),""))</f>
        <v/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">
      <c r="A72" s="65" t="inlineStr">
        <is>
          <t>08/04/2004</t>
        </is>
      </c>
      <c r="B72" s="28" t="n">
        <v>1.7353</v>
      </c>
      <c r="C72" s="49" t="n">
        <v>39722</v>
      </c>
      <c r="D72" s="50">
        <f t="array" ref="D72">IF(C72="","",IFERROR(AVERAGE(_xlfn._xlws.FILTER($B$2:$B$2000,(IFERROR(VALUE(MID($A$2:$A$2000,4,2)),0)=MONTH(C72))*(IFERROR(VALUE(RIGHT($A$2:$A$2000,4)),0)=YEAR(C72)))),""))</f>
        <v/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">
      <c r="A73" s="65" t="inlineStr">
        <is>
          <t>16/04/2004</t>
        </is>
      </c>
      <c r="B73" s="28" t="n">
        <v>1.642</v>
      </c>
      <c r="C73" s="49" t="n">
        <v>39753</v>
      </c>
      <c r="D73" s="50">
        <f t="array" ref="D73">IF(C73="","",IFERROR(AVERAGE(_xlfn._xlws.FILTER($B$2:$B$2000,(IFERROR(VALUE(MID($A$2:$A$2000,4,2)),0)=MONTH(C73))*(IFERROR(VALUE(RIGHT($A$2:$A$2000,4)),0)=YEAR(C73)))),""))</f>
        <v/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">
      <c r="A74" s="65" t="inlineStr">
        <is>
          <t>23/04/2004</t>
        </is>
      </c>
      <c r="B74" s="28" t="n">
        <v>1.5022</v>
      </c>
      <c r="C74" s="49" t="n">
        <v>39783</v>
      </c>
      <c r="D74" s="50">
        <f t="array" ref="D74">IF(C74="","",IFERROR(AVERAGE(_xlfn._xlws.FILTER($B$2:$B$2000,(IFERROR(VALUE(MID($A$2:$A$2000,4,2)),0)=MONTH(C74))*(IFERROR(VALUE(RIGHT($A$2:$A$2000,4)),0)=YEAR(C74)))),""))</f>
        <v/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">
      <c r="A75" s="65" t="inlineStr">
        <is>
          <t>30/04/2004</t>
        </is>
      </c>
      <c r="B75" s="28" t="n">
        <v>1.5595</v>
      </c>
      <c r="C75" s="49" t="n">
        <v>39814</v>
      </c>
      <c r="D75" s="50">
        <f t="array" ref="D75">IF(C75="","",IFERROR(AVERAGE(_xlfn._xlws.FILTER($B$2:$B$2000,(IFERROR(VALUE(MID($A$2:$A$2000,4,2)),0)=MONTH(C75))*(IFERROR(VALUE(RIGHT($A$2:$A$2000,4)),0)=YEAR(C75)))),""))</f>
        <v/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">
      <c r="A76" s="65" t="inlineStr">
        <is>
          <t>07/05/2004</t>
        </is>
      </c>
      <c r="B76" s="28" t="n">
        <v>1.5653</v>
      </c>
      <c r="C76" s="49" t="n">
        <v>39845</v>
      </c>
      <c r="D76" s="50">
        <f t="array" ref="D76">IF(C76="","",IFERROR(AVERAGE(_xlfn._xlws.FILTER($B$2:$B$2000,(IFERROR(VALUE(MID($A$2:$A$2000,4,2)),0)=MONTH(C76))*(IFERROR(VALUE(RIGHT($A$2:$A$2000,4)),0)=YEAR(C76)))),""))</f>
        <v/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">
      <c r="A77" s="65" t="inlineStr">
        <is>
          <t>14/05/2004</t>
        </is>
      </c>
      <c r="B77" s="28" t="n">
        <v>1.6666</v>
      </c>
      <c r="C77" s="49" t="n">
        <v>39873</v>
      </c>
      <c r="D77" s="50">
        <f t="array" ref="D77">IF(C77="","",IFERROR(AVERAGE(_xlfn._xlws.FILTER($B$2:$B$2000,(IFERROR(VALUE(MID($A$2:$A$2000,4,2)),0)=MONTH(C77))*(IFERROR(VALUE(RIGHT($A$2:$A$2000,4)),0)=YEAR(C77)))),""))</f>
        <v/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">
      <c r="A78" s="65" t="inlineStr">
        <is>
          <t>21/05/2004</t>
        </is>
      </c>
      <c r="B78" s="28" t="n">
        <v>1.9251</v>
      </c>
      <c r="C78" s="49" t="n">
        <v>39904</v>
      </c>
      <c r="D78" s="50">
        <f t="array" ref="D78">IF(C78="","",IFERROR(AVERAGE(_xlfn._xlws.FILTER($B$2:$B$2000,(IFERROR(VALUE(MID($A$2:$A$2000,4,2)),0)=MONTH(C78))*(IFERROR(VALUE(RIGHT($A$2:$A$2000,4)),0)=YEAR(C78)))),""))</f>
        <v/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">
      <c r="A79" s="65" t="inlineStr">
        <is>
          <t>28/05/2004</t>
        </is>
      </c>
      <c r="B79" s="28" t="n">
        <v>2.127</v>
      </c>
      <c r="C79" s="49" t="n">
        <v>39934</v>
      </c>
      <c r="D79" s="50">
        <f t="array" ref="D79">IF(C79="","",IFERROR(AVERAGE(_xlfn._xlws.FILTER($B$2:$B$2000,(IFERROR(VALUE(MID($A$2:$A$2000,4,2)),0)=MONTH(C79))*(IFERROR(VALUE(RIGHT($A$2:$A$2000,4)),0)=YEAR(C79)))),""))</f>
        <v/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">
      <c r="A80" s="65" t="inlineStr">
        <is>
          <t>04/06/2004</t>
        </is>
      </c>
      <c r="B80" s="28" t="n">
        <v>2.0407</v>
      </c>
      <c r="C80" s="49" t="n">
        <v>39965</v>
      </c>
      <c r="D80" s="50">
        <f t="array" ref="D80">IF(C80="","",IFERROR(AVERAGE(_xlfn._xlws.FILTER($B$2:$B$2000,(IFERROR(VALUE(MID($A$2:$A$2000,4,2)),0)=MONTH(C80))*(IFERROR(VALUE(RIGHT($A$2:$A$2000,4)),0)=YEAR(C80)))),""))</f>
        <v/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">
      <c r="A81" s="65" t="inlineStr">
        <is>
          <t>11/06/2004</t>
        </is>
      </c>
      <c r="B81" s="28" t="n">
        <v>2.0188</v>
      </c>
      <c r="C81" s="49" t="n">
        <v>39995</v>
      </c>
      <c r="D81" s="50">
        <f t="array" ref="D81">IF(C81="","",IFERROR(AVERAGE(_xlfn._xlws.FILTER($B$2:$B$2000,(IFERROR(VALUE(MID($A$2:$A$2000,4,2)),0)=MONTH(C81))*(IFERROR(VALUE(RIGHT($A$2:$A$2000,4)),0)=YEAR(C81)))),""))</f>
        <v/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">
      <c r="A82" s="65" t="inlineStr">
        <is>
          <t>18/06/2004</t>
        </is>
      </c>
      <c r="B82" s="28" t="n">
        <v>2.0079</v>
      </c>
      <c r="C82" s="49" t="n">
        <v>40026</v>
      </c>
      <c r="D82" s="50">
        <f t="array" ref="D82">IF(C82="","",IFERROR(AVERAGE(_xlfn._xlws.FILTER($B$2:$B$2000,(IFERROR(VALUE(MID($A$2:$A$2000,4,2)),0)=MONTH(C82))*(IFERROR(VALUE(RIGHT($A$2:$A$2000,4)),0)=YEAR(C82)))),""))</f>
        <v/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">
      <c r="A83" s="65" t="inlineStr">
        <is>
          <t>25/06/2004</t>
        </is>
      </c>
      <c r="B83" s="28" t="n">
        <v>2.029</v>
      </c>
      <c r="C83" s="49" t="n">
        <v>40057</v>
      </c>
      <c r="D83" s="50">
        <f t="array" ref="D83">IF(C83="","",IFERROR(AVERAGE(_xlfn._xlws.FILTER($B$2:$B$2000,(IFERROR(VALUE(MID($A$2:$A$2000,4,2)),0)=MONTH(C83))*(IFERROR(VALUE(RIGHT($A$2:$A$2000,4)),0)=YEAR(C83)))),""))</f>
        <v/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">
      <c r="A84" s="65" t="inlineStr">
        <is>
          <t>02/07/2004</t>
        </is>
      </c>
      <c r="B84" s="28" t="n">
        <v>2.0151</v>
      </c>
      <c r="C84" s="49" t="n">
        <v>40087</v>
      </c>
      <c r="D84" s="50">
        <f t="array" ref="D84">IF(C84="","",IFERROR(AVERAGE(_xlfn._xlws.FILTER($B$2:$B$2000,(IFERROR(VALUE(MID($A$2:$A$2000,4,2)),0)=MONTH(C84))*(IFERROR(VALUE(RIGHT($A$2:$A$2000,4)),0)=YEAR(C84)))),""))</f>
        <v/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">
      <c r="A85" s="65" t="inlineStr">
        <is>
          <t>08/07/2004</t>
        </is>
      </c>
      <c r="B85" s="28" t="n">
        <v>2.0192</v>
      </c>
      <c r="C85" s="49" t="n">
        <v>40118</v>
      </c>
      <c r="D85" s="50">
        <f t="array" ref="D85">IF(C85="","",IFERROR(AVERAGE(_xlfn._xlws.FILTER($B$2:$B$2000,(IFERROR(VALUE(MID($A$2:$A$2000,4,2)),0)=MONTH(C85))*(IFERROR(VALUE(RIGHT($A$2:$A$2000,4)),0)=YEAR(C85)))),""))</f>
        <v/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">
      <c r="A86" s="65" t="inlineStr">
        <is>
          <t>16/07/2004</t>
        </is>
      </c>
      <c r="B86" s="28" t="n">
        <v>2.1215</v>
      </c>
      <c r="C86" s="49" t="n">
        <v>40148</v>
      </c>
      <c r="D86" s="50">
        <f t="array" ref="D86">IF(C86="","",IFERROR(AVERAGE(_xlfn._xlws.FILTER($B$2:$B$2000,(IFERROR(VALUE(MID($A$2:$A$2000,4,2)),0)=MONTH(C86))*(IFERROR(VALUE(RIGHT($A$2:$A$2000,4)),0)=YEAR(C86)))),""))</f>
        <v/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">
      <c r="A87" s="65" t="inlineStr">
        <is>
          <t>23/07/2004</t>
        </is>
      </c>
      <c r="B87" s="28" t="n">
        <v>2.4156</v>
      </c>
      <c r="C87" s="49" t="n">
        <v>40179</v>
      </c>
      <c r="D87" s="50">
        <f t="array" ref="D87">IF(C87="","",IFERROR(AVERAGE(_xlfn._xlws.FILTER($B$2:$B$2000,(IFERROR(VALUE(MID($A$2:$A$2000,4,2)),0)=MONTH(C87))*(IFERROR(VALUE(RIGHT($A$2:$A$2000,4)),0)=YEAR(C87)))),""))</f>
        <v/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">
      <c r="A88" s="65" t="inlineStr">
        <is>
          <t>30/07/2004</t>
        </is>
      </c>
      <c r="B88" s="28" t="n">
        <v>2.4543</v>
      </c>
      <c r="C88" s="49" t="n">
        <v>40210</v>
      </c>
      <c r="D88" s="50">
        <f t="array" ref="D88">IF(C88="","",IFERROR(AVERAGE(_xlfn._xlws.FILTER($B$2:$B$2000,(IFERROR(VALUE(MID($A$2:$A$2000,4,2)),0)=MONTH(C88))*(IFERROR(VALUE(RIGHT($A$2:$A$2000,4)),0)=YEAR(C88)))),""))</f>
        <v/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">
      <c r="A89" s="65" t="inlineStr">
        <is>
          <t>06/08/2004</t>
        </is>
      </c>
      <c r="B89" s="28" t="n">
        <v>2.4273</v>
      </c>
      <c r="C89" s="49" t="n">
        <v>40238</v>
      </c>
      <c r="D89" s="50">
        <f t="array" ref="D89">IF(C89="","",IFERROR(AVERAGE(_xlfn._xlws.FILTER($B$2:$B$2000,(IFERROR(VALUE(MID($A$2:$A$2000,4,2)),0)=MONTH(C89))*(IFERROR(VALUE(RIGHT($A$2:$A$2000,4)),0)=YEAR(C89)))),""))</f>
        <v/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">
      <c r="A90" s="65" t="inlineStr">
        <is>
          <t>13/08/2004</t>
        </is>
      </c>
      <c r="B90" s="28" t="n">
        <v>2.4211</v>
      </c>
      <c r="C90" s="49" t="n">
        <v>40269</v>
      </c>
      <c r="D90" s="50">
        <f t="array" ref="D90">IF(C90="","",IFERROR(AVERAGE(_xlfn._xlws.FILTER($B$2:$B$2000,(IFERROR(VALUE(MID($A$2:$A$2000,4,2)),0)=MONTH(C90))*(IFERROR(VALUE(RIGHT($A$2:$A$2000,4)),0)=YEAR(C90)))),""))</f>
        <v/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">
      <c r="A91" s="65" t="inlineStr">
        <is>
          <t>20/08/2004</t>
        </is>
      </c>
      <c r="B91" s="28" t="n">
        <v>2.3909</v>
      </c>
      <c r="C91" s="49" t="n">
        <v>40299</v>
      </c>
      <c r="D91" s="50">
        <f t="array" ref="D91">IF(C91="","",IFERROR(AVERAGE(_xlfn._xlws.FILTER($B$2:$B$2000,(IFERROR(VALUE(MID($A$2:$A$2000,4,2)),0)=MONTH(C91))*(IFERROR(VALUE(RIGHT($A$2:$A$2000,4)),0)=YEAR(C91)))),""))</f>
        <v/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">
      <c r="A92" s="65" t="inlineStr">
        <is>
          <t>27/08/2004</t>
        </is>
      </c>
      <c r="B92" s="28" t="n">
        <v>2.3637</v>
      </c>
      <c r="C92" s="49" t="n">
        <v>40330</v>
      </c>
      <c r="D92" s="50">
        <f t="array" ref="D92">IF(C92="","",IFERROR(AVERAGE(_xlfn._xlws.FILTER($B$2:$B$2000,(IFERROR(VALUE(MID($A$2:$A$2000,4,2)),0)=MONTH(C92))*(IFERROR(VALUE(RIGHT($A$2:$A$2000,4)),0)=YEAR(C92)))),""))</f>
        <v/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">
      <c r="A93" s="65" t="inlineStr">
        <is>
          <t>03/09/2004</t>
        </is>
      </c>
      <c r="B93" s="28" t="n">
        <v>2.3336</v>
      </c>
      <c r="C93" s="49" t="n">
        <v>40360</v>
      </c>
      <c r="D93" s="50">
        <f t="array" ref="D93">IF(C93="","",IFERROR(AVERAGE(_xlfn._xlws.FILTER($B$2:$B$2000,(IFERROR(VALUE(MID($A$2:$A$2000,4,2)),0)=MONTH(C93))*(IFERROR(VALUE(RIGHT($A$2:$A$2000,4)),0)=YEAR(C93)))),""))</f>
        <v/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">
      <c r="A94" s="65" t="inlineStr">
        <is>
          <t>10/09/2004</t>
        </is>
      </c>
      <c r="B94" s="28" t="n">
        <v>2.3497</v>
      </c>
      <c r="C94" s="49" t="n">
        <v>40391</v>
      </c>
      <c r="D94" s="50">
        <f t="array" ref="D94">IF(C94="","",IFERROR(AVERAGE(_xlfn._xlws.FILTER($B$2:$B$2000,(IFERROR(VALUE(MID($A$2:$A$2000,4,2)),0)=MONTH(C94))*(IFERROR(VALUE(RIGHT($A$2:$A$2000,4)),0)=YEAR(C94)))),""))</f>
        <v/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">
      <c r="A95" s="65" t="inlineStr">
        <is>
          <t>17/09/2004</t>
        </is>
      </c>
      <c r="B95" s="28" t="n">
        <v>2.3639</v>
      </c>
      <c r="C95" s="49" t="n">
        <v>40422</v>
      </c>
      <c r="D95" s="50">
        <f t="array" ref="D95">IF(C95="","",IFERROR(AVERAGE(_xlfn._xlws.FILTER($B$2:$B$2000,(IFERROR(VALUE(MID($A$2:$A$2000,4,2)),0)=MONTH(C95))*(IFERROR(VALUE(RIGHT($A$2:$A$2000,4)),0)=YEAR(C95)))),""))</f>
        <v/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">
      <c r="A96" s="65" t="inlineStr">
        <is>
          <t>24/09/2004</t>
        </is>
      </c>
      <c r="B96" s="28" t="n">
        <v>2.4907</v>
      </c>
      <c r="C96" s="49" t="n">
        <v>40452</v>
      </c>
      <c r="D96" s="50">
        <f t="array" ref="D96">IF(C96="","",IFERROR(AVERAGE(_xlfn._xlws.FILTER($B$2:$B$2000,(IFERROR(VALUE(MID($A$2:$A$2000,4,2)),0)=MONTH(C96))*(IFERROR(VALUE(RIGHT($A$2:$A$2000,4)),0)=YEAR(C96)))),""))</f>
        <v/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">
      <c r="A97" s="65" t="inlineStr">
        <is>
          <t>01/10/2004</t>
        </is>
      </c>
      <c r="B97" s="28" t="n">
        <v>2.6225</v>
      </c>
      <c r="C97" s="49" t="n">
        <v>40483</v>
      </c>
      <c r="D97" s="50">
        <f t="array" ref="D97">IF(C97="","",IFERROR(AVERAGE(_xlfn._xlws.FILTER($B$2:$B$2000,(IFERROR(VALUE(MID($A$2:$A$2000,4,2)),0)=MONTH(C97))*(IFERROR(VALUE(RIGHT($A$2:$A$2000,4)),0)=YEAR(C97)))),""))</f>
        <v/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">
      <c r="A98" s="65" t="inlineStr">
        <is>
          <t>08/10/2004</t>
        </is>
      </c>
      <c r="B98" s="28" t="n">
        <v>2.7477</v>
      </c>
      <c r="C98" s="49" t="n">
        <v>40513</v>
      </c>
      <c r="D98" s="50">
        <f t="array" ref="D98">IF(C98="","",IFERROR(AVERAGE(_xlfn._xlws.FILTER($B$2:$B$2000,(IFERROR(VALUE(MID($A$2:$A$2000,4,2)),0)=MONTH(C98))*(IFERROR(VALUE(RIGHT($A$2:$A$2000,4)),0)=YEAR(C98)))),""))</f>
        <v/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">
      <c r="A99" s="65" t="inlineStr">
        <is>
          <t>15/10/2004</t>
        </is>
      </c>
      <c r="B99" s="28" t="n">
        <v>2.8037</v>
      </c>
      <c r="C99" s="49" t="n">
        <v>40544</v>
      </c>
      <c r="D99" s="50">
        <f t="array" ref="D99">IF(C99="","",IFERROR(AVERAGE(_xlfn._xlws.FILTER($B$2:$B$2000,(IFERROR(VALUE(MID($A$2:$A$2000,4,2)),0)=MONTH(C99))*(IFERROR(VALUE(RIGHT($A$2:$A$2000,4)),0)=YEAR(C99)))),""))</f>
        <v/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">
      <c r="A100" s="65" t="inlineStr">
        <is>
          <t>22/10/2004</t>
        </is>
      </c>
      <c r="B100" s="28" t="n">
        <v>2.9518</v>
      </c>
      <c r="C100" s="49" t="n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/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">
      <c r="A101" s="65" t="inlineStr">
        <is>
          <t>29/10/2004</t>
        </is>
      </c>
      <c r="B101" s="28" t="n">
        <v>3.0057</v>
      </c>
      <c r="C101" s="49" t="n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/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">
      <c r="A102" s="65" t="inlineStr">
        <is>
          <t>05/11/2004</t>
        </is>
      </c>
      <c r="B102" s="28" t="n">
        <v>3.0267</v>
      </c>
      <c r="C102" s="49" t="n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/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">
      <c r="A103" s="65" t="inlineStr">
        <is>
          <t>12/11/2004</t>
        </is>
      </c>
      <c r="B103" s="28" t="n">
        <v>3.0476</v>
      </c>
      <c r="C103" s="49" t="n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/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">
      <c r="A104" s="65" t="inlineStr">
        <is>
          <t>19/11/2004</t>
        </is>
      </c>
      <c r="B104" s="28" t="n">
        <v>3.0368</v>
      </c>
      <c r="C104" s="49" t="n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/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">
      <c r="A105" s="65" t="inlineStr">
        <is>
          <t>26/11/2004</t>
        </is>
      </c>
      <c r="B105" s="28" t="n">
        <v>2.9928</v>
      </c>
      <c r="C105" s="49" t="n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/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">
      <c r="A106" s="65" t="inlineStr">
        <is>
          <t>03/12/2004</t>
        </is>
      </c>
      <c r="B106" s="28" t="n">
        <v>2.821</v>
      </c>
      <c r="C106" s="49" t="n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/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">
      <c r="A107" s="65" t="inlineStr">
        <is>
          <t>10/12/2004</t>
        </is>
      </c>
      <c r="B107" s="28" t="n">
        <v>2.7755</v>
      </c>
      <c r="C107" s="49" t="n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/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">
      <c r="A108" s="65" t="inlineStr">
        <is>
          <t>17/12/2004</t>
        </is>
      </c>
      <c r="B108" s="28" t="n">
        <v>2.7379</v>
      </c>
      <c r="C108" s="49" t="n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/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">
      <c r="A109" s="65" t="inlineStr">
        <is>
          <t>23/12/2004</t>
        </is>
      </c>
      <c r="B109" s="28" t="n">
        <v>2.6928</v>
      </c>
      <c r="C109" s="49" t="n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/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">
      <c r="A110" s="65" t="inlineStr">
        <is>
          <t>30/12/2004</t>
        </is>
      </c>
      <c r="B110" s="28" t="n">
        <v>2.7064</v>
      </c>
      <c r="C110" s="49" t="n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/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">
      <c r="A111" s="65" t="inlineStr">
        <is>
          <t>07/01/2005</t>
        </is>
      </c>
      <c r="B111" s="28" t="n">
        <v>2.7248</v>
      </c>
      <c r="C111" s="49" t="n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/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">
      <c r="A112" s="65" t="inlineStr">
        <is>
          <t>14/01/2005</t>
        </is>
      </c>
      <c r="B112" s="28" t="n">
        <v>2.7248</v>
      </c>
      <c r="C112" s="49" t="n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/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">
      <c r="A113" s="65" t="inlineStr">
        <is>
          <t>21/01/2005</t>
        </is>
      </c>
      <c r="B113" s="28" t="n">
        <v>2.7487</v>
      </c>
      <c r="C113" s="49" t="n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/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">
      <c r="A114" s="65" t="inlineStr">
        <is>
          <t>28/01/2005</t>
        </is>
      </c>
      <c r="B114" s="28" t="n">
        <v>2.7137</v>
      </c>
      <c r="C114" s="49" t="n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/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">
      <c r="A115" s="65" t="inlineStr">
        <is>
          <t>04/02/2005</t>
        </is>
      </c>
      <c r="B115" s="28" t="n">
        <v>2.7241</v>
      </c>
      <c r="C115" s="49" t="n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/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">
      <c r="A116" s="65" t="inlineStr">
        <is>
          <t>11/02/2005</t>
        </is>
      </c>
      <c r="B116" s="28" t="n">
        <v>2.7191</v>
      </c>
      <c r="C116" s="49" t="n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/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">
      <c r="A117" s="65" t="inlineStr">
        <is>
          <t>18/02/2005</t>
        </is>
      </c>
      <c r="B117" s="28" t="n">
        <v>2.7287</v>
      </c>
      <c r="C117" s="49" t="n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/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">
      <c r="A118" s="65" t="inlineStr">
        <is>
          <t>25/02/2005</t>
        </is>
      </c>
      <c r="B118" s="28" t="n">
        <v>2.7206</v>
      </c>
      <c r="C118" s="49" t="n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/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">
      <c r="A119" s="65" t="inlineStr">
        <is>
          <t>04/03/2005</t>
        </is>
      </c>
      <c r="B119" s="28" t="n">
        <v>2.7061</v>
      </c>
      <c r="C119" s="49" t="n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/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">
      <c r="A120" s="65" t="inlineStr">
        <is>
          <t>11/03/2005</t>
        </is>
      </c>
      <c r="B120" s="28" t="n">
        <v>2.7266</v>
      </c>
      <c r="C120" s="49" t="n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/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">
      <c r="A121" s="65" t="inlineStr">
        <is>
          <t>18/03/2005</t>
        </is>
      </c>
      <c r="B121" s="28" t="n">
        <v>2.7442</v>
      </c>
      <c r="C121" s="49" t="n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/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">
      <c r="A122" s="65" t="inlineStr">
        <is>
          <t>24/03/2005</t>
        </is>
      </c>
      <c r="B122" s="28" t="n">
        <v>2.7308</v>
      </c>
      <c r="C122" s="49" t="n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/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">
      <c r="A123" s="65" t="inlineStr">
        <is>
          <t>01/04/2005</t>
        </is>
      </c>
      <c r="B123" s="28" t="n">
        <v>2.7093</v>
      </c>
      <c r="C123" s="49" t="n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/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4">
      <c r="A124" s="65" t="inlineStr">
        <is>
          <t>08/04/2005</t>
        </is>
      </c>
      <c r="B124" s="28" t="n">
        <v>2.7093</v>
      </c>
      <c r="C124" s="49" t="n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/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5">
      <c r="A125" s="65" t="inlineStr">
        <is>
          <t>15/04/2005</t>
        </is>
      </c>
      <c r="B125" s="28" t="n">
        <v>2.6585</v>
      </c>
      <c r="C125" s="49" t="n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/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6">
      <c r="A126" s="65" t="inlineStr">
        <is>
          <t>22/04/2005</t>
        </is>
      </c>
      <c r="B126" s="28" t="n">
        <v>2.5092</v>
      </c>
      <c r="C126" s="49" t="n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/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7">
      <c r="A127" s="65" t="inlineStr">
        <is>
          <t>29/04/2005</t>
        </is>
      </c>
      <c r="B127" s="28" t="n">
        <v>2.3927</v>
      </c>
      <c r="C127" s="49" t="n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/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8">
      <c r="A128" s="65" t="inlineStr">
        <is>
          <t>06/05/2005</t>
        </is>
      </c>
      <c r="B128" s="28" t="n">
        <v>2.1158</v>
      </c>
      <c r="C128" s="49" t="n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/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9">
      <c r="A129" s="65" t="inlineStr">
        <is>
          <t>13/05/2005</t>
        </is>
      </c>
      <c r="B129" s="28" t="n">
        <v>2.0086</v>
      </c>
      <c r="C129" s="49" t="n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/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0">
      <c r="A130" s="65" t="inlineStr">
        <is>
          <t>20/05/2005</t>
        </is>
      </c>
      <c r="B130" s="28" t="n">
        <v>2.0128</v>
      </c>
      <c r="C130" s="49" t="n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/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1">
      <c r="A131" s="65" t="inlineStr">
        <is>
          <t>27/05/2005</t>
        </is>
      </c>
      <c r="B131" s="28" t="n">
        <v>2.0282</v>
      </c>
      <c r="C131" s="49" t="n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/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2">
      <c r="A132" s="65" t="inlineStr">
        <is>
          <t>03/06/2005</t>
        </is>
      </c>
      <c r="B132" s="28" t="n">
        <v>2.0241</v>
      </c>
      <c r="C132" s="49" t="n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/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3">
      <c r="A133" s="65" t="inlineStr">
        <is>
          <t>10/06/2005</t>
        </is>
      </c>
      <c r="B133" s="28" t="n">
        <v>2.0252</v>
      </c>
      <c r="C133" s="49" t="n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/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4">
      <c r="A134" s="65" t="inlineStr">
        <is>
          <t>17/06/2005</t>
        </is>
      </c>
      <c r="B134" s="28" t="n">
        <v>2.0664</v>
      </c>
      <c r="C134" s="49" t="n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/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5">
      <c r="A135" s="65" t="inlineStr">
        <is>
          <t>24/06/2005</t>
        </is>
      </c>
      <c r="B135" s="28" t="n">
        <v>2.1065</v>
      </c>
      <c r="C135" s="49" t="n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/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6">
      <c r="A136" s="65" t="inlineStr">
        <is>
          <t>01/07/2005</t>
        </is>
      </c>
      <c r="B136" s="28" t="n">
        <v>2.3126</v>
      </c>
      <c r="C136" s="49" t="n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/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7">
      <c r="A137" s="65" t="inlineStr">
        <is>
          <t>08/07/2005</t>
        </is>
      </c>
      <c r="B137" s="28" t="n">
        <v>2.3737</v>
      </c>
      <c r="C137" s="49" t="n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/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8">
      <c r="A138" s="65" t="inlineStr">
        <is>
          <t>15/07/2005</t>
        </is>
      </c>
      <c r="B138" s="28" t="n">
        <v>2.4076</v>
      </c>
      <c r="C138" s="49" t="n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/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39">
      <c r="A139" s="65" t="inlineStr">
        <is>
          <t>22/07/2005</t>
        </is>
      </c>
      <c r="B139" s="28" t="n">
        <v>2.4023</v>
      </c>
      <c r="C139" s="49" t="n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/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0">
      <c r="A140" s="65" t="inlineStr">
        <is>
          <t>29/07/2005</t>
        </is>
      </c>
      <c r="B140" s="28" t="n">
        <v>2.3451</v>
      </c>
      <c r="C140" s="49" t="n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/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1">
      <c r="A141" s="65" t="inlineStr">
        <is>
          <t>05/08/2005</t>
        </is>
      </c>
      <c r="B141" s="28" t="n">
        <v>2.3466</v>
      </c>
      <c r="C141" s="49" t="n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/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2">
      <c r="A142" s="65" t="inlineStr">
        <is>
          <t>12/08/2005</t>
        </is>
      </c>
      <c r="B142" s="28" t="n">
        <v>2.3302</v>
      </c>
      <c r="C142" s="49" t="n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/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3">
      <c r="A143" s="65" t="inlineStr">
        <is>
          <t>19/08/2005</t>
        </is>
      </c>
      <c r="B143" s="28" t="n">
        <v>2.338</v>
      </c>
      <c r="C143" s="49" t="n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/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4">
      <c r="A144" s="65" t="inlineStr">
        <is>
          <t>26/08/2005</t>
        </is>
      </c>
      <c r="B144" s="28" t="n">
        <v>2.3387</v>
      </c>
      <c r="C144" s="49" t="n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/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5">
      <c r="A145" s="65" t="inlineStr">
        <is>
          <t>02/09/2005</t>
        </is>
      </c>
      <c r="B145" s="28" t="n">
        <v>2.3541</v>
      </c>
      <c r="C145" s="49" t="n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/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6">
      <c r="A146" s="65" t="inlineStr">
        <is>
          <t>09/09/2005</t>
        </is>
      </c>
      <c r="B146" s="28" t="n">
        <v>2.3841</v>
      </c>
      <c r="C146" s="49" t="n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/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7">
      <c r="A147" s="65" t="inlineStr">
        <is>
          <t>16/09/2005</t>
        </is>
      </c>
      <c r="B147" s="28" t="n">
        <v>2.5586</v>
      </c>
      <c r="C147" s="49" t="n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/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8">
      <c r="A148" s="65" t="inlineStr">
        <is>
          <t>23/09/2005</t>
        </is>
      </c>
      <c r="B148" s="28" t="n">
        <v>2.8252</v>
      </c>
      <c r="C148" s="49" t="n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/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49">
      <c r="A149" s="65" t="inlineStr">
        <is>
          <t>30/09/2005</t>
        </is>
      </c>
      <c r="B149" s="28" t="n">
        <v>2.8764</v>
      </c>
      <c r="C149" s="49" t="n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/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0">
      <c r="A150" s="65" t="inlineStr">
        <is>
          <t>07/10/2005</t>
        </is>
      </c>
      <c r="B150" s="28" t="n">
        <v>2.9171</v>
      </c>
      <c r="C150" s="49" t="n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/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1">
      <c r="A151" s="65" t="inlineStr">
        <is>
          <t>14/10/2005</t>
        </is>
      </c>
      <c r="B151" s="28" t="n">
        <v>2.9669</v>
      </c>
      <c r="C151" s="49" t="n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/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2">
      <c r="A152" s="65" t="inlineStr">
        <is>
          <t>21/10/2005</t>
        </is>
      </c>
      <c r="B152" s="28" t="n">
        <v>2.9463</v>
      </c>
      <c r="C152" s="49" t="n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/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3">
      <c r="A153" s="65" t="inlineStr">
        <is>
          <t>28/10/2005</t>
        </is>
      </c>
      <c r="B153" s="28" t="n">
        <v>2.8812</v>
      </c>
      <c r="C153" s="49" t="n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/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4">
      <c r="A154" s="65" t="inlineStr">
        <is>
          <t>04/11/2005</t>
        </is>
      </c>
      <c r="B154" s="28" t="n">
        <v>2.8694</v>
      </c>
      <c r="C154" s="49" t="n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/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5">
      <c r="A155" s="65" t="inlineStr">
        <is>
          <t>11/11/2005</t>
        </is>
      </c>
      <c r="B155" s="28" t="n">
        <v>2.8662</v>
      </c>
      <c r="C155" s="49" t="n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/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6">
      <c r="A156" s="65" t="inlineStr">
        <is>
          <t>18/11/2005</t>
        </is>
      </c>
      <c r="B156" s="28" t="n">
        <v>2.8627</v>
      </c>
      <c r="C156" s="49" t="n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/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7">
      <c r="A157" s="65" t="inlineStr">
        <is>
          <t>25/11/2005</t>
        </is>
      </c>
      <c r="B157" s="28" t="n">
        <v>2.9006</v>
      </c>
      <c r="C157" s="49" t="n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/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8">
      <c r="A158" s="65" t="inlineStr">
        <is>
          <t>02/12/2005</t>
        </is>
      </c>
      <c r="B158" s="28" t="n">
        <v>3.0516</v>
      </c>
      <c r="C158" s="49" t="n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/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59">
      <c r="A159" s="65" t="inlineStr">
        <is>
          <t>09/12/2005</t>
        </is>
      </c>
      <c r="B159" s="28" t="n">
        <v>3.281</v>
      </c>
      <c r="C159" s="49" t="n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/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0">
      <c r="A160" s="65" t="inlineStr">
        <is>
          <t>16/12/2005</t>
        </is>
      </c>
      <c r="B160" s="28" t="n">
        <v>3.4191</v>
      </c>
      <c r="C160" s="49" t="n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/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1">
      <c r="A161" s="65" t="inlineStr">
        <is>
          <t>23/12/2005</t>
        </is>
      </c>
      <c r="B161" s="28" t="n">
        <v>3.5118</v>
      </c>
      <c r="C161" s="49" t="n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/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2">
      <c r="A162" s="65" t="inlineStr">
        <is>
          <t>29/12/2005</t>
        </is>
      </c>
      <c r="B162" s="28" t="n">
        <v>3.5656</v>
      </c>
      <c r="C162" s="49" t="n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/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3">
      <c r="A163" s="65" t="inlineStr">
        <is>
          <t>06/01/2006</t>
        </is>
      </c>
      <c r="B163" s="28" t="n">
        <v>3.6296</v>
      </c>
      <c r="C163" s="49" t="n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/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4">
      <c r="A164" s="65" t="inlineStr">
        <is>
          <t>13/01/2006</t>
        </is>
      </c>
      <c r="B164" s="28" t="n">
        <v>3.5798</v>
      </c>
      <c r="C164" s="49" t="n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/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5">
      <c r="A165" s="65" t="inlineStr">
        <is>
          <t>20/01/2006</t>
        </is>
      </c>
      <c r="B165" s="28" t="n">
        <v>3.5485</v>
      </c>
      <c r="C165" s="49" t="n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/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6">
      <c r="A166" s="65" t="inlineStr">
        <is>
          <t>27/01/2006</t>
        </is>
      </c>
      <c r="B166" s="28" t="n">
        <v>3.5563</v>
      </c>
      <c r="C166" s="49" t="n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/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7">
      <c r="A167" s="65" t="inlineStr">
        <is>
          <t>03/02/2006</t>
        </is>
      </c>
      <c r="B167" s="28" t="n">
        <v>3.5615</v>
      </c>
      <c r="C167" s="49" t="n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/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8">
      <c r="A168" s="65" t="inlineStr">
        <is>
          <t>10/02/2006</t>
        </is>
      </c>
      <c r="B168" s="28" t="n">
        <v>3.6401</v>
      </c>
      <c r="C168" s="49" t="n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/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69">
      <c r="A169" s="65" t="inlineStr">
        <is>
          <t>17/02/2006</t>
        </is>
      </c>
      <c r="B169" s="28" t="n">
        <v>3.76</v>
      </c>
      <c r="C169" s="49" t="n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/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0">
      <c r="A170" s="65" t="inlineStr">
        <is>
          <t>24/02/2006</t>
        </is>
      </c>
      <c r="B170" s="28" t="n">
        <v>4.0437</v>
      </c>
      <c r="C170" s="49" t="n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/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1">
      <c r="A171" s="65" t="inlineStr">
        <is>
          <t>03/03/2006</t>
        </is>
      </c>
      <c r="B171" s="28" t="n">
        <v>4.2197</v>
      </c>
      <c r="C171" s="49" t="n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/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2">
      <c r="A172" s="65" t="inlineStr">
        <is>
          <t>10/03/2006</t>
        </is>
      </c>
      <c r="B172" s="28" t="n">
        <v>4.3631</v>
      </c>
      <c r="C172" s="49" t="n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/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3">
      <c r="A173" s="65" t="inlineStr">
        <is>
          <t>17/03/2006</t>
        </is>
      </c>
      <c r="B173" s="28" t="n">
        <v>4.3188</v>
      </c>
      <c r="C173" s="49" t="n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/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4">
      <c r="A174" s="65" t="inlineStr">
        <is>
          <t>24/03/2006</t>
        </is>
      </c>
      <c r="B174" s="28" t="n">
        <v>4.2657</v>
      </c>
      <c r="C174" s="49" t="n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/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5">
      <c r="A175" s="65" t="inlineStr">
        <is>
          <t>31/03/2006</t>
        </is>
      </c>
      <c r="B175" s="28" t="n">
        <v>4.2035</v>
      </c>
      <c r="C175" s="49" t="n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/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6">
      <c r="A176" s="65" t="inlineStr">
        <is>
          <t>07/04/2006</t>
        </is>
      </c>
      <c r="B176" s="28" t="n">
        <v>4.0903</v>
      </c>
      <c r="C176" s="49" t="n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/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7">
      <c r="A177" s="65" t="inlineStr">
        <is>
          <t>13/04/2006</t>
        </is>
      </c>
      <c r="B177" s="28" t="n">
        <v>3.9593</v>
      </c>
      <c r="C177" s="49" t="n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/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8">
      <c r="A178" s="65" t="inlineStr">
        <is>
          <t>20/04/2006</t>
        </is>
      </c>
      <c r="B178" s="28" t="n">
        <v>3.6811</v>
      </c>
      <c r="C178" s="49" t="n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/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79">
      <c r="A179" s="65" t="inlineStr">
        <is>
          <t>28/04/2006</t>
        </is>
      </c>
      <c r="B179" s="28" t="n">
        <v>3.1979</v>
      </c>
      <c r="C179" s="49" t="n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/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0">
      <c r="A180" s="65" t="inlineStr">
        <is>
          <t>05/05/2006</t>
        </is>
      </c>
      <c r="B180" s="28" t="n">
        <v>3.0106</v>
      </c>
      <c r="C180" s="49" t="n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/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1">
      <c r="A181" s="65" t="inlineStr">
        <is>
          <t>12/05/2006</t>
        </is>
      </c>
      <c r="B181" s="28" t="n">
        <v>3.0092</v>
      </c>
      <c r="C181" s="49" t="n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/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2">
      <c r="A182" s="65" t="inlineStr">
        <is>
          <t>19/05/2006</t>
        </is>
      </c>
      <c r="B182" s="28" t="n">
        <v>2.947</v>
      </c>
      <c r="C182" s="49" t="n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/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3">
      <c r="A183" s="65" t="inlineStr">
        <is>
          <t>26/05/2006</t>
        </is>
      </c>
      <c r="B183" s="28" t="n">
        <v>2.9558</v>
      </c>
      <c r="C183" s="49" t="n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/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4">
      <c r="A184" s="65" t="inlineStr">
        <is>
          <t>02/06/2006</t>
        </is>
      </c>
      <c r="B184" s="28" t="n">
        <v>2.9394</v>
      </c>
      <c r="C184" s="49" t="n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/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5">
      <c r="A185" s="65" t="inlineStr">
        <is>
          <t>09/06/2006</t>
        </is>
      </c>
      <c r="B185" s="28" t="n">
        <v>2.9687</v>
      </c>
      <c r="C185" s="49" t="n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/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6">
      <c r="A186" s="65" t="inlineStr">
        <is>
          <t>16/06/2006</t>
        </is>
      </c>
      <c r="B186" s="28" t="n">
        <v>2.9725</v>
      </c>
      <c r="C186" s="49" t="n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/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7">
      <c r="A187" s="65" t="inlineStr">
        <is>
          <t>23/06/2006</t>
        </is>
      </c>
      <c r="B187" s="28" t="n">
        <v>2.9921</v>
      </c>
      <c r="C187" s="49" t="n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/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8">
      <c r="A188" s="65" t="inlineStr">
        <is>
          <t>30/06/2006</t>
        </is>
      </c>
      <c r="B188" s="28" t="n">
        <v>3.0608</v>
      </c>
      <c r="C188" s="49" t="n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/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89">
      <c r="A189" s="65" t="inlineStr">
        <is>
          <t>07/07/2006</t>
        </is>
      </c>
      <c r="B189" s="28" t="n">
        <v>3.1229</v>
      </c>
      <c r="C189" s="49" t="n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/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0">
      <c r="A190" s="65" t="inlineStr">
        <is>
          <t>14/07/2006</t>
        </is>
      </c>
      <c r="B190" s="28" t="n">
        <v>3.1689</v>
      </c>
      <c r="C190" s="49" t="n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/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1">
      <c r="A191" s="65" t="inlineStr">
        <is>
          <t>21/07/2006</t>
        </is>
      </c>
      <c r="B191" s="28" t="n">
        <v>3.1693</v>
      </c>
      <c r="C191" s="49" t="n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/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2">
      <c r="A192" s="65" t="inlineStr">
        <is>
          <t>28/07/2006</t>
        </is>
      </c>
      <c r="B192" s="28" t="n">
        <v>3.1215</v>
      </c>
      <c r="C192" s="49" t="n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/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3">
      <c r="A193" s="65" t="inlineStr">
        <is>
          <t>04/08/2006</t>
        </is>
      </c>
      <c r="B193" s="28" t="n">
        <v>3.0642</v>
      </c>
      <c r="C193" s="49" t="n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/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4">
      <c r="A194" s="65" t="inlineStr">
        <is>
          <t>11/08/2006</t>
        </is>
      </c>
      <c r="B194" s="28" t="n">
        <v>2.9552</v>
      </c>
      <c r="C194" s="49" t="n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/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5">
      <c r="A195" s="65" t="inlineStr">
        <is>
          <t>18/08/2006</t>
        </is>
      </c>
      <c r="B195" s="28" t="n">
        <v>2.7389</v>
      </c>
      <c r="C195" s="49" t="n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/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6">
      <c r="A196" s="65" t="inlineStr">
        <is>
          <t>25/08/2006</t>
        </is>
      </c>
      <c r="B196" s="28" t="n">
        <v>2.731</v>
      </c>
      <c r="C196" s="49" t="n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/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7">
      <c r="A197" s="65" t="inlineStr">
        <is>
          <t>01/09/2006</t>
        </is>
      </c>
      <c r="B197" s="28" t="n">
        <v>2.6749</v>
      </c>
      <c r="C197" s="49" t="n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/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8">
      <c r="A198" s="65" t="inlineStr">
        <is>
          <t>08/09/2006</t>
        </is>
      </c>
      <c r="B198" s="28" t="n">
        <v>2.659</v>
      </c>
      <c r="C198" s="49" t="n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/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99">
      <c r="A199" s="65" t="inlineStr">
        <is>
          <t>15/09/2006</t>
        </is>
      </c>
      <c r="B199" s="28" t="n">
        <v>2.6119</v>
      </c>
      <c r="C199" s="49" t="n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/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0">
      <c r="A200" s="65" t="inlineStr">
        <is>
          <t>22/09/2006</t>
        </is>
      </c>
      <c r="B200" s="28" t="n">
        <v>2.5877</v>
      </c>
      <c r="C200" s="49" t="n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/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1">
      <c r="A201" s="65" t="inlineStr">
        <is>
          <t>29/09/2006</t>
        </is>
      </c>
      <c r="B201" s="28" t="n">
        <v>2.605</v>
      </c>
      <c r="C201" s="49" t="n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/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2">
      <c r="A202" s="65" t="inlineStr">
        <is>
          <t>06/10/2006</t>
        </is>
      </c>
      <c r="B202" s="28" t="n">
        <v>2.6273</v>
      </c>
      <c r="C202" s="49" t="n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/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3">
      <c r="A203" s="65" t="inlineStr">
        <is>
          <t>13/10/2006</t>
        </is>
      </c>
      <c r="B203" s="28" t="n">
        <v>2.6142</v>
      </c>
      <c r="C203" s="49" t="n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/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4">
      <c r="A204" s="65" t="inlineStr">
        <is>
          <t>20/10/2006</t>
        </is>
      </c>
      <c r="B204" s="28" t="n">
        <v>2.6128</v>
      </c>
      <c r="C204" s="49" t="n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/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5">
      <c r="A205" s="65" t="inlineStr">
        <is>
          <t>27/10/2006</t>
        </is>
      </c>
      <c r="B205" s="28" t="n">
        <v>2.6114</v>
      </c>
      <c r="C205" s="49" t="n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/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6">
      <c r="A206" s="65" t="inlineStr">
        <is>
          <t>03/11/2006</t>
        </is>
      </c>
      <c r="B206" s="28" t="n">
        <v>2.5961</v>
      </c>
      <c r="C206" s="49" t="n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/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7">
      <c r="A207" s="65" t="inlineStr">
        <is>
          <t>10/11/2006</t>
        </is>
      </c>
      <c r="B207" s="28" t="n">
        <v>2.5937</v>
      </c>
      <c r="C207" s="49" t="n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/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8">
      <c r="A208" s="65" t="inlineStr">
        <is>
          <t>17/11/2006</t>
        </is>
      </c>
      <c r="B208" s="28" t="n">
        <v>2.5612</v>
      </c>
      <c r="C208" s="49" t="n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/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09">
      <c r="A209" s="65" t="inlineStr">
        <is>
          <t>24/11/2006</t>
        </is>
      </c>
      <c r="B209" s="28" t="n">
        <v>2.553</v>
      </c>
      <c r="C209" s="49" t="n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/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0">
      <c r="A210" s="65" t="inlineStr">
        <is>
          <t>01/12/2006</t>
        </is>
      </c>
      <c r="B210" s="28" t="n">
        <v>2.5449</v>
      </c>
      <c r="C210" s="49" t="n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/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1">
      <c r="A211" s="65" t="inlineStr">
        <is>
          <t>08/12/2006</t>
        </is>
      </c>
      <c r="B211" s="28" t="n">
        <v>2.5694</v>
      </c>
      <c r="C211" s="49" t="n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/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2">
      <c r="A212" s="65" t="inlineStr">
        <is>
          <t>15/12/2006</t>
        </is>
      </c>
      <c r="B212" s="28" t="n">
        <v>2.6171</v>
      </c>
      <c r="C212" s="49" t="n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/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3">
      <c r="A213" s="65" t="inlineStr">
        <is>
          <t>22/12/2006</t>
        </is>
      </c>
      <c r="B213" s="28" t="n">
        <v>2.7473</v>
      </c>
      <c r="C213" s="49" t="n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/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4">
      <c r="A214" s="65" t="inlineStr">
        <is>
          <t>28/12/2006</t>
        </is>
      </c>
      <c r="B214" s="28" t="n">
        <v>2.8735</v>
      </c>
      <c r="C214" s="49" t="n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/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5">
      <c r="A215" s="65" t="inlineStr">
        <is>
          <t>05/01/2007</t>
        </is>
      </c>
      <c r="B215" s="28" t="n">
        <v>2.944</v>
      </c>
      <c r="C215" s="49" t="n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/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6">
      <c r="A216" s="65" t="inlineStr">
        <is>
          <t>12/01/2007</t>
        </is>
      </c>
      <c r="B216" s="28" t="n">
        <v>2.9005</v>
      </c>
      <c r="C216" s="49" t="n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/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7">
      <c r="A217" s="65" t="inlineStr">
        <is>
          <t>19/01/2007</t>
        </is>
      </c>
      <c r="B217" s="28" t="n">
        <v>2.8622</v>
      </c>
      <c r="C217" s="49" t="n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/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8">
      <c r="A218" s="65" t="inlineStr">
        <is>
          <t>26/01/2007</t>
        </is>
      </c>
      <c r="B218" s="28" t="n">
        <v>2.8259</v>
      </c>
      <c r="C218" s="49" t="n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/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19">
      <c r="A219" s="65" t="inlineStr">
        <is>
          <t>02/02/2007</t>
        </is>
      </c>
      <c r="B219" s="28" t="n">
        <v>2.7486</v>
      </c>
      <c r="C219" s="49" t="n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/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0">
      <c r="A220" s="65" t="inlineStr">
        <is>
          <t>09/02/2007</t>
        </is>
      </c>
      <c r="B220" s="28" t="n">
        <v>2.6478</v>
      </c>
      <c r="C220" s="49" t="n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/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1">
      <c r="A221" s="65" t="inlineStr">
        <is>
          <t>16/02/2007</t>
        </is>
      </c>
      <c r="B221" s="28" t="n">
        <v>2.7463</v>
      </c>
      <c r="C221" s="49" t="n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/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2">
      <c r="A222" s="65" t="inlineStr">
        <is>
          <t>23/02/2007</t>
        </is>
      </c>
      <c r="B222" s="28" t="n">
        <v>2.7601</v>
      </c>
      <c r="C222" s="49" t="n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/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3">
      <c r="A223" s="65" t="inlineStr">
        <is>
          <t>02/03/2007</t>
        </is>
      </c>
      <c r="B223" s="28" t="n">
        <v>2.7343</v>
      </c>
      <c r="C223" s="49" t="n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/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4">
      <c r="A224" s="65" t="inlineStr">
        <is>
          <t>09/03/2007</t>
        </is>
      </c>
      <c r="B224" s="28" t="n">
        <v>2.7572</v>
      </c>
      <c r="C224" s="49" t="n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/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5">
      <c r="A225" s="65" t="inlineStr">
        <is>
          <t>16/03/2007</t>
        </is>
      </c>
      <c r="B225" s="28" t="n">
        <v>2.828</v>
      </c>
      <c r="C225" s="49" t="n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/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6">
      <c r="A226" s="65" t="inlineStr">
        <is>
          <t>23/03/2007</t>
        </is>
      </c>
      <c r="B226" s="28" t="n">
        <v>3.0326</v>
      </c>
      <c r="C226" s="49" t="n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/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7">
      <c r="A227" s="65" t="inlineStr">
        <is>
          <t>30/03/2007</t>
        </is>
      </c>
      <c r="B227" s="28" t="n">
        <v>3.2514</v>
      </c>
      <c r="C227" s="49" t="n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/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8">
      <c r="A228" s="65" t="inlineStr">
        <is>
          <t>05/04/2007</t>
        </is>
      </c>
      <c r="B228" s="28" t="n">
        <v>3.2002</v>
      </c>
      <c r="C228" s="49" t="n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/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29">
      <c r="A229" s="65" t="inlineStr">
        <is>
          <t>13/04/2007</t>
        </is>
      </c>
      <c r="B229" s="28" t="n">
        <v>3.1776</v>
      </c>
      <c r="C229" s="49" t="n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/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0">
      <c r="A230" s="65" t="inlineStr">
        <is>
          <t>20/04/2007</t>
        </is>
      </c>
      <c r="B230" s="28" t="n">
        <v>3.2444</v>
      </c>
      <c r="C230" s="49" t="n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/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1">
      <c r="A231" s="65" t="inlineStr">
        <is>
          <t>27/04/2007</t>
        </is>
      </c>
      <c r="B231" s="28" t="n">
        <v>3.0921</v>
      </c>
      <c r="C231" s="49" t="n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/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2">
      <c r="A232" s="65" t="inlineStr">
        <is>
          <t>04/05/2007</t>
        </is>
      </c>
      <c r="B232" s="28" t="n">
        <v>2.9288</v>
      </c>
      <c r="C232" s="49" t="n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/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3">
      <c r="A233" s="65" t="inlineStr">
        <is>
          <t>11/05/2007</t>
        </is>
      </c>
      <c r="B233" s="28" t="n">
        <v>2.5246</v>
      </c>
      <c r="C233" s="49" t="n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/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4">
      <c r="A234" s="65" t="inlineStr">
        <is>
          <t>18/05/2007</t>
        </is>
      </c>
      <c r="B234" s="28" t="n">
        <v>2.2865</v>
      </c>
      <c r="C234" s="49" t="n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/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5">
      <c r="A235" s="65" t="inlineStr">
        <is>
          <t>25/05/2007</t>
        </is>
      </c>
      <c r="B235" s="28" t="n">
        <v>2.0476</v>
      </c>
      <c r="C235" s="49" t="n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/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6">
      <c r="A236" s="65" t="inlineStr">
        <is>
          <t>01/06/2007</t>
        </is>
      </c>
      <c r="B236" s="28" t="n">
        <v>2.0107</v>
      </c>
      <c r="C236" s="49" t="n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/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7">
      <c r="A237" s="65" t="inlineStr">
        <is>
          <t>08/06/2007</t>
        </is>
      </c>
      <c r="B237" s="28" t="n">
        <v>1.9986</v>
      </c>
      <c r="C237" s="49" t="n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/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8">
      <c r="A238" s="65" t="inlineStr">
        <is>
          <t>15/06/2007</t>
        </is>
      </c>
      <c r="B238" s="28" t="n">
        <v>1.9808</v>
      </c>
      <c r="C238" s="49" t="n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/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39">
      <c r="A239" s="65" t="inlineStr">
        <is>
          <t>22/06/2007</t>
        </is>
      </c>
      <c r="B239" s="28" t="n">
        <v>1.9479</v>
      </c>
      <c r="C239" s="49" t="n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/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0">
      <c r="A240" s="65" t="inlineStr">
        <is>
          <t>29/06/2007</t>
        </is>
      </c>
      <c r="B240" s="28" t="n">
        <v>1.9368</v>
      </c>
      <c r="C240" s="49" t="n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/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1">
      <c r="A241" s="65" t="inlineStr">
        <is>
          <t>06/07/2007</t>
        </is>
      </c>
      <c r="B241" s="28" t="n">
        <v>1.9364</v>
      </c>
      <c r="C241" s="49" t="n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/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2">
      <c r="A242" s="65" t="inlineStr">
        <is>
          <t>13/07/2007</t>
        </is>
      </c>
      <c r="B242" s="28" t="n">
        <v>1.9512</v>
      </c>
      <c r="C242" s="49" t="n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/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3">
      <c r="A243" s="65" t="inlineStr">
        <is>
          <t>20/07/2007</t>
        </is>
      </c>
      <c r="B243" s="28" t="n">
        <v>1.9602</v>
      </c>
      <c r="C243" s="49" t="n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/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4">
      <c r="A244" s="65" t="inlineStr">
        <is>
          <t>27/07/2007</t>
        </is>
      </c>
      <c r="B244" s="28" t="n">
        <v>1.9844</v>
      </c>
      <c r="C244" s="49" t="n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/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5">
      <c r="A245" s="65" t="inlineStr">
        <is>
          <t>03/08/2007</t>
        </is>
      </c>
      <c r="B245" s="28" t="n">
        <v>1.9588</v>
      </c>
      <c r="C245" s="49" t="n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/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6">
      <c r="A246" s="65" t="inlineStr">
        <is>
          <t>10/08/2007</t>
        </is>
      </c>
      <c r="B246" s="28" t="n">
        <v>1.9309</v>
      </c>
      <c r="C246" s="49" t="n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/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7">
      <c r="A247" s="65" t="inlineStr">
        <is>
          <t>17/08/2007</t>
        </is>
      </c>
      <c r="B247" s="28" t="n">
        <v>1.9137</v>
      </c>
      <c r="C247" s="49" t="n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/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8">
      <c r="A248" s="65" t="inlineStr">
        <is>
          <t>24/08/2007</t>
        </is>
      </c>
      <c r="B248" s="28" t="n">
        <v>1.9173</v>
      </c>
      <c r="C248" s="49" t="n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/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49">
      <c r="A249" s="65" t="inlineStr">
        <is>
          <t>31/08/2007</t>
        </is>
      </c>
      <c r="B249" s="28" t="n">
        <v>1.9283</v>
      </c>
      <c r="C249" s="49" t="n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/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0">
      <c r="A250" s="65" t="inlineStr">
        <is>
          <t>06/09/2007</t>
        </is>
      </c>
      <c r="B250" s="28" t="n">
        <v>1.9044</v>
      </c>
      <c r="C250" s="49" t="n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/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1">
      <c r="A251" s="65" t="inlineStr">
        <is>
          <t>14/09/2007</t>
        </is>
      </c>
      <c r="B251" s="28" t="n">
        <v>1.9004</v>
      </c>
      <c r="C251" s="49" t="n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/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2">
      <c r="A252" s="65" t="inlineStr">
        <is>
          <t>21/09/2007</t>
        </is>
      </c>
      <c r="B252" s="28" t="n">
        <v>1.8988</v>
      </c>
      <c r="C252" s="49" t="n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/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3">
      <c r="A253" s="65" t="inlineStr">
        <is>
          <t>28/09/2007</t>
        </is>
      </c>
      <c r="B253" s="28" t="n">
        <v>1.905</v>
      </c>
      <c r="C253" s="49" t="n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/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4">
      <c r="A254" s="65" t="inlineStr">
        <is>
          <t>05/10/2007</t>
        </is>
      </c>
      <c r="B254" s="28" t="n">
        <v>1.881</v>
      </c>
      <c r="C254" s="49" t="n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/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5">
      <c r="A255" s="65" t="inlineStr">
        <is>
          <t>11/10/2007</t>
        </is>
      </c>
      <c r="B255" s="28" t="n">
        <v>1.8774</v>
      </c>
      <c r="C255" s="49" t="n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/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6">
      <c r="A256" s="65" t="inlineStr">
        <is>
          <t>19/10/2007</t>
        </is>
      </c>
      <c r="B256" s="28" t="n">
        <v>1.8677</v>
      </c>
      <c r="C256" s="49" t="n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/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7">
      <c r="A257" s="65" t="inlineStr">
        <is>
          <t>26/10/2007</t>
        </is>
      </c>
      <c r="B257" s="28" t="n">
        <v>1.8995</v>
      </c>
      <c r="C257" s="49" t="n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/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8">
      <c r="A258" s="65" t="inlineStr">
        <is>
          <t>01/11/2007</t>
        </is>
      </c>
      <c r="B258" s="28" t="n">
        <v>2.04</v>
      </c>
      <c r="C258" s="49" t="n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/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59">
      <c r="A259" s="65" t="inlineStr">
        <is>
          <t>09/11/2007</t>
        </is>
      </c>
      <c r="B259" s="28" t="n">
        <v>2.3082</v>
      </c>
      <c r="C259" s="49" t="n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/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0">
      <c r="A260" s="65" t="inlineStr">
        <is>
          <t>16/11/2007</t>
        </is>
      </c>
      <c r="B260" s="28" t="n">
        <v>2.4073</v>
      </c>
      <c r="C260" s="49" t="n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/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1">
      <c r="A261" s="65" t="inlineStr">
        <is>
          <t>23/11/2007</t>
        </is>
      </c>
      <c r="B261" s="28" t="n">
        <v>2.4141</v>
      </c>
      <c r="C261" s="49" t="n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/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2">
      <c r="A262" s="65" t="inlineStr">
        <is>
          <t>30/11/2007</t>
        </is>
      </c>
      <c r="B262" s="28" t="n">
        <v>2.428</v>
      </c>
      <c r="C262" s="49" t="n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/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3">
      <c r="A263" s="65" t="inlineStr">
        <is>
          <t>07/12/2007</t>
        </is>
      </c>
      <c r="B263" s="28" t="n">
        <v>2.3932</v>
      </c>
      <c r="C263" s="49" t="n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/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4">
      <c r="A264" s="65" t="inlineStr">
        <is>
          <t>14/12/2007</t>
        </is>
      </c>
      <c r="B264" s="28" t="n">
        <v>2.3841</v>
      </c>
      <c r="C264" s="49" t="n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/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5">
      <c r="A265" s="65" t="inlineStr">
        <is>
          <t>21/12/2007</t>
        </is>
      </c>
      <c r="B265" s="28" t="n">
        <v>2.3575</v>
      </c>
      <c r="C265" s="49" t="n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/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6">
      <c r="A266" s="65" t="inlineStr">
        <is>
          <t>28/12/2007</t>
        </is>
      </c>
      <c r="B266" s="28" t="n">
        <v>2.3315</v>
      </c>
      <c r="C266" s="49" t="n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/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7">
      <c r="A267" s="65" t="inlineStr">
        <is>
          <t>04/01/2008</t>
        </is>
      </c>
      <c r="B267" s="28" t="n">
        <v>2.2942</v>
      </c>
      <c r="C267" s="49" t="n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/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8">
      <c r="A268" s="65" t="inlineStr">
        <is>
          <t>11/01/2008</t>
        </is>
      </c>
      <c r="B268" s="28" t="n">
        <v>2.2279</v>
      </c>
      <c r="C268" s="49" t="n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/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69">
      <c r="A269" s="65" t="inlineStr">
        <is>
          <t>18/01/2008</t>
        </is>
      </c>
      <c r="B269" s="28" t="n">
        <v>2.1747</v>
      </c>
      <c r="C269" s="49" t="n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/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0">
      <c r="A270" s="65" t="inlineStr">
        <is>
          <t>25/01/2008</t>
        </is>
      </c>
      <c r="B270" s="28" t="n">
        <v>2.1287</v>
      </c>
      <c r="C270" s="49" t="n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/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1">
      <c r="A271" s="65" t="inlineStr">
        <is>
          <t>01/02/2008</t>
        </is>
      </c>
      <c r="B271" s="28" t="n">
        <v>2.0963</v>
      </c>
      <c r="C271" s="49" t="n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/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2">
      <c r="A272" s="65" t="inlineStr">
        <is>
          <t>08/02/2008</t>
        </is>
      </c>
      <c r="B272" s="28" t="n">
        <v>2.0963</v>
      </c>
      <c r="C272" s="49" t="n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/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3">
      <c r="A273" s="65" t="inlineStr">
        <is>
          <t>15/02/2008</t>
        </is>
      </c>
      <c r="B273" s="28" t="n">
        <v>2.2033</v>
      </c>
      <c r="C273" s="49" t="n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/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4">
      <c r="A274" s="65" t="inlineStr">
        <is>
          <t>22/02/2008</t>
        </is>
      </c>
      <c r="B274" s="28" t="n">
        <v>2.2846</v>
      </c>
      <c r="C274" s="49" t="n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/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5">
      <c r="A275" s="65" t="inlineStr">
        <is>
          <t>29/02/2008</t>
        </is>
      </c>
      <c r="B275" s="28" t="n">
        <v>2.3332</v>
      </c>
      <c r="C275" s="49" t="n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/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6">
      <c r="A276" s="65" t="inlineStr">
        <is>
          <t>07/03/2008</t>
        </is>
      </c>
      <c r="B276" s="28" t="n">
        <v>2.3346</v>
      </c>
      <c r="C276" s="49" t="n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/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7">
      <c r="A277" s="65" t="inlineStr">
        <is>
          <t>14/03/2008</t>
        </is>
      </c>
      <c r="B277" s="28" t="n">
        <v>2.3444</v>
      </c>
      <c r="C277" s="49" t="n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/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8">
      <c r="A278" s="65" t="inlineStr">
        <is>
          <t>20/03/2008</t>
        </is>
      </c>
      <c r="B278" s="28" t="n">
        <v>2.3553</v>
      </c>
      <c r="C278" s="49" t="n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/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79">
      <c r="A279" s="65" t="inlineStr">
        <is>
          <t>28/03/2008</t>
        </is>
      </c>
      <c r="B279" s="28" t="n">
        <v>2.3015</v>
      </c>
      <c r="C279" s="49" t="n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/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0">
      <c r="A280" s="65" t="inlineStr">
        <is>
          <t>04/04/2008</t>
        </is>
      </c>
      <c r="B280" s="28" t="n">
        <v>2.2139</v>
      </c>
      <c r="C280" s="49" t="n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/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1">
      <c r="A281" s="65" t="inlineStr">
        <is>
          <t>11/04/2008</t>
        </is>
      </c>
      <c r="B281" s="28" t="n">
        <v>2.1458</v>
      </c>
      <c r="C281" s="49" t="n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/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2">
      <c r="A282" s="65" t="inlineStr">
        <is>
          <t>18/04/2008</t>
        </is>
      </c>
      <c r="B282" s="28" t="n">
        <v>2.1396</v>
      </c>
      <c r="C282" s="49" t="n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/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3">
      <c r="A283" s="65" t="inlineStr">
        <is>
          <t>25/04/2008</t>
        </is>
      </c>
      <c r="B283" s="28" t="n">
        <v>2.2253</v>
      </c>
      <c r="C283" s="49" t="n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/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4">
      <c r="A284" s="65" t="inlineStr">
        <is>
          <t>02/05/2008</t>
        </is>
      </c>
      <c r="B284" s="28" t="n">
        <v>2.3132</v>
      </c>
      <c r="C284" s="49" t="n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/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5">
      <c r="A285" s="65" t="inlineStr">
        <is>
          <t>09/05/2008</t>
        </is>
      </c>
      <c r="B285" s="28" t="n">
        <v>2.2646</v>
      </c>
      <c r="C285" s="49" t="n"/>
      <c r="D285" s="50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6">
      <c r="A286" s="65" t="inlineStr">
        <is>
          <t>16/05/2008</t>
        </is>
      </c>
      <c r="B286" s="28" t="n">
        <v>2.1006</v>
      </c>
      <c r="C286" s="49" t="n"/>
      <c r="D286" s="50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7">
      <c r="A287" s="65" t="inlineStr">
        <is>
          <t>23/05/2008</t>
        </is>
      </c>
      <c r="B287" s="28" t="n">
        <v>1.9934</v>
      </c>
      <c r="C287" s="49" t="n"/>
      <c r="D287" s="50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8">
      <c r="A288" s="65" t="inlineStr">
        <is>
          <t>30/05/2008</t>
        </is>
      </c>
      <c r="B288" s="28" t="n">
        <v>1.9306</v>
      </c>
      <c r="C288" s="49" t="n"/>
      <c r="D288" s="50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89">
      <c r="A289" s="65" t="inlineStr">
        <is>
          <t>06/06/2008</t>
        </is>
      </c>
      <c r="B289" s="28" t="n">
        <v>1.8738</v>
      </c>
      <c r="C289" s="49" t="n"/>
      <c r="D289" s="50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0">
      <c r="A290" s="65" t="inlineStr">
        <is>
          <t>13/06/2008</t>
        </is>
      </c>
      <c r="B290" s="28" t="n">
        <v>1.8925</v>
      </c>
      <c r="C290" s="49" t="n"/>
      <c r="D290" s="50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1">
      <c r="A291" s="65" t="inlineStr">
        <is>
          <t>20/06/2008</t>
        </is>
      </c>
      <c r="B291" s="28" t="n">
        <v>2.0059</v>
      </c>
      <c r="C291" s="49" t="n"/>
      <c r="D291" s="50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2">
      <c r="A292" s="65" t="inlineStr">
        <is>
          <t>27/06/2008</t>
        </is>
      </c>
      <c r="B292" s="28" t="n">
        <v>2.1416</v>
      </c>
      <c r="C292" s="49" t="n"/>
      <c r="D292" s="50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3">
      <c r="A293" s="65" t="inlineStr">
        <is>
          <t>04/07/2008</t>
        </is>
      </c>
      <c r="B293" s="28" t="n">
        <v>2.0775</v>
      </c>
      <c r="C293" s="49" t="n"/>
      <c r="D293" s="50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4">
      <c r="A294" s="65" t="inlineStr">
        <is>
          <t>11/07/2008</t>
        </is>
      </c>
      <c r="B294" s="28" t="n">
        <v>2.1057</v>
      </c>
      <c r="C294" s="49" t="n"/>
      <c r="D294" s="50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5">
      <c r="A295" s="65" t="inlineStr">
        <is>
          <t>18/07/2008</t>
        </is>
      </c>
      <c r="B295" s="28" t="n">
        <v>2.1103</v>
      </c>
      <c r="C295" s="49" t="n"/>
      <c r="D295" s="50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6">
      <c r="A296" s="65" t="inlineStr">
        <is>
          <t>25/07/2008</t>
        </is>
      </c>
      <c r="B296" s="28" t="n">
        <v>2.0868</v>
      </c>
      <c r="C296" s="49" t="n"/>
      <c r="D296" s="50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7">
      <c r="A297" s="65" t="inlineStr">
        <is>
          <t>01/08/2008</t>
        </is>
      </c>
      <c r="B297" s="28" t="n">
        <v>2.0362</v>
      </c>
      <c r="C297" s="49" t="n"/>
      <c r="D297" s="50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8">
      <c r="A298" s="65" t="inlineStr">
        <is>
          <t>08/08/2008</t>
        </is>
      </c>
      <c r="B298" s="28" t="n">
        <v>2.0266</v>
      </c>
      <c r="C298" s="49" t="n"/>
      <c r="D298" s="50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299">
      <c r="A299" s="65" t="inlineStr">
        <is>
          <t>15/08/2008</t>
        </is>
      </c>
      <c r="B299" s="28" t="n">
        <v>2.0762</v>
      </c>
      <c r="C299" s="49" t="n"/>
      <c r="D299" s="50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0">
      <c r="A300" s="65" t="inlineStr">
        <is>
          <t>22/08/2008</t>
        </is>
      </c>
      <c r="B300" s="28" t="n">
        <v>2.1644</v>
      </c>
      <c r="C300" s="49" t="n"/>
      <c r="D300" s="50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1">
      <c r="A301" s="65" t="inlineStr">
        <is>
          <t>29/08/2008</t>
        </is>
      </c>
      <c r="B301" s="28" t="n">
        <v>2.1565</v>
      </c>
      <c r="C301" s="49" t="n"/>
      <c r="D301" s="50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2">
      <c r="A302" s="65" t="inlineStr">
        <is>
          <t>05/09/2008</t>
        </is>
      </c>
      <c r="B302" s="28" t="n">
        <v>2.1565</v>
      </c>
      <c r="C302" s="49" t="n"/>
      <c r="D302" s="50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3">
      <c r="A303" s="65" t="inlineStr">
        <is>
          <t>12/09/2008</t>
        </is>
      </c>
      <c r="B303" s="28" t="n">
        <v>2.1664</v>
      </c>
      <c r="C303" s="49" t="n"/>
      <c r="D303" s="50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4">
      <c r="A304" s="65" t="inlineStr">
        <is>
          <t>19/09/2008</t>
        </is>
      </c>
      <c r="B304" s="28" t="n">
        <v>2.2131</v>
      </c>
      <c r="C304" s="49" t="n"/>
      <c r="D304" s="50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5">
      <c r="A305" s="65" t="inlineStr">
        <is>
          <t>26/09/2008</t>
        </is>
      </c>
      <c r="B305" s="28" t="n">
        <v>2.2326</v>
      </c>
      <c r="C305" s="49" t="n"/>
      <c r="D305" s="50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6">
      <c r="A306" s="65" t="inlineStr">
        <is>
          <t>03/10/2008</t>
        </is>
      </c>
      <c r="B306" s="28" t="n">
        <v>2.2107</v>
      </c>
      <c r="C306" s="49" t="n"/>
      <c r="D306" s="50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7">
      <c r="A307" s="65" t="inlineStr">
        <is>
          <t>10/10/2008</t>
        </is>
      </c>
      <c r="B307" s="28" t="n">
        <v>2.2046</v>
      </c>
      <c r="C307" s="49" t="n"/>
      <c r="D307" s="50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8">
      <c r="A308" s="65" t="inlineStr">
        <is>
          <t>17/10/2008</t>
        </is>
      </c>
      <c r="B308" s="28" t="n">
        <v>2.1304</v>
      </c>
      <c r="C308" s="49" t="n"/>
      <c r="D308" s="50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09">
      <c r="A309" s="65" t="inlineStr">
        <is>
          <t>24/10/2008</t>
        </is>
      </c>
      <c r="B309" s="28" t="n">
        <v>2.0541</v>
      </c>
      <c r="C309" s="49" t="n"/>
      <c r="D309" s="50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0">
      <c r="A310" s="65" t="inlineStr">
        <is>
          <t>31/10/2008</t>
        </is>
      </c>
      <c r="B310" s="28" t="n">
        <v>1.975</v>
      </c>
      <c r="C310" s="49" t="n"/>
      <c r="D310" s="50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1">
      <c r="A311" s="65" t="inlineStr">
        <is>
          <t>07/11/2008</t>
        </is>
      </c>
      <c r="B311" s="28" t="n">
        <v>1.9632</v>
      </c>
      <c r="C311" s="49" t="n"/>
      <c r="D311" s="50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2">
      <c r="A312" s="65" t="inlineStr">
        <is>
          <t>14/11/2008</t>
        </is>
      </c>
      <c r="B312" s="28" t="n">
        <v>2.1076</v>
      </c>
      <c r="C312" s="49" t="n"/>
      <c r="D312" s="50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3">
      <c r="A313" s="65" t="inlineStr">
        <is>
          <t>21/11/2008</t>
        </is>
      </c>
      <c r="B313" s="28" t="n">
        <v>2.2023</v>
      </c>
      <c r="C313" s="49" t="n"/>
      <c r="D313" s="50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4">
      <c r="A314" s="65" t="inlineStr">
        <is>
          <t>28/11/2008</t>
        </is>
      </c>
      <c r="B314" s="28" t="n">
        <v>2.1255</v>
      </c>
      <c r="C314" s="49" t="n"/>
      <c r="D314" s="50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5">
      <c r="A315" s="65" t="inlineStr">
        <is>
          <t>05/12/2008</t>
        </is>
      </c>
      <c r="B315" s="28" t="n">
        <v>2.121</v>
      </c>
      <c r="C315" s="49" t="n"/>
      <c r="D315" s="50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6">
      <c r="A316" s="65" t="inlineStr">
        <is>
          <t>12/12/2008</t>
        </is>
      </c>
      <c r="B316" s="28" t="n">
        <v>2.1202</v>
      </c>
      <c r="C316" s="49" t="n"/>
      <c r="D316" s="50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7">
      <c r="A317" s="65" t="inlineStr">
        <is>
          <t>19/12/2008</t>
        </is>
      </c>
      <c r="B317" s="28" t="n">
        <v>2.128</v>
      </c>
      <c r="C317" s="49" t="n"/>
      <c r="D317" s="50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8">
      <c r="A318" s="65" t="inlineStr">
        <is>
          <t>26/12/2008</t>
        </is>
      </c>
      <c r="B318" s="28" t="n">
        <v>2.1297</v>
      </c>
      <c r="C318" s="49" t="n"/>
      <c r="D318" s="50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19">
      <c r="A319" s="65" t="inlineStr">
        <is>
          <t>02/01/2009</t>
        </is>
      </c>
      <c r="B319" s="28" t="n">
        <v>2.1799</v>
      </c>
      <c r="C319" s="49" t="n"/>
      <c r="D319" s="50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0">
      <c r="A320" s="65" t="inlineStr">
        <is>
          <t>09/01/2009</t>
        </is>
      </c>
      <c r="B320" s="28" t="n">
        <v>2.2253</v>
      </c>
      <c r="C320" s="49" t="n"/>
      <c r="D320" s="50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1">
      <c r="A321" s="65" t="inlineStr">
        <is>
          <t>16/01/2009</t>
        </is>
      </c>
      <c r="B321" s="28" t="n">
        <v>2.2508</v>
      </c>
      <c r="C321" s="49" t="n"/>
      <c r="D321" s="50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2">
      <c r="A322" s="65" t="inlineStr">
        <is>
          <t>23/01/2009</t>
        </is>
      </c>
      <c r="B322" s="28" t="n">
        <v>2.3312</v>
      </c>
      <c r="C322" s="49" t="n"/>
      <c r="D322" s="50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3">
      <c r="A323" s="65" t="inlineStr">
        <is>
          <t>30/01/2009</t>
        </is>
      </c>
      <c r="B323" s="28" t="n">
        <v>2.3312</v>
      </c>
      <c r="C323" s="49" t="n"/>
      <c r="D323" s="50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4">
      <c r="A324" s="65" t="inlineStr">
        <is>
          <t>06/02/2009</t>
        </is>
      </c>
      <c r="B324" s="28" t="n">
        <v>2.3691</v>
      </c>
      <c r="C324" s="49" t="n"/>
      <c r="D324" s="50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5">
      <c r="A325" s="65" t="inlineStr">
        <is>
          <t>13/02/2009</t>
        </is>
      </c>
      <c r="B325" s="28" t="n">
        <v>2.2657</v>
      </c>
      <c r="C325" s="49" t="n"/>
      <c r="D325" s="50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6">
      <c r="A326" s="65" t="inlineStr">
        <is>
          <t>20/02/2009</t>
        </is>
      </c>
      <c r="B326" s="28" t="n">
        <v>2.1009</v>
      </c>
      <c r="C326" s="49" t="n"/>
      <c r="D326" s="50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7">
      <c r="A327" s="65" t="inlineStr">
        <is>
          <t>27/02/2009</t>
        </is>
      </c>
      <c r="B327" s="28" t="n">
        <v>2.0513</v>
      </c>
      <c r="C327" s="49" t="n"/>
      <c r="D327" s="50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8">
      <c r="A328" s="65" t="inlineStr">
        <is>
          <t>06/03/2009</t>
        </is>
      </c>
      <c r="B328" s="28" t="n">
        <v>2.0142</v>
      </c>
      <c r="C328" s="49" t="n"/>
      <c r="D328" s="50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29">
      <c r="A329" s="65" t="inlineStr">
        <is>
          <t>13/03/2009</t>
        </is>
      </c>
      <c r="B329" s="28" t="n">
        <v>1.9799</v>
      </c>
      <c r="C329" s="49" t="n"/>
      <c r="D329" s="50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0">
      <c r="A330" s="65" t="inlineStr">
        <is>
          <t>20/03/2009</t>
        </is>
      </c>
      <c r="B330" s="28" t="n">
        <v>1.8598</v>
      </c>
      <c r="C330" s="49" t="n"/>
      <c r="D330" s="50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1">
      <c r="A331" s="65" t="inlineStr">
        <is>
          <t>27/03/2009</t>
        </is>
      </c>
      <c r="B331" s="28" t="n">
        <v>1.7232</v>
      </c>
      <c r="C331" s="49" t="n"/>
      <c r="D331" s="50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2">
      <c r="A332" s="65" t="inlineStr">
        <is>
          <t>03/04/2009</t>
        </is>
      </c>
      <c r="B332" s="28" t="n">
        <v>1.6465</v>
      </c>
      <c r="C332" s="49" t="n"/>
      <c r="D332" s="50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3">
      <c r="A333" s="65" t="inlineStr">
        <is>
          <t>09/04/2009</t>
        </is>
      </c>
      <c r="B333" s="28" t="n">
        <v>1.6949</v>
      </c>
      <c r="C333" s="49" t="n"/>
      <c r="D333" s="50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4">
      <c r="A334" s="65" t="inlineStr">
        <is>
          <t>17/04/2009</t>
        </is>
      </c>
      <c r="B334" s="28" t="n">
        <v>1.952</v>
      </c>
      <c r="C334" s="49" t="n"/>
      <c r="D334" s="50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5">
      <c r="A335" s="65" t="inlineStr">
        <is>
          <t>24/04/2009</t>
        </is>
      </c>
      <c r="B335" s="28" t="n">
        <v>1.9937</v>
      </c>
      <c r="C335" s="49" t="n"/>
      <c r="D335" s="50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6">
      <c r="A336" s="65" t="inlineStr">
        <is>
          <t>30/04/2009</t>
        </is>
      </c>
      <c r="B336" s="28" t="n">
        <v>1.7132</v>
      </c>
      <c r="C336" s="49" t="n"/>
      <c r="D336" s="50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7">
      <c r="A337" s="65" t="inlineStr">
        <is>
          <t>08/05/2009</t>
        </is>
      </c>
      <c r="B337" s="28" t="n">
        <v>1.6859</v>
      </c>
      <c r="C337" s="49" t="n"/>
      <c r="D337" s="50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8">
      <c r="A338" s="65" t="inlineStr">
        <is>
          <t>15/05/2009</t>
        </is>
      </c>
      <c r="B338" s="28" t="n">
        <v>1.7004</v>
      </c>
      <c r="C338" s="49" t="n"/>
      <c r="D338" s="50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39">
      <c r="A339" s="65" t="inlineStr">
        <is>
          <t>22/05/2009</t>
        </is>
      </c>
      <c r="B339" s="28" t="n">
        <v>1.7226</v>
      </c>
      <c r="C339" s="49" t="n"/>
      <c r="D339" s="50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0">
      <c r="A340" s="65" t="inlineStr">
        <is>
          <t>29/05/2009</t>
        </is>
      </c>
      <c r="B340" s="28" t="n">
        <v>1.713</v>
      </c>
      <c r="C340" s="49" t="n"/>
      <c r="D340" s="50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1">
      <c r="A341" s="65" t="inlineStr">
        <is>
          <t>05/06/2009</t>
        </is>
      </c>
      <c r="B341" s="28" t="n">
        <v>1.6949</v>
      </c>
      <c r="C341" s="49" t="n"/>
      <c r="D341" s="50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2">
      <c r="A342" s="65" t="inlineStr">
        <is>
          <t>12/06/2009</t>
        </is>
      </c>
      <c r="B342" s="28" t="n">
        <v>1.7237</v>
      </c>
      <c r="C342" s="49" t="n"/>
      <c r="D342" s="50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3">
      <c r="A343" s="65" t="inlineStr">
        <is>
          <t>19/06/2009</t>
        </is>
      </c>
      <c r="B343" s="28" t="n">
        <v>1.7762</v>
      </c>
      <c r="C343" s="49" t="n"/>
      <c r="D343" s="50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4">
      <c r="A344" s="65" t="inlineStr">
        <is>
          <t>26/06/2009</t>
        </is>
      </c>
      <c r="B344" s="28" t="n">
        <v>1.8833</v>
      </c>
      <c r="C344" s="49" t="n"/>
      <c r="D344" s="50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5">
      <c r="A345" s="65" t="inlineStr">
        <is>
          <t>03/07/2009</t>
        </is>
      </c>
      <c r="B345" s="28" t="n">
        <v>2.0335</v>
      </c>
      <c r="C345" s="49" t="n"/>
      <c r="D345" s="50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6">
      <c r="A346" s="65" t="inlineStr">
        <is>
          <t>10/07/2009</t>
        </is>
      </c>
      <c r="B346" s="28" t="n">
        <v>2.1337</v>
      </c>
      <c r="C346" s="49" t="n"/>
      <c r="D346" s="50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7">
      <c r="A347" s="65" t="inlineStr">
        <is>
          <t>17/07/2009</t>
        </is>
      </c>
      <c r="B347" s="28" t="n">
        <v>2.0994</v>
      </c>
      <c r="C347" s="49" t="n"/>
      <c r="D347" s="50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8">
      <c r="A348" s="65" t="inlineStr">
        <is>
          <t>24/07/2009</t>
        </is>
      </c>
      <c r="B348" s="28" t="n">
        <v>2.0162</v>
      </c>
      <c r="C348" s="49" t="n"/>
      <c r="D348" s="50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49">
      <c r="A349" s="65" t="inlineStr">
        <is>
          <t>31/07/2009</t>
        </is>
      </c>
      <c r="B349" s="28" t="n">
        <v>2.1205</v>
      </c>
      <c r="C349" s="49" t="n"/>
      <c r="D349" s="50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0">
      <c r="A350" s="65" t="inlineStr">
        <is>
          <t>07/08/2009</t>
        </is>
      </c>
      <c r="B350" s="28" t="n">
        <v>2.0888</v>
      </c>
      <c r="C350" s="49" t="n"/>
      <c r="D350" s="50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1">
      <c r="A351" s="65" t="inlineStr">
        <is>
          <t>14/08/2009</t>
        </is>
      </c>
      <c r="B351" s="28" t="n">
        <v>2.0738</v>
      </c>
      <c r="C351" s="49" t="n"/>
      <c r="D351" s="50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2">
      <c r="A352" s="65" t="inlineStr">
        <is>
          <t>21/08/2009</t>
        </is>
      </c>
      <c r="B352" s="28" t="n">
        <v>2.1611</v>
      </c>
      <c r="C352" s="49" t="n"/>
      <c r="D352" s="50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3">
      <c r="A353" s="65" t="inlineStr">
        <is>
          <t>28/08/2009</t>
        </is>
      </c>
      <c r="B353" s="28" t="n">
        <v>2.2241</v>
      </c>
      <c r="C353" s="49" t="n"/>
      <c r="D353" s="50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4">
      <c r="A354" s="65" t="inlineStr">
        <is>
          <t>04/09/2009</t>
        </is>
      </c>
      <c r="B354" s="28" t="n">
        <v>2.1817</v>
      </c>
      <c r="C354" s="49" t="n"/>
      <c r="D354" s="50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5">
      <c r="A355" s="65" t="inlineStr">
        <is>
          <t>11/09/2009</t>
        </is>
      </c>
      <c r="B355" s="28" t="n">
        <v>2.307</v>
      </c>
      <c r="C355" s="49" t="n"/>
      <c r="D355" s="50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6">
      <c r="A356" s="65" t="inlineStr">
        <is>
          <t>18/09/2009</t>
        </is>
      </c>
      <c r="B356" s="28" t="n">
        <v>2.3079</v>
      </c>
      <c r="C356" s="49" t="n"/>
      <c r="D356" s="50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7">
      <c r="A357" s="65" t="inlineStr">
        <is>
          <t>25/09/2009</t>
        </is>
      </c>
      <c r="B357" s="28" t="n">
        <v>2.4915</v>
      </c>
      <c r="C357" s="49" t="n"/>
      <c r="D357" s="50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8">
      <c r="A358" s="65" t="inlineStr">
        <is>
          <t>02/10/2009</t>
        </is>
      </c>
      <c r="B358" s="28" t="n">
        <v>2.6231</v>
      </c>
      <c r="C358" s="49" t="n"/>
      <c r="D358" s="50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59">
      <c r="A359" s="65" t="inlineStr">
        <is>
          <t>09/10/2009</t>
        </is>
      </c>
      <c r="B359" s="28" t="n">
        <v>2.6359</v>
      </c>
      <c r="C359" s="49" t="n"/>
      <c r="D359" s="50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0">
      <c r="A360" s="65" t="inlineStr">
        <is>
          <t>16/10/2009</t>
        </is>
      </c>
      <c r="B360" s="28" t="n">
        <v>2.7334</v>
      </c>
      <c r="C360" s="49" t="n"/>
      <c r="D360" s="50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1">
      <c r="A361" s="65" t="inlineStr">
        <is>
          <t>23/10/2009</t>
        </is>
      </c>
      <c r="B361" s="28" t="n">
        <v>2.8033</v>
      </c>
      <c r="C361" s="49" t="n"/>
      <c r="D361" s="50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2">
      <c r="A362" s="65" t="inlineStr">
        <is>
          <t>30/10/2009</t>
        </is>
      </c>
      <c r="B362" s="28" t="n">
        <v>2.8297</v>
      </c>
      <c r="C362" s="49" t="n"/>
      <c r="D362" s="50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3">
      <c r="A363" s="65" t="inlineStr">
        <is>
          <t>06/11/2009</t>
        </is>
      </c>
      <c r="B363" s="28" t="n">
        <v>2.7684</v>
      </c>
      <c r="C363" s="49" t="n"/>
      <c r="D363" s="50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4">
      <c r="A364" s="65" t="inlineStr">
        <is>
          <t>13/11/2009</t>
        </is>
      </c>
      <c r="B364" s="28" t="n">
        <v>2.7842</v>
      </c>
      <c r="C364" s="49" t="n"/>
      <c r="D364" s="50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5">
      <c r="A365" s="65" t="inlineStr">
        <is>
          <t>20/11/2009</t>
        </is>
      </c>
      <c r="B365" s="28" t="n">
        <v>2.7301</v>
      </c>
      <c r="C365" s="49" t="n"/>
      <c r="D365" s="50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6">
      <c r="A366" s="65" t="inlineStr">
        <is>
          <t>27/11/2009</t>
        </is>
      </c>
      <c r="B366" s="28" t="n">
        <v>2.7131</v>
      </c>
      <c r="C366" s="49" t="n"/>
      <c r="D366" s="50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7">
      <c r="A367" s="65" t="inlineStr">
        <is>
          <t>04/12/2009</t>
        </is>
      </c>
      <c r="B367" s="28" t="n">
        <v>2.7407</v>
      </c>
      <c r="C367" s="49" t="n"/>
      <c r="D367" s="50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8">
      <c r="A368" s="65" t="inlineStr">
        <is>
          <t>11/12/2009</t>
        </is>
      </c>
      <c r="B368" s="28" t="n">
        <v>2.8278</v>
      </c>
      <c r="C368" s="49" t="n"/>
      <c r="D368" s="50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69">
      <c r="A369" s="65" t="inlineStr">
        <is>
          <t>18/12/2009</t>
        </is>
      </c>
      <c r="B369" s="28" t="n">
        <v>3.0025</v>
      </c>
      <c r="C369" s="49" t="n"/>
      <c r="D369" s="50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0">
      <c r="A370" s="65" t="inlineStr">
        <is>
          <t>23/12/2009</t>
        </is>
      </c>
      <c r="B370" s="28" t="n">
        <v>3.1968</v>
      </c>
      <c r="C370" s="49" t="n"/>
      <c r="D370" s="50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1">
      <c r="A371" s="65" t="inlineStr">
        <is>
          <t>30/12/2009</t>
        </is>
      </c>
      <c r="B371" s="28" t="n">
        <v>3.2299</v>
      </c>
      <c r="C371" s="49" t="n"/>
      <c r="D371" s="50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2">
      <c r="A372" s="65" t="inlineStr">
        <is>
          <t>08/01/2010</t>
        </is>
      </c>
      <c r="B372" s="28" t="n">
        <v>3.4002</v>
      </c>
      <c r="C372" s="49" t="n"/>
      <c r="D372" s="50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3">
      <c r="A373" s="65" t="inlineStr">
        <is>
          <t>15/01/2010</t>
        </is>
      </c>
      <c r="B373" s="28" t="n">
        <v>3.464</v>
      </c>
      <c r="C373" s="49" t="n"/>
      <c r="D373" s="50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4">
      <c r="A374" s="65" t="inlineStr">
        <is>
          <t>22/01/2010</t>
        </is>
      </c>
      <c r="B374" s="28" t="n">
        <v>3.5115</v>
      </c>
      <c r="C374" s="49" t="n"/>
      <c r="D374" s="50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5">
      <c r="A375" s="65" t="inlineStr">
        <is>
          <t>29/01/2010</t>
        </is>
      </c>
      <c r="B375" s="28" t="n">
        <v>3.4763</v>
      </c>
      <c r="C375" s="49" t="n"/>
      <c r="D375" s="50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6">
      <c r="A376" s="65" t="inlineStr">
        <is>
          <t>05/02/2010</t>
        </is>
      </c>
      <c r="B376" s="28" t="n">
        <v>3.343</v>
      </c>
      <c r="C376" s="49" t="n"/>
      <c r="D376" s="50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7">
      <c r="A377" s="65" t="inlineStr">
        <is>
          <t>12/02/2010</t>
        </is>
      </c>
      <c r="B377" s="28" t="n">
        <v>3.2342</v>
      </c>
      <c r="C377" s="49" t="n"/>
      <c r="D377" s="50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8">
      <c r="A378" s="65" t="inlineStr">
        <is>
          <t>19/02/2010</t>
        </is>
      </c>
      <c r="B378" s="28" t="n">
        <v>3.14</v>
      </c>
      <c r="C378" s="49" t="n"/>
      <c r="D378" s="50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79">
      <c r="A379" s="65" t="inlineStr">
        <is>
          <t>26/02/2010</t>
        </is>
      </c>
      <c r="B379" s="28" t="n">
        <v>2.8683</v>
      </c>
      <c r="C379" s="49" t="n"/>
      <c r="D379" s="50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0">
      <c r="A380" s="65" t="inlineStr">
        <is>
          <t>05/03/2010</t>
        </is>
      </c>
      <c r="B380" s="28" t="n">
        <v>2.6667</v>
      </c>
      <c r="C380" s="49" t="n"/>
      <c r="D380" s="50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1">
      <c r="A381" s="65" t="inlineStr">
        <is>
          <t>12/03/2010</t>
        </is>
      </c>
      <c r="B381" s="28" t="n">
        <v>2.359</v>
      </c>
      <c r="C381" s="49" t="n"/>
      <c r="D381" s="50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2">
      <c r="A382" s="65" t="inlineStr">
        <is>
          <t>19/03/2010</t>
        </is>
      </c>
      <c r="B382" s="28" t="n">
        <v>2.3213</v>
      </c>
      <c r="C382" s="49" t="n"/>
      <c r="D382" s="50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3">
      <c r="A383" s="65" t="inlineStr">
        <is>
          <t>26/03/2010</t>
        </is>
      </c>
      <c r="B383" s="28" t="n">
        <v>2.1596</v>
      </c>
      <c r="C383" s="49" t="n"/>
      <c r="D383" s="50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4">
      <c r="A384" s="65" t="inlineStr">
        <is>
          <t>01/04/2010</t>
        </is>
      </c>
      <c r="B384" s="28" t="n">
        <v>2.1788</v>
      </c>
      <c r="C384" s="49" t="n"/>
      <c r="D384" s="50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5">
      <c r="A385" s="65" t="inlineStr">
        <is>
          <t>09/04/2010</t>
        </is>
      </c>
      <c r="B385" s="28" t="n">
        <v>2.5866</v>
      </c>
      <c r="C385" s="49" t="n"/>
      <c r="D385" s="50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6">
      <c r="A386" s="65" t="inlineStr">
        <is>
          <t>16/04/2010</t>
        </is>
      </c>
      <c r="B386" s="28" t="n">
        <v>2.3557</v>
      </c>
      <c r="C386" s="49" t="n"/>
      <c r="D386" s="50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7">
      <c r="A387" s="65" t="inlineStr">
        <is>
          <t>23/04/2010</t>
        </is>
      </c>
      <c r="B387" s="28" t="n">
        <v>2.1578</v>
      </c>
      <c r="C387" s="49" t="n"/>
      <c r="D387" s="50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8">
      <c r="A388" s="65" t="inlineStr">
        <is>
          <t>30/04/2010</t>
        </is>
      </c>
      <c r="B388" s="28" t="n">
        <v>2.0961</v>
      </c>
      <c r="C388" s="49" t="n"/>
      <c r="D388" s="50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89">
      <c r="A389" s="65" t="inlineStr">
        <is>
          <t>07/05/2010</t>
        </is>
      </c>
      <c r="B389" s="28" t="n">
        <v>2.0427</v>
      </c>
      <c r="C389" s="49" t="n"/>
      <c r="D389" s="50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0">
      <c r="A390" s="65" t="inlineStr">
        <is>
          <t>14/05/2010</t>
        </is>
      </c>
      <c r="B390" s="28" t="n">
        <v>2.0315</v>
      </c>
      <c r="C390" s="49" t="n"/>
      <c r="D390" s="50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1">
      <c r="A391" s="65" t="inlineStr">
        <is>
          <t>21/05/2010</t>
        </is>
      </c>
      <c r="B391" s="28" t="n">
        <v>2.0167</v>
      </c>
      <c r="C391" s="49" t="n"/>
      <c r="D391" s="50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2">
      <c r="A392" s="65" t="inlineStr">
        <is>
          <t>28/05/2010</t>
        </is>
      </c>
      <c r="B392" s="28" t="n">
        <v>1.9839</v>
      </c>
      <c r="C392" s="49" t="n"/>
      <c r="D392" s="50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3">
      <c r="A393" s="65" t="inlineStr">
        <is>
          <t>04/06/2010</t>
        </is>
      </c>
      <c r="B393" s="28" t="n">
        <v>1.9564</v>
      </c>
      <c r="C393" s="49" t="n"/>
      <c r="D393" s="50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4">
      <c r="A394" s="65" t="inlineStr">
        <is>
          <t>11/06/2010</t>
        </is>
      </c>
      <c r="B394" s="28" t="n">
        <v>1.947</v>
      </c>
      <c r="C394" s="49" t="n"/>
      <c r="D394" s="50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5">
      <c r="A395" s="65" t="inlineStr">
        <is>
          <t>18/06/2010</t>
        </is>
      </c>
      <c r="B395" s="28" t="n">
        <v>2.0474</v>
      </c>
      <c r="C395" s="49" t="n"/>
      <c r="D395" s="50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6">
      <c r="A396" s="65" t="inlineStr">
        <is>
          <t>25/06/2010</t>
        </is>
      </c>
      <c r="B396" s="28" t="n">
        <v>2.0596</v>
      </c>
      <c r="C396" s="49" t="n"/>
      <c r="D396" s="50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7">
      <c r="A397" s="65" t="inlineStr">
        <is>
          <t>02/07/2010</t>
        </is>
      </c>
      <c r="B397" s="28" t="n">
        <v>2.0446</v>
      </c>
      <c r="C397" s="49" t="n"/>
      <c r="D397" s="50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8">
      <c r="A398" s="65" t="inlineStr">
        <is>
          <t>08/07/2010</t>
        </is>
      </c>
      <c r="B398" s="28" t="n">
        <v>2.139</v>
      </c>
      <c r="C398" s="49" t="n"/>
      <c r="D398" s="50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399">
      <c r="A399" s="65" t="inlineStr">
        <is>
          <t>16/07/2010</t>
        </is>
      </c>
      <c r="B399" s="28" t="n">
        <v>2.2833</v>
      </c>
      <c r="C399" s="49" t="n"/>
      <c r="D399" s="50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0">
      <c r="A400" s="65" t="inlineStr">
        <is>
          <t>23/07/2010</t>
        </is>
      </c>
      <c r="B400" s="28" t="n">
        <v>2.2711</v>
      </c>
      <c r="C400" s="49" t="n"/>
      <c r="D400" s="50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1">
      <c r="A401" s="65" t="inlineStr">
        <is>
          <t>30/07/2010</t>
        </is>
      </c>
      <c r="B401" s="28" t="n">
        <v>2.2656</v>
      </c>
      <c r="C401" s="49" t="n"/>
      <c r="D401" s="50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2">
      <c r="A402" s="65" t="inlineStr">
        <is>
          <t>06/08/2010</t>
        </is>
      </c>
      <c r="B402" s="28" t="n">
        <v>2.3115</v>
      </c>
      <c r="C402" s="49" t="n"/>
      <c r="D402" s="50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3">
      <c r="A403" s="65" t="inlineStr">
        <is>
          <t>13/08/2010</t>
        </is>
      </c>
      <c r="B403" s="28" t="n">
        <v>2.3041</v>
      </c>
      <c r="C403" s="49" t="n"/>
      <c r="D403" s="50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4">
      <c r="A404" s="65" t="inlineStr">
        <is>
          <t>20/08/2010</t>
        </is>
      </c>
      <c r="B404" s="28" t="n">
        <v>2.2972</v>
      </c>
      <c r="C404" s="49" t="n"/>
      <c r="D404" s="50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5">
      <c r="A405" s="65" t="inlineStr">
        <is>
          <t>27/08/2010</t>
        </is>
      </c>
      <c r="B405" s="28" t="n">
        <v>2.2854</v>
      </c>
      <c r="C405" s="49" t="n"/>
      <c r="D405" s="50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6">
      <c r="A406" s="65" t="inlineStr">
        <is>
          <t>03/09/2010</t>
        </is>
      </c>
      <c r="B406" s="28" t="n">
        <v>2.2708</v>
      </c>
      <c r="C406" s="49" t="n"/>
      <c r="D406" s="50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7">
      <c r="A407" s="65" t="inlineStr">
        <is>
          <t>10/09/2010</t>
        </is>
      </c>
      <c r="B407" s="28" t="n">
        <v>2.3132</v>
      </c>
      <c r="C407" s="49" t="n"/>
      <c r="D407" s="50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8">
      <c r="A408" s="65" t="inlineStr">
        <is>
          <t>17/09/2010</t>
        </is>
      </c>
      <c r="B408" s="28" t="n">
        <v>2.3662</v>
      </c>
      <c r="C408" s="49" t="n"/>
      <c r="D408" s="50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09">
      <c r="A409" s="65" t="inlineStr">
        <is>
          <t>24/09/2010</t>
        </is>
      </c>
      <c r="B409" s="28" t="n">
        <v>2.4778</v>
      </c>
      <c r="C409" s="49" t="n"/>
      <c r="D409" s="50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0">
      <c r="A410" s="65" t="inlineStr">
        <is>
          <t>01/10/2010</t>
        </is>
      </c>
      <c r="B410" s="28" t="n">
        <v>2.6179</v>
      </c>
      <c r="C410" s="49" t="n"/>
      <c r="D410" s="50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1">
      <c r="A411" s="65" t="inlineStr">
        <is>
          <t>08/10/2010</t>
        </is>
      </c>
      <c r="B411" s="28" t="n">
        <v>2.6306</v>
      </c>
      <c r="C411" s="49" t="n"/>
      <c r="D411" s="50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2">
      <c r="A412" s="65" t="inlineStr">
        <is>
          <t>15/10/2010</t>
        </is>
      </c>
      <c r="B412" s="28" t="n">
        <v>2.6316</v>
      </c>
      <c r="C412" s="49" t="n"/>
      <c r="D412" s="50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3">
      <c r="A413" s="65" t="inlineStr">
        <is>
          <t>22/10/2010</t>
        </is>
      </c>
      <c r="B413" s="28" t="n">
        <v>2.6257</v>
      </c>
      <c r="C413" s="49" t="n"/>
      <c r="D413" s="50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4">
      <c r="A414" s="65" t="inlineStr">
        <is>
          <t>29/10/2010</t>
        </is>
      </c>
      <c r="B414" s="28" t="n">
        <v>2.637</v>
      </c>
      <c r="C414" s="49" t="n"/>
      <c r="D414" s="50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5">
      <c r="A415" s="65" t="inlineStr">
        <is>
          <t>05/11/2010</t>
        </is>
      </c>
      <c r="B415" s="28" t="n">
        <v>2.6062</v>
      </c>
      <c r="C415" s="49" t="n"/>
      <c r="D415" s="50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6">
      <c r="A416" s="65" t="inlineStr">
        <is>
          <t>12/11/2010</t>
        </is>
      </c>
      <c r="B416" s="28" t="n">
        <v>2.6343</v>
      </c>
      <c r="C416" s="49" t="n"/>
      <c r="D416" s="50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7">
      <c r="A417" s="65" t="inlineStr">
        <is>
          <t>19/11/2010</t>
        </is>
      </c>
      <c r="B417" s="28" t="n">
        <v>2.6526</v>
      </c>
      <c r="C417" s="49" t="n"/>
      <c r="D417" s="50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8">
      <c r="A418" s="65" t="inlineStr">
        <is>
          <t>26/11/2010</t>
        </is>
      </c>
      <c r="B418" s="28" t="n">
        <v>2.7584</v>
      </c>
      <c r="C418" s="49" t="n"/>
      <c r="D418" s="50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19">
      <c r="A419" s="65" t="inlineStr">
        <is>
          <t>03/12/2010</t>
        </is>
      </c>
      <c r="B419" s="28" t="n">
        <v>2.7756</v>
      </c>
      <c r="C419" s="49" t="n"/>
      <c r="D419" s="50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0">
      <c r="A420" s="65" t="inlineStr">
        <is>
          <t>10/12/2010</t>
        </is>
      </c>
      <c r="B420" s="28" t="n">
        <v>2.8101</v>
      </c>
      <c r="C420" s="49" t="n"/>
      <c r="D420" s="50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1">
      <c r="A421" s="65" t="inlineStr">
        <is>
          <t>17/12/2010</t>
        </is>
      </c>
      <c r="B421" s="28" t="n">
        <v>2.8433</v>
      </c>
      <c r="C421" s="49" t="n"/>
      <c r="D421" s="50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2">
      <c r="A422" s="65" t="inlineStr">
        <is>
          <t>23/12/2010</t>
        </is>
      </c>
      <c r="B422" s="28" t="n">
        <v>2.8722</v>
      </c>
      <c r="C422" s="49" t="n"/>
      <c r="D422" s="50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3">
      <c r="A423" s="65" t="inlineStr">
        <is>
          <t>30/12/2010</t>
        </is>
      </c>
      <c r="B423" s="28" t="n">
        <v>2.918</v>
      </c>
      <c r="C423" s="49" t="n"/>
      <c r="D423" s="50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4">
      <c r="A424" s="65" t="inlineStr">
        <is>
          <t>07/01/2011</t>
        </is>
      </c>
      <c r="B424" s="28" t="n">
        <v>2.9132</v>
      </c>
      <c r="C424" s="49" t="n"/>
      <c r="D424" s="50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5">
      <c r="A425" s="65" t="inlineStr">
        <is>
          <t>14/01/2011</t>
        </is>
      </c>
      <c r="B425" s="28" t="n">
        <v>2.8852</v>
      </c>
      <c r="C425" s="49" t="n"/>
      <c r="D425" s="50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6">
      <c r="A426" s="65" t="inlineStr">
        <is>
          <t>21/01/2011</t>
        </is>
      </c>
      <c r="B426" s="28" t="n">
        <v>2.8933</v>
      </c>
      <c r="C426" s="49" t="n"/>
      <c r="D426" s="50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7">
      <c r="A427" s="65" t="inlineStr">
        <is>
          <t>28/01/2011</t>
        </is>
      </c>
      <c r="B427" s="28" t="n">
        <v>2.9046</v>
      </c>
      <c r="C427" s="49" t="n"/>
      <c r="D427" s="50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8">
      <c r="A428" s="65" t="inlineStr">
        <is>
          <t>04/02/2011</t>
        </is>
      </c>
      <c r="B428" s="28" t="n">
        <v>2.8781</v>
      </c>
      <c r="C428" s="49" t="n"/>
      <c r="D428" s="50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29">
      <c r="A429" s="65" t="inlineStr">
        <is>
          <t>11/02/2011</t>
        </is>
      </c>
      <c r="B429" s="28" t="n">
        <v>2.9627</v>
      </c>
      <c r="C429" s="49" t="n"/>
      <c r="D429" s="50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0">
      <c r="A430" s="65" t="inlineStr">
        <is>
          <t>18/02/2011</t>
        </is>
      </c>
      <c r="B430" s="28" t="n">
        <v>3.0778</v>
      </c>
      <c r="C430" s="49" t="n"/>
      <c r="D430" s="50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1">
      <c r="A431" s="65" t="inlineStr">
        <is>
          <t>25/02/2011</t>
        </is>
      </c>
      <c r="B431" s="28" t="n">
        <v>3.218</v>
      </c>
      <c r="C431" s="49" t="n"/>
      <c r="D431" s="50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2">
      <c r="A432" s="65" t="inlineStr">
        <is>
          <t>04/03/2011</t>
        </is>
      </c>
      <c r="B432" s="28" t="n">
        <v>3.446</v>
      </c>
      <c r="C432" s="49" t="n"/>
      <c r="D432" s="50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3">
      <c r="A433" s="65" t="inlineStr">
        <is>
          <t>11/03/2011</t>
        </is>
      </c>
      <c r="B433" s="28" t="n">
        <v>3.5357</v>
      </c>
      <c r="C433" s="49" t="n"/>
      <c r="D433" s="50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4">
      <c r="A434" s="65" t="inlineStr">
        <is>
          <t>18/03/2011</t>
        </is>
      </c>
      <c r="B434" s="28" t="n">
        <v>3.8414</v>
      </c>
      <c r="C434" s="49" t="n"/>
      <c r="D434" s="50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5">
      <c r="A435" s="65" t="inlineStr">
        <is>
          <t>25/03/2011</t>
        </is>
      </c>
      <c r="B435" s="28" t="n">
        <v>4.1961</v>
      </c>
      <c r="C435" s="49" t="n"/>
      <c r="D435" s="50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6">
      <c r="A436" s="65" t="inlineStr">
        <is>
          <t>01/04/2011</t>
        </is>
      </c>
      <c r="B436" s="28" t="n">
        <v>3.731</v>
      </c>
      <c r="C436" s="49" t="n"/>
      <c r="D436" s="50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7">
      <c r="A437" s="65" t="inlineStr">
        <is>
          <t>08/04/2011</t>
        </is>
      </c>
      <c r="B437" s="28" t="n">
        <v>3.5455</v>
      </c>
      <c r="C437" s="49" t="n"/>
      <c r="D437" s="50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8">
      <c r="A438" s="65" t="inlineStr">
        <is>
          <t>15/04/2011</t>
        </is>
      </c>
      <c r="B438" s="28" t="n">
        <v>3.5427</v>
      </c>
      <c r="C438" s="49" t="n"/>
      <c r="D438" s="50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39">
      <c r="A439" s="65" t="inlineStr">
        <is>
          <t>20/04/2011</t>
        </is>
      </c>
      <c r="B439" s="28" t="n">
        <v>3.7285</v>
      </c>
      <c r="C439" s="49" t="n"/>
      <c r="D439" s="50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0">
      <c r="A440" s="65" t="inlineStr">
        <is>
          <t>29/04/2011</t>
        </is>
      </c>
      <c r="B440" s="28" t="n">
        <v>3.4226</v>
      </c>
      <c r="C440" s="49" t="n"/>
      <c r="D440" s="50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1">
      <c r="A441" s="65" t="inlineStr">
        <is>
          <t>06/05/2011</t>
        </is>
      </c>
      <c r="B441" s="28" t="n">
        <v>2.7141</v>
      </c>
      <c r="C441" s="49" t="n"/>
      <c r="D441" s="50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2">
      <c r="A442" s="65" t="inlineStr">
        <is>
          <t>13/05/2011</t>
        </is>
      </c>
      <c r="B442" s="28" t="n">
        <v>2.4667</v>
      </c>
      <c r="C442" s="49" t="n"/>
      <c r="D442" s="50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3">
      <c r="A443" s="65" t="inlineStr">
        <is>
          <t>20/05/2011</t>
        </is>
      </c>
      <c r="B443" s="28" t="n">
        <v>2.5113</v>
      </c>
      <c r="C443" s="49" t="n"/>
      <c r="D443" s="50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4">
      <c r="A444" s="65" t="inlineStr">
        <is>
          <t>27/05/2011</t>
        </is>
      </c>
      <c r="B444" s="28" t="n">
        <v>2.5923</v>
      </c>
      <c r="C444" s="49" t="n"/>
      <c r="D444" s="50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5">
      <c r="A445" s="65" t="inlineStr">
        <is>
          <t>03/06/2011</t>
        </is>
      </c>
      <c r="B445" s="28" t="n">
        <v>2.5834</v>
      </c>
      <c r="C445" s="49" t="n"/>
      <c r="D445" s="50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6">
      <c r="A446" s="65" t="inlineStr">
        <is>
          <t>10/06/2011</t>
        </is>
      </c>
      <c r="B446" s="28" t="n">
        <v>2.7683</v>
      </c>
      <c r="C446" s="49" t="n"/>
      <c r="D446" s="50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7">
      <c r="A447" s="65" t="inlineStr">
        <is>
          <t>17/06/2011</t>
        </is>
      </c>
      <c r="B447" s="28" t="n">
        <v>2.9347</v>
      </c>
      <c r="C447" s="49" t="n"/>
      <c r="D447" s="50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8">
      <c r="A448" s="65" t="inlineStr">
        <is>
          <t>24/06/2011</t>
        </is>
      </c>
      <c r="B448" s="28" t="n">
        <v>2.9327</v>
      </c>
      <c r="C448" s="49" t="n"/>
      <c r="D448" s="50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49">
      <c r="A449" s="65" t="inlineStr">
        <is>
          <t>01/07/2011</t>
        </is>
      </c>
      <c r="B449" s="28" t="n">
        <v>2.9316</v>
      </c>
      <c r="C449" s="49" t="n"/>
      <c r="D449" s="50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0">
      <c r="A450" s="65" t="inlineStr">
        <is>
          <t>08/07/2011</t>
        </is>
      </c>
      <c r="B450" s="28" t="n">
        <v>2.8999</v>
      </c>
      <c r="C450" s="49" t="n"/>
      <c r="D450" s="50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1">
      <c r="A451" s="65" t="inlineStr">
        <is>
          <t>15/07/2011</t>
        </is>
      </c>
      <c r="B451" s="28" t="n">
        <v>2.8961</v>
      </c>
      <c r="C451" s="49" t="n"/>
      <c r="D451" s="50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2">
      <c r="A452" s="65" t="inlineStr">
        <is>
          <t>22/07/2011</t>
        </is>
      </c>
      <c r="B452" s="28" t="n">
        <v>2.9065</v>
      </c>
      <c r="C452" s="49" t="n"/>
      <c r="D452" s="50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3">
      <c r="A453" s="65" t="inlineStr">
        <is>
          <t>29/07/2011</t>
        </is>
      </c>
      <c r="B453" s="28" t="n">
        <v>2.9073</v>
      </c>
      <c r="C453" s="49" t="n"/>
      <c r="D453" s="50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4">
      <c r="A454" s="65" t="inlineStr">
        <is>
          <t>05/08/2011</t>
        </is>
      </c>
      <c r="B454" s="28" t="n">
        <v>2.8923</v>
      </c>
      <c r="C454" s="49" t="n"/>
      <c r="D454" s="50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5">
      <c r="A455" s="65" t="inlineStr">
        <is>
          <t>12/08/2011</t>
        </is>
      </c>
      <c r="B455" s="28" t="n">
        <v>2.934</v>
      </c>
      <c r="C455" s="49" t="n"/>
      <c r="D455" s="50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6">
      <c r="A456" s="65" t="inlineStr">
        <is>
          <t>19/08/2011</t>
        </is>
      </c>
      <c r="B456" s="28" t="n">
        <v>3.0796</v>
      </c>
      <c r="C456" s="49" t="n"/>
      <c r="D456" s="50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7">
      <c r="A457" s="65" t="inlineStr">
        <is>
          <t>26/08/2011</t>
        </is>
      </c>
      <c r="B457" s="28" t="n">
        <v>3.1727</v>
      </c>
      <c r="C457" s="49" t="n"/>
      <c r="D457" s="50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8">
      <c r="A458" s="65" t="inlineStr">
        <is>
          <t>02/09/2011</t>
        </is>
      </c>
      <c r="B458" s="28" t="n">
        <v>3.0936</v>
      </c>
      <c r="C458" s="49" t="n"/>
      <c r="D458" s="50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59">
      <c r="A459" s="65" t="inlineStr">
        <is>
          <t>09/09/2011</t>
        </is>
      </c>
      <c r="B459" s="28" t="n">
        <v>3.0857</v>
      </c>
      <c r="C459" s="49" t="n"/>
      <c r="D459" s="50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0">
      <c r="A460" s="65" t="inlineStr">
        <is>
          <t>16/09/2011</t>
        </is>
      </c>
      <c r="B460" s="28" t="n">
        <v>3.0645</v>
      </c>
      <c r="C460" s="49" t="n"/>
      <c r="D460" s="50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1">
      <c r="A461" s="65" t="inlineStr">
        <is>
          <t>23/09/2011</t>
        </is>
      </c>
      <c r="B461" s="28" t="n">
        <v>3.0023</v>
      </c>
      <c r="C461" s="49" t="n"/>
      <c r="D461" s="50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2">
      <c r="A462" s="65" t="inlineStr">
        <is>
          <t>30/09/2011</t>
        </is>
      </c>
      <c r="B462" s="28" t="n">
        <v>2.9955</v>
      </c>
      <c r="C462" s="49" t="n"/>
      <c r="D462" s="50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3">
      <c r="A463" s="65" t="inlineStr">
        <is>
          <t>07/10/2011</t>
        </is>
      </c>
      <c r="B463" s="28" t="n">
        <v>3.0601</v>
      </c>
      <c r="C463" s="49" t="n"/>
      <c r="D463" s="50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4">
      <c r="A464" s="65" t="inlineStr">
        <is>
          <t>14/10/2011</t>
        </is>
      </c>
      <c r="B464" s="28" t="n">
        <v>3.0617</v>
      </c>
      <c r="C464" s="49" t="n"/>
      <c r="D464" s="50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5">
      <c r="A465" s="65" t="inlineStr">
        <is>
          <t>21/10/2011</t>
        </is>
      </c>
      <c r="B465" s="28" t="n">
        <v>3.0989</v>
      </c>
      <c r="C465" s="49" t="n"/>
      <c r="D465" s="50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6">
      <c r="A466" s="65" t="inlineStr">
        <is>
          <t>28/10/2011</t>
        </is>
      </c>
      <c r="B466" s="28" t="n">
        <v>3.1623</v>
      </c>
      <c r="C466" s="49" t="n"/>
      <c r="D466" s="50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7">
      <c r="A467" s="65" t="inlineStr">
        <is>
          <t>04/11/2011</t>
        </is>
      </c>
      <c r="B467" s="28" t="n">
        <v>3.1598</v>
      </c>
      <c r="C467" s="49" t="n"/>
      <c r="D467" s="50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8">
      <c r="A468" s="65" t="inlineStr">
        <is>
          <t>11/11/2011</t>
        </is>
      </c>
      <c r="B468" s="28" t="n">
        <v>3.1843</v>
      </c>
      <c r="C468" s="49" t="n"/>
      <c r="D468" s="50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69">
      <c r="A469" s="65" t="inlineStr">
        <is>
          <t>18/11/2011</t>
        </is>
      </c>
      <c r="B469" s="28" t="n">
        <v>3.2091</v>
      </c>
      <c r="C469" s="49" t="n"/>
      <c r="D469" s="50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0">
      <c r="A470" s="65" t="inlineStr">
        <is>
          <t>25/11/2011</t>
        </is>
      </c>
      <c r="B470" s="28" t="n">
        <v>3.2226</v>
      </c>
      <c r="C470" s="49" t="n"/>
      <c r="D470" s="50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1">
      <c r="A471" s="65" t="inlineStr">
        <is>
          <t>02/12/2011</t>
        </is>
      </c>
      <c r="B471" s="28" t="n">
        <v>3.1911</v>
      </c>
      <c r="C471" s="49" t="n"/>
      <c r="D471" s="50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2">
      <c r="A472" s="65" t="inlineStr">
        <is>
          <t>09/12/2011</t>
        </is>
      </c>
      <c r="B472" s="28" t="n">
        <v>3.1889</v>
      </c>
      <c r="C472" s="49" t="n"/>
      <c r="D472" s="50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3">
      <c r="A473" s="65" t="inlineStr">
        <is>
          <t>16/12/2011</t>
        </is>
      </c>
      <c r="B473" s="28" t="n">
        <v>3.1656</v>
      </c>
      <c r="C473" s="49" t="n"/>
      <c r="D473" s="50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4">
      <c r="A474" s="65" t="inlineStr">
        <is>
          <t>23/12/2011</t>
        </is>
      </c>
      <c r="B474" s="28" t="n">
        <v>3.0984</v>
      </c>
      <c r="C474" s="49" t="n"/>
      <c r="D474" s="50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5">
      <c r="A475" s="65" t="inlineStr">
        <is>
          <t>29/12/2011</t>
        </is>
      </c>
      <c r="B475" s="28" t="n">
        <v>2.9945</v>
      </c>
      <c r="C475" s="49" t="n"/>
      <c r="D475" s="50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6">
      <c r="A476" s="65" t="inlineStr">
        <is>
          <t>06/01/2012</t>
        </is>
      </c>
      <c r="B476" s="28" t="n">
        <v>2.999</v>
      </c>
      <c r="C476" s="49" t="n"/>
      <c r="D476" s="50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7">
      <c r="A477" s="65" t="inlineStr">
        <is>
          <t>13/01/2012</t>
        </is>
      </c>
      <c r="B477" s="28" t="n">
        <v>3.059</v>
      </c>
      <c r="C477" s="49" t="n"/>
      <c r="D477" s="50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8">
      <c r="A478" s="65" t="inlineStr">
        <is>
          <t>20/01/2012</t>
        </is>
      </c>
      <c r="B478" s="28" t="n">
        <v>2.8993</v>
      </c>
      <c r="C478" s="49" t="n"/>
      <c r="D478" s="50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79">
      <c r="A479" s="65" t="inlineStr">
        <is>
          <t>27/01/2012</t>
        </is>
      </c>
      <c r="B479" s="28" t="n">
        <v>2.7381</v>
      </c>
      <c r="C479" s="49" t="n"/>
      <c r="D479" s="50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0">
      <c r="A480" s="65" t="inlineStr">
        <is>
          <t>03/02/2012</t>
        </is>
      </c>
      <c r="B480" s="28" t="n">
        <v>2.6947</v>
      </c>
      <c r="C480" s="49" t="n"/>
      <c r="D480" s="50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1">
      <c r="A481" s="65" t="inlineStr">
        <is>
          <t>10/02/2012</t>
        </is>
      </c>
      <c r="B481" s="28" t="n">
        <v>2.708</v>
      </c>
      <c r="C481" s="49" t="n"/>
      <c r="D481" s="50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2">
      <c r="A482" s="65" t="inlineStr">
        <is>
          <t>17/02/2012</t>
        </is>
      </c>
      <c r="B482" s="28" t="n">
        <v>2.896</v>
      </c>
      <c r="C482" s="49" t="n"/>
      <c r="D482" s="50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3">
      <c r="A483" s="65" t="inlineStr">
        <is>
          <t>24/02/2012</t>
        </is>
      </c>
      <c r="B483" s="28" t="n">
        <v>2.916</v>
      </c>
      <c r="C483" s="49" t="n"/>
      <c r="D483" s="50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4">
      <c r="A484" s="65" t="inlineStr">
        <is>
          <t>02/03/2012</t>
        </is>
      </c>
      <c r="B484" s="28" t="n">
        <v>2.9414</v>
      </c>
      <c r="C484" s="49" t="n"/>
      <c r="D484" s="50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5">
      <c r="A485" s="65" t="inlineStr">
        <is>
          <t>09/03/2012</t>
        </is>
      </c>
      <c r="B485" s="28" t="n">
        <v>2.9899</v>
      </c>
      <c r="C485" s="49" t="n"/>
      <c r="D485" s="50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6">
      <c r="A486" s="65" t="inlineStr">
        <is>
          <t>16/03/2012</t>
        </is>
      </c>
      <c r="B486" s="28" t="n">
        <v>3.0071</v>
      </c>
      <c r="C486" s="49" t="n"/>
      <c r="D486" s="50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7">
      <c r="A487" s="65" t="inlineStr">
        <is>
          <t>23/03/2012</t>
        </is>
      </c>
      <c r="B487" s="28" t="n">
        <v>3.0126</v>
      </c>
      <c r="C487" s="49" t="n"/>
      <c r="D487" s="50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8">
      <c r="A488" s="65" t="inlineStr">
        <is>
          <t>30/03/2012</t>
        </is>
      </c>
      <c r="B488" s="28" t="n">
        <v>3.0273</v>
      </c>
      <c r="C488" s="49" t="n"/>
      <c r="D488" s="50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89">
      <c r="A489" s="65" t="inlineStr">
        <is>
          <t>05/04/2012</t>
        </is>
      </c>
      <c r="B489" s="28" t="n">
        <v>2.9951</v>
      </c>
      <c r="C489" s="49" t="n"/>
      <c r="D489" s="50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0">
      <c r="A490" s="65" t="inlineStr">
        <is>
          <t>13/04/2012</t>
        </is>
      </c>
      <c r="B490" s="28" t="n">
        <v>2.9719</v>
      </c>
      <c r="C490" s="49" t="n"/>
      <c r="D490" s="50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1">
      <c r="A491" s="65" t="inlineStr">
        <is>
          <t>20/04/2012</t>
        </is>
      </c>
      <c r="B491" s="28" t="n">
        <v>2.8665</v>
      </c>
      <c r="C491" s="49" t="n"/>
      <c r="D491" s="50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2">
      <c r="A492" s="65" t="inlineStr">
        <is>
          <t>27/04/2012</t>
        </is>
      </c>
      <c r="B492" s="28" t="n">
        <v>2.8186</v>
      </c>
      <c r="C492" s="49" t="n"/>
      <c r="D492" s="50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3">
      <c r="A493" s="65" t="inlineStr">
        <is>
          <t>04/05/2012</t>
        </is>
      </c>
      <c r="B493" s="28" t="n">
        <v>2.8466</v>
      </c>
      <c r="C493" s="49" t="n"/>
      <c r="D493" s="50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4">
      <c r="A494" s="65" t="inlineStr">
        <is>
          <t>11/05/2012</t>
        </is>
      </c>
      <c r="B494" s="28" t="n">
        <v>2.8251</v>
      </c>
      <c r="C494" s="49" t="n"/>
      <c r="D494" s="50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5">
      <c r="A495" s="65" t="inlineStr">
        <is>
          <t>18/05/2012</t>
        </is>
      </c>
      <c r="B495" s="28" t="n">
        <v>2.795</v>
      </c>
      <c r="C495" s="49" t="n"/>
      <c r="D495" s="50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6">
      <c r="A496" s="65" t="inlineStr">
        <is>
          <t>25/05/2012</t>
        </is>
      </c>
      <c r="B496" s="28" t="n">
        <v>2.7102</v>
      </c>
      <c r="C496" s="49" t="n"/>
      <c r="D496" s="50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7">
      <c r="A497" s="65" t="inlineStr">
        <is>
          <t>01/06/2012</t>
        </is>
      </c>
      <c r="B497" s="28" t="n">
        <v>2.6616</v>
      </c>
      <c r="C497" s="49" t="n"/>
      <c r="D497" s="50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8">
      <c r="A498" s="65" t="inlineStr">
        <is>
          <t>08/06/2012</t>
        </is>
      </c>
      <c r="B498" s="28" t="n">
        <v>2.6315</v>
      </c>
      <c r="C498" s="49" t="n"/>
      <c r="D498" s="50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499">
      <c r="A499" s="65" t="inlineStr">
        <is>
          <t>15/06/2012</t>
        </is>
      </c>
      <c r="B499" s="28" t="n">
        <v>2.6266</v>
      </c>
      <c r="C499" s="49" t="n"/>
      <c r="D499" s="50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0">
      <c r="A500" s="65" t="inlineStr">
        <is>
          <t>22/06/2012</t>
        </is>
      </c>
      <c r="B500" s="28" t="n">
        <v>2.6315</v>
      </c>
      <c r="C500" s="49" t="n"/>
      <c r="D500" s="50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1">
      <c r="A501" s="65" t="inlineStr">
        <is>
          <t>29/06/2012</t>
        </is>
      </c>
      <c r="B501" s="28" t="n">
        <v>2.6162</v>
      </c>
      <c r="C501" s="49" t="n"/>
      <c r="D501" s="50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2">
      <c r="A502" s="65" t="inlineStr">
        <is>
          <t>06/07/2012</t>
        </is>
      </c>
      <c r="B502" s="28" t="n">
        <v>2.5452</v>
      </c>
      <c r="C502" s="49" t="n"/>
      <c r="D502" s="50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3">
      <c r="A503" s="65" t="inlineStr">
        <is>
          <t>13/07/2012</t>
        </is>
      </c>
      <c r="B503" s="28" t="n">
        <v>2.5303</v>
      </c>
      <c r="C503" s="49" t="n"/>
      <c r="D503" s="50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4">
      <c r="A504" s="65" t="inlineStr">
        <is>
          <t>20/07/2012</t>
        </is>
      </c>
      <c r="B504" s="28" t="n">
        <v>2.5301</v>
      </c>
      <c r="C504" s="49" t="n"/>
      <c r="D504" s="50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5">
      <c r="A505" s="65" t="inlineStr">
        <is>
          <t>27/07/2012</t>
        </is>
      </c>
      <c r="B505" s="28" t="n">
        <v>2.5377</v>
      </c>
      <c r="C505" s="49" t="n"/>
      <c r="D505" s="50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6">
      <c r="A506" s="65" t="inlineStr">
        <is>
          <t>03/08/2012</t>
        </is>
      </c>
      <c r="B506" s="28" t="n">
        <v>2.4852</v>
      </c>
      <c r="C506" s="49" t="n"/>
      <c r="D506" s="50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7">
      <c r="A507" s="65" t="inlineStr">
        <is>
          <t>10/08/2012</t>
        </is>
      </c>
      <c r="B507" s="28" t="n">
        <v>2.4406</v>
      </c>
      <c r="C507" s="49" t="n"/>
      <c r="D507" s="50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8">
      <c r="A508" s="65" t="inlineStr">
        <is>
          <t>17/08/2012</t>
        </is>
      </c>
      <c r="B508" s="28" t="n">
        <v>2.4403</v>
      </c>
      <c r="C508" s="49" t="n"/>
      <c r="D508" s="50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09">
      <c r="A509" s="65" t="inlineStr">
        <is>
          <t>24/08/2012</t>
        </is>
      </c>
      <c r="B509" s="28" t="n">
        <v>2.4521</v>
      </c>
      <c r="C509" s="49" t="n"/>
      <c r="D509" s="50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0">
      <c r="A510" s="65" t="inlineStr">
        <is>
          <t>31/08/2012</t>
        </is>
      </c>
      <c r="B510" s="28" t="n">
        <v>2.5499</v>
      </c>
      <c r="C510" s="49" t="n"/>
      <c r="D510" s="50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1">
      <c r="A511" s="65" t="inlineStr">
        <is>
          <t>06/09/2012</t>
        </is>
      </c>
      <c r="B511" s="28" t="n">
        <v>2.5381</v>
      </c>
      <c r="C511" s="49" t="n"/>
      <c r="D511" s="50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2">
      <c r="A512" s="65" t="inlineStr">
        <is>
          <t>14/09/2012</t>
        </is>
      </c>
      <c r="B512" s="28" t="n">
        <v>2.5189</v>
      </c>
      <c r="C512" s="49" t="n"/>
      <c r="D512" s="50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3">
      <c r="A513" s="65" t="inlineStr">
        <is>
          <t>21/09/2012</t>
        </is>
      </c>
      <c r="B513" s="28" t="n">
        <v>2.4513</v>
      </c>
      <c r="C513" s="49" t="n"/>
      <c r="D513" s="50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4">
      <c r="A514" s="65" t="inlineStr">
        <is>
          <t>28/09/2012</t>
        </is>
      </c>
      <c r="B514" s="28" t="n">
        <v>2.4309</v>
      </c>
      <c r="C514" s="49" t="n"/>
      <c r="D514" s="50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5">
      <c r="A515" s="65" t="inlineStr">
        <is>
          <t>05/10/2012</t>
        </is>
      </c>
      <c r="B515" s="28" t="n">
        <v>2.396</v>
      </c>
      <c r="C515" s="49" t="n"/>
      <c r="D515" s="50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6">
      <c r="A516" s="65" t="inlineStr">
        <is>
          <t>11/10/2012</t>
        </is>
      </c>
      <c r="B516" s="28" t="n">
        <v>2.3715</v>
      </c>
      <c r="C516" s="49" t="n"/>
      <c r="D516" s="50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7">
      <c r="A517" s="65" t="inlineStr">
        <is>
          <t>19/10/2012</t>
        </is>
      </c>
      <c r="B517" s="28" t="n">
        <v>2.3539</v>
      </c>
      <c r="C517" s="49" t="n"/>
      <c r="D517" s="50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8">
      <c r="A518" s="65" t="inlineStr">
        <is>
          <t>26/10/2012</t>
        </is>
      </c>
      <c r="B518" s="28" t="n">
        <v>2.3455</v>
      </c>
      <c r="C518" s="49" t="n"/>
      <c r="D518" s="50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19">
      <c r="A519" s="65" t="inlineStr">
        <is>
          <t>01/11/2012</t>
        </is>
      </c>
      <c r="B519" s="28" t="n">
        <v>2.3813</v>
      </c>
      <c r="C519" s="49" t="n"/>
      <c r="D519" s="50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0">
      <c r="A520" s="65" t="inlineStr">
        <is>
          <t>09/11/2012</t>
        </is>
      </c>
      <c r="B520" s="28" t="n">
        <v>2.4901</v>
      </c>
      <c r="C520" s="49" t="n"/>
      <c r="D520" s="50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1">
      <c r="A521" s="65" t="inlineStr">
        <is>
          <t>16/11/2012</t>
        </is>
      </c>
      <c r="B521" s="28" t="n">
        <v>2.6029</v>
      </c>
      <c r="C521" s="49" t="n"/>
      <c r="D521" s="50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2">
      <c r="A522" s="65" t="inlineStr">
        <is>
          <t>23/11/2012</t>
        </is>
      </c>
      <c r="B522" s="28" t="n">
        <v>2.6125</v>
      </c>
      <c r="C522" s="49" t="n"/>
      <c r="D522" s="50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3">
      <c r="A523" s="65" t="inlineStr">
        <is>
          <t>30/11/2012</t>
        </is>
      </c>
      <c r="B523" s="28" t="n">
        <v>2.6448</v>
      </c>
      <c r="C523" s="49" t="n"/>
      <c r="D523" s="50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4">
      <c r="A524" s="65" t="inlineStr">
        <is>
          <t>07/12/2012</t>
        </is>
      </c>
      <c r="B524" s="28" t="n">
        <v>2.6515</v>
      </c>
      <c r="C524" s="49" t="n"/>
      <c r="D524" s="50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5">
      <c r="A525" s="65" t="inlineStr">
        <is>
          <t>14/12/2012</t>
        </is>
      </c>
      <c r="B525" s="28" t="n">
        <v>2.6274</v>
      </c>
      <c r="C525" s="49" t="n"/>
      <c r="D525" s="50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6">
      <c r="A526" s="65" t="inlineStr">
        <is>
          <t>21/12/2012</t>
        </is>
      </c>
      <c r="B526" s="28" t="n">
        <v>2.6232</v>
      </c>
      <c r="C526" s="49" t="n"/>
      <c r="D526" s="50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7">
      <c r="A527" s="65" t="inlineStr">
        <is>
          <t>28/12/2012</t>
        </is>
      </c>
      <c r="B527" s="28" t="n">
        <v>2.6357</v>
      </c>
      <c r="C527" s="49" t="n"/>
      <c r="D527" s="50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8">
      <c r="A528" s="65" t="inlineStr">
        <is>
          <t>04/01/2013</t>
        </is>
      </c>
      <c r="B528" s="28" t="n">
        <v>2.6576</v>
      </c>
      <c r="C528" s="49" t="n"/>
      <c r="D528" s="50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29">
      <c r="A529" s="65" t="inlineStr">
        <is>
          <t>11/01/2013</t>
        </is>
      </c>
      <c r="B529" s="28" t="n">
        <v>2.6502</v>
      </c>
      <c r="C529" s="49" t="n"/>
      <c r="D529" s="50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0">
      <c r="A530" s="65" t="inlineStr">
        <is>
          <t>18/01/2013</t>
        </is>
      </c>
      <c r="B530" s="28" t="n">
        <v>2.6407</v>
      </c>
      <c r="C530" s="49" t="n"/>
      <c r="D530" s="50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1">
      <c r="A531" s="65" t="inlineStr">
        <is>
          <t>25/01/2013</t>
        </is>
      </c>
      <c r="B531" s="28" t="n">
        <v>2.656</v>
      </c>
      <c r="C531" s="49" t="n"/>
      <c r="D531" s="50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2">
      <c r="A532" s="65" t="inlineStr">
        <is>
          <t>01/02/2013</t>
        </is>
      </c>
      <c r="B532" s="28" t="n">
        <v>2.6834</v>
      </c>
      <c r="C532" s="49" t="n"/>
      <c r="D532" s="50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3">
      <c r="A533" s="65" t="inlineStr">
        <is>
          <t>08/02/2013</t>
        </is>
      </c>
      <c r="B533" s="28" t="n">
        <v>2.7689</v>
      </c>
      <c r="C533" s="49" t="n"/>
      <c r="D533" s="50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4">
      <c r="A534" s="65" t="inlineStr">
        <is>
          <t>15/02/2013</t>
        </is>
      </c>
      <c r="B534" s="28" t="n">
        <v>2.8492</v>
      </c>
      <c r="C534" s="49" t="n"/>
      <c r="D534" s="50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5">
      <c r="A535" s="65" t="inlineStr">
        <is>
          <t>22/02/2013</t>
        </is>
      </c>
      <c r="B535" s="28" t="n">
        <v>2.9134</v>
      </c>
      <c r="C535" s="49" t="n"/>
      <c r="D535" s="50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6">
      <c r="A536" s="65" t="inlineStr">
        <is>
          <t>01/03/2013</t>
        </is>
      </c>
      <c r="B536" s="28" t="n">
        <v>2.908</v>
      </c>
      <c r="C536" s="49" t="n"/>
      <c r="D536" s="50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7">
      <c r="A537" s="65" t="inlineStr">
        <is>
          <t>08/03/2013</t>
        </is>
      </c>
      <c r="B537" s="28" t="n">
        <v>2.8967</v>
      </c>
      <c r="C537" s="49" t="n"/>
      <c r="D537" s="50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8">
      <c r="A538" s="65" t="inlineStr">
        <is>
          <t>15/03/2013</t>
        </is>
      </c>
      <c r="B538" s="28" t="n">
        <v>2.8435</v>
      </c>
      <c r="C538" s="49" t="n"/>
      <c r="D538" s="50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39">
      <c r="A539" s="65" t="inlineStr">
        <is>
          <t>22/03/2013</t>
        </is>
      </c>
      <c r="B539" s="28" t="n">
        <v>2.7739</v>
      </c>
      <c r="C539" s="49" t="n"/>
      <c r="D539" s="50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0">
      <c r="A540" s="65" t="inlineStr">
        <is>
          <t>28/03/2013</t>
        </is>
      </c>
      <c r="B540" s="28" t="n">
        <v>2.7723</v>
      </c>
      <c r="C540" s="49" t="n"/>
      <c r="D540" s="50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1">
      <c r="A541" s="65" t="inlineStr">
        <is>
          <t>05/04/2013</t>
        </is>
      </c>
      <c r="B541" s="28" t="n">
        <v>2.7939</v>
      </c>
      <c r="C541" s="49" t="n"/>
      <c r="D541" s="50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2">
      <c r="A542" s="65" t="inlineStr">
        <is>
          <t>12/04/2013</t>
        </is>
      </c>
      <c r="B542" s="28" t="n">
        <v>2.9586</v>
      </c>
      <c r="C542" s="49" t="n"/>
      <c r="D542" s="50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3">
      <c r="A543" s="65" t="inlineStr">
        <is>
          <t>19/04/2013</t>
        </is>
      </c>
      <c r="B543" s="28" t="n">
        <v>2.9955</v>
      </c>
      <c r="C543" s="49" t="n"/>
      <c r="D543" s="50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4">
      <c r="A544" s="65" t="inlineStr">
        <is>
          <t>26/04/2013</t>
        </is>
      </c>
      <c r="B544" s="28" t="n">
        <v>2.712</v>
      </c>
      <c r="C544" s="49" t="n"/>
      <c r="D544" s="50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5">
      <c r="A545" s="65" t="inlineStr">
        <is>
          <t>03/05/2013</t>
        </is>
      </c>
      <c r="B545" s="28" t="n">
        <v>2.5898</v>
      </c>
      <c r="C545" s="49" t="n"/>
      <c r="D545" s="50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6">
      <c r="A546" s="65" t="inlineStr">
        <is>
          <t>10/05/2013</t>
        </is>
      </c>
      <c r="B546" s="28" t="n">
        <v>2.6372</v>
      </c>
      <c r="C546" s="49" t="n"/>
      <c r="D546" s="50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7">
      <c r="A547" s="65" t="inlineStr">
        <is>
          <t>17/05/2013</t>
        </is>
      </c>
      <c r="B547" s="28" t="n">
        <v>2.6133</v>
      </c>
      <c r="C547" s="49" t="n"/>
      <c r="D547" s="50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8">
      <c r="A548" s="65" t="inlineStr">
        <is>
          <t>24/05/2013</t>
        </is>
      </c>
      <c r="B548" s="28" t="n">
        <v>2.5026</v>
      </c>
      <c r="C548" s="49" t="n"/>
      <c r="D548" s="50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49">
      <c r="A549" s="65" t="inlineStr">
        <is>
          <t>31/05/2013</t>
        </is>
      </c>
      <c r="B549" s="28" t="n">
        <v>2.5132</v>
      </c>
      <c r="C549" s="49" t="n"/>
      <c r="D549" s="50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0">
      <c r="A550" s="65" t="inlineStr">
        <is>
          <t>07/06/2013</t>
        </is>
      </c>
      <c r="B550" s="28" t="n">
        <v>2.5445</v>
      </c>
      <c r="C550" s="49" t="n"/>
      <c r="D550" s="50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1">
      <c r="A551" s="65" t="inlineStr">
        <is>
          <t>14/06/2013</t>
        </is>
      </c>
      <c r="B551" s="28" t="n">
        <v>2.6018</v>
      </c>
      <c r="C551" s="49" t="n"/>
      <c r="D551" s="50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2">
      <c r="A552" s="65" t="inlineStr">
        <is>
          <t>21/06/2013</t>
        </is>
      </c>
      <c r="B552" s="28" t="n">
        <v>2.621</v>
      </c>
      <c r="C552" s="49" t="n"/>
      <c r="D552" s="50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3">
      <c r="A553" s="65" t="inlineStr">
        <is>
          <t>28/06/2013</t>
        </is>
      </c>
      <c r="B553" s="28" t="n">
        <v>2.6564</v>
      </c>
      <c r="C553" s="49" t="n"/>
      <c r="D553" s="50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4">
      <c r="A554" s="65" t="inlineStr">
        <is>
          <t>05/07/2013</t>
        </is>
      </c>
      <c r="B554" s="28" t="n">
        <v>2.6269</v>
      </c>
      <c r="C554" s="49" t="n"/>
      <c r="D554" s="50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5">
      <c r="A555" s="65" t="inlineStr">
        <is>
          <t>12/07/2013</t>
        </is>
      </c>
      <c r="B555" s="28" t="n">
        <v>2.5853</v>
      </c>
      <c r="C555" s="49" t="n"/>
      <c r="D555" s="50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6">
      <c r="A556" s="65" t="inlineStr">
        <is>
          <t>19/07/2013</t>
        </is>
      </c>
      <c r="B556" s="28" t="n">
        <v>2.5007</v>
      </c>
      <c r="C556" s="49" t="n"/>
      <c r="D556" s="50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7">
      <c r="A557" s="65" t="inlineStr">
        <is>
          <t>26/07/2013</t>
        </is>
      </c>
      <c r="B557" s="28" t="n">
        <v>2.4677</v>
      </c>
      <c r="C557" s="49" t="n"/>
      <c r="D557" s="50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8">
      <c r="A558" s="65" t="inlineStr">
        <is>
          <t>02/08/2013</t>
        </is>
      </c>
      <c r="B558" s="28" t="n">
        <v>2.4777</v>
      </c>
      <c r="C558" s="49" t="n"/>
      <c r="D558" s="50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59">
      <c r="A559" s="65" t="inlineStr">
        <is>
          <t>09/08/2013</t>
        </is>
      </c>
      <c r="B559" s="28" t="n">
        <v>2.4665</v>
      </c>
      <c r="C559" s="49" t="n"/>
      <c r="D559" s="50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0">
      <c r="A560" s="65" t="inlineStr">
        <is>
          <t>16/08/2013</t>
        </is>
      </c>
      <c r="B560" s="28" t="n">
        <v>2.4572</v>
      </c>
      <c r="C560" s="49" t="n"/>
      <c r="D560" s="50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1">
      <c r="A561" s="65" t="inlineStr">
        <is>
          <t>23/08/2013</t>
        </is>
      </c>
      <c r="B561" s="28" t="n">
        <v>2.4779</v>
      </c>
      <c r="C561" s="49" t="n"/>
      <c r="D561" s="50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2">
      <c r="A562" s="65" t="inlineStr">
        <is>
          <t>30/08/2013</t>
        </is>
      </c>
      <c r="B562" s="28" t="n">
        <v>2.5464</v>
      </c>
      <c r="C562" s="49" t="n"/>
      <c r="D562" s="50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3">
      <c r="A563" s="65" t="inlineStr">
        <is>
          <t>06/09/2013</t>
        </is>
      </c>
      <c r="B563" s="28" t="n">
        <v>2.5336</v>
      </c>
      <c r="C563" s="49" t="n"/>
      <c r="D563" s="50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4">
      <c r="A564" s="65" t="inlineStr">
        <is>
          <t>13/09/2013</t>
        </is>
      </c>
      <c r="B564" s="28" t="n">
        <v>2.5531</v>
      </c>
      <c r="C564" s="49" t="n"/>
      <c r="D564" s="50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5">
      <c r="A565" s="65" t="inlineStr">
        <is>
          <t>20/09/2013</t>
        </is>
      </c>
      <c r="B565" s="28" t="n">
        <v>2.5627</v>
      </c>
      <c r="C565" s="49" t="n"/>
      <c r="D565" s="50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6">
      <c r="A566" s="65" t="inlineStr">
        <is>
          <t>27/09/2013</t>
        </is>
      </c>
      <c r="B566" s="28" t="n">
        <v>2.6315</v>
      </c>
      <c r="C566" s="49" t="n"/>
      <c r="D566" s="50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7">
      <c r="A567" s="65" t="inlineStr">
        <is>
          <t>04/10/2013</t>
        </is>
      </c>
      <c r="B567" s="28" t="n">
        <v>2.606</v>
      </c>
      <c r="C567" s="49" t="n"/>
      <c r="D567" s="50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8">
      <c r="A568" s="65" t="inlineStr">
        <is>
          <t>11/10/2013</t>
        </is>
      </c>
      <c r="B568" s="28" t="n">
        <v>2.6073</v>
      </c>
      <c r="C568" s="49" t="n"/>
      <c r="D568" s="50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69">
      <c r="A569" s="65" t="inlineStr">
        <is>
          <t>18/10/2013</t>
        </is>
      </c>
      <c r="B569" s="28" t="n">
        <v>2.602</v>
      </c>
      <c r="C569" s="49" t="n"/>
      <c r="D569" s="50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0">
      <c r="A570" s="65" t="inlineStr">
        <is>
          <t>25/10/2013</t>
        </is>
      </c>
      <c r="B570" s="28" t="n">
        <v>2.5911</v>
      </c>
      <c r="C570" s="49" t="n"/>
      <c r="D570" s="50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1">
      <c r="A571" s="65" t="inlineStr">
        <is>
          <t>01/11/2013</t>
        </is>
      </c>
      <c r="B571" s="28" t="n">
        <v>2.5758</v>
      </c>
      <c r="C571" s="49" t="n"/>
      <c r="D571" s="50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2">
      <c r="A572" s="65" t="inlineStr">
        <is>
          <t>08/11/2013</t>
        </is>
      </c>
      <c r="B572" s="28" t="n">
        <v>2.5867</v>
      </c>
      <c r="C572" s="49" t="n"/>
      <c r="D572" s="50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3">
      <c r="A573" s="65" t="inlineStr">
        <is>
          <t>14/11/2013</t>
        </is>
      </c>
      <c r="B573" s="28" t="n">
        <v>2.6733</v>
      </c>
      <c r="C573" s="49" t="n"/>
      <c r="D573" s="50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4">
      <c r="A574" s="65" t="inlineStr">
        <is>
          <t>22/11/2013</t>
        </is>
      </c>
      <c r="B574" s="28" t="n">
        <v>2.7026</v>
      </c>
      <c r="C574" s="49" t="n"/>
      <c r="D574" s="50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5">
      <c r="A575" s="65" t="inlineStr">
        <is>
          <t>29/11/2013</t>
        </is>
      </c>
      <c r="B575" s="28" t="n">
        <v>2.7551</v>
      </c>
      <c r="C575" s="49" t="n"/>
      <c r="D575" s="50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6">
      <c r="A576" s="65" t="inlineStr">
        <is>
          <t>06/12/2013</t>
        </is>
      </c>
      <c r="B576" s="28" t="n">
        <v>2.8314</v>
      </c>
      <c r="C576" s="49" t="n"/>
      <c r="D576" s="50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7">
      <c r="A577" s="65" t="inlineStr">
        <is>
          <t>13/12/2013</t>
        </is>
      </c>
      <c r="B577" s="28" t="n">
        <v>2.8505</v>
      </c>
      <c r="C577" s="49" t="n"/>
      <c r="D577" s="50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8">
      <c r="A578" s="65" t="inlineStr">
        <is>
          <t>20/12/2013</t>
        </is>
      </c>
      <c r="B578" s="28" t="n">
        <v>2.8241</v>
      </c>
      <c r="C578" s="49" t="n"/>
      <c r="D578" s="50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79">
      <c r="A579" s="65" t="inlineStr">
        <is>
          <t>27/12/2013</t>
        </is>
      </c>
      <c r="B579" s="28" t="n">
        <v>2.8095</v>
      </c>
      <c r="C579" s="49" t="n"/>
      <c r="D579" s="50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0">
      <c r="A580" s="65" t="inlineStr">
        <is>
          <t>03/01/2014</t>
        </is>
      </c>
      <c r="B580" s="28" t="n">
        <v>2.813</v>
      </c>
      <c r="C580" s="49" t="n"/>
      <c r="D580" s="50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1">
      <c r="A581" s="65" t="inlineStr">
        <is>
          <t>10/01/2014</t>
        </is>
      </c>
      <c r="B581" s="28" t="n">
        <v>2.815</v>
      </c>
      <c r="C581" s="49" t="n"/>
      <c r="D581" s="50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2">
      <c r="A582" s="65" t="inlineStr">
        <is>
          <t>17/01/2014</t>
        </is>
      </c>
      <c r="B582" s="28" t="n">
        <v>2.8248</v>
      </c>
      <c r="C582" s="49" t="n"/>
      <c r="D582" s="50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3">
      <c r="A583" s="65" t="inlineStr">
        <is>
          <t>24/01/2014</t>
        </is>
      </c>
      <c r="B583" s="28" t="n">
        <v>2.8134</v>
      </c>
      <c r="C583" s="49" t="n"/>
      <c r="D583" s="50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4">
      <c r="A584" s="65" t="inlineStr">
        <is>
          <t>31/01/2014</t>
        </is>
      </c>
      <c r="B584" s="28" t="n">
        <v>2.8187</v>
      </c>
      <c r="C584" s="49" t="n"/>
      <c r="D584" s="50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5">
      <c r="A585" s="65" t="inlineStr">
        <is>
          <t>07/02/2014</t>
        </is>
      </c>
      <c r="B585" s="28" t="n">
        <v>2.8875</v>
      </c>
      <c r="C585" s="49" t="n"/>
      <c r="D585" s="50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6">
      <c r="A586" s="65" t="inlineStr">
        <is>
          <t>14/02/2014</t>
        </is>
      </c>
      <c r="B586" s="28" t="n">
        <v>3.0141</v>
      </c>
      <c r="C586" s="49" t="n"/>
      <c r="D586" s="50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7">
      <c r="A587" s="65" t="inlineStr">
        <is>
          <t>21/02/2014</t>
        </is>
      </c>
      <c r="B587" s="28" t="n">
        <v>3.089</v>
      </c>
      <c r="C587" s="49" t="n"/>
      <c r="D587" s="50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8">
      <c r="A588" s="65" t="inlineStr">
        <is>
          <t>28/02/2014</t>
        </is>
      </c>
      <c r="B588" s="28" t="n">
        <v>3.1401</v>
      </c>
      <c r="C588" s="49" t="n"/>
      <c r="D588" s="50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89">
      <c r="A589" s="65" t="inlineStr">
        <is>
          <t>07/03/2014</t>
        </is>
      </c>
      <c r="B589" s="28" t="n">
        <v>3.0855</v>
      </c>
      <c r="C589" s="49" t="n"/>
      <c r="D589" s="50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0">
      <c r="A590" s="65" t="inlineStr">
        <is>
          <t>14/03/2014</t>
        </is>
      </c>
      <c r="B590" s="28" t="n">
        <v>3.072</v>
      </c>
      <c r="C590" s="49" t="n"/>
      <c r="D590" s="50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1">
      <c r="A591" s="65" t="inlineStr">
        <is>
          <t>21/03/2014</t>
        </is>
      </c>
      <c r="B591" s="28" t="n">
        <v>3.0583</v>
      </c>
      <c r="C591" s="49" t="n"/>
      <c r="D591" s="50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2">
      <c r="A592" s="65" t="inlineStr">
        <is>
          <t>28/03/2014</t>
        </is>
      </c>
      <c r="B592" s="28" t="n">
        <v>2.981</v>
      </c>
      <c r="C592" s="49" t="n"/>
      <c r="D592" s="50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3">
      <c r="A593" s="65" t="inlineStr">
        <is>
          <t>04/04/2014</t>
        </is>
      </c>
      <c r="B593" s="28" t="n">
        <v>2.778</v>
      </c>
      <c r="C593" s="49" t="n"/>
      <c r="D593" s="50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4">
      <c r="A594" s="65" t="inlineStr">
        <is>
          <t>11/04/2014</t>
        </is>
      </c>
      <c r="B594" s="28" t="n">
        <v>2.7842</v>
      </c>
      <c r="C594" s="49" t="n"/>
      <c r="D594" s="50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5">
      <c r="A595" s="65" t="inlineStr">
        <is>
          <t>17/04/2014</t>
        </is>
      </c>
      <c r="B595" s="28" t="n">
        <v>3.0244</v>
      </c>
      <c r="C595" s="49" t="n"/>
      <c r="D595" s="50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6">
      <c r="A596" s="65" t="inlineStr">
        <is>
          <t>25/04/2014</t>
        </is>
      </c>
      <c r="B596" s="28" t="n">
        <v>2.8891</v>
      </c>
      <c r="C596" s="49" t="n"/>
      <c r="D596" s="50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7">
      <c r="A597" s="65" t="inlineStr">
        <is>
          <t>02/05/2014</t>
        </is>
      </c>
      <c r="B597" s="28" t="n">
        <v>2.6816</v>
      </c>
      <c r="C597" s="49" t="n"/>
      <c r="D597" s="50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8">
      <c r="A598" s="65" t="inlineStr">
        <is>
          <t>09/05/2014</t>
        </is>
      </c>
      <c r="B598" s="28" t="n">
        <v>2.5329</v>
      </c>
      <c r="C598" s="49" t="n"/>
      <c r="D598" s="50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599">
      <c r="A599" s="65" t="inlineStr">
        <is>
          <t>16/05/2014</t>
        </is>
      </c>
      <c r="B599" s="28" t="n">
        <v>2.5427</v>
      </c>
      <c r="C599" s="49" t="n"/>
      <c r="D599" s="50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0">
      <c r="A600" s="65" t="inlineStr">
        <is>
          <t>23/05/2014</t>
        </is>
      </c>
      <c r="B600" s="28" t="n">
        <v>2.5647</v>
      </c>
      <c r="C600" s="49" t="n"/>
      <c r="D600" s="50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1">
      <c r="A601" s="65" t="inlineStr">
        <is>
          <t>30/05/2014</t>
        </is>
      </c>
      <c r="B601" s="28" t="n">
        <v>2.5474</v>
      </c>
      <c r="C601" s="49" t="n"/>
      <c r="D601" s="50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2">
      <c r="A602" s="65" t="inlineStr">
        <is>
          <t>06/06/2014</t>
        </is>
      </c>
      <c r="B602" s="28" t="n">
        <v>2.5947</v>
      </c>
      <c r="C602" s="49" t="n"/>
      <c r="D602" s="50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3">
      <c r="A603" s="65" t="inlineStr">
        <is>
          <t>13/06/2014</t>
        </is>
      </c>
      <c r="B603" s="28" t="n">
        <v>2.613</v>
      </c>
      <c r="C603" s="49" t="n"/>
      <c r="D603" s="50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4">
      <c r="A604" s="65" t="inlineStr">
        <is>
          <t>20/06/2014</t>
        </is>
      </c>
      <c r="B604" s="28" t="n">
        <v>2.6259</v>
      </c>
      <c r="C604" s="49" t="n"/>
      <c r="D604" s="50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5">
      <c r="A605" s="65" t="inlineStr">
        <is>
          <t>27/06/2014</t>
        </is>
      </c>
      <c r="B605" s="28" t="n">
        <v>2.6334</v>
      </c>
      <c r="C605" s="49" t="n"/>
      <c r="D605" s="50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6">
      <c r="A606" s="65" t="inlineStr">
        <is>
          <t>04/07/2014</t>
        </is>
      </c>
      <c r="B606" s="28" t="n">
        <v>2.6771</v>
      </c>
      <c r="C606" s="49" t="n"/>
      <c r="D606" s="50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7">
      <c r="A607" s="65" t="inlineStr">
        <is>
          <t>11/07/2014</t>
        </is>
      </c>
      <c r="B607" s="28" t="n">
        <v>2.687</v>
      </c>
      <c r="C607" s="49" t="n"/>
      <c r="D607" s="50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8">
      <c r="A608" s="65" t="inlineStr">
        <is>
          <t>18/07/2014</t>
        </is>
      </c>
      <c r="B608" s="28" t="n">
        <v>2.6727</v>
      </c>
      <c r="C608" s="49" t="n"/>
      <c r="D608" s="50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09">
      <c r="A609" s="65" t="inlineStr">
        <is>
          <t>25/07/2014</t>
        </is>
      </c>
      <c r="B609" s="28" t="n">
        <v>2.6072</v>
      </c>
      <c r="C609" s="49" t="n"/>
      <c r="D609" s="50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0">
      <c r="A610" s="65" t="inlineStr">
        <is>
          <t>01/08/2014</t>
        </is>
      </c>
      <c r="B610" s="28" t="n">
        <v>2.6099</v>
      </c>
      <c r="C610" s="49" t="n"/>
      <c r="D610" s="50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1">
      <c r="A611" s="65" t="inlineStr">
        <is>
          <t>08/08/2014</t>
        </is>
      </c>
      <c r="B611" s="28" t="n">
        <v>2.6114</v>
      </c>
      <c r="C611" s="49" t="n"/>
      <c r="D611" s="50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2">
      <c r="A612" s="65" t="inlineStr">
        <is>
          <t>15/08/2014</t>
        </is>
      </c>
      <c r="B612" s="28" t="n">
        <v>2.5997</v>
      </c>
      <c r="C612" s="49" t="n"/>
      <c r="D612" s="50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3">
      <c r="A613" s="65" t="inlineStr">
        <is>
          <t>22/08/2014</t>
        </is>
      </c>
      <c r="B613" s="28" t="n">
        <v>2.6355</v>
      </c>
      <c r="C613" s="49" t="n"/>
      <c r="D613" s="50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4">
      <c r="A614" s="65" t="inlineStr">
        <is>
          <t>29/08/2014</t>
        </is>
      </c>
      <c r="B614" s="28" t="n">
        <v>2.673</v>
      </c>
      <c r="C614" s="49" t="n"/>
      <c r="D614" s="50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5">
      <c r="A615" s="65" t="inlineStr">
        <is>
          <t>05/09/2014</t>
        </is>
      </c>
      <c r="B615" s="28" t="n">
        <v>2.6655</v>
      </c>
      <c r="C615" s="49" t="n"/>
      <c r="D615" s="50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6">
      <c r="A616" s="65" t="inlineStr">
        <is>
          <t>12/09/2014</t>
        </is>
      </c>
      <c r="B616" s="28" t="n">
        <v>2.6426</v>
      </c>
      <c r="C616" s="49" t="n"/>
      <c r="D616" s="50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7">
      <c r="A617" s="65" t="inlineStr">
        <is>
          <t>19/09/2014</t>
        </is>
      </c>
      <c r="B617" s="28" t="n">
        <v>2.6019</v>
      </c>
      <c r="C617" s="49" t="n"/>
      <c r="D617" s="50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8">
      <c r="A618" s="65" t="inlineStr">
        <is>
          <t>26/09/2014</t>
        </is>
      </c>
      <c r="B618" s="28" t="n">
        <v>2.5285</v>
      </c>
      <c r="C618" s="49" t="n"/>
      <c r="D618" s="50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19">
      <c r="A619" s="65" t="inlineStr">
        <is>
          <t>03/10/2014</t>
        </is>
      </c>
      <c r="B619" s="28" t="n">
        <v>2.4727</v>
      </c>
      <c r="C619" s="49" t="n"/>
      <c r="D619" s="50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0">
      <c r="A620" s="65" t="inlineStr">
        <is>
          <t>10/10/2014</t>
        </is>
      </c>
      <c r="B620" s="28" t="n">
        <v>2.4591</v>
      </c>
      <c r="C620" s="49" t="n"/>
      <c r="D620" s="50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1">
      <c r="A621" s="65" t="inlineStr">
        <is>
          <t>17/10/2014</t>
        </is>
      </c>
      <c r="B621" s="28" t="n">
        <v>2.4688</v>
      </c>
      <c r="C621" s="49" t="n"/>
      <c r="D621" s="50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2">
      <c r="A622" s="65" t="inlineStr">
        <is>
          <t>24/10/2014</t>
        </is>
      </c>
      <c r="B622" s="28" t="n">
        <v>2.4509</v>
      </c>
      <c r="C622" s="49" t="n"/>
      <c r="D622" s="50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3">
      <c r="A623" s="65" t="inlineStr">
        <is>
          <t>31/10/2014</t>
        </is>
      </c>
      <c r="B623" s="28" t="n">
        <v>2.4403</v>
      </c>
      <c r="C623" s="49" t="n"/>
      <c r="D623" s="50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4">
      <c r="A624" s="65" t="inlineStr">
        <is>
          <t>07/11/2014</t>
        </is>
      </c>
      <c r="B624" s="28" t="n">
        <v>2.5333</v>
      </c>
      <c r="C624" s="49" t="n"/>
      <c r="D624" s="50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5">
      <c r="A625" s="65" t="inlineStr">
        <is>
          <t>14/11/2014</t>
        </is>
      </c>
      <c r="B625" s="28" t="n">
        <v>2.6133</v>
      </c>
      <c r="C625" s="49" t="n"/>
      <c r="D625" s="50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6">
      <c r="A626" s="65" t="inlineStr">
        <is>
          <t>21/11/2014</t>
        </is>
      </c>
      <c r="B626" s="28" t="n">
        <v>2.6178</v>
      </c>
      <c r="C626" s="49" t="n"/>
      <c r="D626" s="50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7">
      <c r="A627" s="65" t="inlineStr">
        <is>
          <t>28/11/2014</t>
        </is>
      </c>
      <c r="B627" s="28" t="n">
        <v>2.6338</v>
      </c>
      <c r="C627" s="49" t="n"/>
      <c r="D627" s="50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8">
      <c r="A628" s="65" t="inlineStr">
        <is>
          <t>05/12/2014</t>
        </is>
      </c>
      <c r="B628" s="28" t="n">
        <v>2.6845</v>
      </c>
      <c r="C628" s="49" t="n"/>
      <c r="D628" s="50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29">
      <c r="A629" s="65" t="inlineStr">
        <is>
          <t>12/12/2014</t>
        </is>
      </c>
      <c r="B629" s="28" t="n">
        <v>2.6881</v>
      </c>
      <c r="C629" s="49" t="n"/>
      <c r="D629" s="50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0">
      <c r="A630" s="65" t="inlineStr">
        <is>
          <t>19/12/2014</t>
        </is>
      </c>
      <c r="B630" s="28" t="n">
        <v>2.6883</v>
      </c>
      <c r="C630" s="49" t="n"/>
      <c r="D630" s="50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1">
      <c r="A631" s="65" t="inlineStr">
        <is>
          <t>26/12/2014</t>
        </is>
      </c>
      <c r="B631" s="28" t="n">
        <v>2.7174</v>
      </c>
      <c r="C631" s="49" t="n"/>
      <c r="D631" s="50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2">
      <c r="A632" s="65" t="inlineStr">
        <is>
          <t>02/01/2015</t>
        </is>
      </c>
      <c r="B632" s="28" t="n">
        <v>2.6992</v>
      </c>
      <c r="C632" s="49" t="n"/>
      <c r="D632" s="50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3">
      <c r="A633" s="65" t="inlineStr">
        <is>
          <t>09/01/2015</t>
        </is>
      </c>
      <c r="B633" s="28" t="n">
        <v>2.7036</v>
      </c>
      <c r="C633" s="49" t="n"/>
      <c r="D633" s="50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4">
      <c r="A634" s="65" t="inlineStr">
        <is>
          <t>16/01/2015</t>
        </is>
      </c>
      <c r="B634" s="28" t="n">
        <v>2.7013</v>
      </c>
      <c r="C634" s="49" t="n"/>
      <c r="D634" s="50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5">
      <c r="A635" s="65" t="inlineStr">
        <is>
          <t>23/01/2015</t>
        </is>
      </c>
      <c r="B635" s="28" t="n">
        <v>2.8693</v>
      </c>
      <c r="C635" s="49" t="n"/>
      <c r="D635" s="50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6">
      <c r="A636" s="65" t="inlineStr">
        <is>
          <t>30/01/2015</t>
        </is>
      </c>
      <c r="B636" s="28" t="n">
        <v>2.9244</v>
      </c>
      <c r="C636" s="49" t="n"/>
      <c r="D636" s="50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7">
      <c r="A637" s="65" t="inlineStr">
        <is>
          <t>06/02/2015</t>
        </is>
      </c>
      <c r="B637" s="28" t="n">
        <v>2.9749</v>
      </c>
      <c r="C637" s="49" t="n"/>
      <c r="D637" s="50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8">
      <c r="A638" s="65" t="inlineStr">
        <is>
          <t>13/02/2015</t>
        </is>
      </c>
      <c r="B638" s="28" t="n">
        <v>2.9276</v>
      </c>
      <c r="C638" s="49" t="n"/>
      <c r="D638" s="50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39">
      <c r="A639" s="65" t="inlineStr">
        <is>
          <t>20/02/2015</t>
        </is>
      </c>
      <c r="B639" s="28" t="n">
        <v>2.9131</v>
      </c>
      <c r="C639" s="49" t="n"/>
      <c r="D639" s="50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0">
      <c r="A640" s="65" t="inlineStr">
        <is>
          <t>27/02/2015</t>
        </is>
      </c>
      <c r="B640" s="28" t="n">
        <v>2.7697</v>
      </c>
      <c r="C640" s="49" t="n"/>
      <c r="D640" s="50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1">
      <c r="A641" s="65" t="inlineStr">
        <is>
          <t>06/03/2015</t>
        </is>
      </c>
      <c r="B641" s="28" t="n">
        <v>2.6706</v>
      </c>
      <c r="C641" s="49" t="n"/>
      <c r="D641" s="50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2">
      <c r="A642" s="65" t="inlineStr">
        <is>
          <t>13/03/2015</t>
        </is>
      </c>
      <c r="B642" s="28" t="n">
        <v>2.6535</v>
      </c>
      <c r="C642" s="49" t="n"/>
      <c r="D642" s="50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3">
      <c r="A643" s="65" t="inlineStr">
        <is>
          <t>20/03/2015</t>
        </is>
      </c>
      <c r="B643" s="28" t="n">
        <v>2.5382</v>
      </c>
      <c r="C643" s="49" t="n"/>
      <c r="D643" s="50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4">
      <c r="A644" s="65" t="inlineStr">
        <is>
          <t>27/03/2015</t>
        </is>
      </c>
      <c r="B644" s="28" t="n">
        <v>2.6406</v>
      </c>
      <c r="C644" s="49" t="n"/>
      <c r="D644" s="50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5">
      <c r="A645" s="65" t="inlineStr">
        <is>
          <t>02/04/2015</t>
        </is>
      </c>
      <c r="B645" s="28" t="n">
        <v>2.5907</v>
      </c>
      <c r="C645" s="49" t="n"/>
      <c r="D645" s="50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6">
      <c r="A646" s="65" t="inlineStr">
        <is>
          <t>10/04/2015</t>
        </is>
      </c>
      <c r="B646" s="28" t="n">
        <v>2.5864</v>
      </c>
      <c r="C646" s="49" t="n"/>
      <c r="D646" s="50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7">
      <c r="A647" s="65" t="inlineStr">
        <is>
          <t>17/04/2015</t>
        </is>
      </c>
      <c r="B647" s="28" t="n">
        <v>2.599</v>
      </c>
      <c r="C647" s="49" t="n"/>
      <c r="D647" s="50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8">
      <c r="A648" s="65" t="inlineStr">
        <is>
          <t>24/04/2015</t>
        </is>
      </c>
      <c r="B648" s="28" t="n">
        <v>2.6144</v>
      </c>
      <c r="C648" s="49" t="n"/>
      <c r="D648" s="50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49">
      <c r="A649" s="65" t="inlineStr">
        <is>
          <t>30/04/2015</t>
        </is>
      </c>
      <c r="B649" s="28" t="n">
        <v>2.5959</v>
      </c>
      <c r="C649" s="49" t="n"/>
      <c r="D649" s="50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0">
      <c r="A650" s="65" t="inlineStr">
        <is>
          <t>08/05/2015</t>
        </is>
      </c>
      <c r="B650" s="28" t="n">
        <v>2.5236</v>
      </c>
      <c r="C650" s="49" t="n"/>
      <c r="D650" s="50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1">
      <c r="A651" s="65" t="inlineStr">
        <is>
          <t>15/05/2015</t>
        </is>
      </c>
      <c r="B651" s="28" t="n">
        <v>2.5273</v>
      </c>
      <c r="C651" s="49" t="n"/>
      <c r="D651" s="50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2">
      <c r="A652" s="65" t="inlineStr">
        <is>
          <t>22/05/2015</t>
        </is>
      </c>
      <c r="B652" s="28" t="n">
        <v>2.5066</v>
      </c>
      <c r="C652" s="49" t="n"/>
      <c r="D652" s="50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3">
      <c r="A653" s="65" t="inlineStr">
        <is>
          <t>29/05/2015</t>
        </is>
      </c>
      <c r="B653" s="28" t="n">
        <v>2.4726</v>
      </c>
      <c r="C653" s="49" t="n"/>
      <c r="D653" s="50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4">
      <c r="A654" s="65" t="inlineStr">
        <is>
          <t>05/06/2015</t>
        </is>
      </c>
      <c r="B654" s="28" t="n">
        <v>2.5233</v>
      </c>
      <c r="C654" s="49" t="n"/>
      <c r="D654" s="50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5">
      <c r="A655" s="65" t="inlineStr">
        <is>
          <t>12/06/2015</t>
        </is>
      </c>
      <c r="B655" s="28" t="n">
        <v>2.4962</v>
      </c>
      <c r="C655" s="49" t="n"/>
      <c r="D655" s="50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6">
      <c r="A656" s="65" t="inlineStr">
        <is>
          <t>19/06/2015</t>
        </is>
      </c>
      <c r="B656" s="28" t="n">
        <v>2.4834</v>
      </c>
      <c r="C656" s="49" t="n"/>
      <c r="D656" s="50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7">
      <c r="A657" s="65" t="inlineStr">
        <is>
          <t>26/06/2015</t>
        </is>
      </c>
      <c r="B657" s="28" t="n">
        <v>2.4203</v>
      </c>
      <c r="C657" s="49" t="n"/>
      <c r="D657" s="50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8">
      <c r="A658" s="65" t="inlineStr">
        <is>
          <t>03/07/2015</t>
        </is>
      </c>
      <c r="B658" s="28" t="n">
        <v>2.3895</v>
      </c>
      <c r="C658" s="49" t="n"/>
      <c r="D658" s="50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59">
      <c r="A659" s="65" t="inlineStr">
        <is>
          <t>10/07/2015</t>
        </is>
      </c>
      <c r="B659" s="28" t="n">
        <v>2.4854</v>
      </c>
      <c r="C659" s="49" t="n"/>
      <c r="D659" s="50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0">
      <c r="A660" s="65" t="inlineStr">
        <is>
          <t>17/07/2015</t>
        </is>
      </c>
      <c r="B660" s="28" t="n">
        <v>2.4496</v>
      </c>
      <c r="C660" s="49" t="n"/>
      <c r="D660" s="50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1">
      <c r="A661" s="65" t="inlineStr">
        <is>
          <t>24/07/2015</t>
        </is>
      </c>
      <c r="B661" s="28" t="n">
        <v>2.4114</v>
      </c>
      <c r="C661" s="49" t="n"/>
      <c r="D661" s="50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2">
      <c r="A662" s="65" t="inlineStr">
        <is>
          <t>31/07/2015</t>
        </is>
      </c>
      <c r="B662" s="28" t="n">
        <v>2.3845</v>
      </c>
      <c r="C662" s="49" t="n"/>
      <c r="D662" s="50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3">
      <c r="A663" s="65" t="inlineStr">
        <is>
          <t>07/08/2015</t>
        </is>
      </c>
      <c r="B663" s="28" t="n">
        <v>2.3788</v>
      </c>
      <c r="C663" s="49" t="n"/>
      <c r="D663" s="50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4">
      <c r="A664" s="65" t="inlineStr">
        <is>
          <t>14/08/2015</t>
        </is>
      </c>
      <c r="B664" s="28" t="n">
        <v>2.3692</v>
      </c>
      <c r="C664" s="49" t="n"/>
      <c r="D664" s="50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5">
      <c r="A665" s="65" t="inlineStr">
        <is>
          <t>21/08/2015</t>
        </is>
      </c>
      <c r="B665" s="28" t="n">
        <v>2.3474</v>
      </c>
      <c r="C665" s="49" t="n"/>
      <c r="D665" s="50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6">
      <c r="A666" s="65" t="inlineStr">
        <is>
          <t>28/08/2015</t>
        </is>
      </c>
      <c r="B666" s="28" t="n">
        <v>2.373</v>
      </c>
      <c r="C666" s="49" t="n"/>
      <c r="D666" s="50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7">
      <c r="A667" s="65" t="inlineStr">
        <is>
          <t>04/09/2015</t>
        </is>
      </c>
      <c r="B667" s="28" t="n">
        <v>2.3754</v>
      </c>
      <c r="C667" s="49" t="n"/>
      <c r="D667" s="50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8">
      <c r="A668" s="65" t="inlineStr">
        <is>
          <t>11/09/2015</t>
        </is>
      </c>
      <c r="B668" s="28" t="n">
        <v>2.5116</v>
      </c>
      <c r="C668" s="49" t="n"/>
      <c r="D668" s="50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69">
      <c r="A669" s="65" t="inlineStr">
        <is>
          <t>18/09/2015</t>
        </is>
      </c>
      <c r="B669" s="28" t="n">
        <v>2.5947</v>
      </c>
      <c r="C669" s="49" t="n"/>
      <c r="D669" s="50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0">
      <c r="A670" s="65" t="inlineStr">
        <is>
          <t>25/09/2015</t>
        </is>
      </c>
      <c r="B670" s="28" t="n">
        <v>2.5967</v>
      </c>
      <c r="C670" s="49" t="n"/>
      <c r="D670" s="50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1">
      <c r="A671" s="65" t="inlineStr">
        <is>
          <t>02/10/2015</t>
        </is>
      </c>
      <c r="B671" s="28" t="n">
        <v>2.862</v>
      </c>
      <c r="C671" s="49" t="n"/>
      <c r="D671" s="50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2">
      <c r="A672" s="65" t="inlineStr">
        <is>
          <t>09/10/2015</t>
        </is>
      </c>
      <c r="B672" s="28" t="n">
        <v>2.9816</v>
      </c>
      <c r="C672" s="49" t="n"/>
      <c r="D672" s="50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3">
      <c r="A673" s="65" t="inlineStr">
        <is>
          <t>16/10/2015</t>
        </is>
      </c>
      <c r="B673" s="28" t="n">
        <v>2.9981</v>
      </c>
      <c r="C673" s="49" t="n"/>
      <c r="D673" s="50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4">
      <c r="A674" s="65" t="inlineStr">
        <is>
          <t>23/10/2015</t>
        </is>
      </c>
      <c r="B674" s="28" t="n">
        <v>3.0288</v>
      </c>
      <c r="C674" s="49" t="n"/>
      <c r="D674" s="50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5">
      <c r="A675" s="65" t="inlineStr">
        <is>
          <t>30/10/2015</t>
        </is>
      </c>
      <c r="B675" s="28" t="n">
        <v>3.1723</v>
      </c>
      <c r="C675" s="49" t="n"/>
      <c r="D675" s="50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6">
      <c r="A676" s="65" t="inlineStr">
        <is>
          <t>06/11/2015</t>
        </is>
      </c>
      <c r="B676" s="28" t="n">
        <v>3.2893</v>
      </c>
      <c r="C676" s="49" t="n"/>
      <c r="D676" s="50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7">
      <c r="A677" s="65" t="inlineStr">
        <is>
          <t>13/11/2015</t>
        </is>
      </c>
      <c r="B677" s="28" t="n">
        <v>3.3643</v>
      </c>
      <c r="C677" s="49" t="n"/>
      <c r="D677" s="50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8">
      <c r="A678" s="65" t="inlineStr">
        <is>
          <t>20/11/2015</t>
        </is>
      </c>
      <c r="B678" s="28" t="n">
        <v>3.343</v>
      </c>
      <c r="C678" s="49" t="n"/>
      <c r="D678" s="50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79">
      <c r="A679" s="65" t="inlineStr">
        <is>
          <t>27/11/2015</t>
        </is>
      </c>
      <c r="B679" s="28" t="n">
        <v>3.3195</v>
      </c>
      <c r="C679" s="49" t="n"/>
      <c r="D679" s="50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0">
      <c r="A680" s="65" t="inlineStr">
        <is>
          <t>04/12/2015</t>
        </is>
      </c>
      <c r="B680" s="28" t="n">
        <v>3.2614</v>
      </c>
      <c r="C680" s="49" t="n"/>
      <c r="D680" s="50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1">
      <c r="A681" s="65" t="inlineStr">
        <is>
          <t>11/12/2015</t>
        </is>
      </c>
      <c r="B681" s="28" t="n">
        <v>3.267</v>
      </c>
      <c r="C681" s="49" t="n"/>
      <c r="D681" s="50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2">
      <c r="A682" s="65" t="inlineStr">
        <is>
          <t>18/12/2015</t>
        </is>
      </c>
      <c r="B682" s="28" t="n">
        <v>3.2912</v>
      </c>
      <c r="C682" s="49" t="n"/>
      <c r="D682" s="50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3">
      <c r="A683" s="65" t="inlineStr">
        <is>
          <t>23/12/2015</t>
        </is>
      </c>
      <c r="B683" s="28" t="n">
        <v>3.2725</v>
      </c>
      <c r="C683" s="49" t="n"/>
      <c r="D683" s="50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4">
      <c r="A684" s="65" t="inlineStr">
        <is>
          <t>30/12/2015</t>
        </is>
      </c>
      <c r="B684" s="28" t="n">
        <v>3.3162</v>
      </c>
      <c r="C684" s="49" t="n"/>
      <c r="D684" s="50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5">
      <c r="A685" s="65" t="inlineStr">
        <is>
          <t>08/01/2016</t>
        </is>
      </c>
      <c r="B685" s="28" t="n">
        <v>3.395</v>
      </c>
      <c r="C685" s="49" t="n"/>
      <c r="D685" s="50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6">
      <c r="A686" s="65" t="inlineStr">
        <is>
          <t>15/01/2016</t>
        </is>
      </c>
      <c r="B686" s="28" t="n">
        <v>3.5351</v>
      </c>
      <c r="C686" s="49" t="n"/>
      <c r="D686" s="50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7">
      <c r="A687" s="65" t="inlineStr">
        <is>
          <t>22/01/2016</t>
        </is>
      </c>
      <c r="B687" s="28" t="n">
        <v>3.5088</v>
      </c>
      <c r="C687" s="49" t="n"/>
      <c r="D687" s="50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8">
      <c r="A688" s="65" t="inlineStr">
        <is>
          <t>29/01/2016</t>
        </is>
      </c>
      <c r="B688" s="28" t="n">
        <v>3.5246</v>
      </c>
      <c r="C688" s="49" t="n"/>
      <c r="D688" s="50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89">
      <c r="A689" s="65" t="inlineStr">
        <is>
          <t>05/02/2016</t>
        </is>
      </c>
      <c r="B689" s="28" t="n">
        <v>3.5491</v>
      </c>
      <c r="C689" s="49" t="n"/>
      <c r="D689" s="50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0">
      <c r="A690" s="65" t="inlineStr">
        <is>
          <t>12/02/2016</t>
        </is>
      </c>
      <c r="B690" s="28" t="n">
        <v>3.5698</v>
      </c>
      <c r="C690" s="49" t="n"/>
      <c r="D690" s="50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1">
      <c r="A691" s="65" t="inlineStr">
        <is>
          <t>19/02/2016</t>
        </is>
      </c>
      <c r="B691" s="28" t="n">
        <v>3.6063</v>
      </c>
      <c r="C691" s="49" t="n"/>
      <c r="D691" s="50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2">
      <c r="A692" s="65" t="inlineStr">
        <is>
          <t>26/02/2016</t>
        </is>
      </c>
      <c r="B692" s="28" t="n">
        <v>3.6358</v>
      </c>
      <c r="C692" s="49" t="n"/>
      <c r="D692" s="50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3">
      <c r="A693" s="65" t="inlineStr">
        <is>
          <t>04/03/2016</t>
        </is>
      </c>
      <c r="B693" s="28" t="n">
        <v>3.6436</v>
      </c>
      <c r="C693" s="49" t="n"/>
      <c r="D693" s="50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4">
      <c r="A694" s="65" t="inlineStr">
        <is>
          <t>11/03/2016</t>
        </is>
      </c>
      <c r="B694" s="28" t="n">
        <v>3.6442</v>
      </c>
      <c r="C694" s="49" t="n"/>
      <c r="D694" s="50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5">
      <c r="A695" s="65" t="inlineStr">
        <is>
          <t>18/03/2016</t>
        </is>
      </c>
      <c r="B695" s="28" t="n">
        <v>3.6073</v>
      </c>
      <c r="C695" s="49" t="n"/>
      <c r="D695" s="50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6">
      <c r="A696" s="65" t="inlineStr">
        <is>
          <t>24/03/2016</t>
        </is>
      </c>
      <c r="B696" s="28" t="n">
        <v>3.4382</v>
      </c>
      <c r="C696" s="49" t="n"/>
      <c r="D696" s="50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7">
      <c r="A697" s="65" t="inlineStr">
        <is>
          <t>01/04/2016</t>
        </is>
      </c>
      <c r="B697" s="28" t="n">
        <v>3.0787</v>
      </c>
      <c r="C697" s="49" t="n"/>
      <c r="D697" s="50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8">
      <c r="A698" s="65" t="inlineStr">
        <is>
          <t>08/04/2016</t>
        </is>
      </c>
      <c r="B698" s="28" t="n">
        <v>2.6652</v>
      </c>
      <c r="C698" s="49" t="n"/>
      <c r="D698" s="50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699">
      <c r="A699" s="65" t="inlineStr">
        <is>
          <t>15/04/2016</t>
        </is>
      </c>
      <c r="B699" s="28" t="n">
        <v>2.5465</v>
      </c>
      <c r="C699" s="49" t="n"/>
      <c r="D699" s="50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0">
      <c r="A700" s="65" t="inlineStr">
        <is>
          <t>22/04/2016</t>
        </is>
      </c>
      <c r="B700" s="28" t="n">
        <v>2.5529</v>
      </c>
      <c r="C700" s="49" t="n"/>
      <c r="D700" s="50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1">
      <c r="A701" s="65" t="inlineStr">
        <is>
          <t>29/04/2016</t>
        </is>
      </c>
      <c r="B701" s="28" t="n">
        <v>2.5021</v>
      </c>
      <c r="C701" s="49" t="n"/>
      <c r="D701" s="50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2">
      <c r="A702" s="65" t="inlineStr">
        <is>
          <t>06/05/2016</t>
        </is>
      </c>
      <c r="B702" s="28" t="n">
        <v>2.4664</v>
      </c>
      <c r="C702" s="49" t="n"/>
      <c r="D702" s="50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3">
      <c r="A703" s="65" t="inlineStr">
        <is>
          <t>13/05/2016</t>
        </is>
      </c>
      <c r="B703" s="28" t="n">
        <v>2.536</v>
      </c>
      <c r="C703" s="49" t="n"/>
      <c r="D703" s="50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4">
      <c r="A704" s="65" t="inlineStr">
        <is>
          <t>20/05/2016</t>
        </is>
      </c>
      <c r="B704" s="28" t="n">
        <v>2.605</v>
      </c>
      <c r="C704" s="49" t="n"/>
      <c r="D704" s="50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5">
      <c r="A705" s="65" t="inlineStr">
        <is>
          <t>27/05/2016</t>
        </is>
      </c>
      <c r="B705" s="28" t="n">
        <v>2.7254</v>
      </c>
      <c r="C705" s="49" t="n"/>
      <c r="D705" s="50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6">
      <c r="A706" s="65" t="inlineStr">
        <is>
          <t>03/06/2016</t>
        </is>
      </c>
      <c r="B706" s="28" t="n">
        <v>2.7819</v>
      </c>
      <c r="C706" s="49" t="n"/>
      <c r="D706" s="50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7">
      <c r="A707" s="65" t="inlineStr">
        <is>
          <t>10/06/2016</t>
        </is>
      </c>
      <c r="B707" s="28" t="n">
        <v>2.7857</v>
      </c>
      <c r="C707" s="49" t="n"/>
      <c r="D707" s="50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8">
      <c r="A708" s="65" t="inlineStr">
        <is>
          <t>17/06/2016</t>
        </is>
      </c>
      <c r="B708" s="28" t="n">
        <v>2.6747</v>
      </c>
      <c r="C708" s="49" t="n"/>
      <c r="D708" s="50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09">
      <c r="A709" s="65" t="inlineStr">
        <is>
          <t>24/06/2016</t>
        </is>
      </c>
      <c r="B709" s="28" t="n">
        <v>2.6368</v>
      </c>
      <c r="C709" s="49" t="n"/>
      <c r="D709" s="50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0">
      <c r="A710" s="65" t="inlineStr">
        <is>
          <t>01/07/2016</t>
        </is>
      </c>
      <c r="B710" s="28" t="n">
        <v>2.6224</v>
      </c>
      <c r="C710" s="49" t="n"/>
      <c r="D710" s="50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1">
      <c r="A711" s="65" t="inlineStr">
        <is>
          <t>08/07/2016</t>
        </is>
      </c>
      <c r="B711" s="28" t="n">
        <v>2.6127</v>
      </c>
      <c r="C711" s="49" t="n"/>
      <c r="D711" s="50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2">
      <c r="A712" s="65" t="inlineStr">
        <is>
          <t>15/07/2016</t>
        </is>
      </c>
      <c r="B712" s="28" t="n">
        <v>2.6554</v>
      </c>
      <c r="C712" s="49" t="n"/>
      <c r="D712" s="50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3">
      <c r="A713" s="65" t="inlineStr">
        <is>
          <t>22/07/2016</t>
        </is>
      </c>
      <c r="B713" s="28" t="n">
        <v>2.7871</v>
      </c>
      <c r="C713" s="49" t="n"/>
      <c r="D713" s="50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4">
      <c r="A714" s="65" t="inlineStr">
        <is>
          <t>29/07/2016</t>
        </is>
      </c>
      <c r="B714" s="28" t="n">
        <v>2.8227</v>
      </c>
      <c r="C714" s="49" t="n"/>
      <c r="D714" s="50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5">
      <c r="A715" s="65" t="inlineStr">
        <is>
          <t>05/08/2016</t>
        </is>
      </c>
      <c r="B715" s="28" t="n">
        <v>2.8422</v>
      </c>
      <c r="C715" s="49" t="n"/>
      <c r="D715" s="50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6">
      <c r="A716" s="65" t="inlineStr">
        <is>
          <t>12/08/2016</t>
        </is>
      </c>
      <c r="B716" s="28" t="n">
        <v>2.8368</v>
      </c>
      <c r="C716" s="49" t="n"/>
      <c r="D716" s="50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7">
      <c r="A717" s="65" t="inlineStr">
        <is>
          <t>19/08/2016</t>
        </is>
      </c>
      <c r="B717" s="28" t="n">
        <v>2.8147</v>
      </c>
      <c r="C717" s="49" t="n"/>
      <c r="D717" s="50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8">
      <c r="A718" s="65" t="inlineStr">
        <is>
          <t>26/08/2016</t>
        </is>
      </c>
      <c r="B718" s="28" t="n">
        <v>2.7979</v>
      </c>
      <c r="C718" s="49" t="n"/>
      <c r="D718" s="50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19">
      <c r="A719" s="65" t="inlineStr">
        <is>
          <t>02/09/2016</t>
        </is>
      </c>
      <c r="B719" s="28" t="n">
        <v>2.8169</v>
      </c>
      <c r="C719" s="49" t="n"/>
      <c r="D719" s="50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0">
      <c r="A720" s="65" t="inlineStr">
        <is>
          <t>09/09/2016</t>
        </is>
      </c>
      <c r="B720" s="28" t="n">
        <v>2.8923</v>
      </c>
      <c r="C720" s="49" t="n"/>
      <c r="D720" s="50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1">
      <c r="A721" s="65" t="inlineStr">
        <is>
          <t>16/09/2016</t>
        </is>
      </c>
      <c r="B721" s="28" t="n">
        <v>2.9251</v>
      </c>
      <c r="C721" s="49" t="n"/>
      <c r="D721" s="50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2">
      <c r="A722" s="65" t="inlineStr">
        <is>
          <t>23/09/2016</t>
        </is>
      </c>
      <c r="B722" s="28" t="n">
        <v>3.0516</v>
      </c>
      <c r="C722" s="49" t="n"/>
      <c r="D722" s="50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3">
      <c r="A723" s="65" t="inlineStr">
        <is>
          <t>30/09/2016</t>
        </is>
      </c>
      <c r="B723" s="28" t="n">
        <v>3.1218</v>
      </c>
      <c r="C723" s="49" t="n"/>
      <c r="D723" s="50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4">
      <c r="A724" s="65" t="inlineStr">
        <is>
          <t>07/10/2016</t>
        </is>
      </c>
      <c r="B724" s="28" t="n">
        <v>3.1718</v>
      </c>
      <c r="C724" s="49" t="n"/>
      <c r="D724" s="50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5">
      <c r="A725" s="65" t="inlineStr">
        <is>
          <t>14/10/2016</t>
        </is>
      </c>
      <c r="B725" s="28" t="n">
        <v>3.4044</v>
      </c>
      <c r="C725" s="49" t="n"/>
      <c r="D725" s="50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6">
      <c r="A726" s="65" t="inlineStr">
        <is>
          <t>21/10/2016</t>
        </is>
      </c>
      <c r="B726" s="28" t="n">
        <v>3.4345</v>
      </c>
      <c r="C726" s="49" t="n"/>
      <c r="D726" s="50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7">
      <c r="A727" s="65" t="inlineStr">
        <is>
          <t>28/10/2016</t>
        </is>
      </c>
      <c r="B727" s="28" t="n">
        <v>3.4246</v>
      </c>
      <c r="C727" s="49" t="n"/>
      <c r="D727" s="50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8">
      <c r="A728" s="65" t="inlineStr">
        <is>
          <t>04/11/2016</t>
        </is>
      </c>
      <c r="B728" s="28" t="n">
        <v>3.4175</v>
      </c>
      <c r="C728" s="49" t="n"/>
      <c r="D728" s="50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29">
      <c r="A729" s="65" t="inlineStr">
        <is>
          <t>11/11/2016</t>
        </is>
      </c>
      <c r="B729" s="28" t="n">
        <v>3.3898</v>
      </c>
      <c r="C729" s="49" t="n"/>
      <c r="D729" s="50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0">
      <c r="A730" s="65" t="inlineStr">
        <is>
          <t>18/11/2016</t>
        </is>
      </c>
      <c r="B730" s="28" t="n">
        <v>3.3775</v>
      </c>
      <c r="C730" s="49" t="n"/>
      <c r="D730" s="50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1">
      <c r="A731" s="65" t="inlineStr">
        <is>
          <t>25/11/2016</t>
        </is>
      </c>
      <c r="B731" s="28" t="n">
        <v>3.3052</v>
      </c>
      <c r="C731" s="49" t="n"/>
      <c r="D731" s="50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2">
      <c r="A732" s="65" t="inlineStr">
        <is>
          <t>02/12/2016</t>
        </is>
      </c>
      <c r="B732" s="28" t="n">
        <v>3.2796</v>
      </c>
      <c r="C732" s="49" t="n"/>
      <c r="D732" s="50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3">
      <c r="A733" s="65" t="inlineStr">
        <is>
          <t>09/12/2016</t>
        </is>
      </c>
      <c r="B733" s="28" t="n">
        <v>3.3966</v>
      </c>
      <c r="C733" s="49" t="n"/>
      <c r="D733" s="50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4">
      <c r="A734" s="65" t="inlineStr">
        <is>
          <t>16/12/2016</t>
        </is>
      </c>
      <c r="B734" s="28" t="n">
        <v>3.3759</v>
      </c>
      <c r="C734" s="49" t="n"/>
      <c r="D734" s="50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5">
      <c r="A735" s="65" t="inlineStr">
        <is>
          <t>23/12/2016</t>
        </is>
      </c>
      <c r="B735" s="28" t="n">
        <v>3.3479</v>
      </c>
      <c r="C735" s="49" t="n"/>
      <c r="D735" s="50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6">
      <c r="A736" s="65" t="inlineStr">
        <is>
          <t>29/12/2016</t>
        </is>
      </c>
      <c r="B736" s="28" t="n">
        <v>3.3377</v>
      </c>
      <c r="C736" s="49" t="n"/>
      <c r="D736" s="50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7">
      <c r="A737" s="65" t="inlineStr">
        <is>
          <t>06/01/2017</t>
        </is>
      </c>
      <c r="B737" s="28" t="n">
        <v>3.3077</v>
      </c>
      <c r="C737" s="49" t="n"/>
      <c r="D737" s="50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8">
      <c r="A738" s="65" t="inlineStr">
        <is>
          <t>13/01/2017</t>
        </is>
      </c>
      <c r="B738" s="28" t="n">
        <v>3.2894</v>
      </c>
      <c r="C738" s="49" t="n"/>
      <c r="D738" s="50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39">
      <c r="A739" s="65" t="inlineStr">
        <is>
          <t>20/01/2017</t>
        </is>
      </c>
      <c r="B739" s="28" t="n">
        <v>3.2338</v>
      </c>
      <c r="C739" s="49" t="n"/>
      <c r="D739" s="50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0">
      <c r="A740" s="65" t="inlineStr">
        <is>
          <t>27/01/2017</t>
        </is>
      </c>
      <c r="B740" s="28" t="n">
        <v>3.1652</v>
      </c>
      <c r="C740" s="49" t="n"/>
      <c r="D740" s="50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1">
      <c r="A741" s="65" t="inlineStr">
        <is>
          <t>03/02/2017</t>
        </is>
      </c>
      <c r="B741" s="28" t="n">
        <v>3.0977</v>
      </c>
      <c r="C741" s="49" t="n"/>
      <c r="D741" s="50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2">
      <c r="A742" s="65" t="inlineStr">
        <is>
          <t>10/02/2017</t>
        </is>
      </c>
      <c r="B742" s="28" t="n">
        <v>3.0563</v>
      </c>
      <c r="C742" s="49" t="n"/>
      <c r="D742" s="50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3">
      <c r="A743" s="65" t="inlineStr">
        <is>
          <t>17/02/2017</t>
        </is>
      </c>
      <c r="B743" s="28" t="n">
        <v>2.9653</v>
      </c>
      <c r="C743" s="49" t="n"/>
      <c r="D743" s="50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4">
      <c r="A744" s="65" t="inlineStr">
        <is>
          <t>24/02/2017</t>
        </is>
      </c>
      <c r="B744" s="28" t="n">
        <v>2.8203</v>
      </c>
      <c r="C744" s="49" t="n"/>
      <c r="D744" s="50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5">
      <c r="A745" s="65" t="inlineStr">
        <is>
          <t>03/03/2017</t>
        </is>
      </c>
      <c r="B745" s="28" t="n">
        <v>2.7872</v>
      </c>
      <c r="C745" s="49" t="n"/>
      <c r="D745" s="50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6">
      <c r="A746" s="65" t="inlineStr">
        <is>
          <t>10/03/2017</t>
        </is>
      </c>
      <c r="B746" s="28" t="n">
        <v>2.6876</v>
      </c>
      <c r="C746" s="49" t="n"/>
      <c r="D746" s="50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7">
      <c r="A747" s="65" t="inlineStr">
        <is>
          <t>17/03/2017</t>
        </is>
      </c>
      <c r="B747" s="28" t="n">
        <v>2.7143</v>
      </c>
      <c r="C747" s="49" t="n"/>
      <c r="D747" s="50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8">
      <c r="A748" s="65" t="inlineStr">
        <is>
          <t>24/03/2017</t>
        </is>
      </c>
      <c r="B748" s="28" t="n">
        <v>2.7281</v>
      </c>
      <c r="C748" s="49" t="n"/>
      <c r="D748" s="50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49">
      <c r="A749" s="65" t="inlineStr">
        <is>
          <t>31/03/2017</t>
        </is>
      </c>
      <c r="B749" s="28" t="n">
        <v>2.6413</v>
      </c>
      <c r="C749" s="49" t="n"/>
      <c r="D749" s="50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0">
      <c r="A750" s="65" t="inlineStr">
        <is>
          <t>07/04/2017</t>
        </is>
      </c>
      <c r="B750" s="28" t="n">
        <v>2.5839</v>
      </c>
      <c r="C750" s="49" t="n"/>
      <c r="D750" s="50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1">
      <c r="A751" s="65" t="inlineStr">
        <is>
          <t>13/04/2017</t>
        </is>
      </c>
      <c r="B751" s="28" t="n">
        <v>2.6509</v>
      </c>
      <c r="C751" s="49" t="n"/>
      <c r="D751" s="50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2">
      <c r="A752" s="65" t="inlineStr">
        <is>
          <t>20/04/2017</t>
        </is>
      </c>
      <c r="B752" s="28" t="n">
        <v>2.6948</v>
      </c>
      <c r="C752" s="49" t="n"/>
      <c r="D752" s="50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3">
      <c r="A753" s="65" t="inlineStr">
        <is>
          <t>28/04/2017</t>
        </is>
      </c>
      <c r="B753" s="28" t="n">
        <v>2.6944</v>
      </c>
      <c r="C753" s="49" t="n"/>
      <c r="D753" s="50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4">
      <c r="A754" s="65" t="inlineStr">
        <is>
          <t>05/05/2017</t>
        </is>
      </c>
      <c r="B754" s="28" t="n">
        <v>2.6502</v>
      </c>
      <c r="C754" s="49" t="n"/>
      <c r="D754" s="50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5">
      <c r="A755" s="65" t="inlineStr">
        <is>
          <t>12/05/2017</t>
        </is>
      </c>
      <c r="B755" s="28" t="n">
        <v>2.5777</v>
      </c>
      <c r="C755" s="49" t="n"/>
      <c r="D755" s="50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6">
      <c r="A756" s="65" t="inlineStr">
        <is>
          <t>19/05/2017</t>
        </is>
      </c>
      <c r="B756" s="28" t="n">
        <v>2.5194</v>
      </c>
      <c r="C756" s="49" t="n"/>
      <c r="D756" s="50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7">
      <c r="A757" s="65" t="inlineStr">
        <is>
          <t>26/05/2017</t>
        </is>
      </c>
      <c r="B757" s="28" t="n">
        <v>2.5417</v>
      </c>
      <c r="C757" s="49" t="n"/>
      <c r="D757" s="50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8">
      <c r="A758" s="65" t="inlineStr">
        <is>
          <t>02/06/2017</t>
        </is>
      </c>
      <c r="B758" s="28" t="n">
        <v>2.4671</v>
      </c>
      <c r="C758" s="49" t="n"/>
      <c r="D758" s="50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59">
      <c r="A759" s="65" t="inlineStr">
        <is>
          <t>09/06/2017</t>
        </is>
      </c>
      <c r="B759" s="28" t="n">
        <v>2.4599</v>
      </c>
      <c r="C759" s="49" t="n"/>
      <c r="D759" s="50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0">
      <c r="A760" s="65" t="inlineStr">
        <is>
          <t>16/06/2017</t>
        </is>
      </c>
      <c r="B760" s="28" t="n">
        <v>2.4687</v>
      </c>
      <c r="C760" s="49" t="n"/>
      <c r="D760" s="50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1">
      <c r="A761" s="65" t="inlineStr">
        <is>
          <t>23/06/2017</t>
        </is>
      </c>
      <c r="B761" s="28" t="n">
        <v>2.4066</v>
      </c>
      <c r="C761" s="49" t="n"/>
      <c r="D761" s="50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2">
      <c r="A762" s="65" t="inlineStr">
        <is>
          <t>30/06/2017</t>
        </is>
      </c>
      <c r="B762" s="28" t="n">
        <v>2.3623</v>
      </c>
      <c r="C762" s="49" t="n"/>
      <c r="D762" s="50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3">
      <c r="A763" s="65" t="inlineStr">
        <is>
          <t>07/07/2017</t>
        </is>
      </c>
      <c r="B763" s="28" t="n">
        <v>2.3365</v>
      </c>
      <c r="C763" s="49" t="n"/>
      <c r="D763" s="50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4">
      <c r="A764" s="65" t="inlineStr">
        <is>
          <t>14/07/2017</t>
        </is>
      </c>
      <c r="B764" s="28" t="n">
        <v>2.3446</v>
      </c>
      <c r="C764" s="49" t="n"/>
      <c r="D764" s="50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5">
      <c r="A765" s="65" t="inlineStr">
        <is>
          <t>21/07/2017</t>
        </is>
      </c>
      <c r="B765" s="28" t="n">
        <v>2.398</v>
      </c>
      <c r="C765" s="49" t="n"/>
      <c r="D765" s="50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6">
      <c r="A766" s="65" t="inlineStr">
        <is>
          <t>28/07/2017</t>
        </is>
      </c>
      <c r="B766" s="28" t="n">
        <v>2.5108</v>
      </c>
      <c r="C766" s="49" t="n"/>
      <c r="D766" s="50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7">
      <c r="A767" s="65" t="inlineStr">
        <is>
          <t>04/08/2017</t>
        </is>
      </c>
      <c r="B767" s="28" t="n">
        <v>2.5548</v>
      </c>
      <c r="C767" s="49" t="n"/>
      <c r="D767" s="50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8">
      <c r="A768" s="65" t="inlineStr">
        <is>
          <t>11/08/2017</t>
        </is>
      </c>
      <c r="B768" s="28" t="n">
        <v>2.615</v>
      </c>
      <c r="C768" s="49" t="n"/>
      <c r="D768" s="50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69">
      <c r="A769" s="65" t="inlineStr">
        <is>
          <t>18/08/2017</t>
        </is>
      </c>
      <c r="B769" s="28" t="n">
        <v>2.6225</v>
      </c>
      <c r="C769" s="49" t="n"/>
      <c r="D769" s="50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0">
      <c r="A770" s="65" t="inlineStr">
        <is>
          <t>25/08/2017</t>
        </is>
      </c>
      <c r="B770" s="28" t="n">
        <v>2.5758</v>
      </c>
      <c r="C770" s="49" t="n"/>
      <c r="D770" s="50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1">
      <c r="A771" s="65" t="inlineStr">
        <is>
          <t>01/09/2017</t>
        </is>
      </c>
      <c r="B771" s="28" t="n">
        <v>2.5698</v>
      </c>
      <c r="C771" s="49" t="n"/>
      <c r="D771" s="50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2">
      <c r="A772" s="65" t="inlineStr">
        <is>
          <t>08/09/2017</t>
        </is>
      </c>
      <c r="B772" s="28" t="n">
        <v>2.6436</v>
      </c>
      <c r="C772" s="49" t="n"/>
      <c r="D772" s="50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3">
      <c r="A773" s="65" t="inlineStr">
        <is>
          <t>15/09/2017</t>
        </is>
      </c>
      <c r="B773" s="28" t="n">
        <v>2.6289</v>
      </c>
      <c r="C773" s="49" t="n"/>
      <c r="D773" s="50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4">
      <c r="A774" s="65" t="inlineStr">
        <is>
          <t>22/09/2017</t>
        </is>
      </c>
      <c r="B774" s="28" t="n">
        <v>2.6445</v>
      </c>
      <c r="C774" s="49" t="n"/>
      <c r="D774" s="50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5">
      <c r="A775" s="65" t="inlineStr">
        <is>
          <t>29/09/2017</t>
        </is>
      </c>
      <c r="B775" s="28" t="n">
        <v>2.6732</v>
      </c>
      <c r="C775" s="49" t="n"/>
      <c r="D775" s="50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6">
      <c r="A776" s="65" t="inlineStr">
        <is>
          <t>06/10/2017</t>
        </is>
      </c>
      <c r="B776" s="28" t="n">
        <v>2.7449</v>
      </c>
      <c r="C776" s="49" t="n"/>
      <c r="D776" s="50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7">
      <c r="A777" s="65" t="inlineStr">
        <is>
          <t>13/10/2017</t>
        </is>
      </c>
      <c r="B777" s="28" t="n">
        <v>2.7695</v>
      </c>
      <c r="C777" s="49" t="n"/>
      <c r="D777" s="50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8">
      <c r="A778" s="65" t="inlineStr">
        <is>
          <t>20/10/2017</t>
        </is>
      </c>
      <c r="B778" s="28" t="n">
        <v>2.8088</v>
      </c>
      <c r="C778" s="49" t="n"/>
      <c r="D778" s="50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79">
      <c r="A779" s="65" t="inlineStr">
        <is>
          <t>27/10/2017</t>
        </is>
      </c>
      <c r="B779" s="28" t="n">
        <v>2.8733</v>
      </c>
      <c r="C779" s="49" t="n"/>
      <c r="D779" s="50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0">
      <c r="A780" s="65" t="inlineStr">
        <is>
          <t>03/11/2017</t>
        </is>
      </c>
      <c r="B780" s="28" t="n">
        <v>2.889</v>
      </c>
      <c r="C780" s="49" t="n"/>
      <c r="D780" s="50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1">
      <c r="A781" s="65" t="inlineStr">
        <is>
          <t>10/11/2017</t>
        </is>
      </c>
      <c r="B781" s="28" t="n">
        <v>2.9541</v>
      </c>
      <c r="C781" s="49" t="n"/>
      <c r="D781" s="50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2">
      <c r="A782" s="65" t="inlineStr">
        <is>
          <t>17/11/2017</t>
        </is>
      </c>
      <c r="B782" s="28" t="n">
        <v>3.049</v>
      </c>
      <c r="C782" s="49" t="n"/>
      <c r="D782" s="50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3">
      <c r="A783" s="65" t="inlineStr">
        <is>
          <t>24/11/2017</t>
        </is>
      </c>
      <c r="B783" s="28" t="n">
        <v>3.0565</v>
      </c>
      <c r="C783" s="49" t="n"/>
      <c r="D783" s="50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4">
      <c r="A784" s="65" t="inlineStr">
        <is>
          <t>01/12/2017</t>
        </is>
      </c>
      <c r="B784" s="28" t="n">
        <v>3.0812</v>
      </c>
      <c r="C784" s="49" t="n"/>
      <c r="D784" s="50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5">
      <c r="A785" s="65" t="inlineStr">
        <is>
          <t>08/12/2017</t>
        </is>
      </c>
      <c r="B785" s="28" t="n">
        <v>3.1322</v>
      </c>
      <c r="C785" s="49" t="n"/>
      <c r="D785" s="50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6">
      <c r="A786" s="65" t="inlineStr">
        <is>
          <t>15/12/2017</t>
        </is>
      </c>
      <c r="B786" s="28" t="n">
        <v>3.1557</v>
      </c>
      <c r="C786" s="49" t="n"/>
      <c r="D786" s="50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7">
      <c r="A787" s="65" t="inlineStr">
        <is>
          <t>22/12/2017</t>
        </is>
      </c>
      <c r="B787" s="28" t="n">
        <v>3.1577</v>
      </c>
      <c r="C787" s="49" t="n"/>
      <c r="D787" s="50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8">
      <c r="A788" s="65" t="inlineStr">
        <is>
          <t>28/12/2017</t>
        </is>
      </c>
      <c r="B788" s="28" t="n">
        <v>3.1946</v>
      </c>
      <c r="C788" s="49" t="n"/>
      <c r="D788" s="50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89">
      <c r="A789" s="65" t="inlineStr">
        <is>
          <t>05/01/2018</t>
        </is>
      </c>
      <c r="B789" s="28" t="n">
        <v>3.2487</v>
      </c>
      <c r="C789" s="49" t="n"/>
      <c r="D789" s="50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0">
      <c r="A790" s="65" t="inlineStr">
        <is>
          <t>12/01/2018</t>
        </is>
      </c>
      <c r="B790" s="28" t="n">
        <v>3.3116</v>
      </c>
      <c r="C790" s="49" t="n"/>
      <c r="D790" s="50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1">
      <c r="A791" s="65" t="inlineStr">
        <is>
          <t>19/01/2018</t>
        </is>
      </c>
      <c r="B791" s="28" t="n">
        <v>3.3179</v>
      </c>
      <c r="C791" s="49" t="n"/>
      <c r="D791" s="50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2">
      <c r="A792" s="65" t="inlineStr">
        <is>
          <t>26/01/2018</t>
        </is>
      </c>
      <c r="B792" s="28" t="n">
        <v>3.2902</v>
      </c>
      <c r="C792" s="49" t="n"/>
      <c r="D792" s="50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3">
      <c r="A793" s="65" t="inlineStr">
        <is>
          <t>02/02/2018</t>
        </is>
      </c>
      <c r="B793" s="28" t="n">
        <v>3.2871</v>
      </c>
      <c r="C793" s="49" t="n"/>
      <c r="D793" s="50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4">
      <c r="A794" s="65" t="inlineStr">
        <is>
          <t>09/02/2018</t>
        </is>
      </c>
      <c r="B794" s="28" t="n">
        <v>3.2762</v>
      </c>
      <c r="C794" s="49" t="n"/>
      <c r="D794" s="50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5">
      <c r="A795" s="65" t="inlineStr">
        <is>
          <t>16/02/2018</t>
        </is>
      </c>
      <c r="B795" s="28" t="n">
        <v>3.3107</v>
      </c>
      <c r="C795" s="49" t="n"/>
      <c r="D795" s="50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6">
      <c r="A796" s="65" t="inlineStr">
        <is>
          <t>23/02/2018</t>
        </is>
      </c>
      <c r="B796" s="28" t="n">
        <v>3.3379</v>
      </c>
      <c r="C796" s="49" t="n"/>
      <c r="D796" s="50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7">
      <c r="A797" s="65" t="inlineStr">
        <is>
          <t>02/03/2018</t>
        </is>
      </c>
      <c r="B797" s="28" t="n">
        <v>3.3419</v>
      </c>
      <c r="C797" s="49" t="n"/>
      <c r="D797" s="50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8">
      <c r="A798" s="65" t="inlineStr">
        <is>
          <t>09/03/2018</t>
        </is>
      </c>
      <c r="B798" s="28" t="n">
        <v>3.3384</v>
      </c>
      <c r="C798" s="49" t="n"/>
      <c r="D798" s="50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799">
      <c r="A799" s="65" t="inlineStr">
        <is>
          <t>16/03/2018</t>
        </is>
      </c>
      <c r="B799" s="28" t="n">
        <v>3.3783</v>
      </c>
      <c r="C799" s="49" t="n"/>
      <c r="D799" s="50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0">
      <c r="A800" s="65" t="inlineStr">
        <is>
          <t>23/03/2018</t>
        </is>
      </c>
      <c r="B800" s="28" t="n">
        <v>3.3064</v>
      </c>
      <c r="C800" s="49" t="n"/>
      <c r="D800" s="50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1">
      <c r="A801" s="65" t="inlineStr">
        <is>
          <t>29/03/2018</t>
        </is>
      </c>
      <c r="B801" s="28" t="n">
        <v>3.2004</v>
      </c>
      <c r="C801" s="49" t="n"/>
      <c r="D801" s="50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2">
      <c r="A802" s="65" t="inlineStr">
        <is>
          <t>06/04/2018</t>
        </is>
      </c>
      <c r="B802" s="28" t="n">
        <v>2.9136</v>
      </c>
      <c r="C802" s="49" t="n"/>
      <c r="D802" s="50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3">
      <c r="A803" s="65" t="inlineStr">
        <is>
          <t>13/04/2018</t>
        </is>
      </c>
      <c r="B803" s="28" t="n">
        <v>2.6863</v>
      </c>
      <c r="C803" s="49" t="n"/>
      <c r="D803" s="50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4">
      <c r="A804" s="65" t="inlineStr">
        <is>
          <t>20/04/2018</t>
        </is>
      </c>
      <c r="B804" s="28" t="n">
        <v>2.627</v>
      </c>
      <c r="C804" s="49" t="n"/>
      <c r="D804" s="50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5">
      <c r="A805" s="65" t="inlineStr">
        <is>
          <t>27/04/2018</t>
        </is>
      </c>
      <c r="B805" s="28" t="n">
        <v>2.5758</v>
      </c>
      <c r="C805" s="49" t="n"/>
      <c r="D805" s="50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6">
      <c r="A806" s="65" t="inlineStr">
        <is>
          <t>04/05/2018</t>
        </is>
      </c>
      <c r="B806" s="28" t="n">
        <v>2.5202</v>
      </c>
      <c r="C806" s="49" t="n"/>
      <c r="D806" s="50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7">
      <c r="A807" s="65" t="inlineStr">
        <is>
          <t>11/05/2018</t>
        </is>
      </c>
      <c r="B807" s="28" t="n">
        <v>2.6449</v>
      </c>
      <c r="C807" s="49" t="n"/>
      <c r="D807" s="50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8">
      <c r="A808" s="65" t="inlineStr">
        <is>
          <t>18/05/2018</t>
        </is>
      </c>
      <c r="B808" s="28" t="n">
        <v>2.8236</v>
      </c>
      <c r="C808" s="49" t="n"/>
      <c r="D808" s="50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09">
      <c r="A809" s="65" t="inlineStr">
        <is>
          <t>25/05/2018</t>
        </is>
      </c>
      <c r="B809" s="28" t="n">
        <v>2.8713</v>
      </c>
      <c r="C809" s="49" t="n"/>
      <c r="D809" s="50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0">
      <c r="A810" s="65" t="inlineStr">
        <is>
          <t>01/06/2018</t>
        </is>
      </c>
      <c r="B810" s="28" t="n">
        <v>2.8843</v>
      </c>
      <c r="C810" s="49" t="n"/>
      <c r="D810" s="50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1">
      <c r="A811" s="65" t="inlineStr">
        <is>
          <t>08/06/2018</t>
        </is>
      </c>
      <c r="B811" s="28" t="n">
        <v>2.9011</v>
      </c>
      <c r="C811" s="49" t="n"/>
      <c r="D811" s="50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2">
      <c r="A812" s="65" t="inlineStr">
        <is>
          <t>15/06/2018</t>
        </is>
      </c>
      <c r="B812" s="28" t="n">
        <v>2.8198</v>
      </c>
      <c r="C812" s="49" t="n"/>
      <c r="D812" s="50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3">
      <c r="A813" s="65" t="inlineStr">
        <is>
          <t>22/06/2018</t>
        </is>
      </c>
      <c r="B813" s="28" t="n">
        <v>2.6711</v>
      </c>
      <c r="C813" s="49" t="n"/>
      <c r="D813" s="50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4">
      <c r="A814" s="65" t="inlineStr">
        <is>
          <t>29/06/2018</t>
        </is>
      </c>
      <c r="B814" s="28" t="n">
        <v>2.5769</v>
      </c>
      <c r="C814" s="49" t="n"/>
      <c r="D814" s="50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5">
      <c r="A815" s="65" t="inlineStr">
        <is>
          <t>06/07/2018</t>
        </is>
      </c>
      <c r="B815" s="28" t="n">
        <v>2.507</v>
      </c>
      <c r="C815" s="49" t="n"/>
      <c r="D815" s="50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6">
      <c r="A816" s="65" t="inlineStr">
        <is>
          <t>13/07/2018</t>
        </is>
      </c>
      <c r="B816" s="28" t="n">
        <v>2.4927</v>
      </c>
      <c r="C816" s="49" t="n"/>
      <c r="D816" s="50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7">
      <c r="A817" s="65" t="inlineStr">
        <is>
          <t>20/07/2018</t>
        </is>
      </c>
      <c r="B817" s="28" t="n">
        <v>2.4772</v>
      </c>
      <c r="C817" s="49" t="n"/>
      <c r="D817" s="50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8">
      <c r="A818" s="65" t="inlineStr">
        <is>
          <t>27/07/2018</t>
        </is>
      </c>
      <c r="B818" s="28" t="n">
        <v>2.4348</v>
      </c>
      <c r="C818" s="49" t="n"/>
      <c r="D818" s="50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19">
      <c r="A819" s="65" t="inlineStr">
        <is>
          <t>03/08/2018</t>
        </is>
      </c>
      <c r="B819" s="28" t="n">
        <v>2.3659</v>
      </c>
      <c r="C819" s="49" t="n"/>
      <c r="D819" s="50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0">
      <c r="A820" s="65" t="inlineStr">
        <is>
          <t>10/08/2018</t>
        </is>
      </c>
      <c r="B820" s="28" t="n">
        <v>2.3461</v>
      </c>
      <c r="C820" s="49" t="n"/>
      <c r="D820" s="50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1">
      <c r="A821" s="65" t="inlineStr">
        <is>
          <t>17/08/2018</t>
        </is>
      </c>
      <c r="B821" s="28" t="n">
        <v>2.3502</v>
      </c>
      <c r="C821" s="49" t="n"/>
      <c r="D821" s="50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2">
      <c r="A822" s="65" t="inlineStr">
        <is>
          <t>24/08/2018</t>
        </is>
      </c>
      <c r="B822" s="28" t="n">
        <v>2.4618</v>
      </c>
      <c r="C822" s="49" t="n"/>
      <c r="D822" s="50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3">
      <c r="A823" s="65" t="inlineStr">
        <is>
          <t>31/08/2018</t>
        </is>
      </c>
      <c r="B823" s="28" t="n">
        <v>2.6857</v>
      </c>
      <c r="C823" s="49" t="n"/>
      <c r="D823" s="50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4">
      <c r="A824" s="65" t="inlineStr">
        <is>
          <t>06/09/2018</t>
        </is>
      </c>
      <c r="B824" s="28" t="n">
        <v>2.8004</v>
      </c>
      <c r="C824" s="49" t="n"/>
      <c r="D824" s="50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5">
      <c r="A825" s="65" t="inlineStr">
        <is>
          <t>14/09/2018</t>
        </is>
      </c>
      <c r="B825" s="28" t="n">
        <v>2.7691</v>
      </c>
      <c r="C825" s="49" t="n"/>
      <c r="D825" s="50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6">
      <c r="A826" s="65" t="inlineStr">
        <is>
          <t>21/09/2018</t>
        </is>
      </c>
      <c r="B826" s="28" t="n">
        <v>2.8037</v>
      </c>
      <c r="C826" s="49" t="n"/>
      <c r="D826" s="50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7">
      <c r="A827" s="65" t="inlineStr">
        <is>
          <t>28/09/2018</t>
        </is>
      </c>
      <c r="B827" s="28" t="n">
        <v>2.846</v>
      </c>
      <c r="C827" s="49" t="n"/>
      <c r="D827" s="50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8">
      <c r="A828" s="65" t="inlineStr">
        <is>
          <t>05/10/2018</t>
        </is>
      </c>
      <c r="B828" s="28" t="n">
        <v>2.9515</v>
      </c>
      <c r="C828" s="49" t="n"/>
      <c r="D828" s="50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29">
      <c r="A829" s="65" t="inlineStr">
        <is>
          <t>11/10/2018</t>
        </is>
      </c>
      <c r="B829" s="28" t="n">
        <v>3.0038</v>
      </c>
      <c r="C829" s="49" t="n"/>
      <c r="D829" s="50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0">
      <c r="A830" s="65" t="inlineStr">
        <is>
          <t>19/10/2018</t>
        </is>
      </c>
      <c r="B830" s="28" t="n">
        <v>2.9903</v>
      </c>
      <c r="C830" s="49" t="n"/>
      <c r="D830" s="50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1">
      <c r="A831" s="65" t="inlineStr">
        <is>
          <t>26/10/2018</t>
        </is>
      </c>
      <c r="B831" s="28" t="n">
        <v>2.9228</v>
      </c>
      <c r="C831" s="49" t="n"/>
      <c r="D831" s="50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2">
      <c r="A832" s="65" t="inlineStr">
        <is>
          <t>01/11/2018</t>
        </is>
      </c>
      <c r="B832" s="28" t="n">
        <v>2.8701</v>
      </c>
      <c r="C832" s="49" t="n"/>
      <c r="D832" s="50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3">
      <c r="A833" s="65" t="inlineStr">
        <is>
          <t>09/11/2018</t>
        </is>
      </c>
      <c r="B833" s="28" t="n">
        <v>2.7744</v>
      </c>
      <c r="C833" s="49" t="n"/>
      <c r="D833" s="50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4">
      <c r="A834" s="65" t="inlineStr">
        <is>
          <t>16/11/2018</t>
        </is>
      </c>
      <c r="B834" s="28" t="n">
        <v>2.724</v>
      </c>
      <c r="C834" s="49" t="n"/>
      <c r="D834" s="50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5">
      <c r="A835" s="65" t="inlineStr">
        <is>
          <t>23/11/2018</t>
        </is>
      </c>
      <c r="B835" s="28" t="n">
        <v>2.7068</v>
      </c>
      <c r="C835" s="49" t="n"/>
      <c r="D835" s="50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6">
      <c r="A836" s="65" t="inlineStr">
        <is>
          <t>30/11/2018</t>
        </is>
      </c>
      <c r="B836" s="28" t="n">
        <v>2.6901</v>
      </c>
      <c r="C836" s="49" t="n"/>
      <c r="D836" s="50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7">
      <c r="A837" s="65" t="inlineStr">
        <is>
          <t>07/12/2018</t>
        </is>
      </c>
      <c r="B837" s="28" t="n">
        <v>2.7885</v>
      </c>
      <c r="C837" s="49" t="n"/>
      <c r="D837" s="50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8">
      <c r="A838" s="65" t="inlineStr">
        <is>
          <t>14/12/2018</t>
        </is>
      </c>
      <c r="B838" s="28" t="n">
        <v>2.7967</v>
      </c>
      <c r="C838" s="49" t="n"/>
      <c r="D838" s="50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39">
      <c r="A839" s="65" t="inlineStr">
        <is>
          <t>21/12/2018</t>
        </is>
      </c>
      <c r="B839" s="28" t="n">
        <v>2.7913</v>
      </c>
      <c r="C839" s="49" t="n"/>
      <c r="D839" s="50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0">
      <c r="A840" s="65" t="inlineStr">
        <is>
          <t>28/12/2018</t>
        </is>
      </c>
      <c r="B840" s="28" t="n">
        <v>2.7942</v>
      </c>
      <c r="C840" s="49" t="n"/>
      <c r="D840" s="50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1">
      <c r="A841" s="65" t="inlineStr">
        <is>
          <t>04/01/2019</t>
        </is>
      </c>
      <c r="B841" s="28" t="n">
        <v>2.7936</v>
      </c>
      <c r="C841" s="49" t="n"/>
      <c r="D841" s="50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2">
      <c r="A842" s="65" t="inlineStr">
        <is>
          <t>11/01/2019</t>
        </is>
      </c>
      <c r="B842" s="28" t="n">
        <v>2.7401</v>
      </c>
      <c r="C842" s="49" t="n"/>
      <c r="D842" s="50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3">
      <c r="A843" s="65" t="inlineStr">
        <is>
          <t>18/01/2019</t>
        </is>
      </c>
      <c r="B843" s="28" t="n">
        <v>2.6882</v>
      </c>
      <c r="C843" s="49" t="n"/>
      <c r="D843" s="50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4">
      <c r="A844" s="65" t="inlineStr">
        <is>
          <t>25/01/2019</t>
        </is>
      </c>
      <c r="B844" s="28" t="n">
        <v>2.6121</v>
      </c>
      <c r="C844" s="49" t="n"/>
      <c r="D844" s="50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5">
      <c r="A845" s="65" t="inlineStr">
        <is>
          <t>01/02/2019</t>
        </is>
      </c>
      <c r="B845" s="28" t="n">
        <v>2.5297</v>
      </c>
      <c r="C845" s="49" t="n"/>
      <c r="D845" s="50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6">
      <c r="A846" s="65" t="inlineStr">
        <is>
          <t>08/02/2019</t>
        </is>
      </c>
      <c r="B846" s="28" t="n">
        <v>2.6242</v>
      </c>
      <c r="C846" s="49" t="n"/>
      <c r="D846" s="50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7">
      <c r="A847" s="65" t="inlineStr">
        <is>
          <t>15/02/2019</t>
        </is>
      </c>
      <c r="B847" s="28" t="n">
        <v>2.8104</v>
      </c>
      <c r="C847" s="49" t="n"/>
      <c r="D847" s="50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8">
      <c r="A848" s="65" t="inlineStr">
        <is>
          <t>22/02/2019</t>
        </is>
      </c>
      <c r="B848" s="28" t="n">
        <v>2.9893</v>
      </c>
      <c r="C848" s="49" t="n"/>
      <c r="D848" s="50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49">
      <c r="A849" s="65" t="inlineStr">
        <is>
          <t>01/03/2019</t>
        </is>
      </c>
      <c r="B849" s="28" t="n">
        <v>3.0608</v>
      </c>
      <c r="C849" s="49" t="n"/>
      <c r="D849" s="50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0">
      <c r="A850" s="65" t="inlineStr">
        <is>
          <t>08/03/2019</t>
        </is>
      </c>
      <c r="B850" s="28" t="n">
        <v>3.0662</v>
      </c>
      <c r="C850" s="49" t="n"/>
      <c r="D850" s="50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1">
      <c r="A851" s="65" t="inlineStr">
        <is>
          <t>15/03/2019</t>
        </is>
      </c>
      <c r="B851" s="28" t="n">
        <v>3.0396</v>
      </c>
      <c r="C851" s="49" t="n"/>
      <c r="D851" s="50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2">
      <c r="A852" s="65" t="inlineStr">
        <is>
          <t>22/03/2019</t>
        </is>
      </c>
      <c r="B852" s="28" t="n">
        <v>2.9009</v>
      </c>
      <c r="C852" s="49" t="n"/>
      <c r="D852" s="50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3">
      <c r="A853" s="65" t="inlineStr">
        <is>
          <t>29/03/2019</t>
        </is>
      </c>
      <c r="B853" s="28" t="n">
        <v>2.6788</v>
      </c>
      <c r="C853" s="49" t="n"/>
      <c r="D853" s="50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4">
      <c r="A854" s="65" t="inlineStr">
        <is>
          <t>05/04/2019</t>
        </is>
      </c>
      <c r="B854" s="28" t="n">
        <v>2.6781</v>
      </c>
      <c r="C854" s="49" t="n"/>
      <c r="D854" s="50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5">
      <c r="A855" s="65" t="inlineStr">
        <is>
          <t>12/04/2019</t>
        </is>
      </c>
      <c r="B855" s="28" t="n">
        <v>3.0818</v>
      </c>
      <c r="C855" s="49" t="n"/>
      <c r="D855" s="50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6">
      <c r="A856" s="65" t="inlineStr">
        <is>
          <t>18/04/2019</t>
        </is>
      </c>
      <c r="B856" s="28" t="n">
        <v>3.2255</v>
      </c>
      <c r="C856" s="49" t="n"/>
      <c r="D856" s="50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7">
      <c r="A857" s="65" t="inlineStr">
        <is>
          <t>26/04/2019</t>
        </is>
      </c>
      <c r="B857" s="28" t="n">
        <v>3.0168</v>
      </c>
      <c r="C857" s="49" t="n"/>
      <c r="D857" s="50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8">
      <c r="A858" s="65" t="inlineStr">
        <is>
          <t>03/05/2019</t>
        </is>
      </c>
      <c r="B858" s="28" t="n">
        <v>2.6852</v>
      </c>
      <c r="C858" s="49" t="n"/>
      <c r="D858" s="50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59">
      <c r="A859" s="65" t="inlineStr">
        <is>
          <t>10/05/2019</t>
        </is>
      </c>
      <c r="B859" s="28" t="n">
        <v>2.6064</v>
      </c>
      <c r="C859" s="49" t="n"/>
      <c r="D859" s="50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0">
      <c r="A860" s="65" t="inlineStr">
        <is>
          <t>17/05/2019</t>
        </is>
      </c>
      <c r="B860" s="28" t="n">
        <v>2.7214</v>
      </c>
      <c r="C860" s="49" t="n"/>
      <c r="D860" s="50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1">
      <c r="A861" s="65" t="inlineStr">
        <is>
          <t>24/05/2019</t>
        </is>
      </c>
      <c r="B861" s="28" t="n">
        <v>2.6685</v>
      </c>
      <c r="C861" s="49" t="n"/>
      <c r="D861" s="50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2">
      <c r="A862" s="65" t="inlineStr">
        <is>
          <t>31/05/2019</t>
        </is>
      </c>
      <c r="B862" s="28" t="n">
        <v>2.6257</v>
      </c>
      <c r="C862" s="49" t="n"/>
      <c r="D862" s="50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3">
      <c r="A863" s="65" t="inlineStr">
        <is>
          <t>07/06/2019</t>
        </is>
      </c>
      <c r="B863" s="28" t="n">
        <v>2.6464</v>
      </c>
      <c r="C863" s="49" t="n"/>
      <c r="D863" s="50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4">
      <c r="A864" s="65" t="inlineStr">
        <is>
          <t>14/06/2019</t>
        </is>
      </c>
      <c r="B864" s="28" t="n">
        <v>2.5963</v>
      </c>
      <c r="C864" s="49" t="n"/>
      <c r="D864" s="50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5">
      <c r="A865" s="65" t="inlineStr">
        <is>
          <t>21/06/2019</t>
        </is>
      </c>
      <c r="B865" s="28" t="n">
        <v>2.5851</v>
      </c>
      <c r="C865" s="49" t="n"/>
      <c r="D865" s="50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6">
      <c r="A866" s="65" t="inlineStr">
        <is>
          <t>28/06/2019</t>
        </is>
      </c>
      <c r="B866" s="28" t="n">
        <v>2.5746</v>
      </c>
      <c r="C866" s="49" t="n"/>
      <c r="D866" s="50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7">
      <c r="A867" s="65" t="inlineStr">
        <is>
          <t>05/07/2019</t>
        </is>
      </c>
      <c r="B867" s="28" t="n">
        <v>2.6224</v>
      </c>
      <c r="C867" s="49" t="n"/>
      <c r="D867" s="50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8">
      <c r="A868" s="65" t="inlineStr">
        <is>
          <t>12/07/2019</t>
        </is>
      </c>
      <c r="B868" s="28" t="n">
        <v>2.639</v>
      </c>
      <c r="C868" s="49" t="n"/>
      <c r="D868" s="50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69">
      <c r="A869" s="65" t="inlineStr">
        <is>
          <t>19/07/2019</t>
        </is>
      </c>
      <c r="B869" s="28" t="n">
        <v>2.6625</v>
      </c>
      <c r="C869" s="49" t="n"/>
      <c r="D869" s="50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0">
      <c r="A870" s="65" t="inlineStr">
        <is>
          <t>26/07/2019</t>
        </is>
      </c>
      <c r="B870" s="28" t="n">
        <v>2.743</v>
      </c>
      <c r="C870" s="49" t="n"/>
      <c r="D870" s="50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1">
      <c r="A871" s="65" t="inlineStr">
        <is>
          <t>02/08/2019</t>
        </is>
      </c>
      <c r="B871" s="28" t="n">
        <v>2.7769</v>
      </c>
      <c r="C871" s="49" t="n"/>
      <c r="D871" s="50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2">
      <c r="A872" s="65" t="inlineStr">
        <is>
          <t>09/08/2019</t>
        </is>
      </c>
      <c r="B872" s="28" t="n">
        <v>2.8072</v>
      </c>
      <c r="C872" s="49" t="n"/>
      <c r="D872" s="50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3">
      <c r="A873" s="65" t="inlineStr">
        <is>
          <t>16/08/2019</t>
        </is>
      </c>
      <c r="B873" s="28" t="n">
        <v>2.8089</v>
      </c>
      <c r="C873" s="49" t="n"/>
      <c r="D873" s="50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4">
      <c r="A874" s="65" t="inlineStr">
        <is>
          <t>23/08/2019</t>
        </is>
      </c>
      <c r="B874" s="28" t="n">
        <v>2.7711</v>
      </c>
      <c r="C874" s="49" t="n"/>
      <c r="D874" s="50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5">
      <c r="A875" s="65" t="inlineStr">
        <is>
          <t>30/08/2019</t>
        </is>
      </c>
      <c r="B875" s="28" t="n">
        <v>2.7212</v>
      </c>
      <c r="C875" s="49" t="n"/>
      <c r="D875" s="50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6">
      <c r="A876" s="65" t="inlineStr">
        <is>
          <t>06/09/2019</t>
        </is>
      </c>
      <c r="B876" s="28" t="n">
        <v>2.7415</v>
      </c>
      <c r="C876" s="49" t="n"/>
      <c r="D876" s="50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7">
      <c r="A877" s="65" t="inlineStr">
        <is>
          <t>13/09/2019</t>
        </is>
      </c>
      <c r="B877" s="28" t="n">
        <v>2.727</v>
      </c>
      <c r="C877" s="49" t="n"/>
      <c r="D877" s="50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8">
      <c r="A878" s="65" t="inlineStr">
        <is>
          <t>20/09/2019</t>
        </is>
      </c>
      <c r="B878" s="28" t="n">
        <v>2.7717</v>
      </c>
      <c r="C878" s="49" t="n"/>
      <c r="D878" s="50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79">
      <c r="A879" s="65" t="inlineStr">
        <is>
          <t>27/09/2019</t>
        </is>
      </c>
      <c r="B879" s="28" t="n">
        <v>2.8123</v>
      </c>
      <c r="C879" s="49" t="n"/>
      <c r="D879" s="50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0">
      <c r="A880" s="65" t="inlineStr">
        <is>
          <t>04/10/2019</t>
        </is>
      </c>
      <c r="B880" s="28" t="n">
        <v>2.8277</v>
      </c>
      <c r="C880" s="49" t="n"/>
      <c r="D880" s="50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1">
      <c r="A881" s="65" t="inlineStr">
        <is>
          <t>11/10/2019</t>
        </is>
      </c>
      <c r="B881" s="28" t="n">
        <v>2.8785</v>
      </c>
      <c r="C881" s="49" t="n"/>
      <c r="D881" s="50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2">
      <c r="A882" s="65" t="inlineStr">
        <is>
          <t>18/10/2019</t>
        </is>
      </c>
      <c r="B882" s="28" t="n">
        <v>2.8836</v>
      </c>
      <c r="C882" s="49" t="n"/>
      <c r="D882" s="50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3">
      <c r="A883" s="65" t="inlineStr">
        <is>
          <t>25/10/2019</t>
        </is>
      </c>
      <c r="B883" s="28" t="n">
        <v>2.9132</v>
      </c>
      <c r="C883" s="49" t="n"/>
      <c r="D883" s="50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4">
      <c r="A884" s="65" t="inlineStr">
        <is>
          <t>01/11/2019</t>
        </is>
      </c>
      <c r="B884" s="28" t="n">
        <v>2.9603</v>
      </c>
      <c r="C884" s="49" t="n"/>
      <c r="D884" s="50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5">
      <c r="A885" s="65" t="inlineStr">
        <is>
          <t>08/11/2019</t>
        </is>
      </c>
      <c r="B885" s="28" t="n">
        <v>2.988</v>
      </c>
      <c r="C885" s="49" t="n"/>
      <c r="D885" s="50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6">
      <c r="A886" s="65" t="inlineStr">
        <is>
          <t>14/11/2019</t>
        </is>
      </c>
      <c r="B886" s="28" t="n">
        <v>2.9942</v>
      </c>
      <c r="C886" s="49" t="n"/>
      <c r="D886" s="50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7">
      <c r="A887" s="65" t="inlineStr">
        <is>
          <t>22/11/2019</t>
        </is>
      </c>
      <c r="B887" s="28" t="n">
        <v>3.0389</v>
      </c>
      <c r="C887" s="49" t="n"/>
      <c r="D887" s="50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8">
      <c r="A888" s="65" t="inlineStr">
        <is>
          <t>29/11/2019</t>
        </is>
      </c>
      <c r="B888" s="28" t="n">
        <v>3.1261</v>
      </c>
      <c r="C888" s="49" t="n"/>
      <c r="D888" s="50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89">
      <c r="A889" s="65" t="inlineStr">
        <is>
          <t>06/12/2019</t>
        </is>
      </c>
      <c r="B889" s="28" t="n">
        <v>3.138</v>
      </c>
      <c r="C889" s="49" t="n"/>
      <c r="D889" s="50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0">
      <c r="A890" s="65" t="inlineStr">
        <is>
          <t>13/12/2019</t>
        </is>
      </c>
      <c r="B890" s="28" t="n">
        <v>3.1123</v>
      </c>
      <c r="C890" s="49" t="n"/>
      <c r="D890" s="50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1">
      <c r="A891" s="65" t="inlineStr">
        <is>
          <t>20/12/2019</t>
        </is>
      </c>
      <c r="B891" s="28" t="n">
        <v>3.1075</v>
      </c>
      <c r="C891" s="49" t="n"/>
      <c r="D891" s="50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2">
      <c r="A892" s="65" t="inlineStr">
        <is>
          <t>27/12/2019</t>
        </is>
      </c>
      <c r="B892" s="28" t="n">
        <v>3.1476</v>
      </c>
      <c r="C892" s="49" t="n"/>
      <c r="D892" s="50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3">
      <c r="A893" s="65" t="inlineStr">
        <is>
          <t>03/01/2020</t>
        </is>
      </c>
      <c r="B893" s="28" t="n">
        <v>3.1784</v>
      </c>
      <c r="C893" s="49" t="n"/>
      <c r="D893" s="50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4">
      <c r="A894" s="65" t="inlineStr">
        <is>
          <t>10/01/2020</t>
        </is>
      </c>
      <c r="B894" s="28" t="n">
        <v>3.2134</v>
      </c>
      <c r="C894" s="49" t="n"/>
      <c r="D894" s="50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5">
      <c r="A895" s="65" t="inlineStr">
        <is>
          <t>17/01/2020</t>
        </is>
      </c>
      <c r="B895" s="28" t="n">
        <v>3.2146</v>
      </c>
      <c r="C895" s="49" t="n"/>
      <c r="D895" s="50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6">
      <c r="A896" s="65" t="inlineStr">
        <is>
          <t>24/01/2020</t>
        </is>
      </c>
      <c r="B896" s="28" t="n">
        <v>3.2039</v>
      </c>
      <c r="C896" s="49" t="n"/>
      <c r="D896" s="50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7">
      <c r="A897" s="65" t="inlineStr">
        <is>
          <t>31/01/2020</t>
        </is>
      </c>
      <c r="B897" s="28" t="n">
        <v>3.2417</v>
      </c>
      <c r="C897" s="49" t="n"/>
      <c r="D897" s="50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8">
      <c r="A898" s="65" t="inlineStr">
        <is>
          <t>07/02/2020</t>
        </is>
      </c>
      <c r="B898" s="28" t="n">
        <v>3.2762</v>
      </c>
      <c r="C898" s="49" t="n"/>
      <c r="D898" s="50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899">
      <c r="A899" s="65" t="inlineStr">
        <is>
          <t>14/02/2020</t>
        </is>
      </c>
      <c r="B899" s="28" t="n">
        <v>3.2961</v>
      </c>
      <c r="C899" s="49" t="n"/>
      <c r="D899" s="50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0">
      <c r="A900" s="65" t="inlineStr">
        <is>
          <t>21/02/2020</t>
        </is>
      </c>
      <c r="B900" s="28" t="n">
        <v>3.3095</v>
      </c>
      <c r="C900" s="49" t="n"/>
      <c r="D900" s="50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1">
      <c r="A901" s="65" t="inlineStr">
        <is>
          <t>28/02/2020</t>
        </is>
      </c>
      <c r="B901" s="28" t="n">
        <v>3.3196</v>
      </c>
      <c r="C901" s="49" t="n"/>
      <c r="D901" s="50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2">
      <c r="A902" s="65" t="inlineStr">
        <is>
          <t>06/03/2020</t>
        </is>
      </c>
      <c r="B902" s="28" t="n">
        <v>3.2366</v>
      </c>
      <c r="C902" s="49" t="n"/>
      <c r="D902" s="50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3">
      <c r="A903" s="65" t="inlineStr">
        <is>
          <t>13/03/2020</t>
        </is>
      </c>
      <c r="B903" s="28" t="n">
        <v>2.9846</v>
      </c>
      <c r="C903" s="49" t="n"/>
      <c r="D903" s="50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4">
      <c r="A904" s="65" t="inlineStr">
        <is>
          <t>20/03/2020</t>
        </is>
      </c>
      <c r="B904" s="28" t="n">
        <v>2.5676</v>
      </c>
      <c r="C904" s="49" t="n"/>
      <c r="D904" s="50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5">
      <c r="A905" s="65" t="inlineStr">
        <is>
          <t>27/03/2020</t>
        </is>
      </c>
      <c r="B905" s="28" t="n">
        <v>2.3243</v>
      </c>
      <c r="C905" s="49" t="n"/>
      <c r="D905" s="50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6">
      <c r="A906" s="65" t="inlineStr">
        <is>
          <t>03/04/2020</t>
        </is>
      </c>
      <c r="B906" s="28" t="n">
        <v>1.9878</v>
      </c>
      <c r="C906" s="49" t="n"/>
      <c r="D906" s="50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7">
      <c r="A907" s="65" t="inlineStr">
        <is>
          <t>09/04/2020</t>
        </is>
      </c>
      <c r="B907" s="28" t="n">
        <v>2.1311</v>
      </c>
      <c r="C907" s="49" t="n"/>
      <c r="D907" s="50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8">
      <c r="A908" s="65" t="inlineStr">
        <is>
          <t>17/04/2020</t>
        </is>
      </c>
      <c r="B908" s="28" t="n">
        <v>2.2157</v>
      </c>
      <c r="C908" s="49" t="n"/>
      <c r="D908" s="50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09">
      <c r="A909" s="65" t="inlineStr">
        <is>
          <t>24/04/2020</t>
        </is>
      </c>
      <c r="B909" s="28" t="n">
        <v>1.9808</v>
      </c>
      <c r="C909" s="49" t="n"/>
      <c r="D909" s="50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0">
      <c r="A910" s="65" t="inlineStr">
        <is>
          <t>30/04/2020</t>
        </is>
      </c>
      <c r="B910" s="28" t="n">
        <v>2.0215</v>
      </c>
      <c r="C910" s="49" t="n"/>
      <c r="D910" s="50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1">
      <c r="A911" s="65" t="inlineStr">
        <is>
          <t>08/05/2020</t>
        </is>
      </c>
      <c r="B911" s="28" t="n">
        <v>2.1001</v>
      </c>
      <c r="C911" s="49" t="n"/>
      <c r="D911" s="50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2">
      <c r="A912" s="65" t="inlineStr">
        <is>
          <t>15/05/2020</t>
        </is>
      </c>
      <c r="B912" s="28" t="n">
        <v>2.1162</v>
      </c>
      <c r="C912" s="49" t="n"/>
      <c r="D912" s="50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3">
      <c r="A913" s="65" t="inlineStr">
        <is>
          <t>22/05/2020</t>
        </is>
      </c>
      <c r="B913" s="28" t="n">
        <v>2.1796</v>
      </c>
      <c r="C913" s="49" t="n"/>
      <c r="D913" s="50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4">
      <c r="A914" s="65" t="inlineStr">
        <is>
          <t>29/05/2020</t>
        </is>
      </c>
      <c r="B914" s="28" t="n">
        <v>2.3247</v>
      </c>
      <c r="C914" s="49" t="n"/>
      <c r="D914" s="50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5">
      <c r="A915" s="65" t="inlineStr">
        <is>
          <t>05/06/2020</t>
        </is>
      </c>
      <c r="B915" s="28" t="n">
        <v>2.4261</v>
      </c>
      <c r="C915" s="49" t="n"/>
      <c r="D915" s="50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6">
      <c r="A916" s="65" t="inlineStr">
        <is>
          <t>12/06/2020</t>
        </is>
      </c>
      <c r="B916" s="28" t="n">
        <v>2.5048</v>
      </c>
      <c r="C916" s="49" t="n"/>
      <c r="D916" s="50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7">
      <c r="A917" s="65" t="inlineStr">
        <is>
          <t>19/06/2020</t>
        </is>
      </c>
      <c r="B917" s="28" t="n">
        <v>2.484</v>
      </c>
      <c r="C917" s="49" t="n"/>
      <c r="D917" s="50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8">
      <c r="A918" s="65" t="inlineStr">
        <is>
          <t>26/06/2020</t>
        </is>
      </c>
      <c r="B918" s="28" t="n">
        <v>2.418</v>
      </c>
      <c r="C918" s="49" t="n"/>
      <c r="D918" s="50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19">
      <c r="A919" s="65" t="inlineStr">
        <is>
          <t>03/07/2020</t>
        </is>
      </c>
      <c r="B919" s="28" t="n">
        <v>2.3398</v>
      </c>
      <c r="C919" s="49" t="n"/>
      <c r="D919" s="50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0">
      <c r="A920" s="65" t="inlineStr">
        <is>
          <t>10/07/2020</t>
        </is>
      </c>
      <c r="B920" s="28" t="n">
        <v>2.3558</v>
      </c>
      <c r="C920" s="49" t="n"/>
      <c r="D920" s="50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1">
      <c r="A921" s="65" t="inlineStr">
        <is>
          <t>17/07/2020</t>
        </is>
      </c>
      <c r="B921" s="28" t="n">
        <v>2.3711</v>
      </c>
      <c r="C921" s="49" t="n"/>
      <c r="D921" s="50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2">
      <c r="A922" s="65" t="inlineStr">
        <is>
          <t>24/07/2020</t>
        </is>
      </c>
      <c r="B922" s="28" t="n">
        <v>2.4317</v>
      </c>
      <c r="C922" s="49" t="n"/>
      <c r="D922" s="50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3">
      <c r="A923" s="65" t="inlineStr">
        <is>
          <t>31/07/2020</t>
        </is>
      </c>
      <c r="B923" s="28" t="n">
        <v>2.4756</v>
      </c>
      <c r="C923" s="49" t="n"/>
      <c r="D923" s="50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4">
      <c r="A924" s="65" t="inlineStr">
        <is>
          <t>07/08/2020</t>
        </is>
      </c>
      <c r="B924" s="28" t="n">
        <v>2.3832</v>
      </c>
      <c r="C924" s="49" t="n"/>
      <c r="D924" s="50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5">
      <c r="A925" s="65" t="inlineStr">
        <is>
          <t>14/08/2020</t>
        </is>
      </c>
      <c r="B925" s="28" t="n">
        <v>2.3659</v>
      </c>
      <c r="C925" s="49" t="n"/>
      <c r="D925" s="50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6">
      <c r="A926" s="65" t="inlineStr">
        <is>
          <t>21/08/2020</t>
        </is>
      </c>
      <c r="B926" s="28" t="n">
        <v>2.4627</v>
      </c>
      <c r="C926" s="49" t="n"/>
      <c r="D926" s="50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7">
      <c r="A927" s="65" t="inlineStr">
        <is>
          <t>28/08/2020</t>
        </is>
      </c>
      <c r="B927" s="28" t="n">
        <v>2.5769</v>
      </c>
      <c r="C927" s="49" t="n"/>
      <c r="D927" s="50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8">
      <c r="A928" s="65" t="inlineStr">
        <is>
          <t>04/09/2020</t>
        </is>
      </c>
      <c r="B928" s="28" t="n">
        <v>2.4774</v>
      </c>
      <c r="C928" s="49" t="n"/>
      <c r="D928" s="50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29">
      <c r="A929" s="65" t="inlineStr">
        <is>
          <t>11/09/2020</t>
        </is>
      </c>
      <c r="B929" s="28" t="n">
        <v>2.4214</v>
      </c>
      <c r="C929" s="49" t="n"/>
      <c r="D929" s="50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0">
      <c r="A930" s="65" t="inlineStr">
        <is>
          <t>18/09/2020</t>
        </is>
      </c>
      <c r="B930" s="28" t="n">
        <v>2.4044</v>
      </c>
      <c r="C930" s="49" t="n"/>
      <c r="D930" s="50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1">
      <c r="A931" s="65" t="inlineStr">
        <is>
          <t>25/09/2020</t>
        </is>
      </c>
      <c r="B931" s="28" t="n">
        <v>2.4963</v>
      </c>
      <c r="C931" s="49" t="n"/>
      <c r="D931" s="50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2">
      <c r="A932" s="65" t="inlineStr">
        <is>
          <t>02/10/2020</t>
        </is>
      </c>
      <c r="B932" s="28" t="n">
        <v>2.4648</v>
      </c>
      <c r="C932" s="49" t="n"/>
      <c r="D932" s="50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3">
      <c r="A933" s="65" t="inlineStr">
        <is>
          <t>09/10/2020</t>
        </is>
      </c>
      <c r="B933" s="28" t="n">
        <v>2.5048</v>
      </c>
      <c r="C933" s="49" t="n"/>
      <c r="D933" s="50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4">
      <c r="A934" s="65" t="inlineStr">
        <is>
          <t>16/10/2020</t>
        </is>
      </c>
      <c r="B934" s="28" t="n">
        <v>2.664</v>
      </c>
      <c r="C934" s="49" t="n"/>
      <c r="D934" s="50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5">
      <c r="A935" s="65" t="inlineStr">
        <is>
          <t>23/10/2020</t>
        </is>
      </c>
      <c r="B935" s="28" t="n">
        <v>2.7041</v>
      </c>
      <c r="C935" s="49" t="n"/>
      <c r="D935" s="50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6">
      <c r="A936" s="65" t="inlineStr">
        <is>
          <t>30/10/2020</t>
        </is>
      </c>
      <c r="B936" s="28" t="n">
        <v>2.7197</v>
      </c>
      <c r="C936" s="49" t="n"/>
      <c r="D936" s="50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7">
      <c r="A937" s="65" t="inlineStr">
        <is>
          <t>06/11/2020</t>
        </is>
      </c>
      <c r="B937" s="28" t="n">
        <v>2.6295</v>
      </c>
      <c r="C937" s="49" t="n"/>
      <c r="D937" s="50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8">
      <c r="A938" s="65" t="inlineStr">
        <is>
          <t>13/11/2020</t>
        </is>
      </c>
      <c r="B938" s="28" t="n">
        <v>2.6397</v>
      </c>
      <c r="C938" s="49" t="n"/>
      <c r="D938" s="50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39">
      <c r="A939" s="65" t="inlineStr">
        <is>
          <t>20/11/2020</t>
        </is>
      </c>
      <c r="B939" s="28" t="n">
        <v>2.6556</v>
      </c>
      <c r="C939" s="49" t="n"/>
      <c r="D939" s="50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0">
      <c r="A940" s="65" t="inlineStr">
        <is>
          <t>27/11/2020</t>
        </is>
      </c>
      <c r="B940" s="28" t="n">
        <v>2.6509</v>
      </c>
      <c r="C940" s="49" t="n"/>
      <c r="D940" s="50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1">
      <c r="A941" s="65" t="inlineStr">
        <is>
          <t>04/12/2020</t>
        </is>
      </c>
      <c r="B941" s="28" t="n">
        <v>2.6055</v>
      </c>
      <c r="C941" s="49" t="n"/>
      <c r="D941" s="50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2">
      <c r="A942" s="65" t="inlineStr">
        <is>
          <t>11/12/2020</t>
        </is>
      </c>
      <c r="B942" s="28" t="n">
        <v>2.6009</v>
      </c>
      <c r="C942" s="49" t="n"/>
      <c r="D942" s="50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3">
      <c r="A943" s="65" t="inlineStr">
        <is>
          <t>18/12/2020</t>
        </is>
      </c>
      <c r="B943" s="28" t="n">
        <v>2.5842</v>
      </c>
      <c r="C943" s="49" t="n"/>
      <c r="D943" s="50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4">
      <c r="A944" s="65" t="inlineStr">
        <is>
          <t>23/12/2020</t>
        </is>
      </c>
      <c r="B944" s="28" t="n">
        <v>2.5871</v>
      </c>
      <c r="C944" s="49" t="n"/>
      <c r="D944" s="50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5">
      <c r="A945" s="65" t="inlineStr">
        <is>
          <t>30/12/2020</t>
        </is>
      </c>
      <c r="B945" s="28" t="n">
        <v>2.5951</v>
      </c>
      <c r="C945" s="49" t="n"/>
      <c r="D945" s="50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6">
      <c r="A946" s="65" t="inlineStr">
        <is>
          <t>08/01/2021</t>
        </is>
      </c>
      <c r="B946" s="28" t="n">
        <v>2.5512</v>
      </c>
      <c r="C946" s="49" t="n"/>
      <c r="D946" s="50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7">
      <c r="A947" s="65" t="inlineStr">
        <is>
          <t>15/01/2021</t>
        </is>
      </c>
      <c r="B947" s="28" t="n">
        <v>2.5633</v>
      </c>
      <c r="C947" s="49" t="n"/>
      <c r="D947" s="50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8">
      <c r="A948" s="65" t="inlineStr">
        <is>
          <t>22/01/2021</t>
        </is>
      </c>
      <c r="B948" s="28" t="n">
        <v>2.6058</v>
      </c>
      <c r="C948" s="49" t="n"/>
      <c r="D948" s="50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49">
      <c r="A949" s="65" t="inlineStr">
        <is>
          <t>29/01/2021</t>
        </is>
      </c>
      <c r="B949" s="28" t="n">
        <v>2.6294</v>
      </c>
      <c r="C949" s="49" t="n"/>
      <c r="D949" s="50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0">
      <c r="A950" s="65" t="inlineStr">
        <is>
          <t>05/02/2021</t>
        </is>
      </c>
      <c r="B950" s="28" t="n">
        <v>2.5705</v>
      </c>
      <c r="C950" s="49" t="n"/>
      <c r="D950" s="50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1">
      <c r="A951" s="65" t="inlineStr">
        <is>
          <t>12/02/2021</t>
        </is>
      </c>
      <c r="B951" s="28" t="n">
        <v>2.7095</v>
      </c>
      <c r="C951" s="49" t="n"/>
      <c r="D951" s="50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2">
      <c r="A952" s="65" t="inlineStr">
        <is>
          <t>19/02/2021</t>
        </is>
      </c>
      <c r="B952" s="28" t="n">
        <v>3.0463</v>
      </c>
      <c r="C952" s="49" t="n"/>
      <c r="D952" s="50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3">
      <c r="A953" s="65" t="inlineStr">
        <is>
          <t>26/02/2021</t>
        </is>
      </c>
      <c r="B953" s="28" t="n">
        <v>3.2672</v>
      </c>
      <c r="C953" s="49" t="n"/>
      <c r="D953" s="50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4">
      <c r="A954" s="65" t="inlineStr">
        <is>
          <t>05/03/2021</t>
        </is>
      </c>
      <c r="B954" s="28" t="n">
        <v>3.4047</v>
      </c>
      <c r="C954" s="49" t="n"/>
      <c r="D954" s="50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5">
      <c r="A955" s="65" t="inlineStr">
        <is>
          <t>12/03/2021</t>
        </is>
      </c>
      <c r="B955" s="28" t="n">
        <v>3.4033</v>
      </c>
      <c r="C955" s="49" t="n"/>
      <c r="D955" s="50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6">
      <c r="A956" s="65" t="inlineStr">
        <is>
          <t>19/03/2021</t>
        </is>
      </c>
      <c r="B956" s="28" t="n">
        <v>3.2107</v>
      </c>
      <c r="C956" s="49" t="n"/>
      <c r="D956" s="50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7">
      <c r="A957" s="65" t="inlineStr">
        <is>
          <t>26/03/2021</t>
        </is>
      </c>
      <c r="B957" s="28" t="n">
        <v>2.702</v>
      </c>
      <c r="C957" s="49" t="n"/>
      <c r="D957" s="50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8">
      <c r="A958" s="65" t="inlineStr">
        <is>
          <t>01/04/2021</t>
        </is>
      </c>
      <c r="B958" s="28" t="n">
        <v>2.6721</v>
      </c>
      <c r="C958" s="49" t="n"/>
      <c r="D958" s="50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59">
      <c r="A959" s="65" t="inlineStr">
        <is>
          <t>09/04/2021</t>
        </is>
      </c>
      <c r="B959" s="28" t="n">
        <v>2.739</v>
      </c>
      <c r="C959" s="49" t="n"/>
      <c r="D959" s="50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0">
      <c r="A960" s="65" t="inlineStr">
        <is>
          <t>16/04/2021</t>
        </is>
      </c>
      <c r="B960" s="28" t="n">
        <v>2.9827</v>
      </c>
      <c r="C960" s="49" t="n"/>
      <c r="D960" s="50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1">
      <c r="A961" s="65" t="inlineStr">
        <is>
          <t>23/04/2021</t>
        </is>
      </c>
      <c r="B961" s="28" t="n">
        <v>3.0859</v>
      </c>
      <c r="C961" s="49" t="n"/>
      <c r="D961" s="50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2">
      <c r="A962" s="65" t="inlineStr">
        <is>
          <t>30/04/2021</t>
        </is>
      </c>
      <c r="B962" s="28" t="n">
        <v>3.0677</v>
      </c>
      <c r="C962" s="49" t="n"/>
      <c r="D962" s="50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3">
      <c r="A963" s="65" t="inlineStr">
        <is>
          <t>07/05/2021</t>
        </is>
      </c>
      <c r="B963" s="28" t="n">
        <v>3.243</v>
      </c>
      <c r="C963" s="49" t="n"/>
      <c r="D963" s="50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4">
      <c r="A964" s="65" t="inlineStr">
        <is>
          <t>14/05/2021</t>
        </is>
      </c>
      <c r="B964" s="28" t="n">
        <v>3.379</v>
      </c>
      <c r="C964" s="49" t="n"/>
      <c r="D964" s="50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5">
      <c r="A965" s="65" t="inlineStr">
        <is>
          <t>21/05/2021</t>
        </is>
      </c>
      <c r="B965" s="28" t="n">
        <v>3.226</v>
      </c>
      <c r="C965" s="49" t="n"/>
      <c r="D965" s="50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6">
      <c r="A966" s="65" t="inlineStr">
        <is>
          <t>28/05/2021</t>
        </is>
      </c>
      <c r="B966" s="28" t="n">
        <v>3.1901</v>
      </c>
      <c r="C966" s="49" t="n"/>
      <c r="D966" s="50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7">
      <c r="A967" s="65" t="inlineStr">
        <is>
          <t>04/06/2021</t>
        </is>
      </c>
      <c r="B967" s="28" t="n">
        <v>3.3032</v>
      </c>
      <c r="C967" s="49" t="n"/>
      <c r="D967" s="50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8">
      <c r="A968" s="65" t="inlineStr">
        <is>
          <t>11/06/2021</t>
        </is>
      </c>
      <c r="B968" s="28" t="n">
        <v>3.3055</v>
      </c>
      <c r="C968" s="49" t="n"/>
      <c r="D968" s="50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69">
      <c r="A969" s="65" t="inlineStr">
        <is>
          <t>18/06/2021</t>
        </is>
      </c>
      <c r="B969" s="28" t="n">
        <v>3.1677</v>
      </c>
      <c r="C969" s="49" t="n"/>
      <c r="D969" s="50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0">
      <c r="A970" s="65" t="inlineStr">
        <is>
          <t>25/06/2021</t>
        </is>
      </c>
      <c r="B970" s="28" t="n">
        <v>3.091</v>
      </c>
      <c r="C970" s="49" t="n"/>
      <c r="D970" s="50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1">
      <c r="A971" s="65" t="inlineStr">
        <is>
          <t>02/07/2021</t>
        </is>
      </c>
      <c r="B971" s="28" t="n">
        <v>3.0979</v>
      </c>
      <c r="C971" s="49" t="n"/>
      <c r="D971" s="50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2">
      <c r="A972" s="65" t="inlineStr">
        <is>
          <t>08/07/2021</t>
        </is>
      </c>
      <c r="B972" s="28" t="n">
        <v>3.1959</v>
      </c>
      <c r="C972" s="49" t="n"/>
      <c r="D972" s="50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3">
      <c r="A973" s="65" t="inlineStr">
        <is>
          <t>16/07/2021</t>
        </is>
      </c>
      <c r="B973" s="28" t="n">
        <v>3.2378</v>
      </c>
      <c r="C973" s="49" t="n"/>
      <c r="D973" s="50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4">
      <c r="A974" s="65" t="inlineStr">
        <is>
          <t>23/07/2021</t>
        </is>
      </c>
      <c r="B974" s="28" t="n">
        <v>3.1829</v>
      </c>
      <c r="C974" s="49" t="n"/>
      <c r="D974" s="50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5">
      <c r="A975" s="65" t="inlineStr">
        <is>
          <t>30/07/2021</t>
        </is>
      </c>
      <c r="B975" s="28" t="n">
        <v>3.244</v>
      </c>
      <c r="C975" s="49" t="n"/>
      <c r="D975" s="50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6">
      <c r="A976" s="65" t="inlineStr">
        <is>
          <t>06/08/2021</t>
        </is>
      </c>
      <c r="B976" s="28" t="n">
        <v>3.2926</v>
      </c>
      <c r="C976" s="49" t="n"/>
      <c r="D976" s="50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7">
      <c r="A977" s="65" t="inlineStr">
        <is>
          <t>13/08/2021</t>
        </is>
      </c>
      <c r="B977" s="28" t="n">
        <v>3.4081</v>
      </c>
      <c r="C977" s="49" t="n"/>
      <c r="D977" s="50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8">
      <c r="A978" s="65" t="inlineStr">
        <is>
          <t>20/08/2021</t>
        </is>
      </c>
      <c r="B978" s="28" t="n">
        <v>3.4542</v>
      </c>
      <c r="C978" s="49" t="n"/>
      <c r="D978" s="50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79">
      <c r="A979" s="65" t="inlineStr">
        <is>
          <t>27/08/2021</t>
        </is>
      </c>
      <c r="B979" s="28" t="n">
        <v>3.462</v>
      </c>
      <c r="C979" s="49" t="n"/>
      <c r="D979" s="50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0">
      <c r="A980" s="65" t="inlineStr">
        <is>
          <t>03/09/2021</t>
        </is>
      </c>
      <c r="B980" s="28" t="n">
        <v>3.5244</v>
      </c>
      <c r="C980" s="49" t="n"/>
      <c r="D980" s="50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1">
      <c r="A981" s="65" t="inlineStr">
        <is>
          <t>10/09/2021</t>
        </is>
      </c>
      <c r="B981" s="28" t="n">
        <v>3.5375</v>
      </c>
      <c r="C981" s="49" t="n"/>
      <c r="D981" s="50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2">
      <c r="A982" s="65" t="inlineStr">
        <is>
          <t>17/09/2021</t>
        </is>
      </c>
      <c r="B982" s="28" t="n">
        <v>3.567</v>
      </c>
      <c r="C982" s="49" t="n"/>
      <c r="D982" s="50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3">
      <c r="A983" s="65" t="inlineStr">
        <is>
          <t>24/09/2021</t>
        </is>
      </c>
      <c r="B983" s="28" t="n">
        <v>3.6068</v>
      </c>
      <c r="C983" s="49" t="n"/>
      <c r="D983" s="50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4">
      <c r="A984" s="65" t="inlineStr">
        <is>
          <t>01/10/2021</t>
        </is>
      </c>
      <c r="B984" s="28" t="n">
        <v>3.5755</v>
      </c>
      <c r="C984" s="49" t="n"/>
      <c r="D984" s="50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5">
      <c r="A985" s="65" t="inlineStr">
        <is>
          <t>08/10/2021</t>
        </is>
      </c>
      <c r="B985" s="28" t="n">
        <v>3.6286</v>
      </c>
      <c r="C985" s="49" t="n"/>
      <c r="D985" s="50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6">
      <c r="A986" s="65" t="inlineStr">
        <is>
          <t>15/10/2021</t>
        </is>
      </c>
      <c r="B986" s="28" t="n">
        <v>3.7243</v>
      </c>
      <c r="C986" s="49" t="n"/>
      <c r="D986" s="50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7">
      <c r="A987" s="65" t="inlineStr">
        <is>
          <t>22/10/2021</t>
        </is>
      </c>
      <c r="B987" s="28" t="n">
        <v>3.8549</v>
      </c>
      <c r="C987" s="49" t="n"/>
      <c r="D987" s="50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8">
      <c r="A988" s="65" t="inlineStr">
        <is>
          <t>29/10/2021</t>
        </is>
      </c>
      <c r="B988" s="28" t="n">
        <v>4.1574</v>
      </c>
      <c r="C988" s="49" t="n"/>
      <c r="D988" s="50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89">
      <c r="A989" s="65" t="inlineStr">
        <is>
          <t>05/11/2021</t>
        </is>
      </c>
      <c r="B989" s="28" t="n">
        <v>4.2258</v>
      </c>
      <c r="C989" s="49" t="n"/>
      <c r="D989" s="50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0">
      <c r="A990" s="65" t="inlineStr">
        <is>
          <t>12/11/2021</t>
        </is>
      </c>
      <c r="B990" s="28" t="n">
        <v>4.1369</v>
      </c>
      <c r="C990" s="49" t="n"/>
      <c r="D990" s="50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1">
      <c r="A991" s="65" t="inlineStr">
        <is>
          <t>19/11/2021</t>
        </is>
      </c>
      <c r="B991" s="28" t="n">
        <v>3.9701</v>
      </c>
      <c r="C991" s="49" t="n"/>
      <c r="D991" s="50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2">
      <c r="A992" s="65" t="inlineStr">
        <is>
          <t>26/11/2021</t>
        </is>
      </c>
      <c r="B992" s="28" t="n">
        <v>3.8385</v>
      </c>
      <c r="C992" s="49" t="n"/>
      <c r="D992" s="50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3">
      <c r="A993" s="65" t="inlineStr">
        <is>
          <t>03/12/2021</t>
        </is>
      </c>
      <c r="B993" s="28" t="n">
        <v>3.7239</v>
      </c>
      <c r="C993" s="49" t="n"/>
      <c r="D993" s="50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4">
      <c r="A994" s="65" t="inlineStr">
        <is>
          <t>10/12/2021</t>
        </is>
      </c>
      <c r="B994" s="28" t="n">
        <v>3.5741</v>
      </c>
      <c r="C994" s="49" t="n"/>
      <c r="D994" s="50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5">
      <c r="A995" s="65" t="inlineStr">
        <is>
          <t>17/12/2021</t>
        </is>
      </c>
      <c r="B995" s="28" t="n">
        <v>3.6134</v>
      </c>
      <c r="C995" s="49" t="n"/>
      <c r="D995" s="50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6">
      <c r="A996" s="65" t="inlineStr">
        <is>
          <t>23/12/2021</t>
        </is>
      </c>
      <c r="B996" s="28" t="n">
        <v>3.5952</v>
      </c>
      <c r="C996" s="49" t="n"/>
      <c r="D996" s="50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7">
      <c r="A997" s="65" t="inlineStr">
        <is>
          <t>30/12/2021</t>
        </is>
      </c>
      <c r="B997" s="28" t="n">
        <v>3.5899</v>
      </c>
      <c r="C997" s="49" t="n"/>
      <c r="D997" s="50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8">
      <c r="A998" s="65" t="inlineStr">
        <is>
          <t>07/01/2022</t>
        </is>
      </c>
      <c r="B998" s="28" t="n">
        <v>3.5428</v>
      </c>
      <c r="C998" s="49" t="n"/>
      <c r="D998" s="50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999">
      <c r="A999" s="65" t="inlineStr">
        <is>
          <t>14/01/2022</t>
        </is>
      </c>
      <c r="B999" s="28" t="n">
        <v>3.5434</v>
      </c>
      <c r="C999" s="49" t="n"/>
      <c r="D999" s="50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0">
      <c r="A1000" s="65" t="inlineStr">
        <is>
          <t>21/01/2022</t>
        </is>
      </c>
      <c r="B1000" s="28" t="n">
        <v>3.4932</v>
      </c>
      <c r="C1000" s="49" t="n"/>
      <c r="D1000" s="50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1">
      <c r="A1001" s="65" t="inlineStr">
        <is>
          <t>28/01/2022</t>
        </is>
      </c>
      <c r="B1001" s="28" t="n">
        <v>3.3459</v>
      </c>
      <c r="C1001" s="49" t="n"/>
      <c r="D1001" s="50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2">
      <c r="A1002" s="65" t="inlineStr">
        <is>
          <t>04/02/2022</t>
        </is>
      </c>
      <c r="B1002" s="28" t="n">
        <v>3.0184</v>
      </c>
      <c r="C1002" s="49" t="n"/>
      <c r="D1002" s="50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3">
      <c r="A1003" s="65" t="inlineStr">
        <is>
          <t>11/02/2022</t>
        </is>
      </c>
      <c r="B1003" s="28" t="n">
        <v>2.9468</v>
      </c>
      <c r="C1003" s="49" t="n"/>
      <c r="D1003" s="50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4">
      <c r="A1004" s="65" t="inlineStr">
        <is>
          <t>18/02/2022</t>
        </is>
      </c>
      <c r="B1004" s="28" t="n">
        <v>2.9927</v>
      </c>
      <c r="C1004" s="49" t="n"/>
      <c r="D1004" s="50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5">
      <c r="A1005" s="65" t="inlineStr">
        <is>
          <t>25/02/2022</t>
        </is>
      </c>
      <c r="B1005" s="28" t="n">
        <v>2.9789</v>
      </c>
      <c r="C1005" s="49" t="n"/>
      <c r="D1005" s="50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6">
      <c r="A1006" s="65" t="inlineStr">
        <is>
          <t>04/03/2022</t>
        </is>
      </c>
      <c r="B1006" s="28" t="n">
        <v>2.9809</v>
      </c>
      <c r="C1006" s="49" t="n"/>
      <c r="D1006" s="50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7">
      <c r="A1007" s="65" t="inlineStr">
        <is>
          <t>11/03/2022</t>
        </is>
      </c>
      <c r="B1007" s="28" t="n">
        <v>3.2253</v>
      </c>
      <c r="C1007" s="49" t="n"/>
      <c r="D1007" s="50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8">
      <c r="A1008" s="65" t="inlineStr">
        <is>
          <t>18/03/2022</t>
        </is>
      </c>
      <c r="B1008" s="28" t="n">
        <v>3.3499</v>
      </c>
      <c r="C1008" s="49" t="n"/>
      <c r="D1008" s="50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09">
      <c r="A1009" s="65" t="inlineStr">
        <is>
          <t>25/03/2022</t>
        </is>
      </c>
      <c r="B1009" s="28" t="n">
        <v>3.3409</v>
      </c>
      <c r="C1009" s="49" t="n"/>
      <c r="D1009" s="50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0">
      <c r="A1010" s="65" t="inlineStr">
        <is>
          <t>01/04/2022</t>
        </is>
      </c>
      <c r="B1010" s="28" t="n">
        <v>3.4349</v>
      </c>
      <c r="C1010" s="49" t="n"/>
      <c r="D1010" s="50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1">
      <c r="A1011" s="65" t="inlineStr">
        <is>
          <t>08/04/2022</t>
        </is>
      </c>
      <c r="B1011" s="28" t="n">
        <v>3.5723</v>
      </c>
      <c r="C1011" s="49" t="n"/>
      <c r="D1011" s="50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2">
      <c r="A1012" s="65" t="inlineStr">
        <is>
          <t>14/04/2022</t>
        </is>
      </c>
      <c r="B1012" s="28" t="n">
        <v>3.8607</v>
      </c>
      <c r="C1012" s="49" t="n"/>
      <c r="D1012" s="50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3">
      <c r="A1013" s="65" t="inlineStr">
        <is>
          <t>22/04/2022</t>
        </is>
      </c>
      <c r="B1013" s="28" t="n">
        <v>3.8642</v>
      </c>
      <c r="C1013" s="49" t="n"/>
      <c r="D1013" s="50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4">
      <c r="A1014" s="65" t="inlineStr">
        <is>
          <t>29/04/2022</t>
        </is>
      </c>
      <c r="B1014" s="28" t="n">
        <v>3.5185</v>
      </c>
      <c r="C1014" s="49" t="n"/>
      <c r="D1014" s="50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5">
      <c r="A1015" s="65" t="inlineStr">
        <is>
          <t>06/05/2022</t>
        </is>
      </c>
      <c r="B1015" s="28" t="n">
        <v>3.3234</v>
      </c>
      <c r="C1015" s="49" t="n"/>
      <c r="D1015" s="50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6">
      <c r="A1016" s="65" t="inlineStr">
        <is>
          <t>13/05/2022</t>
        </is>
      </c>
      <c r="B1016" s="28" t="n">
        <v>3.3623</v>
      </c>
      <c r="C1016" s="49" t="n"/>
      <c r="D1016" s="50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7">
      <c r="A1017" s="65" t="inlineStr">
        <is>
          <t>20/05/2022</t>
        </is>
      </c>
      <c r="B1017" s="28" t="n">
        <v>3.3505</v>
      </c>
      <c r="C1017" s="49" t="n"/>
      <c r="D1017" s="50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8">
      <c r="A1018" s="65" t="inlineStr">
        <is>
          <t>27/05/2022</t>
        </is>
      </c>
      <c r="B1018" s="28" t="n">
        <v>3.2521</v>
      </c>
      <c r="C1018" s="49" t="n"/>
      <c r="D1018" s="50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19">
      <c r="A1019" s="65" t="inlineStr">
        <is>
          <t>03/06/2022</t>
        </is>
      </c>
      <c r="B1019" s="28" t="n">
        <v>3.0713</v>
      </c>
      <c r="C1019" s="49" t="n"/>
      <c r="D1019" s="50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0">
      <c r="A1020" s="65" t="inlineStr">
        <is>
          <t>10/06/2022</t>
        </is>
      </c>
      <c r="B1020" s="28" t="n">
        <v>3.0692</v>
      </c>
      <c r="C1020" s="49" t="n"/>
      <c r="D1020" s="50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1">
      <c r="A1021" s="65" t="inlineStr">
        <is>
          <t>17/06/2022</t>
        </is>
      </c>
      <c r="B1021" s="28" t="n">
        <v>2.9972</v>
      </c>
      <c r="C1021" s="49" t="n"/>
      <c r="D1021" s="50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2">
      <c r="A1022" s="65" t="inlineStr">
        <is>
          <t>24/06/2022</t>
        </is>
      </c>
      <c r="B1022" s="28" t="n">
        <v>3.0497</v>
      </c>
      <c r="C1022" s="49" t="n"/>
      <c r="D1022" s="50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3">
      <c r="A1023" s="65" t="inlineStr">
        <is>
          <t>01/07/2022</t>
        </is>
      </c>
      <c r="B1023" s="28" t="n">
        <v>2.943</v>
      </c>
      <c r="C1023" s="49" t="n"/>
      <c r="D1023" s="50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4">
      <c r="A1024" s="65" t="inlineStr">
        <is>
          <t>08/07/2022</t>
        </is>
      </c>
      <c r="B1024" s="28" t="n">
        <v>2.8813</v>
      </c>
      <c r="C1024" s="49" t="n"/>
      <c r="D1024" s="50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5">
      <c r="A1025" s="65" t="inlineStr">
        <is>
          <t>15/07/2022</t>
        </is>
      </c>
      <c r="B1025" s="28" t="n">
        <v>2.9098</v>
      </c>
      <c r="C1025" s="49" t="n"/>
      <c r="D1025" s="50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6">
      <c r="A1026" s="65" t="inlineStr">
        <is>
          <t>22/07/2022</t>
        </is>
      </c>
      <c r="B1026" s="28" t="n">
        <v>2.9142</v>
      </c>
      <c r="C1026" s="49" t="n"/>
      <c r="D1026" s="50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7">
      <c r="A1027" s="65" t="inlineStr">
        <is>
          <t>29/07/2022</t>
        </is>
      </c>
      <c r="B1027" s="28" t="n">
        <v>2.9224</v>
      </c>
      <c r="C1027" s="49" t="n"/>
      <c r="D1027" s="50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8">
      <c r="A1028" s="65" t="inlineStr">
        <is>
          <t>05/08/2022</t>
        </is>
      </c>
      <c r="B1028" s="28" t="n">
        <v>2.8638</v>
      </c>
      <c r="C1028" s="49" t="n"/>
      <c r="D1028" s="50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29">
      <c r="A1029" s="65" t="inlineStr">
        <is>
          <t>12/08/2022</t>
        </is>
      </c>
      <c r="B1029" s="28" t="n">
        <v>2.8052</v>
      </c>
      <c r="C1029" s="49" t="n"/>
      <c r="D1029" s="50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0">
      <c r="A1030" s="65" t="inlineStr">
        <is>
          <t>19/08/2022</t>
        </is>
      </c>
      <c r="B1030" s="28" t="n">
        <v>2.5905</v>
      </c>
      <c r="C1030" s="49" t="n"/>
      <c r="D1030" s="50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1">
      <c r="A1031" s="65" t="inlineStr">
        <is>
          <t>26/08/2022</t>
        </is>
      </c>
      <c r="B1031" s="28" t="n">
        <v>2.4135</v>
      </c>
      <c r="C1031" s="49" t="n"/>
      <c r="D1031" s="50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2">
      <c r="A1032" s="65" t="inlineStr">
        <is>
          <t>02/09/2022</t>
        </is>
      </c>
      <c r="B1032" s="28" t="n">
        <v>2.3359</v>
      </c>
      <c r="C1032" s="49" t="n"/>
      <c r="D1032" s="50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3">
      <c r="A1033" s="65" t="inlineStr">
        <is>
          <t>09/09/2022</t>
        </is>
      </c>
      <c r="B1033" s="28" t="n">
        <v>2.2491</v>
      </c>
      <c r="C1033" s="49" t="n"/>
      <c r="D1033" s="50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4">
      <c r="A1034" s="65" t="inlineStr">
        <is>
          <t>16/09/2022</t>
        </is>
      </c>
      <c r="B1034" s="28" t="n">
        <v>2.405</v>
      </c>
      <c r="C1034" s="49" t="n"/>
      <c r="D1034" s="50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5">
      <c r="A1035" s="65" t="inlineStr">
        <is>
          <t>23/09/2022</t>
        </is>
      </c>
      <c r="B1035" s="28" t="n">
        <v>2.4255</v>
      </c>
      <c r="C1035" s="49" t="n"/>
      <c r="D1035" s="50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6">
      <c r="A1036" s="65" t="inlineStr">
        <is>
          <t>30/09/2022</t>
        </is>
      </c>
      <c r="B1036" s="28" t="n">
        <v>2.5242</v>
      </c>
      <c r="C1036" s="49" t="n"/>
      <c r="D1036" s="50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7">
      <c r="A1037" s="65" t="inlineStr">
        <is>
          <t>07/10/2022</t>
        </is>
      </c>
      <c r="B1037" s="28" t="n">
        <v>2.6484</v>
      </c>
      <c r="C1037" s="49" t="n"/>
      <c r="D1037" s="50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8">
      <c r="A1038" s="65" t="inlineStr">
        <is>
          <t>14/10/2022</t>
        </is>
      </c>
      <c r="B1038" s="28" t="n">
        <v>2.7732</v>
      </c>
      <c r="C1038" s="49" t="n"/>
      <c r="D1038" s="50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39">
      <c r="A1039" s="65" t="inlineStr">
        <is>
          <t>21/10/2022</t>
        </is>
      </c>
      <c r="B1039" s="28" t="n">
        <v>2.7744</v>
      </c>
      <c r="C1039" s="49" t="n"/>
      <c r="D1039" s="50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0">
      <c r="A1040" s="65" t="inlineStr">
        <is>
          <t>28/10/2022</t>
        </is>
      </c>
      <c r="B1040" s="28" t="n">
        <v>2.7355</v>
      </c>
      <c r="C1040" s="49" t="n"/>
      <c r="D1040" s="50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1">
      <c r="A1041" s="65" t="inlineStr">
        <is>
          <t>04/11/2022</t>
        </is>
      </c>
      <c r="B1041" s="28" t="n">
        <v>2.945</v>
      </c>
      <c r="C1041" s="49" t="n"/>
      <c r="D1041" s="50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2">
      <c r="A1042" s="65" t="inlineStr">
        <is>
          <t>11/11/2022</t>
        </is>
      </c>
      <c r="B1042" s="28" t="n">
        <v>2.9104</v>
      </c>
      <c r="C1042" s="49" t="n"/>
      <c r="D1042" s="50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3">
      <c r="A1043" s="65" t="inlineStr">
        <is>
          <t>18/11/2022</t>
        </is>
      </c>
      <c r="B1043" s="28" t="n">
        <v>2.8828</v>
      </c>
      <c r="C1043" s="49" t="n"/>
      <c r="D1043" s="50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4">
      <c r="A1044" s="65" t="inlineStr">
        <is>
          <t>25/11/2022</t>
        </is>
      </c>
      <c r="B1044" s="28" t="n">
        <v>2.8806</v>
      </c>
      <c r="C1044" s="49" t="n"/>
      <c r="D1044" s="50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5">
      <c r="A1045" s="65" t="inlineStr">
        <is>
          <t>02/12/2022</t>
        </is>
      </c>
      <c r="B1045" s="28" t="n">
        <v>2.8333</v>
      </c>
      <c r="C1045" s="49" t="n"/>
      <c r="D1045" s="50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6">
      <c r="A1046" s="65" t="inlineStr">
        <is>
          <t>09/12/2022</t>
        </is>
      </c>
      <c r="B1046" s="28" t="n">
        <v>2.7719</v>
      </c>
      <c r="C1046" s="49" t="n"/>
      <c r="D1046" s="50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7">
      <c r="A1047" s="65" t="inlineStr">
        <is>
          <t>16/12/2022</t>
        </is>
      </c>
      <c r="B1047" s="28" t="n">
        <v>2.7337</v>
      </c>
      <c r="C1047" s="49" t="n"/>
      <c r="D1047" s="50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8">
      <c r="A1048" s="65" t="inlineStr">
        <is>
          <t>23/12/2022</t>
        </is>
      </c>
      <c r="B1048" s="28" t="n">
        <v>2.872</v>
      </c>
      <c r="C1048" s="49" t="n"/>
      <c r="D1048" s="50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49">
      <c r="A1049" s="65" t="inlineStr">
        <is>
          <t>29/12/2022</t>
        </is>
      </c>
      <c r="B1049" s="28" t="n">
        <v>2.9493</v>
      </c>
      <c r="C1049" s="49" t="n"/>
      <c r="D1049" s="50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0">
      <c r="A1050" s="65" t="inlineStr">
        <is>
          <t>06/01/2023</t>
        </is>
      </c>
      <c r="B1050" s="28" t="n">
        <v>2.8615</v>
      </c>
      <c r="C1050" s="49" t="n"/>
      <c r="D1050" s="50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1">
      <c r="A1051" s="65" t="inlineStr">
        <is>
          <t>13/01/2023</t>
        </is>
      </c>
      <c r="B1051" s="28" t="n">
        <v>2.6378</v>
      </c>
      <c r="C1051" s="49" t="n"/>
      <c r="D1051" s="50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2">
      <c r="A1052" s="65" t="inlineStr">
        <is>
          <t>20/01/2023</t>
        </is>
      </c>
      <c r="B1052" s="28" t="n">
        <v>2.6073</v>
      </c>
      <c r="C1052" s="49" t="n"/>
      <c r="D1052" s="50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3">
      <c r="A1053" s="65" t="inlineStr">
        <is>
          <t>27/01/2023</t>
        </is>
      </c>
      <c r="B1053" s="28" t="n">
        <v>2.7399</v>
      </c>
      <c r="C1053" s="49" t="n"/>
      <c r="D1053" s="50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4">
      <c r="A1054" s="65" t="inlineStr">
        <is>
          <t>03/02/2023</t>
        </is>
      </c>
      <c r="B1054" s="28" t="n">
        <v>2.7591</v>
      </c>
      <c r="C1054" s="49" t="n"/>
      <c r="D1054" s="50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5">
      <c r="A1055" s="65" t="inlineStr">
        <is>
          <t>10/02/2023</t>
        </is>
      </c>
      <c r="B1055" s="28" t="n">
        <v>2.699</v>
      </c>
      <c r="C1055" s="49" t="n"/>
      <c r="D1055" s="50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6">
      <c r="A1056" s="65" t="inlineStr">
        <is>
          <t>17/02/2023</t>
        </is>
      </c>
      <c r="B1056" s="28" t="n">
        <v>2.7499</v>
      </c>
      <c r="C1056" s="49" t="n"/>
      <c r="D1056" s="50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7">
      <c r="A1057" s="65" t="inlineStr">
        <is>
          <t>24/02/2023</t>
        </is>
      </c>
      <c r="B1057" s="28" t="n">
        <v>2.7647</v>
      </c>
      <c r="C1057" s="49" t="n"/>
      <c r="D1057" s="50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8">
      <c r="A1058" s="65" t="inlineStr">
        <is>
          <t>03/03/2023</t>
        </is>
      </c>
      <c r="B1058" s="28" t="n">
        <v>2.8064</v>
      </c>
      <c r="C1058" s="49" t="n"/>
      <c r="D1058" s="50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59">
      <c r="A1059" s="65" t="inlineStr">
        <is>
          <t>10/03/2023</t>
        </is>
      </c>
      <c r="B1059" s="28" t="n">
        <v>2.7441</v>
      </c>
      <c r="C1059" s="49" t="n"/>
      <c r="D1059" s="50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0">
      <c r="A1060" s="65" t="inlineStr">
        <is>
          <t>17/03/2023</t>
        </is>
      </c>
      <c r="B1060" s="28" t="n">
        <v>2.741</v>
      </c>
      <c r="C1060" s="49" t="n"/>
      <c r="D1060" s="50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1">
      <c r="A1061" s="65" t="inlineStr">
        <is>
          <t>24/03/2023</t>
        </is>
      </c>
      <c r="B1061" s="28" t="n">
        <v>2.7329</v>
      </c>
      <c r="C1061" s="49" t="n"/>
      <c r="D1061" s="50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2">
      <c r="A1062" s="65" t="inlineStr">
        <is>
          <t>31/03/2023</t>
        </is>
      </c>
      <c r="B1062" s="28" t="n">
        <v>2.7844</v>
      </c>
      <c r="C1062" s="49" t="n"/>
      <c r="D1062" s="50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3">
      <c r="A1063" s="65" t="inlineStr">
        <is>
          <t>06/04/2023</t>
        </is>
      </c>
      <c r="B1063" s="28" t="n">
        <v>2.8815</v>
      </c>
      <c r="C1063" s="49" t="n"/>
      <c r="D1063" s="50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4">
      <c r="A1064" s="65" t="inlineStr">
        <is>
          <t>14/04/2023</t>
        </is>
      </c>
      <c r="B1064" s="28" t="n">
        <v>2.9778</v>
      </c>
      <c r="C1064" s="49" t="n"/>
      <c r="D1064" s="50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5">
      <c r="A1065" s="65" t="inlineStr">
        <is>
          <t>20/04/2023</t>
        </is>
      </c>
      <c r="B1065" s="28" t="n">
        <v>3.1798</v>
      </c>
      <c r="C1065" s="49" t="n"/>
      <c r="D1065" s="50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6">
      <c r="A1066" s="65" t="inlineStr">
        <is>
          <t>28/04/2023</t>
        </is>
      </c>
      <c r="B1066" s="28" t="n">
        <v>3.0465</v>
      </c>
      <c r="C1066" s="49" t="n"/>
      <c r="D1066" s="50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7">
      <c r="A1067" s="65" t="inlineStr">
        <is>
          <t>05/05/2023</t>
        </is>
      </c>
      <c r="B1067" s="28" t="n">
        <v>2.8985</v>
      </c>
      <c r="C1067" s="49" t="n"/>
      <c r="D1067" s="50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8">
      <c r="A1068" s="65" t="inlineStr">
        <is>
          <t>12/05/2023</t>
        </is>
      </c>
      <c r="B1068" s="28" t="n">
        <v>2.7633</v>
      </c>
      <c r="C1068" s="49" t="n"/>
      <c r="D1068" s="50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69">
      <c r="A1069" s="65" t="inlineStr">
        <is>
          <t>19/05/2023</t>
        </is>
      </c>
      <c r="B1069" s="28" t="n">
        <v>2.5795</v>
      </c>
      <c r="C1069" s="49" t="n"/>
      <c r="D1069" s="50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0">
      <c r="A1070" s="65" t="inlineStr">
        <is>
          <t>26/05/2023</t>
        </is>
      </c>
      <c r="B1070" s="28" t="n">
        <v>2.649</v>
      </c>
      <c r="C1070" s="49" t="n"/>
      <c r="D1070" s="50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1">
      <c r="A1071" s="65" t="inlineStr">
        <is>
          <t>02/06/2023</t>
        </is>
      </c>
      <c r="B1071" s="28" t="n">
        <v>2.7468</v>
      </c>
      <c r="C1071" s="49" t="n"/>
      <c r="D1071" s="50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2">
      <c r="A1072" s="65" t="inlineStr">
        <is>
          <t>09/06/2023</t>
        </is>
      </c>
      <c r="B1072" s="28" t="n">
        <v>2.704</v>
      </c>
      <c r="C1072" s="49" t="n"/>
      <c r="D1072" s="50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3">
      <c r="A1073" s="65" t="inlineStr">
        <is>
          <t>16/06/2023</t>
        </is>
      </c>
      <c r="B1073" s="28" t="n">
        <v>2.7196</v>
      </c>
      <c r="C1073" s="49" t="n"/>
      <c r="D1073" s="50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4">
      <c r="A1074" s="65" t="inlineStr">
        <is>
          <t>23/06/2023</t>
        </is>
      </c>
      <c r="B1074" s="28" t="n">
        <v>2.6846</v>
      </c>
      <c r="C1074" s="49" t="n"/>
      <c r="D1074" s="50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5">
      <c r="A1075" s="65" t="inlineStr">
        <is>
          <t>30/06/2023</t>
        </is>
      </c>
      <c r="B1075" s="28" t="n">
        <v>2.7086</v>
      </c>
      <c r="C1075" s="49" t="n"/>
      <c r="D1075" s="50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6">
      <c r="A1076" s="65" t="inlineStr">
        <is>
          <t>07/07/2023</t>
        </is>
      </c>
      <c r="B1076" s="28" t="n">
        <v>2.4103</v>
      </c>
      <c r="C1076" s="49" t="n"/>
      <c r="D1076" s="50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7">
      <c r="A1077" s="65" t="inlineStr">
        <is>
          <t>14/07/2023</t>
        </is>
      </c>
      <c r="B1077" s="28" t="n">
        <v>2.3548</v>
      </c>
      <c r="C1077" s="49" t="n"/>
      <c r="D1077" s="50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8">
      <c r="A1078" s="65" t="inlineStr">
        <is>
          <t>21/07/2023</t>
        </is>
      </c>
      <c r="B1078" s="28" t="n">
        <v>2.2561</v>
      </c>
      <c r="C1078" s="49" t="n"/>
      <c r="D1078" s="50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79">
      <c r="A1079" s="65" t="inlineStr">
        <is>
          <t>28/07/2023</t>
        </is>
      </c>
      <c r="B1079" s="28" t="n">
        <v>2.2676</v>
      </c>
      <c r="C1079" s="49" t="n"/>
      <c r="D1079" s="50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0">
      <c r="A1080" s="65" t="inlineStr">
        <is>
          <t>04/08/2023</t>
        </is>
      </c>
      <c r="B1080" s="28" t="n">
        <v>2.2951</v>
      </c>
      <c r="C1080" s="49" t="n"/>
      <c r="D1080" s="50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1">
      <c r="A1081" s="65" t="inlineStr">
        <is>
          <t>11/08/2023</t>
        </is>
      </c>
      <c r="B1081" s="28" t="n">
        <v>2.2408</v>
      </c>
      <c r="C1081" s="49" t="n"/>
      <c r="D1081" s="50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2">
      <c r="A1082" s="65" t="inlineStr">
        <is>
          <t>18/08/2023</t>
        </is>
      </c>
      <c r="B1082" s="28" t="n">
        <v>2.323</v>
      </c>
      <c r="C1082" s="49" t="n"/>
      <c r="D1082" s="50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3">
      <c r="A1083" s="65" t="inlineStr">
        <is>
          <t>25/08/2023</t>
        </is>
      </c>
      <c r="B1083" s="28" t="n">
        <v>2.3652</v>
      </c>
      <c r="C1083" s="49" t="n"/>
      <c r="D1083" s="50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4">
      <c r="A1084" s="65" t="inlineStr">
        <is>
          <t>01/09/2023</t>
        </is>
      </c>
      <c r="B1084" s="28" t="n">
        <v>2.3645</v>
      </c>
      <c r="C1084" s="49" t="n"/>
      <c r="D1084" s="50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5">
      <c r="A1085" s="65" t="inlineStr">
        <is>
          <t>08/09/2023</t>
        </is>
      </c>
      <c r="B1085" s="28" t="n">
        <v>2.3587</v>
      </c>
      <c r="C1085" s="49" t="n"/>
      <c r="D1085" s="50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6">
      <c r="A1086" s="65" t="inlineStr">
        <is>
          <t>15/09/2023</t>
        </is>
      </c>
      <c r="B1086" s="28" t="n">
        <v>2.3305</v>
      </c>
      <c r="C1086" s="49" t="n"/>
      <c r="D1086" s="50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7">
      <c r="A1087" s="65" t="inlineStr">
        <is>
          <t>22/09/2023</t>
        </is>
      </c>
      <c r="B1087" s="28" t="n">
        <v>2.3398</v>
      </c>
      <c r="C1087" s="49" t="n"/>
      <c r="D1087" s="50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8">
      <c r="A1088" s="65" t="inlineStr">
        <is>
          <t>29/09/2023</t>
        </is>
      </c>
      <c r="B1088" s="28" t="n">
        <v>2.3402</v>
      </c>
      <c r="C1088" s="49" t="n"/>
      <c r="D1088" s="50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89">
      <c r="A1089" s="65" t="inlineStr">
        <is>
          <t>06/10/2023</t>
        </is>
      </c>
      <c r="B1089" s="28" t="n">
        <v>2.3201</v>
      </c>
      <c r="C1089" s="49" t="n"/>
      <c r="D1089" s="50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0">
      <c r="A1090" s="65" t="inlineStr">
        <is>
          <t>13/10/2023</t>
        </is>
      </c>
      <c r="B1090" s="28" t="n">
        <v>2.3239</v>
      </c>
      <c r="C1090" s="49" t="n"/>
      <c r="D1090" s="50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1">
      <c r="A1091" s="65" t="inlineStr">
        <is>
          <t>20/10/2023</t>
        </is>
      </c>
      <c r="B1091" s="28" t="n">
        <v>2.3687</v>
      </c>
      <c r="C1091" s="49" t="n"/>
      <c r="D1091" s="50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2">
      <c r="A1092" s="65" t="inlineStr">
        <is>
          <t>27/10/2023</t>
        </is>
      </c>
      <c r="B1092" s="28" t="n">
        <v>2.3686</v>
      </c>
      <c r="C1092" s="49" t="n"/>
      <c r="D1092" s="50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3">
      <c r="A1093" s="65" t="inlineStr">
        <is>
          <t>03/11/2023</t>
        </is>
      </c>
      <c r="B1093" s="28" t="n">
        <v>2.3439</v>
      </c>
      <c r="C1093" s="49" t="n"/>
      <c r="D1093" s="50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4">
      <c r="A1094" s="65" t="inlineStr">
        <is>
          <t>10/11/2023</t>
        </is>
      </c>
      <c r="B1094" s="28" t="n">
        <v>2.3213</v>
      </c>
      <c r="C1094" s="49" t="n"/>
      <c r="D1094" s="50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5">
      <c r="A1095" s="65" t="inlineStr">
        <is>
          <t>17/11/2023</t>
        </is>
      </c>
      <c r="B1095" s="28" t="n">
        <v>2.2749</v>
      </c>
      <c r="C1095" s="49" t="n"/>
      <c r="D1095" s="50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6">
      <c r="A1096" s="65" t="inlineStr">
        <is>
          <t>24/11/2023</t>
        </is>
      </c>
      <c r="B1096" s="28" t="n">
        <v>2.2173</v>
      </c>
      <c r="C1096" s="49" t="n"/>
      <c r="D1096" s="50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7">
      <c r="A1097" s="65" t="inlineStr">
        <is>
          <t>01/12/2023</t>
        </is>
      </c>
      <c r="B1097" s="28" t="n">
        <v>2.165</v>
      </c>
      <c r="C1097" s="49" t="n"/>
      <c r="D1097" s="50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8">
      <c r="A1098" s="65" t="inlineStr">
        <is>
          <t>08/12/2023</t>
        </is>
      </c>
      <c r="B1098" s="28" t="n">
        <v>2.0877</v>
      </c>
      <c r="C1098" s="49" t="n"/>
      <c r="D1098" s="50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099">
      <c r="A1099" s="65" t="inlineStr">
        <is>
          <t>15/12/2023</t>
        </is>
      </c>
      <c r="B1099" s="28" t="n">
        <v>1.9597</v>
      </c>
      <c r="C1099" s="49" t="n"/>
      <c r="D1099" s="50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0">
      <c r="A1100" s="65" t="inlineStr">
        <is>
          <t>22/12/2023</t>
        </is>
      </c>
      <c r="B1100" s="28" t="n">
        <v>1.9853</v>
      </c>
      <c r="C1100" s="49" t="n"/>
      <c r="D1100" s="50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1">
      <c r="A1101" s="65" t="inlineStr">
        <is>
          <t>28/12/2023</t>
        </is>
      </c>
      <c r="B1101" s="28" t="n">
        <v>2.0035</v>
      </c>
      <c r="C1101" s="49" t="n"/>
      <c r="D1101" s="50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2">
      <c r="A1102" s="65" t="inlineStr">
        <is>
          <t>05/01/2024</t>
        </is>
      </c>
      <c r="B1102" s="28" t="n">
        <v>1.9744</v>
      </c>
      <c r="C1102" s="49" t="n"/>
      <c r="D1102" s="50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3">
      <c r="A1103" s="65" t="inlineStr">
        <is>
          <t>12/01/2024</t>
        </is>
      </c>
      <c r="B1103" s="28" t="n">
        <v>1.9421</v>
      </c>
      <c r="C1103" s="49" t="n"/>
      <c r="D1103" s="50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4">
      <c r="A1104" s="65" t="inlineStr">
        <is>
          <t>19/01/2024</t>
        </is>
      </c>
      <c r="B1104" s="28" t="n">
        <v>2.003</v>
      </c>
      <c r="C1104" s="49" t="n"/>
      <c r="D1104" s="50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5">
      <c r="A1105" s="65" t="inlineStr">
        <is>
          <t>26/01/2024</t>
        </is>
      </c>
      <c r="B1105" s="28" t="n">
        <v>2.1449</v>
      </c>
      <c r="C1105" s="49" t="n"/>
      <c r="D1105" s="50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6">
      <c r="A1106" s="65" t="inlineStr">
        <is>
          <t>02/02/2024</t>
        </is>
      </c>
      <c r="B1106" s="28" t="n">
        <v>2.3038</v>
      </c>
      <c r="C1106" s="49" t="n"/>
      <c r="D1106" s="50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7">
      <c r="A1107" s="65" t="inlineStr">
        <is>
          <t>09/02/2024</t>
        </is>
      </c>
      <c r="B1107" s="28" t="n">
        <v>2.2928</v>
      </c>
      <c r="C1107" s="49" t="n"/>
      <c r="D1107" s="50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8">
      <c r="A1108" s="65" t="inlineStr">
        <is>
          <t>16/02/2024</t>
        </is>
      </c>
      <c r="B1108" s="28" t="n">
        <v>2.2554</v>
      </c>
      <c r="C1108" s="49" t="n"/>
      <c r="D1108" s="50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09">
      <c r="A1109" s="65" t="inlineStr">
        <is>
          <t>23/02/2024</t>
        </is>
      </c>
      <c r="B1109" s="28" t="n">
        <v>2.2703</v>
      </c>
      <c r="C1109" s="49" t="n"/>
      <c r="D1109" s="50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0">
      <c r="A1110" s="65" t="inlineStr">
        <is>
          <t>01/03/2024</t>
        </is>
      </c>
      <c r="B1110" s="28" t="n">
        <v>2.2581</v>
      </c>
      <c r="C1110" s="49" t="n"/>
      <c r="D1110" s="50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1">
      <c r="A1111" s="65" t="inlineStr">
        <is>
          <t>08/03/2024</t>
        </is>
      </c>
      <c r="B1111" s="28" t="n">
        <v>2.2032</v>
      </c>
      <c r="C1111" s="49" t="n"/>
      <c r="D1111" s="50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2">
      <c r="A1112" s="65" t="inlineStr">
        <is>
          <t>15/03/2024</t>
        </is>
      </c>
      <c r="B1112" s="28" t="n">
        <v>2.1966</v>
      </c>
      <c r="C1112" s="49" t="n"/>
      <c r="D1112" s="50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3">
      <c r="A1113" s="65" t="inlineStr">
        <is>
          <t>22/03/2024</t>
        </is>
      </c>
      <c r="B1113" s="28" t="n">
        <v>2.3072</v>
      </c>
      <c r="C1113" s="49" t="n"/>
      <c r="D1113" s="50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4">
      <c r="A1114" s="65" t="inlineStr">
        <is>
          <t>28/03/2024</t>
        </is>
      </c>
      <c r="B1114" s="28" t="n">
        <v>2.4235</v>
      </c>
      <c r="C1114" s="49" t="n"/>
      <c r="D1114" s="50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5">
      <c r="A1115" s="65" t="inlineStr">
        <is>
          <t>05/04/2024</t>
        </is>
      </c>
      <c r="B1115" s="28" t="n">
        <v>2.4868</v>
      </c>
      <c r="C1115" s="49" t="n"/>
      <c r="D1115" s="50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6">
      <c r="A1116" s="65" t="inlineStr">
        <is>
          <t>12/04/2024</t>
        </is>
      </c>
      <c r="B1116" s="28" t="n">
        <v>2.5141</v>
      </c>
      <c r="C1116" s="49" t="n"/>
      <c r="D1116" s="50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7">
      <c r="A1117" s="65" t="inlineStr">
        <is>
          <t>19/04/2024</t>
        </is>
      </c>
      <c r="B1117" s="28" t="n">
        <v>2.6049</v>
      </c>
      <c r="C1117" s="49" t="n"/>
      <c r="D1117" s="50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8">
      <c r="A1118" s="65" t="inlineStr">
        <is>
          <t>26/04/2024</t>
        </is>
      </c>
      <c r="B1118" s="28" t="n">
        <v>2.4377</v>
      </c>
      <c r="C1118" s="49" t="n"/>
      <c r="D1118" s="50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19">
      <c r="A1119" s="65" t="inlineStr">
        <is>
          <t>03/05/2024</t>
        </is>
      </c>
      <c r="B1119" s="28" t="n">
        <v>2.4626</v>
      </c>
      <c r="C1119" s="49" t="n"/>
      <c r="D1119" s="50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0">
      <c r="A1120" s="65" t="inlineStr">
        <is>
          <t>10/05/2024</t>
        </is>
      </c>
      <c r="B1120" s="28" t="n">
        <v>2.4703</v>
      </c>
      <c r="C1120" s="49" t="n"/>
      <c r="D1120" s="50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1">
      <c r="A1121" s="65" t="inlineStr">
        <is>
          <t>17/05/2024</t>
        </is>
      </c>
      <c r="B1121" s="28" t="n">
        <v>2.4397</v>
      </c>
      <c r="C1121" s="49" t="n"/>
      <c r="D1121" s="50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2">
      <c r="A1122" s="65" t="inlineStr">
        <is>
          <t>24/05/2024</t>
        </is>
      </c>
      <c r="B1122" s="28" t="n">
        <v>2.3692</v>
      </c>
      <c r="C1122" s="49" t="n"/>
      <c r="D1122" s="50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3">
      <c r="A1123" s="65" t="inlineStr">
        <is>
          <t>31/05/2024</t>
        </is>
      </c>
      <c r="B1123" s="28" t="n">
        <v>2.4262</v>
      </c>
      <c r="C1123" s="49" t="n"/>
      <c r="D1123" s="50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4">
      <c r="A1124" s="65" t="inlineStr">
        <is>
          <t>07/06/2024</t>
        </is>
      </c>
      <c r="B1124" s="28" t="n">
        <v>2.4052</v>
      </c>
      <c r="C1124" s="49" t="n"/>
      <c r="D1124" s="50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5">
      <c r="A1125" s="65" t="inlineStr">
        <is>
          <t>14/06/2024</t>
        </is>
      </c>
      <c r="B1125" s="28" t="n">
        <v>2.4382</v>
      </c>
      <c r="C1125" s="49" t="n"/>
      <c r="D1125" s="50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6">
      <c r="A1126" s="65" t="inlineStr">
        <is>
          <t>21/06/2024</t>
        </is>
      </c>
      <c r="B1126" s="28" t="n">
        <v>2.5148</v>
      </c>
      <c r="C1126" s="49" t="n"/>
      <c r="D1126" s="50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7">
      <c r="A1127" s="65" t="inlineStr">
        <is>
          <t>28/06/2024</t>
        </is>
      </c>
      <c r="B1127" s="28" t="n">
        <v>2.5724</v>
      </c>
      <c r="C1127" s="49" t="n"/>
      <c r="D1127" s="50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8">
      <c r="A1128" s="65" t="inlineStr">
        <is>
          <t>05/07/2024</t>
        </is>
      </c>
      <c r="B1128" s="28" t="n">
        <v>2.6265</v>
      </c>
      <c r="C1128" s="49" t="n"/>
      <c r="D1128" s="50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29">
      <c r="A1129" s="65" t="inlineStr">
        <is>
          <t>12/07/2024</t>
        </is>
      </c>
      <c r="B1129" s="28" t="n">
        <v>2.7535</v>
      </c>
      <c r="C1129" s="49" t="n"/>
      <c r="D1129" s="50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0">
      <c r="A1130" s="65" t="inlineStr">
        <is>
          <t>19/07/2024</t>
        </is>
      </c>
      <c r="B1130" s="28" t="n">
        <v>2.7537</v>
      </c>
      <c r="C1130" s="49" t="n"/>
      <c r="D1130" s="50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1">
      <c r="A1131" s="65" t="inlineStr">
        <is>
          <t>26/07/2024</t>
        </is>
      </c>
      <c r="B1131" s="28" t="n">
        <v>2.6604</v>
      </c>
      <c r="C1131" s="49" t="n"/>
      <c r="D1131" s="50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2">
      <c r="A1132" s="65" t="inlineStr">
        <is>
          <t>02/08/2024</t>
        </is>
      </c>
      <c r="B1132" s="28" t="n">
        <v>2.6897</v>
      </c>
      <c r="C1132" s="49" t="n"/>
      <c r="D1132" s="50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3">
      <c r="A1133" s="65" t="inlineStr">
        <is>
          <t>09/08/2024</t>
        </is>
      </c>
      <c r="B1133" s="28" t="n">
        <v>2.7217</v>
      </c>
      <c r="C1133" s="49" t="n"/>
      <c r="D1133" s="50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4">
      <c r="A1134" s="65" t="inlineStr">
        <is>
          <t>16/08/2024</t>
        </is>
      </c>
      <c r="B1134" s="28" t="n">
        <v>2.685</v>
      </c>
      <c r="C1134" s="49" t="n"/>
      <c r="D1134" s="50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5">
      <c r="A1135" s="65" t="inlineStr">
        <is>
          <t>23/08/2024</t>
        </is>
      </c>
      <c r="B1135" s="28" t="n">
        <v>2.6293</v>
      </c>
      <c r="C1135" s="49" t="n"/>
      <c r="D1135" s="50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6">
      <c r="A1136" s="65" t="inlineStr">
        <is>
          <t>30/08/2024</t>
        </is>
      </c>
      <c r="B1136" s="28" t="n">
        <v>2.642</v>
      </c>
      <c r="C1136" s="49" t="n"/>
      <c r="D1136" s="50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7">
      <c r="A1137" s="65" t="inlineStr">
        <is>
          <t>06/09/2024</t>
        </is>
      </c>
      <c r="B1137" s="28" t="n">
        <v>2.5764</v>
      </c>
      <c r="C1137" s="49" t="n"/>
      <c r="D1137" s="50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8">
      <c r="A1138" s="65" t="inlineStr">
        <is>
          <t>13/09/2024</t>
        </is>
      </c>
      <c r="B1138" s="28" t="n">
        <v>2.4717</v>
      </c>
      <c r="C1138" s="49" t="n"/>
      <c r="D1138" s="50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39">
      <c r="A1139" s="65" t="inlineStr">
        <is>
          <t>20/09/2024</t>
        </is>
      </c>
      <c r="B1139" s="28" t="n">
        <v>2.4859</v>
      </c>
      <c r="C1139" s="49" t="n"/>
      <c r="D1139" s="50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0">
      <c r="A1140" s="65" t="inlineStr">
        <is>
          <t>27/09/2024</t>
        </is>
      </c>
      <c r="B1140" s="28" t="n">
        <v>2.5426</v>
      </c>
      <c r="C1140" s="49" t="n"/>
      <c r="D1140" s="50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1">
      <c r="A1141" s="65" t="inlineStr">
        <is>
          <t>04/10/2024</t>
        </is>
      </c>
      <c r="B1141" s="28" t="n">
        <v>2.4882</v>
      </c>
      <c r="C1141" s="49" t="n"/>
      <c r="D1141" s="50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2">
      <c r="A1142" s="65" t="inlineStr">
        <is>
          <t>11/10/2024</t>
        </is>
      </c>
      <c r="B1142" s="28" t="n">
        <v>2.5458</v>
      </c>
      <c r="C1142" s="49" t="n"/>
      <c r="D1142" s="50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3">
      <c r="A1143" s="65" t="inlineStr">
        <is>
          <t>18/10/2024</t>
        </is>
      </c>
      <c r="B1143" s="28" t="n">
        <v>2.5821</v>
      </c>
      <c r="C1143" s="49" t="n"/>
      <c r="D1143" s="50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4">
      <c r="A1144" s="65" t="inlineStr">
        <is>
          <t>25/10/2024</t>
        </is>
      </c>
      <c r="B1144" s="28" t="n">
        <v>2.5902</v>
      </c>
      <c r="C1144" s="49" t="n"/>
      <c r="D1144" s="50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5">
      <c r="A1145" s="65" t="inlineStr">
        <is>
          <t>01/11/2024</t>
        </is>
      </c>
      <c r="B1145" s="28" t="n">
        <v>2.5994</v>
      </c>
      <c r="C1145" s="49" t="n"/>
      <c r="D1145" s="50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6">
      <c r="A1146" s="65" t="inlineStr">
        <is>
          <t>08/11/2024</t>
        </is>
      </c>
      <c r="B1146" s="28" t="n">
        <v>2.5996</v>
      </c>
      <c r="C1146" s="49" t="n"/>
      <c r="D1146" s="50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7">
      <c r="A1147" s="65" t="inlineStr">
        <is>
          <t>14/11/2024</t>
        </is>
      </c>
      <c r="B1147" s="28" t="n">
        <v>2.6249</v>
      </c>
      <c r="C1147" s="49" t="n"/>
      <c r="D1147" s="50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8">
      <c r="A1148" s="65" t="inlineStr">
        <is>
          <t>22/11/2024</t>
        </is>
      </c>
      <c r="B1148" s="28" t="n">
        <v>2.6258</v>
      </c>
      <c r="C1148" s="49" t="n"/>
      <c r="D1148" s="50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49">
      <c r="A1149" s="65" t="inlineStr">
        <is>
          <t>29/11/2024</t>
        </is>
      </c>
      <c r="B1149" s="28" t="n">
        <v>2.6186</v>
      </c>
      <c r="C1149" s="49" t="n"/>
      <c r="D1149" s="50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0">
      <c r="A1150" s="65" t="inlineStr">
        <is>
          <t>06/12/2024</t>
        </is>
      </c>
      <c r="B1150" s="28" t="n">
        <v>2.6021</v>
      </c>
      <c r="C1150" s="49" t="n"/>
      <c r="D1150" s="50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1">
      <c r="A1151" s="65" t="inlineStr">
        <is>
          <t>13/12/2024</t>
        </is>
      </c>
      <c r="B1151" s="28" t="n">
        <v>2.5985</v>
      </c>
      <c r="C1151" s="49" t="n"/>
      <c r="D1151" s="50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2">
      <c r="A1152" s="65" t="inlineStr">
        <is>
          <t>20/12/2024</t>
        </is>
      </c>
      <c r="B1152" s="28" t="n">
        <v>2.6044</v>
      </c>
      <c r="C1152" s="49" t="n"/>
      <c r="D1152" s="50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3">
      <c r="A1153" s="65" t="inlineStr">
        <is>
          <t>27/12/2024</t>
        </is>
      </c>
      <c r="B1153" s="28" t="n">
        <v>2.6173</v>
      </c>
      <c r="C1153" s="49" t="n"/>
      <c r="D1153" s="50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4">
      <c r="A1154" s="65" t="inlineStr">
        <is>
          <t>03/01/2025</t>
        </is>
      </c>
      <c r="B1154" s="28" t="n">
        <v>2.6362</v>
      </c>
      <c r="C1154" s="49" t="n"/>
      <c r="D1154" s="50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5">
      <c r="A1155" s="65" t="inlineStr">
        <is>
          <t>10/01/2025</t>
        </is>
      </c>
      <c r="B1155" s="28" t="n">
        <v>2.7022</v>
      </c>
      <c r="C1155" s="49" t="n"/>
      <c r="D1155" s="50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6">
      <c r="A1156" s="65" t="inlineStr">
        <is>
          <t>17/01/2025</t>
        </is>
      </c>
      <c r="B1156" s="28" t="n">
        <v>2.7536</v>
      </c>
      <c r="C1156" s="49" t="n"/>
      <c r="D1156" s="50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7">
      <c r="A1157" s="65" t="inlineStr">
        <is>
          <t>24/01/2025</t>
        </is>
      </c>
      <c r="B1157" s="28" t="n">
        <v>2.7773</v>
      </c>
      <c r="C1157" s="49" t="n"/>
      <c r="D1157" s="50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8">
      <c r="A1158" s="65" t="inlineStr">
        <is>
          <t>31/01/2025</t>
        </is>
      </c>
      <c r="B1158" s="28" t="n">
        <v>2.7858</v>
      </c>
      <c r="C1158" s="49" t="n"/>
      <c r="D1158" s="50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59">
      <c r="A1159" s="65" t="inlineStr">
        <is>
          <t>07/02/2025</t>
        </is>
      </c>
      <c r="B1159" s="28" t="n">
        <v>2.7673</v>
      </c>
      <c r="C1159" s="49" t="n"/>
      <c r="D1159" s="50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0">
      <c r="A1160" s="65" t="inlineStr">
        <is>
          <t>14/02/2025</t>
        </is>
      </c>
      <c r="B1160" s="28" t="n">
        <v>2.7872</v>
      </c>
      <c r="C1160" s="49" t="n"/>
      <c r="D1160" s="50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1">
      <c r="A1161" s="65" t="inlineStr">
        <is>
          <t>21/02/2025</t>
        </is>
      </c>
      <c r="B1161" s="28" t="n">
        <v>2.7835</v>
      </c>
      <c r="C1161" s="49" t="n"/>
      <c r="D1161" s="50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2">
      <c r="A1162" s="65" t="inlineStr">
        <is>
          <t>28/02/2025</t>
        </is>
      </c>
      <c r="B1162" s="28" t="n">
        <v>2.7855</v>
      </c>
      <c r="C1162" s="49" t="n"/>
      <c r="D1162" s="50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3">
      <c r="A1163" s="65" t="inlineStr">
        <is>
          <t>07/03/2025</t>
        </is>
      </c>
      <c r="B1163" s="28" t="n">
        <v>2.7835</v>
      </c>
      <c r="C1163" s="49" t="n"/>
      <c r="D1163" s="50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4">
      <c r="A1164" s="65" t="inlineStr">
        <is>
          <t>14/03/2025</t>
        </is>
      </c>
      <c r="B1164" s="28" t="n">
        <v>2.7677</v>
      </c>
      <c r="C1164" s="49" t="n"/>
      <c r="D1164" s="50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5">
      <c r="A1165" s="65" t="inlineStr">
        <is>
          <t>21/03/2025</t>
        </is>
      </c>
      <c r="B1165" s="28" t="n">
        <v>2.7018</v>
      </c>
      <c r="C1165" s="49" t="n"/>
      <c r="D1165" s="50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6">
      <c r="A1166" s="65" t="inlineStr">
        <is>
          <t>28/03/2025</t>
        </is>
      </c>
      <c r="B1166" s="28" t="n">
        <v>2.6765</v>
      </c>
      <c r="C1166" s="49" t="n"/>
      <c r="D1166" s="50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7">
      <c r="A1167" s="65" t="inlineStr">
        <is>
          <t>04/04/2025</t>
        </is>
      </c>
      <c r="B1167" s="28" t="n">
        <v>2.6783</v>
      </c>
      <c r="C1167" s="49" t="n"/>
      <c r="D1167" s="50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8">
      <c r="A1168" s="65" t="inlineStr">
        <is>
          <t>11/04/2025</t>
        </is>
      </c>
      <c r="B1168" s="28" t="n">
        <v>2.6843</v>
      </c>
      <c r="C1168" s="49" t="n"/>
      <c r="D1168" s="50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69">
      <c r="A1169" s="65" t="inlineStr">
        <is>
          <t>17/04/2025</t>
        </is>
      </c>
      <c r="B1169" s="28" t="n">
        <v>2.6531</v>
      </c>
      <c r="C1169" s="49" t="n"/>
      <c r="D1169" s="50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0">
      <c r="A1170" s="65" t="inlineStr">
        <is>
          <t>25/04/2025</t>
        </is>
      </c>
      <c r="B1170" s="28" t="n">
        <v>2.6472</v>
      </c>
      <c r="C1170" s="49" t="n"/>
      <c r="D1170" s="50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1">
      <c r="A1171" s="65" t="inlineStr">
        <is>
          <t>02/05/2025</t>
        </is>
      </c>
      <c r="B1171" s="28" t="n">
        <v>2.6705</v>
      </c>
      <c r="C1171" s="49" t="n"/>
      <c r="D1171" s="50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2">
      <c r="A1172" s="65" t="inlineStr">
        <is>
          <t>09/05/2025</t>
        </is>
      </c>
      <c r="B1172" s="28" t="n">
        <v>2.6756</v>
      </c>
      <c r="C1172" s="49" t="n"/>
      <c r="D1172" s="50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3">
      <c r="A1173" s="65" t="inlineStr">
        <is>
          <t>16/05/2025</t>
        </is>
      </c>
      <c r="B1173" s="28" t="n">
        <v>2.6602</v>
      </c>
      <c r="C1173" s="49" t="n"/>
      <c r="D1173" s="50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4">
      <c r="A1174" s="65" t="inlineStr">
        <is>
          <t>23/05/2025</t>
        </is>
      </c>
      <c r="B1174" s="28" t="n">
        <v>2.6386</v>
      </c>
      <c r="C1174" s="49" t="n"/>
      <c r="D1174" s="50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5">
      <c r="A1175" s="65" t="inlineStr">
        <is>
          <t>30/05/2025</t>
        </is>
      </c>
      <c r="B1175" s="28" t="n">
        <v>2.564</v>
      </c>
      <c r="C1175" s="49" t="n"/>
      <c r="D1175" s="50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6">
      <c r="A1176" s="65" t="inlineStr">
        <is>
          <t>06/06/2025</t>
        </is>
      </c>
      <c r="B1176" s="28" t="n">
        <v>2.5468</v>
      </c>
      <c r="C1176" s="49" t="n"/>
      <c r="D1176" s="50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7">
      <c r="A1177" s="65" t="inlineStr">
        <is>
          <t>13/06/2025</t>
        </is>
      </c>
      <c r="B1177" s="28" t="n">
        <v>2.538</v>
      </c>
      <c r="C1177" s="49" t="n"/>
      <c r="D1177" s="50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8">
      <c r="A1178" s="65" t="inlineStr">
        <is>
          <t>20/06/2025</t>
        </is>
      </c>
      <c r="B1178" s="28" t="n">
        <v>2.5671</v>
      </c>
      <c r="C1178" s="49" t="n"/>
      <c r="D1178" s="50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79">
      <c r="A1179" s="65" t="inlineStr">
        <is>
          <t>27/06/2025</t>
        </is>
      </c>
      <c r="B1179" s="28" t="n">
        <v>2.6074</v>
      </c>
      <c r="C1179" s="49" t="n"/>
      <c r="D1179" s="50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0">
      <c r="A1180" s="65" t="inlineStr">
        <is>
          <t>04/07/2025</t>
        </is>
      </c>
      <c r="B1180" s="28" t="n">
        <v>2.6232</v>
      </c>
      <c r="C1180" s="49" t="n"/>
      <c r="D1180" s="50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1">
      <c r="A1181" s="65" t="inlineStr">
        <is>
          <t>11/07/2025</t>
        </is>
      </c>
      <c r="B1181" s="28" t="n">
        <v>2.5694</v>
      </c>
      <c r="C1181" s="49" t="n"/>
      <c r="D1181" s="50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2">
      <c r="A1182" s="65" t="inlineStr">
        <is>
          <t>18/07/2025</t>
        </is>
      </c>
      <c r="B1182" s="28" t="n">
        <v>2.5411</v>
      </c>
      <c r="C1182" s="49" t="n"/>
      <c r="D1182" s="50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3">
      <c r="A1183" s="65" t="inlineStr">
        <is>
          <t>25/07/2025</t>
        </is>
      </c>
      <c r="B1183" s="28" t="n">
        <v>2.5621</v>
      </c>
      <c r="C1183" s="49" t="n"/>
      <c r="D1183" s="50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4">
      <c r="A1184" s="65" t="inlineStr">
        <is>
          <t>01/08/2025</t>
        </is>
      </c>
      <c r="B1184" s="28" t="n">
        <v>2.6323</v>
      </c>
      <c r="C1184" s="49" t="n"/>
      <c r="D1184" s="50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5">
      <c r="A1185" s="65" t="inlineStr">
        <is>
          <t>08/08/2025</t>
        </is>
      </c>
      <c r="B1185" s="28" t="n">
        <v>2.638</v>
      </c>
      <c r="C1185" s="49" t="n"/>
      <c r="D1185" s="50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6">
      <c r="A1186" s="65" t="inlineStr">
        <is>
          <t>15/08/2025</t>
        </is>
      </c>
      <c r="B1186" s="28" t="n">
        <v>2.6636</v>
      </c>
      <c r="C1186" s="49" t="n"/>
      <c r="D1186" s="50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7">
      <c r="A1187" s="65" t="inlineStr">
        <is>
          <t>22/08/2025</t>
        </is>
      </c>
      <c r="B1187" s="28" t="n">
        <v>2.6915</v>
      </c>
      <c r="C1187" s="49" t="n"/>
      <c r="D1187" s="50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8">
      <c r="A1188" s="65" t="inlineStr">
        <is>
          <t>29/08/2025</t>
        </is>
      </c>
      <c r="B1188" s="28" t="n">
        <v>2.75</v>
      </c>
      <c r="C1188" s="49" t="n"/>
      <c r="D1188" s="50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89">
      <c r="A1189" s="65" t="inlineStr">
        <is>
          <t>05/09/2025</t>
        </is>
      </c>
      <c r="B1189" s="28" t="n">
        <v>2.7803</v>
      </c>
      <c r="C1189" s="49" t="n"/>
      <c r="D1189" s="50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0">
      <c r="A1190" s="65" t="inlineStr">
        <is>
          <t>12/09/2025</t>
        </is>
      </c>
      <c r="B1190" s="28" t="n">
        <v>2.7785</v>
      </c>
      <c r="C1190" s="49" t="n"/>
      <c r="D1190" s="50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1">
      <c r="A1191" s="65" t="inlineStr">
        <is>
          <t>19/09/2025</t>
        </is>
      </c>
      <c r="B1191" s="28" t="n">
        <v>2.7443</v>
      </c>
      <c r="C1191" s="49" t="n"/>
      <c r="D1191" s="50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2">
      <c r="A1192" s="65" t="inlineStr">
        <is>
          <t>26/09/2025</t>
        </is>
      </c>
      <c r="B1192" s="28" t="n">
        <v>2.7388</v>
      </c>
      <c r="C1192" s="49" t="n"/>
      <c r="D1192" s="50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3">
      <c r="A1193" s="65" t="inlineStr">
        <is>
          <t>03/10/2025</t>
        </is>
      </c>
      <c r="B1193" s="28" t="n">
        <v>2.7335</v>
      </c>
      <c r="C1193" s="49" t="n"/>
      <c r="D1193" s="50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4">
      <c r="A1194" s="65" t="inlineStr">
        <is>
          <t>10/10/2025</t>
        </is>
      </c>
      <c r="B1194" s="28" t="n">
        <v>2.7227</v>
      </c>
      <c r="C1194" s="49" t="n"/>
      <c r="D1194" s="50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5">
      <c r="A1195" s="65" t="inlineStr">
        <is>
          <t>17/10/2025</t>
        </is>
      </c>
      <c r="B1195" s="28" t="n">
        <v>2.7436</v>
      </c>
      <c r="C1195" s="49" t="n"/>
      <c r="D1195" s="50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6">
      <c r="A1196" s="65" t="inlineStr">
        <is>
          <t>24/10/2025</t>
        </is>
      </c>
      <c r="B1196" s="28" t="n">
        <v>2.7599</v>
      </c>
      <c r="C1196" s="49" t="n"/>
      <c r="D1196" s="50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7">
      <c r="A1197" s="65" t="inlineStr">
        <is>
          <t>31/10/2025</t>
        </is>
      </c>
      <c r="B1197" s="28" t="n">
        <v>2.7853</v>
      </c>
      <c r="C1197" s="49" t="n"/>
      <c r="D1197" s="50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8">
      <c r="A1198" s="65" t="inlineStr">
        <is>
          <t>07/11/2025</t>
        </is>
      </c>
      <c r="B1198" s="28" t="n">
        <v>2.7994</v>
      </c>
      <c r="C1198" s="49" t="n"/>
      <c r="D1198" s="50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199">
      <c r="A1199" s="65" t="inlineStr">
        <is>
          <t>14/11/2025</t>
        </is>
      </c>
      <c r="B1199" s="28" t="n">
        <v>2.8233</v>
      </c>
      <c r="C1199" s="49" t="n"/>
      <c r="D1199" s="50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0">
      <c r="A1200" s="65" t="inlineStr">
        <is>
          <t>21/11/2025</t>
        </is>
      </c>
      <c r="B1200" s="28" t="n">
        <v>2.8551</v>
      </c>
      <c r="C1200" s="49" t="n"/>
      <c r="D1200" s="50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1">
      <c r="A1201" s="65" t="inlineStr">
        <is>
          <t>28/11/2025</t>
        </is>
      </c>
      <c r="B1201" s="28" t="n">
        <v>2.865</v>
      </c>
      <c r="C1201" s="49" t="n"/>
      <c r="D1201" s="50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2">
      <c r="A1202" s="65" t="inlineStr">
        <is>
          <t>05/12/2025</t>
        </is>
      </c>
      <c r="B1202" s="28" t="n">
        <v>2.8853</v>
      </c>
      <c r="C1202" s="49" t="n"/>
      <c r="D1202" s="50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3">
      <c r="A1203" s="65" t="inlineStr">
        <is>
          <t>12/12/2025</t>
        </is>
      </c>
      <c r="B1203" s="28" t="n">
        <v>2.9092</v>
      </c>
      <c r="C1203" s="49" t="n"/>
      <c r="D1203" s="50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4">
      <c r="A1204" s="65" t="inlineStr">
        <is>
          <t>19/12/2025</t>
        </is>
      </c>
      <c r="B1204" s="28" t="n">
        <v>2.9177</v>
      </c>
      <c r="C1204" s="49" t="n"/>
      <c r="D1204" s="50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5">
      <c r="A1205" s="65" t="inlineStr">
        <is>
          <t>26/12/2025</t>
        </is>
      </c>
      <c r="B1205" s="28" t="n">
        <v>2.9296</v>
      </c>
      <c r="C1205" s="49" t="n"/>
      <c r="D1205" s="50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6">
      <c r="A1206" s="65" t="inlineStr">
        <is>
          <t>02/01/2026</t>
        </is>
      </c>
      <c r="B1206" s="28" t="n">
        <v>2.9561</v>
      </c>
      <c r="C1206" s="49" t="n"/>
      <c r="D1206" s="50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7">
      <c r="A1207" s="65" t="inlineStr">
        <is>
          <t>09/01/2026</t>
        </is>
      </c>
      <c r="B1207" s="28" t="n">
        <v>3.0228</v>
      </c>
      <c r="C1207" s="49" t="n"/>
      <c r="D1207" s="50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8">
      <c r="A1208" s="65" t="inlineStr">
        <is>
          <t>16/01/2026</t>
        </is>
      </c>
      <c r="B1208" s="28" t="n">
        <v>3.0711</v>
      </c>
      <c r="C1208" s="49" t="n"/>
      <c r="D1208" s="50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09">
      <c r="A1209" s="65" t="inlineStr">
        <is>
          <t>23/01/2026</t>
        </is>
      </c>
      <c r="B1209" s="28" t="n">
        <v>3.0871</v>
      </c>
      <c r="C1209" s="49" t="n"/>
      <c r="D1209" s="50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0">
      <c r="A1210" s="65" t="inlineStr">
        <is>
          <t>30/01/2026</t>
        </is>
      </c>
      <c r="B1210" s="28" t="n">
        <v>3.0885</v>
      </c>
      <c r="C1210" s="49" t="n"/>
      <c r="D1210" s="50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1">
      <c r="A1211" s="65" t="inlineStr">
        <is>
          <t>06/02/2026</t>
        </is>
      </c>
      <c r="B1211" s="28" t="n">
        <v>3.0496</v>
      </c>
      <c r="C1211" s="49" t="n"/>
      <c r="D1211" s="50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2">
      <c r="A1212" s="65" t="inlineStr">
        <is>
          <t>13/02/2026</t>
        </is>
      </c>
      <c r="B1212" s="28" t="n">
        <v>3.0203</v>
      </c>
      <c r="C1212" s="49" t="n"/>
      <c r="D1212" s="50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3">
      <c r="A1213" s="65" t="inlineStr">
        <is>
          <t>20/02/2026</t>
        </is>
      </c>
      <c r="B1213" s="28" t="n">
        <v>2.9442</v>
      </c>
      <c r="C1213" s="49" t="n"/>
      <c r="D1213" s="50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4">
      <c r="A1214" s="65" t="inlineStr">
        <is>
          <t>27/02/2026</t>
        </is>
      </c>
      <c r="B1214" s="28" t="n">
        <v>2.8462</v>
      </c>
      <c r="C1214" s="49" t="n"/>
      <c r="D1214" s="50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5">
      <c r="A1215" s="65" t="inlineStr">
        <is>
          <t>06/03/2026</t>
        </is>
      </c>
      <c r="B1215" s="28" t="n">
        <v>2.9352</v>
      </c>
      <c r="C1215" s="49" t="n"/>
      <c r="D1215" s="50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6">
      <c r="A1216" s="65" t="inlineStr">
        <is>
          <t>13/03/2026</t>
        </is>
      </c>
      <c r="B1216" s="28" t="n">
        <v>2.9439</v>
      </c>
      <c r="C1216" s="49" t="n"/>
      <c r="D1216" s="50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7">
      <c r="A1217" s="65" t="inlineStr">
        <is>
          <t>20/03/2026</t>
        </is>
      </c>
      <c r="B1217" s="28" t="n">
        <v>2.9609</v>
      </c>
      <c r="C1217" s="49" t="n"/>
      <c r="D1217" s="50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8">
      <c r="A1218" s="65" t="inlineStr">
        <is>
          <t>27/03/2026</t>
        </is>
      </c>
      <c r="B1218" s="28" t="n">
        <v>2.9496</v>
      </c>
      <c r="C1218" s="49" t="n"/>
      <c r="D1218" s="50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19">
      <c r="A1219" s="65" t="inlineStr">
        <is>
          <t>02/04/2026</t>
        </is>
      </c>
      <c r="B1219" s="28" t="n">
        <v>2.8875</v>
      </c>
      <c r="C1219" s="49" t="n"/>
      <c r="D1219" s="50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0">
      <c r="A1220" s="65" t="inlineStr">
        <is>
          <t>10/04/2026</t>
        </is>
      </c>
      <c r="B1220" s="28" t="n">
        <v>2.7873</v>
      </c>
      <c r="C1220" s="49" t="n"/>
      <c r="D1220" s="50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1">
      <c r="A1221" s="65" t="inlineStr">
        <is>
          <t>17/04/2026</t>
        </is>
      </c>
      <c r="B1221" s="28" t="n">
        <v>2.592</v>
      </c>
      <c r="C1221" s="49" t="n"/>
      <c r="D1221" s="50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2">
      <c r="A1222" s="65" t="inlineStr">
        <is>
          <t>24/04/2026</t>
        </is>
      </c>
      <c r="B1222" s="28" t="n">
        <v>2.4512</v>
      </c>
      <c r="C1222" s="49" t="n"/>
      <c r="D1222" s="50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3">
      <c r="A1223" s="65" t="inlineStr">
        <is>
          <t>30/04/2026</t>
        </is>
      </c>
      <c r="B1223" s="28" t="n">
        <v>2.3158</v>
      </c>
      <c r="C1223" s="49" t="n"/>
      <c r="D1223" s="50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4">
      <c r="A1224" s="65" t="inlineStr">
        <is>
          <t>08/05/2026</t>
        </is>
      </c>
      <c r="B1224" s="28" t="n">
        <v>2.2704</v>
      </c>
      <c r="C1224" s="49" t="n"/>
      <c r="D1224" s="50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5">
      <c r="A1225" s="65" t="inlineStr">
        <is>
          <t>15/05/2026</t>
        </is>
      </c>
      <c r="B1225" s="28" t="n">
        <v>2.2209</v>
      </c>
      <c r="C1225" s="49" t="n"/>
      <c r="D1225" s="50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6">
      <c r="A1226" s="65" t="inlineStr">
        <is>
          <t>22/05/2026</t>
        </is>
      </c>
      <c r="B1226" s="28" t="n">
        <v>2.2492</v>
      </c>
      <c r="C1226" s="49" t="n"/>
      <c r="D1226" s="50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7">
      <c r="A1227" s="65" t="inlineStr">
        <is>
          <t>29/05/2026</t>
        </is>
      </c>
      <c r="B1227" s="28" t="n">
        <v>2.2315</v>
      </c>
      <c r="C1227" s="49" t="n"/>
      <c r="D1227" s="50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8">
      <c r="A1228" s="65" t="inlineStr">
        <is>
          <t>05/06/2026</t>
        </is>
      </c>
      <c r="B1228" s="28" t="n">
        <v>2.2166</v>
      </c>
      <c r="C1228" s="49" t="n"/>
      <c r="D1228" s="50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29">
      <c r="A1229" s="65" t="inlineStr">
        <is>
          <t>12/06/2026</t>
        </is>
      </c>
      <c r="B1229" s="28" t="n">
        <v>2.2247</v>
      </c>
      <c r="C1229" s="49" t="n"/>
      <c r="D1229" s="50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  <row r="1230">
      <c r="A1230" s="65" t="inlineStr">
        <is>
          <t>19/06/2026</t>
        </is>
      </c>
      <c r="B1230" s="28" t="n">
        <v>2.2429</v>
      </c>
      <c r="C1230" s="49" t="n"/>
      <c r="D1230" s="50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/>
      </c>
    </row>
  </sheetData>
  <pageMargins left="0.25" right="0.25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Planilha4">
    <outlinePr summaryBelow="1" summaryRight="1"/>
    <pageSetUpPr/>
  </sheetPr>
  <dimension ref="A1:T7381"/>
  <sheetViews>
    <sheetView tabSelected="1" topLeftCell="A7164" zoomScale="85" zoomScaleNormal="85" workbookViewId="0">
      <selection activeCell="M7172" sqref="M7172"/>
    </sheetView>
  </sheetViews>
  <sheetFormatPr baseColWidth="8" defaultRowHeight="15" outlineLevelCol="0"/>
  <cols>
    <col width="10.42578125" bestFit="1" customWidth="1" min="1" max="1"/>
    <col width="14.7109375" bestFit="1" customWidth="1" style="3" min="2" max="2"/>
    <col width="12.5703125" bestFit="1" customWidth="1" style="13" min="3" max="3"/>
    <col width="15.28515625" bestFit="1" customWidth="1" style="3" min="4" max="4"/>
    <col width="12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2" bestFit="1" customWidth="1" min="14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63" t="inlineStr">
        <is>
          <t>Cotação</t>
        </is>
      </c>
      <c r="C1" s="64" t="inlineStr">
        <is>
          <t>Mês</t>
        </is>
      </c>
      <c r="D1" s="63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 t="str">
        <f>"M.B 100 - "&amp;YEAR(TODAY())</f>
        <v>M.B 100 - 2026</v>
      </c>
      <c r="N1" s="59" t="str">
        <f>"Média "&amp;YEAR(TODAY())</f>
        <v>Média 2026</v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</row>
    <row r="2">
      <c r="A2" s="4" t="n">
        <v>35634</v>
      </c>
      <c r="B2" s="3" t="n">
        <v>224.5728727825005</v>
      </c>
      <c r="C2" s="13" t="n">
        <v>35612</v>
      </c>
      <c r="D2" s="3" t="n">
        <v>224.993894291279</v>
      </c>
      <c r="G2" s="7" t="n">
        <v>100</v>
      </c>
      <c r="H2" s="7" t="n">
        <v>100</v>
      </c>
      <c r="I2" s="7" t="n">
        <v>100</v>
      </c>
      <c r="J2" s="7" t="n">
        <v>100</v>
      </c>
      <c r="K2" s="7" t="n">
        <v>100</v>
      </c>
      <c r="L2" s="1">
        <f t="array" ref="L2">IFERROR(_xlfn.STDEV.P(_xlfn._xlws.FILTER($E$2:$E$5000,(MONTH($C$2:$C$5000)=1)*ISNUMBER($D$2:$D$5000))),0)</f>
        <v/>
      </c>
      <c r="M2" s="1" t="n">
        <v>100</v>
      </c>
      <c r="N2" s="7">
        <f t="array" ref="N2">IFERROR(AVERAGE(_xlfn._xlws.FILTER($D$2:$D$5000,(MONTH($C$2:$C$5000)=1)*(YEAR($C$2:$C$5000)=YEAR(TODAY())))),"")</f>
        <v/>
      </c>
      <c r="O2">
        <f t="array" ref="O2">AVERAGE(_xlfn._xlws.FILTER($D$2:$D$5000,(MONTH($C$2:$C$5000)=1)*ISNUMBER($D$2:$D$5000)))</f>
        <v/>
      </c>
      <c r="P2">
        <f t="array" ref="P2">_xlfn.STDEV.P(_xlfn._xlws.FILTER($D$2:$D$5000,(MONTH($C$2:$C$5000)=1)*ISNUMBER($D$2:$D$5000)))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</row>
    <row r="3">
      <c r="A3" s="4" t="n">
        <v>35635</v>
      </c>
      <c r="B3" s="3" t="n">
        <v>224.5728727825005</v>
      </c>
      <c r="C3" s="13" t="n">
        <v>35643</v>
      </c>
      <c r="D3" s="3" t="n">
        <v>222.0731945368539</v>
      </c>
      <c r="G3" s="7">
        <f>G$2*O3/O$2</f>
        <v/>
      </c>
      <c r="H3" s="7">
        <f>$G3+(1*$L3)</f>
        <v/>
      </c>
      <c r="I3" s="7">
        <f>$G3+(2*$L3)</f>
        <v/>
      </c>
      <c r="J3" s="7">
        <f>$G3+(-1*$L3)</f>
        <v/>
      </c>
      <c r="K3" s="7">
        <f>$G3+(-2*$L3)</f>
        <v/>
      </c>
      <c r="L3" s="1">
        <f t="array" ref="L3">IFERROR(_xlfn.STDEV.P(_xlfn._xlws.FILTER($E$2:$E$5000,(MONTH($C$2:$C$5000)=2)*ISNUMBER($D$2:$D$5000))),0)</f>
        <v/>
      </c>
      <c r="M3" s="1">
        <f>IFERROR($M$2*N3/$N$2,"")</f>
        <v/>
      </c>
      <c r="N3" s="7">
        <f t="array" ref="N3">IFERROR(AVERAGE(_xlfn._xlws.FILTER($D$2:$D$5000,(MONTH($C$2:$C$5000)=2)*(YEAR($C$2:$C$5000)=YEAR(TODAY())))),"")</f>
        <v/>
      </c>
      <c r="O3">
        <f t="array" ref="O3">AVERAGE(_xlfn._xlws.FILTER($D$2:$D$5000,(MONTH($C$2:$C$5000)=2)*ISNUMBER($D$2:$D$5000)))</f>
        <v/>
      </c>
      <c r="P3">
        <f t="array" ref="P3">_xlfn.STDEV.P(_xlfn._xlws.FILTER($D$2:$D$5000,(MONTH($C$2:$C$5000)=2)*ISNUMBER($D$2:$D$5000)))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</row>
    <row r="4">
      <c r="A4" s="4" t="n">
        <v>35636</v>
      </c>
      <c r="B4" s="3" t="n">
        <v>224.9096899895233</v>
      </c>
      <c r="C4" s="13" t="n">
        <v>35674</v>
      </c>
      <c r="D4" s="3" t="n">
        <v>217.8344440602951</v>
      </c>
      <c r="G4" s="7">
        <f>G$2*O4/O$2</f>
        <v/>
      </c>
      <c r="H4" s="7">
        <f>$G4+(1*$L4)</f>
        <v/>
      </c>
      <c r="I4" s="7">
        <f>$G4+(2*$L4)</f>
        <v/>
      </c>
      <c r="J4" s="7">
        <f>$G4+(-1*$L4)</f>
        <v/>
      </c>
      <c r="K4" s="7">
        <f>$G4+(-2*$L4)</f>
        <v/>
      </c>
      <c r="L4" s="1">
        <f t="array" ref="L4">IFERROR(_xlfn.STDEV.P(_xlfn._xlws.FILTER($E$2:$E$5000,(MONTH($C$2:$C$5000)=3)*ISNUMBER($D$2:$D$5000))),0)</f>
        <v/>
      </c>
      <c r="M4" s="1">
        <f>IFERROR($M$2*N4/$N$2,"")</f>
        <v/>
      </c>
      <c r="N4" s="7">
        <f t="array" ref="N4">IFERROR(AVERAGE(_xlfn._xlws.FILTER($D$2:$D$5000,(MONTH($C$2:$C$5000)=3)*(YEAR($C$2:$C$5000)=YEAR(TODAY())))),"")</f>
        <v/>
      </c>
      <c r="O4">
        <f t="array" ref="O4">AVERAGE(_xlfn._xlws.FILTER($D$2:$D$5000,(MONTH($C$2:$C$5000)=3)*ISNUMBER($D$2:$D$5000)))</f>
        <v/>
      </c>
      <c r="P4">
        <f t="array" ref="P4">_xlfn.STDEV.P(_xlfn._xlws.FILTER($D$2:$D$5000,(MONTH($C$2:$C$5000)=3)*ISNUMBER($D$2:$D$5000)))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</row>
    <row r="5">
      <c r="A5" s="4" t="n">
        <v>35639</v>
      </c>
      <c r="B5" s="3" t="n">
        <v>225.1623028947905</v>
      </c>
      <c r="C5" s="13" t="n">
        <v>35704</v>
      </c>
      <c r="D5" s="3" t="n">
        <v>226.6816725958278</v>
      </c>
      <c r="G5" s="7">
        <f>G$2*O5/O$2</f>
        <v/>
      </c>
      <c r="H5" s="7">
        <f>$G5+(1*$L5)</f>
        <v/>
      </c>
      <c r="I5" s="7">
        <f>$G5+(2*$L5)</f>
        <v/>
      </c>
      <c r="J5" s="7">
        <f>$G5+(-1*$L5)</f>
        <v/>
      </c>
      <c r="K5" s="7">
        <f>$G5+(-2*$L5)</f>
        <v/>
      </c>
      <c r="L5" s="1">
        <f t="array" ref="L5">IFERROR(_xlfn.STDEV.P(_xlfn._xlws.FILTER($E$2:$E$5000,(MONTH($C$2:$C$5000)=4)*ISNUMBER($D$2:$D$5000))),0)</f>
        <v/>
      </c>
      <c r="M5" s="1">
        <f>IFERROR($M$2*N5/$N$2,"")</f>
        <v/>
      </c>
      <c r="N5" s="7">
        <f t="array" ref="N5">IFERROR(AVERAGE(_xlfn._xlws.FILTER($D$2:$D$5000,(MONTH($C$2:$C$5000)=4)*(YEAR($C$2:$C$5000)=YEAR(TODAY())))),"")</f>
        <v/>
      </c>
      <c r="O5">
        <f t="array" ref="O5">AVERAGE(_xlfn._xlws.FILTER($D$2:$D$5000,(MONTH($C$2:$C$5000)=4)*ISNUMBER($D$2:$D$5000)))</f>
        <v/>
      </c>
      <c r="P5">
        <f t="array" ref="P5">_xlfn.STDEV.P(_xlfn._xlws.FILTER($D$2:$D$5000,(MONTH($C$2:$C$5000)=4)*ISNUMBER($D$2:$D$5000)))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</row>
    <row r="6">
      <c r="A6" s="4" t="n">
        <v>35640</v>
      </c>
      <c r="B6" s="3" t="n">
        <v>225.4149158000576</v>
      </c>
      <c r="C6" s="13" t="n">
        <v>35735</v>
      </c>
      <c r="D6" s="3" t="n">
        <v>222.3821103051612</v>
      </c>
      <c r="G6" s="7">
        <f>G$2*O6/O$2</f>
        <v/>
      </c>
      <c r="H6" s="7">
        <f>$G6+(1*$L6)</f>
        <v/>
      </c>
      <c r="I6" s="7">
        <f>$G6+(2*$L6)</f>
        <v/>
      </c>
      <c r="J6" s="7">
        <f>$G6+(-1*$L6)</f>
        <v/>
      </c>
      <c r="K6" s="7">
        <f>$G6+(-2*$L6)</f>
        <v/>
      </c>
      <c r="L6" s="1">
        <f t="array" ref="L6">IFERROR(_xlfn.STDEV.P(_xlfn._xlws.FILTER($E$2:$E$5000,(MONTH($C$2:$C$5000)=5)*ISNUMBER($D$2:$D$5000))),0)</f>
        <v/>
      </c>
      <c r="M6" s="1">
        <f>IFERROR($M$2*N6/$N$2,"")</f>
        <v/>
      </c>
      <c r="N6" s="7">
        <f t="array" ref="N6">IFERROR(AVERAGE(_xlfn._xlws.FILTER($D$2:$D$5000,(MONTH($C$2:$C$5000)=5)*(YEAR($C$2:$C$5000)=YEAR(TODAY())))),"")</f>
        <v/>
      </c>
      <c r="O6">
        <f t="array" ref="O6">AVERAGE(_xlfn._xlws.FILTER($D$2:$D$5000,(MONTH($C$2:$C$5000)=5)*ISNUMBER($D$2:$D$5000)))</f>
        <v/>
      </c>
      <c r="P6">
        <f t="array" ref="P6">_xlfn.STDEV.P(_xlfn._xlws.FILTER($D$2:$D$5000,(MONTH($C$2:$C$5000)=5)*ISNUMBER($D$2:$D$5000)))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</row>
    <row r="7">
      <c r="A7" s="4" t="n">
        <v>35641</v>
      </c>
      <c r="B7" s="3" t="n">
        <v>225.2465071965462</v>
      </c>
      <c r="C7" s="13" t="n">
        <v>35765</v>
      </c>
      <c r="D7" s="3" t="n">
        <v>223.7306707711315</v>
      </c>
      <c r="G7" s="7">
        <f>G$2*O7/O$2</f>
        <v/>
      </c>
      <c r="H7" s="7">
        <f>$G7+(1*$L7)</f>
        <v/>
      </c>
      <c r="I7" s="7">
        <f>$G7+(2*$L7)</f>
        <v/>
      </c>
      <c r="J7" s="7">
        <f>$G7+(-1*$L7)</f>
        <v/>
      </c>
      <c r="K7" s="7">
        <f>$G7+(-2*$L7)</f>
        <v/>
      </c>
      <c r="L7" s="1">
        <f t="array" ref="L7">IFERROR(_xlfn.STDEV.P(_xlfn._xlws.FILTER($E$2:$E$5000,(MONTH($C$2:$C$5000)=6)*ISNUMBER($D$2:$D$5000))),0)</f>
        <v/>
      </c>
      <c r="M7" s="1">
        <f>IFERROR($M$2*N7/$N$2,"")</f>
        <v/>
      </c>
      <c r="N7" s="7">
        <f t="array" ref="N7">IFERROR(AVERAGE(_xlfn._xlws.FILTER($D$2:$D$5000,(MONTH($C$2:$C$5000)=6)*(YEAR($C$2:$C$5000)=YEAR(TODAY())))),"")</f>
        <v/>
      </c>
      <c r="O7">
        <f t="array" ref="O7">AVERAGE(_xlfn._xlws.FILTER($D$2:$D$5000,(MONTH($C$2:$C$5000)=6)*ISNUMBER($D$2:$D$5000)))</f>
        <v/>
      </c>
      <c r="P7">
        <f t="array" ref="P7">_xlfn.STDEV.P(_xlfn._xlws.FILTER($D$2:$D$5000,(MONTH($C$2:$C$5000)=6)*ISNUMBER($D$2:$D$5000)))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</row>
    <row r="8">
      <c r="A8" s="4" t="n">
        <v>35642</v>
      </c>
      <c r="B8" s="3" t="n">
        <v>225.0780985930348</v>
      </c>
      <c r="C8" s="13" t="n">
        <v>35796</v>
      </c>
      <c r="D8" s="3" t="n">
        <v>216.323380356378</v>
      </c>
      <c r="E8" t="n">
        <v>100</v>
      </c>
      <c r="G8" s="7">
        <f>G$2*O8/O$2</f>
        <v/>
      </c>
      <c r="H8" s="7">
        <f>$G8+(1*$L8)</f>
        <v/>
      </c>
      <c r="I8" s="7">
        <f>$G8+(2*$L8)</f>
        <v/>
      </c>
      <c r="J8" s="7">
        <f>$G8+(-1*$L8)</f>
        <v/>
      </c>
      <c r="K8" s="7">
        <f>$G8+(-2*$L8)</f>
        <v/>
      </c>
      <c r="L8" s="1">
        <f t="array" ref="L8">IFERROR(_xlfn.STDEV.P(_xlfn._xlws.FILTER($E$2:$E$5000,(MONTH($C$2:$C$5000)=7)*ISNUMBER($D$2:$D$5000))),0)</f>
        <v/>
      </c>
      <c r="M8" s="1">
        <f>IFERROR($M$2*N8/$N$2,"")</f>
        <v/>
      </c>
      <c r="N8" s="7">
        <f t="array" ref="N8">IFERROR(AVERAGE(_xlfn._xlws.FILTER($D$2:$D$5000,(MONTH($C$2:$C$5000)=7)*(YEAR($C$2:$C$5000)=YEAR(TODAY())))),"")</f>
        <v/>
      </c>
      <c r="O8">
        <f t="array" ref="O8">AVERAGE(_xlfn._xlws.FILTER($D$2:$D$5000,(MONTH($C$2:$C$5000)=7)*ISNUMBER($D$2:$D$5000)))</f>
        <v/>
      </c>
      <c r="P8">
        <f t="array" ref="P8">_xlfn.STDEV.P(_xlfn._xlws.FILTER($D$2:$D$5000,(MONTH($C$2:$C$5000)=7)*ISNUMBER($D$2:$D$5000)))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</row>
    <row r="9">
      <c r="A9" s="4" t="n">
        <v>35643</v>
      </c>
      <c r="B9" s="3" t="n">
        <v>224.61701123264</v>
      </c>
      <c r="C9" s="13" t="n">
        <v>35827</v>
      </c>
      <c r="D9" s="3" t="n">
        <v>214.7017569921369</v>
      </c>
      <c r="E9" t="n">
        <v>99.2503707359003</v>
      </c>
      <c r="G9" s="7">
        <f>G$2*O9/O$2</f>
        <v/>
      </c>
      <c r="H9" s="7">
        <f>$G9+(1*$L9)</f>
        <v/>
      </c>
      <c r="I9" s="7">
        <f>$G9+(2*$L9)</f>
        <v/>
      </c>
      <c r="J9" s="7">
        <f>$G9+(-1*$L9)</f>
        <v/>
      </c>
      <c r="K9" s="7">
        <f>$G9+(-2*$L9)</f>
        <v/>
      </c>
      <c r="L9" s="1">
        <f t="array" ref="L9">IFERROR(_xlfn.STDEV.P(_xlfn._xlws.FILTER($E$2:$E$5000,(MONTH($C$2:$C$5000)=8)*ISNUMBER($D$2:$D$5000))),0)</f>
        <v/>
      </c>
      <c r="M9" s="1">
        <f>IFERROR($M$2*N9/$N$2,"")</f>
        <v/>
      </c>
      <c r="N9" s="7">
        <f t="array" ref="N9">IFERROR(AVERAGE(_xlfn._xlws.FILTER($D$2:$D$5000,(MONTH($C$2:$C$5000)=8)*(YEAR($C$2:$C$5000)=YEAR(TODAY())))),"")</f>
        <v/>
      </c>
      <c r="O9">
        <f t="array" ref="O9">AVERAGE(_xlfn._xlws.FILTER($D$2:$D$5000,(MONTH($C$2:$C$5000)=8)*ISNUMBER($D$2:$D$5000)))</f>
        <v/>
      </c>
      <c r="P9">
        <f t="array" ref="P9">_xlfn.STDEV.P(_xlfn._xlws.FILTER($D$2:$D$5000,(MONTH($C$2:$C$5000)=8)*ISNUMBER($D$2:$D$5000)))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</row>
    <row r="10">
      <c r="A10" s="4" t="n">
        <v>35646</v>
      </c>
      <c r="B10" s="3" t="n">
        <v>224.9535161183817</v>
      </c>
      <c r="C10" s="13" t="n">
        <v>35855</v>
      </c>
      <c r="D10" s="3" t="n">
        <v>217.2186630603115</v>
      </c>
      <c r="E10" t="n">
        <v>100.4138631258714</v>
      </c>
      <c r="G10" s="7">
        <f>G$2*O10/O$2</f>
        <v/>
      </c>
      <c r="H10" s="7">
        <f>$G10+(1*$L10)</f>
        <v/>
      </c>
      <c r="I10" s="7">
        <f>$G10+(2*$L10)</f>
        <v/>
      </c>
      <c r="J10" s="7">
        <f>$G10+(-1*$L10)</f>
        <v/>
      </c>
      <c r="K10" s="7">
        <f>$G10+(-2*$L10)</f>
        <v/>
      </c>
      <c r="L10" s="1">
        <f t="array" ref="L10">IFERROR(_xlfn.STDEV.P(_xlfn._xlws.FILTER($E$2:$E$5000,(MONTH($C$2:$C$5000)=9)*ISNUMBER($D$2:$D$5000))),0)</f>
        <v/>
      </c>
      <c r="M10" s="1">
        <f>IFERROR($M$2*N10/$N$2,"")</f>
        <v/>
      </c>
      <c r="N10" s="7">
        <f t="array" ref="N10">IFERROR(AVERAGE(_xlfn._xlws.FILTER($D$2:$D$5000,(MONTH($C$2:$C$5000)=9)*(YEAR($C$2:$C$5000)=YEAR(TODAY())))),"")</f>
        <v/>
      </c>
      <c r="O10">
        <f t="array" ref="O10">AVERAGE(_xlfn._xlws.FILTER($D$2:$D$5000,(MONTH($C$2:$C$5000)=9)*ISNUMBER($D$2:$D$5000)))</f>
        <v/>
      </c>
      <c r="P10">
        <f t="array" ref="P10">_xlfn.STDEV.P(_xlfn._xlws.FILTER($D$2:$D$5000,(MONTH($C$2:$C$5000)=9)*ISNUMBER($D$2:$D$5000)))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</row>
    <row r="11">
      <c r="A11" s="4" t="n">
        <v>35647</v>
      </c>
      <c r="B11" s="3" t="n">
        <v>224.1122539040273</v>
      </c>
      <c r="C11" s="13" t="n">
        <v>35886</v>
      </c>
      <c r="D11" s="3" t="n">
        <v>218.687537295285</v>
      </c>
      <c r="E11" t="n">
        <v>101.092880915143</v>
      </c>
      <c r="G11" s="7">
        <f>G$2*O11/O$2</f>
        <v/>
      </c>
      <c r="H11" s="7">
        <f>$G11+(1*$L11)</f>
        <v/>
      </c>
      <c r="I11" s="7">
        <f>$G11+(2*$L11)</f>
        <v/>
      </c>
      <c r="J11" s="7">
        <f>$G11+(-1*$L11)</f>
        <v/>
      </c>
      <c r="K11" s="7">
        <f>$G11+(-2*$L11)</f>
        <v/>
      </c>
      <c r="L11" s="1">
        <f t="array" ref="L11">IFERROR(_xlfn.STDEV.P(_xlfn._xlws.FILTER($E$2:$E$5000,(MONTH($C$2:$C$5000)=10)*ISNUMBER($D$2:$D$5000))),0)</f>
        <v/>
      </c>
      <c r="M11" s="1">
        <f>IFERROR($M$2*N11/$N$2,"")</f>
        <v/>
      </c>
      <c r="N11" s="7">
        <f t="array" ref="N11">IFERROR(AVERAGE(_xlfn._xlws.FILTER($D$2:$D$5000,(MONTH($C$2:$C$5000)=10)*(YEAR($C$2:$C$5000)=YEAR(TODAY())))),"")</f>
        <v/>
      </c>
      <c r="O11">
        <f t="array" ref="O11">AVERAGE(_xlfn._xlws.FILTER($D$2:$D$5000,(MONTH($C$2:$C$5000)=10)*ISNUMBER($D$2:$D$5000)))</f>
        <v/>
      </c>
      <c r="P11">
        <f t="array" ref="P11">_xlfn.STDEV.P(_xlfn._xlws.FILTER($D$2:$D$5000,(MONTH($C$2:$C$5000)=10)*ISNUMBER($D$2:$D$5000)))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</row>
    <row r="12">
      <c r="A12" s="4" t="n">
        <v>35648</v>
      </c>
      <c r="B12" s="3" t="n">
        <v>224.1963801254627</v>
      </c>
      <c r="C12" s="13" t="n">
        <v>35916</v>
      </c>
      <c r="D12" s="3" t="n">
        <v>212.0799851845346</v>
      </c>
      <c r="E12" t="n">
        <v>98.03840196799221</v>
      </c>
      <c r="G12" s="7">
        <f>G$2*O12/O$2</f>
        <v/>
      </c>
      <c r="H12" s="7">
        <f>$G12+(1*$L12)</f>
        <v/>
      </c>
      <c r="I12" s="7">
        <f>$G12+(2*$L12)</f>
        <v/>
      </c>
      <c r="J12" s="7">
        <f>$G12+(-1*$L12)</f>
        <v/>
      </c>
      <c r="K12" s="7">
        <f>$G12+(-2*$L12)</f>
        <v/>
      </c>
      <c r="L12" s="1">
        <f t="array" ref="L12">IFERROR(_xlfn.STDEV.P(_xlfn._xlws.FILTER($E$2:$E$5000,(MONTH($C$2:$C$5000)=11)*ISNUMBER($D$2:$D$5000))),0)</f>
        <v/>
      </c>
      <c r="M12" s="1">
        <f>IFERROR($M$2*N12/$N$2,"")</f>
        <v/>
      </c>
      <c r="N12" s="7">
        <f t="array" ref="N12">IFERROR(AVERAGE(_xlfn._xlws.FILTER($D$2:$D$5000,(MONTH($C$2:$C$5000)=11)*(YEAR($C$2:$C$5000)=YEAR(TODAY())))),"")</f>
        <v/>
      </c>
      <c r="O12">
        <f t="array" ref="O12">AVERAGE(_xlfn._xlws.FILTER($D$2:$D$5000,(MONTH($C$2:$C$5000)=11)*ISNUMBER($D$2:$D$5000)))</f>
        <v/>
      </c>
      <c r="P12">
        <f t="array" ref="P12">_xlfn.STDEV.P(_xlfn._xlws.FILTER($D$2:$D$5000,(MONTH($C$2:$C$5000)=11)*ISNUMBER($D$2:$D$5000)))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</row>
    <row r="13">
      <c r="A13" s="4" t="n">
        <v>35649</v>
      </c>
      <c r="B13" s="3" t="n">
        <v>223.2709916896728</v>
      </c>
      <c r="C13" s="13" t="n">
        <v>35947</v>
      </c>
      <c r="D13" s="3" t="n">
        <v>210.7896225869679</v>
      </c>
      <c r="E13" t="n">
        <v>97.44190491092844</v>
      </c>
      <c r="G13" s="7">
        <f>G$2*O13/O$2</f>
        <v/>
      </c>
      <c r="H13" s="7">
        <f>$G13+(1*$L13)</f>
        <v/>
      </c>
      <c r="I13" s="7">
        <f>$G13+(2*$L13)</f>
        <v/>
      </c>
      <c r="J13" s="7">
        <f>$G13+(-1*$L13)</f>
        <v/>
      </c>
      <c r="K13" s="7">
        <f>$G13+(-2*$L13)</f>
        <v/>
      </c>
      <c r="L13" s="1">
        <f t="array" ref="L13">IFERROR(_xlfn.STDEV.P(_xlfn._xlws.FILTER($E$2:$E$5000,(MONTH($C$2:$C$5000)=12)*ISNUMBER($D$2:$D$5000))),0)</f>
        <v/>
      </c>
      <c r="M13" s="1">
        <f>IFERROR($M$2*N13/$N$2,"")</f>
        <v/>
      </c>
      <c r="N13" s="7">
        <f t="array" ref="N13">IFERROR(AVERAGE(_xlfn._xlws.FILTER($D$2:$D$5000,(MONTH($C$2:$C$5000)=12)*(YEAR($C$2:$C$5000)=YEAR(TODAY())))),"")</f>
        <v/>
      </c>
      <c r="O13">
        <f t="array" ref="O13">AVERAGE(_xlfn._xlws.FILTER($D$2:$D$5000,(MONTH($C$2:$C$5000)=12)*ISNUMBER($D$2:$D$5000)))</f>
        <v/>
      </c>
      <c r="P13">
        <f t="array" ref="P13">_xlfn.STDEV.P(_xlfn._xlws.FILTER($D$2:$D$5000,(MONTH($C$2:$C$5000)=12)*ISNUMBER($D$2:$D$5000)))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</row>
    <row r="14">
      <c r="A14" s="4" t="n">
        <v>35650</v>
      </c>
      <c r="B14" s="3" t="n">
        <v>223.3551179111083</v>
      </c>
      <c r="C14" s="13" t="n">
        <v>35977</v>
      </c>
      <c r="D14" s="3" t="n">
        <v>216.804262601204</v>
      </c>
      <c r="E14" t="n">
        <v>100.2222978598216</v>
      </c>
    </row>
    <row r="15">
      <c r="A15" s="4" t="n">
        <v>35653</v>
      </c>
      <c r="B15" s="3" t="n">
        <v>223.0186130253665</v>
      </c>
      <c r="C15" s="13" t="n">
        <v>36008</v>
      </c>
      <c r="D15" s="3" t="n">
        <v>222.6218762243637</v>
      </c>
      <c r="E15" t="n">
        <v>102.9116112449839</v>
      </c>
    </row>
    <row r="16">
      <c r="A16" s="4" t="n">
        <v>35654</v>
      </c>
      <c r="B16" s="3" t="n">
        <v>221.9249721467057</v>
      </c>
      <c r="C16" s="13" t="n">
        <v>36039</v>
      </c>
      <c r="D16" s="3" t="n">
        <v>231.1837428499348</v>
      </c>
      <c r="E16" t="n">
        <v>106.8695128881008</v>
      </c>
    </row>
    <row r="17">
      <c r="A17" s="4" t="n">
        <v>35655</v>
      </c>
      <c r="B17" s="3" t="n">
        <v>220.9995837109158</v>
      </c>
      <c r="C17" s="13" t="n">
        <v>36069</v>
      </c>
      <c r="D17" s="3" t="n">
        <v>224.6184421980001</v>
      </c>
      <c r="E17" t="n">
        <v>103.8345655601149</v>
      </c>
    </row>
    <row r="18">
      <c r="A18" s="4" t="n">
        <v>35656</v>
      </c>
      <c r="B18" s="3" t="n">
        <v>220.2424477179968</v>
      </c>
      <c r="C18" s="13" t="n">
        <v>36100</v>
      </c>
      <c r="D18" s="3" t="n">
        <v>227.9803455171106</v>
      </c>
      <c r="E18" t="n">
        <v>105.3886755752099</v>
      </c>
    </row>
    <row r="19">
      <c r="A19" s="4" t="n">
        <v>35657</v>
      </c>
      <c r="B19" s="3" t="n">
        <v>219.6535641679487</v>
      </c>
      <c r="C19" s="13" t="n">
        <v>36130</v>
      </c>
      <c r="D19" s="3" t="n">
        <v>226.8843396362558</v>
      </c>
      <c r="E19" t="n">
        <v>104.8820239691518</v>
      </c>
    </row>
    <row r="20">
      <c r="A20" s="4" t="n">
        <v>35660</v>
      </c>
      <c r="B20" s="3" t="n">
        <v>219.3170592822069</v>
      </c>
      <c r="C20" s="13" t="n">
        <v>36161</v>
      </c>
      <c r="D20" s="3" t="n">
        <v>231.9229529830944</v>
      </c>
      <c r="E20" t="n">
        <v>100</v>
      </c>
    </row>
    <row r="21">
      <c r="A21" s="4" t="n">
        <v>35661</v>
      </c>
      <c r="B21" s="3" t="n">
        <v>219.6535641679487</v>
      </c>
      <c r="C21" s="13" t="n">
        <v>36192</v>
      </c>
      <c r="D21" s="3" t="n">
        <v>240.354577154139</v>
      </c>
      <c r="E21" t="n">
        <v>103.6355281194006</v>
      </c>
    </row>
    <row r="22">
      <c r="A22" s="4" t="n">
        <v>35662</v>
      </c>
      <c r="B22" s="3" t="n">
        <v>220.9995837109158</v>
      </c>
      <c r="C22" s="13" t="n">
        <v>36220</v>
      </c>
      <c r="D22" s="3" t="n">
        <v>236.6773826100601</v>
      </c>
      <c r="E22" t="n">
        <v>102.0500039197553</v>
      </c>
    </row>
    <row r="23">
      <c r="A23" s="4" t="n">
        <v>35663</v>
      </c>
      <c r="B23" s="3" t="n">
        <v>221.1678361537867</v>
      </c>
      <c r="C23" s="13" t="n">
        <v>36251</v>
      </c>
      <c r="D23" s="3" t="n">
        <v>230.1422793951955</v>
      </c>
      <c r="E23" t="n">
        <v>99.23221329972083</v>
      </c>
    </row>
    <row r="24">
      <c r="A24" s="4" t="n">
        <v>35664</v>
      </c>
      <c r="B24" s="3" t="n">
        <v>221.5043410395285</v>
      </c>
      <c r="C24" s="13" t="n">
        <v>36281</v>
      </c>
      <c r="D24" s="3" t="n">
        <v>221.1517472877298</v>
      </c>
      <c r="E24" t="n">
        <v>95.35569655490296</v>
      </c>
    </row>
    <row r="25">
      <c r="A25" s="4" t="n">
        <v>35667</v>
      </c>
      <c r="B25" s="3" t="n">
        <v>222.4297294753184</v>
      </c>
      <c r="C25" s="13" t="n">
        <v>36312</v>
      </c>
      <c r="D25" s="3" t="n">
        <v>223.6741227680749</v>
      </c>
      <c r="E25" t="n">
        <v>96.44328855384109</v>
      </c>
    </row>
    <row r="26">
      <c r="A26" s="4" t="n">
        <v>35668</v>
      </c>
      <c r="B26" s="3" t="n">
        <v>222.5979819181893</v>
      </c>
      <c r="C26" s="13" t="n">
        <v>36342</v>
      </c>
      <c r="D26" s="3" t="n">
        <v>236.9062217238177</v>
      </c>
      <c r="E26" t="n">
        <v>102.1486742371233</v>
      </c>
    </row>
    <row r="27">
      <c r="A27" s="4" t="n">
        <v>35669</v>
      </c>
      <c r="B27" s="3" t="n">
        <v>222.0932245895766</v>
      </c>
      <c r="C27" s="13" t="n">
        <v>36373</v>
      </c>
      <c r="D27" s="3" t="n">
        <v>236.3163295405825</v>
      </c>
      <c r="E27" t="n">
        <v>101.8943258961558</v>
      </c>
    </row>
    <row r="28">
      <c r="A28" s="4" t="n">
        <v>35670</v>
      </c>
      <c r="B28" s="3" t="n">
        <v>221.7567197038348</v>
      </c>
      <c r="C28" s="13" t="n">
        <v>36404</v>
      </c>
      <c r="D28" s="3" t="n">
        <v>251.2684732295389</v>
      </c>
      <c r="E28" t="n">
        <v>108.3413564710237</v>
      </c>
    </row>
    <row r="29">
      <c r="A29" s="4" t="n">
        <v>35671</v>
      </c>
      <c r="B29" s="3" t="n">
        <v>221.6725934823993</v>
      </c>
      <c r="C29" s="13" t="n">
        <v>36434</v>
      </c>
      <c r="D29" s="3" t="n">
        <v>277.9342480027625</v>
      </c>
      <c r="E29" t="n">
        <v>119.8390432804734</v>
      </c>
    </row>
    <row r="30">
      <c r="A30" s="4" t="n">
        <v>35674</v>
      </c>
      <c r="B30" s="3" t="n">
        <v>219.935080186239</v>
      </c>
      <c r="C30" s="13" t="n">
        <v>36465</v>
      </c>
      <c r="D30" s="3" t="n">
        <v>285.7797405552793</v>
      </c>
      <c r="E30" t="n">
        <v>123.2218445304595</v>
      </c>
    </row>
    <row r="31">
      <c r="A31" s="4" t="n">
        <v>35675</v>
      </c>
      <c r="B31" s="3" t="n">
        <v>219.600196166161</v>
      </c>
      <c r="C31" s="13" t="n">
        <v>36495</v>
      </c>
      <c r="D31" s="3" t="n">
        <v>273.7363980279561</v>
      </c>
      <c r="E31" t="n">
        <v>118.0290240819371</v>
      </c>
    </row>
    <row r="32">
      <c r="A32" s="4" t="n">
        <v>35676</v>
      </c>
      <c r="B32" s="3" t="n">
        <v>219.3490331511024</v>
      </c>
      <c r="C32" s="13" t="n">
        <v>36526</v>
      </c>
      <c r="D32" s="3" t="n">
        <v>273.3948382031001</v>
      </c>
      <c r="E32" t="n">
        <v>100</v>
      </c>
    </row>
    <row r="33">
      <c r="A33" s="4" t="n">
        <v>35677</v>
      </c>
      <c r="B33" s="3" t="n">
        <v>218.4281020958879</v>
      </c>
      <c r="C33" s="13" t="n">
        <v>36557</v>
      </c>
      <c r="D33" s="3" t="n">
        <v>260.932853860963</v>
      </c>
      <c r="E33" t="n">
        <v>95.44176312031198</v>
      </c>
    </row>
    <row r="34">
      <c r="A34" s="4" t="n">
        <v>35678</v>
      </c>
      <c r="B34" s="3" t="n">
        <v>215.8327509402833</v>
      </c>
      <c r="C34" s="13" t="n">
        <v>36586</v>
      </c>
      <c r="D34" s="3" t="n">
        <v>250.5238827284973</v>
      </c>
      <c r="E34" t="n">
        <v>91.6344596610078</v>
      </c>
    </row>
    <row r="35">
      <c r="A35" s="4" t="n">
        <v>35681</v>
      </c>
      <c r="B35" s="3" t="n">
        <v>215.7490299352638</v>
      </c>
      <c r="C35" s="13" t="n">
        <v>36617</v>
      </c>
      <c r="D35" s="3" t="n">
        <v>249.1131892792515</v>
      </c>
      <c r="E35" t="n">
        <v>91.11846840875239</v>
      </c>
    </row>
    <row r="36">
      <c r="A36" s="4" t="n">
        <v>35682</v>
      </c>
      <c r="B36" s="3" t="n">
        <v>215.3304249101662</v>
      </c>
      <c r="C36" s="13" t="n">
        <v>36647</v>
      </c>
      <c r="D36" s="3" t="n">
        <v>238.8396643944675</v>
      </c>
      <c r="E36" t="n">
        <v>87.36070730678455</v>
      </c>
    </row>
    <row r="37">
      <c r="A37" s="4" t="n">
        <v>35683</v>
      </c>
      <c r="B37" s="3" t="n">
        <v>215.3304249101662</v>
      </c>
      <c r="C37" s="13" t="n">
        <v>36678</v>
      </c>
      <c r="D37" s="3" t="n">
        <v>252.8022471878081</v>
      </c>
      <c r="E37" t="n">
        <v>92.46782011297735</v>
      </c>
    </row>
    <row r="38">
      <c r="A38" s="4" t="n">
        <v>35684</v>
      </c>
      <c r="B38" s="3" t="n">
        <v>215.6653089302443</v>
      </c>
      <c r="C38" s="13" t="n">
        <v>36708</v>
      </c>
      <c r="D38" s="3" t="n">
        <v>257.9731160504109</v>
      </c>
      <c r="E38" t="n">
        <v>94.35917581544363</v>
      </c>
    </row>
    <row r="39">
      <c r="A39" s="4" t="n">
        <v>35685</v>
      </c>
      <c r="B39" s="3" t="n">
        <v>215.4978669202052</v>
      </c>
      <c r="C39" s="13" t="n">
        <v>36739</v>
      </c>
      <c r="D39" s="3" t="n">
        <v>260.6161352181717</v>
      </c>
      <c r="E39" t="n">
        <v>95.32591651367048</v>
      </c>
    </row>
    <row r="40">
      <c r="A40" s="4" t="n">
        <v>35688</v>
      </c>
      <c r="B40" s="3" t="n">
        <v>216.2513559653808</v>
      </c>
      <c r="C40" s="13" t="n">
        <v>36770</v>
      </c>
      <c r="D40" s="3" t="n">
        <v>253.9267351898891</v>
      </c>
      <c r="E40" t="n">
        <v>92.87912561145411</v>
      </c>
    </row>
    <row r="41">
      <c r="A41" s="4" t="n">
        <v>35689</v>
      </c>
      <c r="B41" s="3" t="n">
        <v>216.8374030005173</v>
      </c>
      <c r="C41" s="13" t="n">
        <v>36800</v>
      </c>
      <c r="D41" s="3" t="n">
        <v>262.0750600956111</v>
      </c>
      <c r="E41" t="n">
        <v>95.85954944069582</v>
      </c>
    </row>
    <row r="42">
      <c r="A42" s="4" t="n">
        <v>35690</v>
      </c>
      <c r="B42" s="3" t="n">
        <v>216.8374030005173</v>
      </c>
      <c r="C42" s="13" t="n">
        <v>36831</v>
      </c>
      <c r="D42" s="3" t="n">
        <v>255.9201914295551</v>
      </c>
      <c r="E42" t="n">
        <v>93.60827479831077</v>
      </c>
    </row>
    <row r="43">
      <c r="A43" s="4" t="n">
        <v>35691</v>
      </c>
      <c r="B43" s="3" t="n">
        <v>217.0048450105563</v>
      </c>
      <c r="C43" s="13" t="n">
        <v>36861</v>
      </c>
      <c r="D43" s="3" t="n">
        <v>248.1149766026028</v>
      </c>
      <c r="E43" t="n">
        <v>90.75335080696829</v>
      </c>
    </row>
    <row r="44">
      <c r="A44" s="4" t="n">
        <v>35692</v>
      </c>
      <c r="B44" s="3" t="n">
        <v>217.8420550607514</v>
      </c>
      <c r="C44" s="13" t="n">
        <v>36892</v>
      </c>
      <c r="D44" s="3" t="n">
        <v>243.9136922253569</v>
      </c>
      <c r="E44" t="n">
        <v>100</v>
      </c>
    </row>
    <row r="45">
      <c r="A45" s="4" t="n">
        <v>35695</v>
      </c>
      <c r="B45" s="3" t="n">
        <v>218.4281020958879</v>
      </c>
      <c r="C45" s="13" t="n">
        <v>36923</v>
      </c>
      <c r="D45" s="3" t="n">
        <v>239.981474913906</v>
      </c>
      <c r="E45" t="n">
        <v>98.38786528317654</v>
      </c>
    </row>
    <row r="46">
      <c r="A46" s="4" t="n">
        <v>35696</v>
      </c>
      <c r="B46" s="3" t="n">
        <v>218.5118231009074</v>
      </c>
      <c r="C46" s="13" t="n">
        <v>36951</v>
      </c>
      <c r="D46" s="3" t="n">
        <v>240.2561531053259</v>
      </c>
      <c r="E46" t="n">
        <v>98.50047814591248</v>
      </c>
    </row>
    <row r="47">
      <c r="A47" s="4" t="n">
        <v>35697</v>
      </c>
      <c r="B47" s="3" t="n">
        <v>218.8467071209854</v>
      </c>
      <c r="C47" s="13" t="n">
        <v>36982</v>
      </c>
      <c r="D47" s="3" t="n">
        <v>249.093325852107</v>
      </c>
      <c r="E47" t="n">
        <v>102.1235518102709</v>
      </c>
    </row>
    <row r="48">
      <c r="A48" s="4" t="n">
        <v>35698</v>
      </c>
      <c r="B48" s="3" t="n">
        <v>219.3490331511024</v>
      </c>
      <c r="C48" s="13" t="n">
        <v>37012</v>
      </c>
      <c r="D48" s="3" t="n">
        <v>242.3062901853193</v>
      </c>
      <c r="E48" t="n">
        <v>99.34099556881273</v>
      </c>
    </row>
    <row r="49">
      <c r="A49" s="4" t="n">
        <v>35699</v>
      </c>
      <c r="B49" s="3" t="n">
        <v>219.8513591812195</v>
      </c>
      <c r="C49" s="13" t="n">
        <v>37043</v>
      </c>
      <c r="D49" s="3" t="n">
        <v>240.022350046498</v>
      </c>
      <c r="E49" t="n">
        <v>98.40462331435513</v>
      </c>
    </row>
    <row r="50">
      <c r="A50" s="4" t="n">
        <v>35702</v>
      </c>
      <c r="B50" s="3" t="n">
        <v>220.9397322464731</v>
      </c>
      <c r="C50" s="13" t="n">
        <v>37073</v>
      </c>
      <c r="D50" s="3" t="n">
        <v>239.357773343705</v>
      </c>
      <c r="E50" t="n">
        <v>98.13215943718214</v>
      </c>
    </row>
    <row r="51">
      <c r="A51" s="4" t="n">
        <v>35703</v>
      </c>
      <c r="B51" s="3" t="n">
        <v>220.9397322464731</v>
      </c>
      <c r="C51" s="13" t="n">
        <v>37104</v>
      </c>
      <c r="D51" s="3" t="n">
        <v>240.4708254997618</v>
      </c>
      <c r="E51" t="n">
        <v>98.58848976694011</v>
      </c>
    </row>
    <row r="52">
      <c r="A52" s="4" t="n">
        <v>35704</v>
      </c>
      <c r="B52" s="3" t="n">
        <v>219.881548823894</v>
      </c>
      <c r="C52" s="13" t="n">
        <v>37135</v>
      </c>
      <c r="D52" s="3" t="n">
        <v>243.4667809576489</v>
      </c>
      <c r="E52" t="n">
        <v>99.81677483390514</v>
      </c>
    </row>
    <row r="53">
      <c r="A53" s="4" t="n">
        <v>35705</v>
      </c>
      <c r="B53" s="3" t="n">
        <v>219.9649636754964</v>
      </c>
      <c r="C53" s="13" t="n">
        <v>37165</v>
      </c>
      <c r="D53" s="3" t="n">
        <v>261.0216071774798</v>
      </c>
      <c r="E53" t="n">
        <v>107.0139215211898</v>
      </c>
    </row>
    <row r="54">
      <c r="A54" s="4" t="n">
        <v>35706</v>
      </c>
      <c r="B54" s="3" t="n">
        <v>219.7981339722917</v>
      </c>
      <c r="C54" s="13" t="n">
        <v>37196</v>
      </c>
      <c r="D54" s="3" t="n">
        <v>254.9118863203282</v>
      </c>
      <c r="E54" t="n">
        <v>104.5090515397593</v>
      </c>
    </row>
    <row r="55">
      <c r="A55" s="4" t="n">
        <v>35709</v>
      </c>
      <c r="B55" s="3" t="n">
        <v>219.881548823894</v>
      </c>
      <c r="C55" s="13" t="n">
        <v>37226</v>
      </c>
      <c r="D55" s="3" t="n">
        <v>255.5026938724738</v>
      </c>
      <c r="E55" t="n">
        <v>104.7512714605663</v>
      </c>
    </row>
    <row r="56">
      <c r="A56" s="4" t="n">
        <v>35710</v>
      </c>
      <c r="B56" s="3" t="n">
        <v>220.0483785270988</v>
      </c>
      <c r="C56" s="13" t="n">
        <v>37257</v>
      </c>
      <c r="D56" s="3" t="n">
        <v>251.8264349031841</v>
      </c>
      <c r="E56" t="n">
        <v>100</v>
      </c>
    </row>
    <row r="57">
      <c r="A57" s="4" t="n">
        <v>35711</v>
      </c>
      <c r="B57" s="3" t="n">
        <v>220.3820379335084</v>
      </c>
      <c r="C57" s="13" t="n">
        <v>37288</v>
      </c>
      <c r="D57" s="3" t="n">
        <v>252.2206192511923</v>
      </c>
      <c r="E57" t="n">
        <v>100.1565301705358</v>
      </c>
    </row>
    <row r="58">
      <c r="A58" s="4" t="n">
        <v>35712</v>
      </c>
      <c r="B58" s="3" t="n">
        <v>221.1327715979299</v>
      </c>
      <c r="C58" s="13" t="n">
        <v>37316</v>
      </c>
      <c r="D58" s="3" t="n">
        <v>246.3623514608148</v>
      </c>
      <c r="E58" t="n">
        <v>97.83021848184049</v>
      </c>
    </row>
    <row r="59">
      <c r="A59" s="4" t="n">
        <v>35713</v>
      </c>
      <c r="B59" s="3" t="n">
        <v>221.8835052623514</v>
      </c>
      <c r="C59" s="13" t="n">
        <v>37347</v>
      </c>
      <c r="D59" s="3" t="n">
        <v>232.7858908122259</v>
      </c>
      <c r="E59" t="n">
        <v>92.43902090807963</v>
      </c>
    </row>
    <row r="60">
      <c r="A60" s="4" t="n">
        <v>35716</v>
      </c>
      <c r="B60" s="3" t="n">
        <v>223.0513131847848</v>
      </c>
      <c r="C60" s="13" t="n">
        <v>37377</v>
      </c>
      <c r="D60" s="3" t="n">
        <v>229.2724756967592</v>
      </c>
      <c r="E60" t="n">
        <v>91.04384763454405</v>
      </c>
    </row>
    <row r="61">
      <c r="A61" s="4" t="n">
        <v>35717</v>
      </c>
      <c r="B61" s="3" t="n">
        <v>224.3025359588206</v>
      </c>
      <c r="C61" s="13" t="n">
        <v>37408</v>
      </c>
      <c r="D61" s="3" t="n">
        <v>227.2411478085548</v>
      </c>
      <c r="E61" t="n">
        <v>90.23720956694589</v>
      </c>
    </row>
    <row r="62">
      <c r="A62" s="4" t="n">
        <v>35718</v>
      </c>
      <c r="B62" s="3" t="n">
        <v>225.8040032876636</v>
      </c>
      <c r="C62" s="13" t="n">
        <v>37438</v>
      </c>
      <c r="D62" s="3" t="n">
        <v>230.7618801001504</v>
      </c>
      <c r="E62" t="n">
        <v>91.6352884830649</v>
      </c>
    </row>
    <row r="63">
      <c r="A63" s="4" t="n">
        <v>35719</v>
      </c>
      <c r="B63" s="3" t="n">
        <v>227.3054706165065</v>
      </c>
      <c r="C63" s="13" t="n">
        <v>37469</v>
      </c>
      <c r="D63" s="3" t="n">
        <v>252.5849427269766</v>
      </c>
      <c r="E63" t="n">
        <v>100.301202621593</v>
      </c>
    </row>
    <row r="64">
      <c r="A64" s="4" t="n">
        <v>35720</v>
      </c>
      <c r="B64" s="3" t="n">
        <v>228.8903527969519</v>
      </c>
      <c r="C64" s="13" t="n">
        <v>37500</v>
      </c>
      <c r="D64" s="3" t="n">
        <v>250.3714059160951</v>
      </c>
      <c r="E64" t="n">
        <v>99.42220959144008</v>
      </c>
    </row>
    <row r="65">
      <c r="A65" s="4" t="n">
        <v>35723</v>
      </c>
      <c r="B65" s="3" t="n">
        <v>230.5586498289996</v>
      </c>
      <c r="C65" s="13" t="n">
        <v>37530</v>
      </c>
      <c r="D65" s="3" t="n">
        <v>258.7861226326631</v>
      </c>
      <c r="E65" t="n">
        <v>102.7636843336779</v>
      </c>
    </row>
    <row r="66">
      <c r="A66" s="4" t="n">
        <v>35724</v>
      </c>
      <c r="B66" s="3" t="n">
        <v>232.3103617126498</v>
      </c>
      <c r="C66" s="13" t="n">
        <v>37561</v>
      </c>
      <c r="D66" s="3" t="n">
        <v>265.1305391527501</v>
      </c>
      <c r="E66" t="n">
        <v>105.2830451476156</v>
      </c>
    </row>
    <row r="67">
      <c r="A67" s="4" t="n">
        <v>35725</v>
      </c>
      <c r="B67" s="3" t="n">
        <v>232.560606267457</v>
      </c>
      <c r="C67" s="13" t="n">
        <v>37591</v>
      </c>
      <c r="D67" s="3" t="n">
        <v>254.6086248854312</v>
      </c>
      <c r="E67" t="n">
        <v>101.1048045783266</v>
      </c>
    </row>
    <row r="68">
      <c r="A68" s="4" t="n">
        <v>35726</v>
      </c>
      <c r="B68" s="3" t="n">
        <v>232.8108508222641</v>
      </c>
      <c r="C68" s="13" t="n">
        <v>37622</v>
      </c>
      <c r="D68" s="3" t="n">
        <v>246.4035693001712</v>
      </c>
      <c r="E68" t="n">
        <v>100</v>
      </c>
    </row>
    <row r="69">
      <c r="A69" s="4" t="n">
        <v>35727</v>
      </c>
      <c r="B69" s="3" t="n">
        <v>232.8942656738665</v>
      </c>
      <c r="C69" s="13" t="n">
        <v>37653</v>
      </c>
      <c r="D69" s="3" t="n">
        <v>240.43874846035</v>
      </c>
      <c r="E69" t="n">
        <v>97.57924738803</v>
      </c>
    </row>
    <row r="70">
      <c r="A70" s="4" t="n">
        <v>35730</v>
      </c>
      <c r="B70" s="3" t="n">
        <v>232.9776805254689</v>
      </c>
      <c r="C70" s="13" t="n">
        <v>37681</v>
      </c>
      <c r="D70" s="3" t="n">
        <v>234.5509185966253</v>
      </c>
      <c r="E70" t="n">
        <v>95.18974066113998</v>
      </c>
    </row>
    <row r="71">
      <c r="A71" s="4" t="n">
        <v>35731</v>
      </c>
      <c r="B71" s="3" t="n">
        <v>232.4771914158546</v>
      </c>
      <c r="C71" s="13" t="n">
        <v>37712</v>
      </c>
      <c r="D71" s="3" t="n">
        <v>227.0533229608415</v>
      </c>
      <c r="E71" t="n">
        <v>92.14692936701861</v>
      </c>
    </row>
    <row r="72">
      <c r="A72" s="4" t="n">
        <v>35732</v>
      </c>
      <c r="B72" s="3" t="n">
        <v>231.8098726030354</v>
      </c>
      <c r="C72" s="13" t="n">
        <v>37742</v>
      </c>
      <c r="D72" s="3" t="n">
        <v>215.0152601341696</v>
      </c>
      <c r="E72" t="n">
        <v>87.26142269158284</v>
      </c>
    </row>
    <row r="73">
      <c r="A73" s="4" t="n">
        <v>35733</v>
      </c>
      <c r="B73" s="3" t="n">
        <v>231.8098726030354</v>
      </c>
      <c r="C73" s="13" t="n">
        <v>37773</v>
      </c>
      <c r="D73" s="3" t="n">
        <v>219.9731052771028</v>
      </c>
      <c r="E73" t="n">
        <v>89.27350602179364</v>
      </c>
    </row>
    <row r="74">
      <c r="A74" s="4" t="n">
        <v>35734</v>
      </c>
      <c r="B74" s="3" t="n">
        <v>231.1425537902164</v>
      </c>
      <c r="C74" s="13" t="n">
        <v>37803</v>
      </c>
      <c r="D74" s="3" t="n">
        <v>230.0593201796611</v>
      </c>
      <c r="E74" t="n">
        <v>93.36687809883169</v>
      </c>
    </row>
    <row r="75">
      <c r="A75" s="4" t="n">
        <v>35737</v>
      </c>
      <c r="B75" s="3" t="n">
        <v>227.0279357147307</v>
      </c>
      <c r="C75" s="13" t="n">
        <v>37834</v>
      </c>
      <c r="D75" s="3" t="n">
        <v>238.4191392882261</v>
      </c>
      <c r="E75" t="n">
        <v>96.75961268149554</v>
      </c>
    </row>
    <row r="76">
      <c r="A76" s="4" t="n">
        <v>35738</v>
      </c>
      <c r="B76" s="3" t="n">
        <v>227.2765971996318</v>
      </c>
      <c r="C76" s="13" t="n">
        <v>37865</v>
      </c>
      <c r="D76" s="3" t="n">
        <v>243.6328366918938</v>
      </c>
      <c r="E76" t="n">
        <v>98.87553065235753</v>
      </c>
    </row>
    <row r="77">
      <c r="A77" s="4" t="n">
        <v>35739</v>
      </c>
      <c r="B77" s="3" t="n">
        <v>227.0279357147307</v>
      </c>
      <c r="C77" s="13" t="n">
        <v>37895</v>
      </c>
      <c r="D77" s="3" t="n">
        <v>243.6632225827964</v>
      </c>
      <c r="E77" t="n">
        <v>98.88786240996514</v>
      </c>
    </row>
    <row r="78">
      <c r="A78" s="4" t="n">
        <v>35740</v>
      </c>
      <c r="B78" s="3" t="n">
        <v>224.375546542452</v>
      </c>
      <c r="C78" s="13" t="n">
        <v>37926</v>
      </c>
      <c r="D78" s="3" t="n">
        <v>246.8948361084819</v>
      </c>
      <c r="E78" t="n">
        <v>100.1993748750093</v>
      </c>
    </row>
    <row r="79">
      <c r="A79" s="4" t="n">
        <v>35741</v>
      </c>
      <c r="B79" s="3" t="n">
        <v>224.4584337040856</v>
      </c>
      <c r="C79" s="13" t="n">
        <v>37956</v>
      </c>
      <c r="D79" s="3" t="n">
        <v>244.4457266747041</v>
      </c>
      <c r="E79" t="n">
        <v>99.20543252233411</v>
      </c>
    </row>
    <row r="80">
      <c r="A80" s="4" t="n">
        <v>35744</v>
      </c>
      <c r="B80" s="3" t="n">
        <v>223.795336411016</v>
      </c>
      <c r="C80" s="13" t="n">
        <v>37987</v>
      </c>
      <c r="D80" s="3" t="n">
        <v>242.604534139256</v>
      </c>
      <c r="E80" t="n">
        <v>100</v>
      </c>
    </row>
    <row r="81">
      <c r="A81" s="4" t="n">
        <v>35745</v>
      </c>
      <c r="B81" s="3" t="n">
        <v>223.5466749261148</v>
      </c>
      <c r="C81" s="13" t="n">
        <v>38018</v>
      </c>
      <c r="D81" s="3" t="n">
        <v>234.5944232287333</v>
      </c>
      <c r="E81" t="n">
        <v>96.69828474602009</v>
      </c>
    </row>
    <row r="82">
      <c r="A82" s="4" t="n">
        <v>35746</v>
      </c>
      <c r="B82" s="3" t="n">
        <v>222.3862546632429</v>
      </c>
      <c r="C82" s="13" t="n">
        <v>38047</v>
      </c>
      <c r="D82" s="3" t="n">
        <v>229.7082421520822</v>
      </c>
      <c r="E82" t="n">
        <v>93.22439719704279</v>
      </c>
    </row>
    <row r="83">
      <c r="A83" s="4" t="n">
        <v>35747</v>
      </c>
      <c r="B83" s="3" t="n">
        <v>222.3862546632429</v>
      </c>
      <c r="C83" s="13" t="n">
        <v>38078</v>
      </c>
      <c r="D83" s="3" t="n">
        <v>227.2974248491757</v>
      </c>
      <c r="E83" t="n">
        <v>92.24599525678128</v>
      </c>
    </row>
    <row r="84">
      <c r="A84" s="4" t="n">
        <v>35748</v>
      </c>
      <c r="B84" s="3" t="n">
        <v>222.0547060167081</v>
      </c>
      <c r="C84" s="13" t="n">
        <v>38108</v>
      </c>
      <c r="D84" s="3" t="n">
        <v>229.4588388489085</v>
      </c>
      <c r="E84" t="n">
        <v>93.12317979021624</v>
      </c>
    </row>
    <row r="85">
      <c r="A85" s="4" t="n">
        <v>35751</v>
      </c>
      <c r="B85" s="3" t="n">
        <v>220.1483012991327</v>
      </c>
      <c r="C85" s="13" t="n">
        <v>38139</v>
      </c>
      <c r="D85" s="3" t="n">
        <v>230.3930586649692</v>
      </c>
      <c r="E85" t="n">
        <v>93.50232195066224</v>
      </c>
    </row>
    <row r="86">
      <c r="A86" s="4" t="n">
        <v>35752</v>
      </c>
      <c r="B86" s="3" t="n">
        <v>218.9049938746271</v>
      </c>
      <c r="C86" s="13" t="n">
        <v>38169</v>
      </c>
      <c r="D86" s="3" t="n">
        <v>226.8327125718998</v>
      </c>
      <c r="E86" t="n">
        <v>92.05739722689243</v>
      </c>
    </row>
    <row r="87">
      <c r="A87" s="4" t="n">
        <v>35753</v>
      </c>
      <c r="B87" s="3" t="n">
        <v>218.5734452280923</v>
      </c>
      <c r="C87" s="13" t="n">
        <v>38200</v>
      </c>
      <c r="D87" s="3" t="n">
        <v>228.7419017846167</v>
      </c>
      <c r="E87" t="n">
        <v>92.83221928735988</v>
      </c>
    </row>
    <row r="88">
      <c r="A88" s="4" t="n">
        <v>35754</v>
      </c>
      <c r="B88" s="3" t="n">
        <v>218.9878810362608</v>
      </c>
      <c r="C88" s="13" t="n">
        <v>38231</v>
      </c>
      <c r="D88" s="3" t="n">
        <v>221.3260393468679</v>
      </c>
      <c r="E88" t="n">
        <v>89.82257845349895</v>
      </c>
    </row>
    <row r="89">
      <c r="A89" s="4" t="n">
        <v>35755</v>
      </c>
      <c r="B89" s="3" t="n">
        <v>219.8996398142316</v>
      </c>
      <c r="C89" s="13" t="n">
        <v>38261</v>
      </c>
      <c r="D89" s="3" t="n">
        <v>219.1234407670476</v>
      </c>
      <c r="E89" t="n">
        <v>88.92867964104421</v>
      </c>
    </row>
    <row r="90">
      <c r="A90" s="4" t="n">
        <v>35758</v>
      </c>
      <c r="B90" s="3" t="n">
        <v>220.065414137499</v>
      </c>
      <c r="C90" s="13" t="n">
        <v>38292</v>
      </c>
      <c r="D90" s="3" t="n">
        <v>225.0011796900678</v>
      </c>
      <c r="E90" t="n">
        <v>91.31409107794587</v>
      </c>
    </row>
    <row r="91">
      <c r="A91" s="4" t="n">
        <v>35759</v>
      </c>
      <c r="B91" s="3" t="n">
        <v>221.3087215620047</v>
      </c>
      <c r="C91" s="13" t="n">
        <v>38322</v>
      </c>
      <c r="D91" s="3" t="n">
        <v>221.3604184255597</v>
      </c>
      <c r="E91" t="n">
        <v>89.83653079955847</v>
      </c>
    </row>
    <row r="92">
      <c r="A92" s="4" t="n">
        <v>35760</v>
      </c>
      <c r="B92" s="3" t="n">
        <v>221.3087215620047</v>
      </c>
      <c r="C92" s="13" t="n">
        <v>38353</v>
      </c>
      <c r="D92" s="3" t="n">
        <v>214.660801030859</v>
      </c>
      <c r="E92" t="n">
        <v>100</v>
      </c>
    </row>
    <row r="93">
      <c r="A93" s="4" t="n">
        <v>35761</v>
      </c>
      <c r="B93" s="3" t="n">
        <v>221.9718188550744</v>
      </c>
      <c r="C93" s="13" t="n">
        <v>38384</v>
      </c>
      <c r="D93" s="3" t="n">
        <v>209.2165876792577</v>
      </c>
      <c r="E93" t="n">
        <v>97.46380646794537</v>
      </c>
    </row>
    <row r="94">
      <c r="A94" s="4" t="n">
        <v>35762</v>
      </c>
      <c r="B94" s="3" t="n">
        <v>222.1375931783418</v>
      </c>
      <c r="C94" s="13" t="n">
        <v>38412</v>
      </c>
      <c r="D94" s="3" t="n">
        <v>203.7329099520657</v>
      </c>
      <c r="E94" t="n">
        <v>94.90922840764843</v>
      </c>
    </row>
    <row r="95">
      <c r="A95" s="4" t="n">
        <v>35765</v>
      </c>
      <c r="B95" s="3" t="n">
        <v>221.8483707745633</v>
      </c>
      <c r="C95" s="13" t="n">
        <v>38443</v>
      </c>
      <c r="D95" s="3" t="n">
        <v>195.672792938678</v>
      </c>
      <c r="E95" t="n">
        <v>91.15441291516873</v>
      </c>
    </row>
    <row r="96">
      <c r="A96" s="4" t="n">
        <v>35766</v>
      </c>
      <c r="B96" s="3" t="n">
        <v>222.6703358385669</v>
      </c>
      <c r="C96" s="13" t="n">
        <v>38473</v>
      </c>
      <c r="D96" s="3" t="n">
        <v>191.9766185027362</v>
      </c>
      <c r="E96" t="n">
        <v>89.43254547677674</v>
      </c>
    </row>
    <row r="97">
      <c r="A97" s="4" t="n">
        <v>35767</v>
      </c>
      <c r="B97" s="3" t="n">
        <v>224.0676764473729</v>
      </c>
      <c r="C97" s="13" t="n">
        <v>38504</v>
      </c>
      <c r="D97" s="3" t="n">
        <v>191.2253359105228</v>
      </c>
      <c r="E97" t="n">
        <v>89.08255955079233</v>
      </c>
    </row>
    <row r="98">
      <c r="A98" s="4" t="n">
        <v>35768</v>
      </c>
      <c r="B98" s="3" t="n">
        <v>225.5472135625793</v>
      </c>
      <c r="C98" s="13" t="n">
        <v>38534</v>
      </c>
      <c r="D98" s="3" t="n">
        <v>187.684089135319</v>
      </c>
      <c r="E98" t="n">
        <v>87.43286535502031</v>
      </c>
    </row>
    <row r="99">
      <c r="A99" s="4" t="n">
        <v>35769</v>
      </c>
      <c r="B99" s="3" t="n">
        <v>225.7116065753801</v>
      </c>
      <c r="C99" s="13" t="n">
        <v>38565</v>
      </c>
      <c r="D99" s="3" t="n">
        <v>184.2098728223646</v>
      </c>
      <c r="E99" t="n">
        <v>85.81439738309889</v>
      </c>
    </row>
    <row r="100">
      <c r="A100" s="4" t="n">
        <v>35772</v>
      </c>
      <c r="B100" s="3" t="n">
        <v>225.3828205497787</v>
      </c>
      <c r="C100" s="13" t="n">
        <v>38596</v>
      </c>
      <c r="D100" s="3" t="n">
        <v>180.6136872265986</v>
      </c>
      <c r="E100" t="n">
        <v>84.13910986973077</v>
      </c>
    </row>
    <row r="101">
      <c r="A101" s="4" t="n">
        <v>35773</v>
      </c>
      <c r="B101" s="3" t="n">
        <v>225.2184275369779</v>
      </c>
      <c r="C101" s="13" t="n">
        <v>38626</v>
      </c>
      <c r="D101" s="3" t="n">
        <v>199.0834585188825</v>
      </c>
      <c r="E101" t="n">
        <v>92.74327569953624</v>
      </c>
    </row>
    <row r="102">
      <c r="A102" s="4" t="n">
        <v>35774</v>
      </c>
      <c r="B102" s="3" t="n">
        <v>224.8074450049762</v>
      </c>
      <c r="C102" s="13" t="n">
        <v>38657</v>
      </c>
      <c r="D102" s="3" t="n">
        <v>200.2180056501897</v>
      </c>
      <c r="E102" t="n">
        <v>93.27180588569915</v>
      </c>
    </row>
    <row r="103">
      <c r="A103" s="4" t="n">
        <v>35775</v>
      </c>
      <c r="B103" s="3" t="n">
        <v>224.7252484985758</v>
      </c>
      <c r="C103" s="13" t="n">
        <v>38687</v>
      </c>
      <c r="D103" s="3" t="n">
        <v>184.9455412937878</v>
      </c>
      <c r="E103" t="n">
        <v>86.1571094515764</v>
      </c>
    </row>
    <row r="104">
      <c r="A104" s="4" t="n">
        <v>35776</v>
      </c>
      <c r="B104" s="3" t="n">
        <v>224.6430519921754</v>
      </c>
      <c r="C104" s="13" t="n">
        <v>38718</v>
      </c>
      <c r="D104" s="3" t="n">
        <v>175.8418940480726</v>
      </c>
      <c r="E104" t="n">
        <v>100</v>
      </c>
    </row>
    <row r="105">
      <c r="A105" s="4" t="n">
        <v>35779</v>
      </c>
      <c r="B105" s="3" t="n">
        <v>224.2320694601736</v>
      </c>
      <c r="C105" s="13" t="n">
        <v>38749</v>
      </c>
      <c r="D105" s="3" t="n">
        <v>178.9701053940125</v>
      </c>
      <c r="E105" t="n">
        <v>101.7789909298206</v>
      </c>
    </row>
    <row r="106">
      <c r="A106" s="4" t="n">
        <v>35780</v>
      </c>
      <c r="B106" s="3" t="n">
        <v>223.9854799409726</v>
      </c>
      <c r="C106" s="13" t="n">
        <v>38777</v>
      </c>
      <c r="D106" s="3" t="n">
        <v>176.0658222402261</v>
      </c>
      <c r="E106" t="n">
        <v>100.1273463262926</v>
      </c>
    </row>
    <row r="107">
      <c r="A107" s="4" t="n">
        <v>35781</v>
      </c>
      <c r="B107" s="3" t="n">
        <v>222.8347288513676</v>
      </c>
      <c r="C107" s="13" t="n">
        <v>38808</v>
      </c>
      <c r="D107" s="3" t="n">
        <v>179.1695216170204</v>
      </c>
      <c r="E107" t="n">
        <v>101.8923974784064</v>
      </c>
    </row>
    <row r="108">
      <c r="A108" s="4" t="n">
        <v>35782</v>
      </c>
      <c r="B108" s="3" t="n">
        <v>222.5059428257662</v>
      </c>
      <c r="C108" s="13" t="n">
        <v>38838</v>
      </c>
      <c r="D108" s="3" t="n">
        <v>173.4995567607208</v>
      </c>
      <c r="E108" t="n">
        <v>98.66792990371712</v>
      </c>
    </row>
    <row r="109">
      <c r="A109" s="4" t="n">
        <v>35783</v>
      </c>
      <c r="B109" s="3" t="n">
        <v>222.5881393321665</v>
      </c>
      <c r="C109" s="13" t="n">
        <v>38869</v>
      </c>
      <c r="D109" s="3" t="n">
        <v>172.1334893226083</v>
      </c>
      <c r="E109" t="n">
        <v>97.89105733560261</v>
      </c>
    </row>
    <row r="110">
      <c r="A110" s="4" t="n">
        <v>35786</v>
      </c>
      <c r="B110" s="3" t="n">
        <v>222.5059428257662</v>
      </c>
      <c r="C110" s="13" t="n">
        <v>38899</v>
      </c>
      <c r="D110" s="3" t="n">
        <v>177.3917174603921</v>
      </c>
      <c r="E110" t="n">
        <v>100.8813732476607</v>
      </c>
    </row>
    <row r="111">
      <c r="A111" s="4" t="n">
        <v>35787</v>
      </c>
      <c r="B111" s="3" t="n">
        <v>222.4237463193658</v>
      </c>
      <c r="C111" s="13" t="n">
        <v>38930</v>
      </c>
      <c r="D111" s="3" t="n">
        <v>195.9753114876628</v>
      </c>
      <c r="E111" t="n">
        <v>111.4497273522805</v>
      </c>
    </row>
    <row r="112">
      <c r="A112" s="4" t="n">
        <v>35790</v>
      </c>
      <c r="B112" s="3" t="n">
        <v>222.8347288513676</v>
      </c>
      <c r="C112" s="13" t="n">
        <v>38961</v>
      </c>
      <c r="D112" s="3" t="n">
        <v>206.3093073905085</v>
      </c>
      <c r="E112" t="n">
        <v>117.3265952959461</v>
      </c>
    </row>
    <row r="113">
      <c r="A113" s="4" t="n">
        <v>35793</v>
      </c>
      <c r="B113" s="3" t="n">
        <v>222.9169253577679</v>
      </c>
      <c r="C113" s="13" t="n">
        <v>38991</v>
      </c>
      <c r="D113" s="3" t="n">
        <v>214.1881796671074</v>
      </c>
      <c r="E113" t="n">
        <v>121.8072523767013</v>
      </c>
    </row>
    <row r="114">
      <c r="A114" s="4" t="n">
        <v>35794</v>
      </c>
      <c r="B114" s="3" t="n">
        <v>223.163514876969</v>
      </c>
      <c r="C114" s="13" t="n">
        <v>39022</v>
      </c>
      <c r="D114" s="3" t="n">
        <v>190.1391207598645</v>
      </c>
      <c r="E114" t="n">
        <v>108.1307283393361</v>
      </c>
    </row>
    <row r="115">
      <c r="A115" s="4" t="n">
        <v>35797</v>
      </c>
      <c r="B115" s="3" t="n">
        <v>221.3711972860338</v>
      </c>
      <c r="C115" s="13" t="n">
        <v>39052</v>
      </c>
      <c r="D115" s="3" t="n">
        <v>184.1317817829571</v>
      </c>
      <c r="E115" t="n">
        <v>104.7143985679648</v>
      </c>
    </row>
    <row r="116">
      <c r="A116" s="4" t="n">
        <v>35800</v>
      </c>
      <c r="B116" s="3" t="n">
        <v>221.7782792964899</v>
      </c>
      <c r="C116" s="13" t="n">
        <v>39083</v>
      </c>
      <c r="D116" s="3" t="n">
        <v>183.5010272178843</v>
      </c>
      <c r="E116" t="n">
        <v>100</v>
      </c>
    </row>
    <row r="117">
      <c r="A117" s="4" t="n">
        <v>35801</v>
      </c>
      <c r="B117" s="3" t="n">
        <v>221.452613688125</v>
      </c>
      <c r="C117" s="13" t="n">
        <v>39114</v>
      </c>
      <c r="D117" s="3" t="n">
        <v>188.3701149770692</v>
      </c>
      <c r="E117" t="n">
        <v>102.6534389659865</v>
      </c>
    </row>
    <row r="118">
      <c r="A118" s="4" t="n">
        <v>35802</v>
      </c>
      <c r="B118" s="3" t="n">
        <v>221.1269480797601</v>
      </c>
      <c r="C118" s="13" t="n">
        <v>39142</v>
      </c>
      <c r="D118" s="3" t="n">
        <v>190.4222529554366</v>
      </c>
      <c r="E118" t="n">
        <v>103.7717640290559</v>
      </c>
    </row>
    <row r="119">
      <c r="A119" s="4" t="n">
        <v>35803</v>
      </c>
      <c r="B119" s="3" t="n">
        <v>220.9641152755777</v>
      </c>
      <c r="C119" s="13" t="n">
        <v>39173</v>
      </c>
      <c r="D119" s="3" t="n">
        <v>189.9693299324464</v>
      </c>
      <c r="E119" t="n">
        <v>103.5249408750621</v>
      </c>
    </row>
    <row r="120">
      <c r="A120" s="4" t="n">
        <v>35804</v>
      </c>
      <c r="B120" s="3" t="n">
        <v>220.2313676567567</v>
      </c>
      <c r="C120" s="13" t="n">
        <v>39203</v>
      </c>
      <c r="D120" s="3" t="n">
        <v>188.9764229511753</v>
      </c>
      <c r="E120" t="n">
        <v>102.9838501812797</v>
      </c>
    </row>
    <row r="121">
      <c r="A121" s="4" t="n">
        <v>35807</v>
      </c>
      <c r="B121" s="3" t="n">
        <v>219.5800364400269</v>
      </c>
      <c r="C121" s="13" t="n">
        <v>39234</v>
      </c>
      <c r="D121" s="3" t="n">
        <v>194.77823250391</v>
      </c>
      <c r="E121" t="n">
        <v>106.1455815572277</v>
      </c>
    </row>
    <row r="122">
      <c r="A122" s="4" t="n">
        <v>35808</v>
      </c>
      <c r="B122" s="3" t="n">
        <v>218.521623212841</v>
      </c>
      <c r="C122" s="13" t="n">
        <v>39264</v>
      </c>
      <c r="D122" s="3" t="n">
        <v>208.0368242271592</v>
      </c>
      <c r="E122" t="n">
        <v>113.3709316951898</v>
      </c>
    </row>
    <row r="123">
      <c r="A123" s="4" t="n">
        <v>35809</v>
      </c>
      <c r="B123" s="3" t="n">
        <v>216.323380356378</v>
      </c>
      <c r="C123" s="13" t="n">
        <v>39295</v>
      </c>
      <c r="D123" s="3" t="n">
        <v>215.6263446845927</v>
      </c>
      <c r="E123" t="n">
        <v>117.5068869933701</v>
      </c>
    </row>
    <row r="124">
      <c r="A124" s="4" t="n">
        <v>35810</v>
      </c>
      <c r="B124" s="3" t="n">
        <v>215.9162983459219</v>
      </c>
      <c r="C124" s="13" t="n">
        <v>39326</v>
      </c>
      <c r="D124" s="3" t="n">
        <v>203.1397482910225</v>
      </c>
      <c r="E124" t="n">
        <v>110.7022404020767</v>
      </c>
    </row>
    <row r="125">
      <c r="A125" s="4" t="n">
        <v>35811</v>
      </c>
      <c r="B125" s="3" t="n">
        <v>215.2649671291921</v>
      </c>
      <c r="C125" s="13" t="n">
        <v>39356</v>
      </c>
      <c r="D125" s="3" t="n">
        <v>208.9398710376978</v>
      </c>
      <c r="E125" t="n">
        <v>113.8630525428111</v>
      </c>
    </row>
    <row r="126">
      <c r="A126" s="4" t="n">
        <v>35814</v>
      </c>
      <c r="B126" s="3" t="n">
        <v>215.1021343250097</v>
      </c>
      <c r="C126" s="13" t="n">
        <v>39387</v>
      </c>
      <c r="D126" s="3" t="n">
        <v>235.8455910070751</v>
      </c>
      <c r="E126" t="n">
        <v>128.5254881581879</v>
      </c>
    </row>
    <row r="127">
      <c r="A127" s="4" t="n">
        <v>35815</v>
      </c>
      <c r="B127" s="3" t="n">
        <v>214.3693867061886</v>
      </c>
      <c r="C127" s="13" t="n">
        <v>39417</v>
      </c>
      <c r="D127" s="3" t="n">
        <v>237.1189338888666</v>
      </c>
      <c r="E127" t="n">
        <v>129.219404100293</v>
      </c>
    </row>
    <row r="128">
      <c r="A128" s="4" t="n">
        <v>35816</v>
      </c>
      <c r="B128" s="3" t="n">
        <v>213.7180554894589</v>
      </c>
      <c r="C128" s="13" t="n">
        <v>39448</v>
      </c>
      <c r="D128" s="3" t="n">
        <v>235.8015352407687</v>
      </c>
      <c r="E128" t="n">
        <v>100</v>
      </c>
    </row>
    <row r="129">
      <c r="A129" s="4" t="n">
        <v>35817</v>
      </c>
      <c r="B129" s="3" t="n">
        <v>213.4738062831852</v>
      </c>
      <c r="C129" s="13" t="n">
        <v>39479</v>
      </c>
      <c r="D129" s="3" t="n">
        <v>235.3287845184625</v>
      </c>
      <c r="E129" t="n">
        <v>99.79951329756038</v>
      </c>
    </row>
    <row r="130">
      <c r="A130" s="4" t="n">
        <v>35818</v>
      </c>
      <c r="B130" s="3" t="n">
        <v>212.9853078706379</v>
      </c>
      <c r="C130" s="13" t="n">
        <v>39508</v>
      </c>
      <c r="D130" s="3" t="n">
        <v>237.7843924129143</v>
      </c>
      <c r="E130" t="n">
        <v>100.840900874594</v>
      </c>
    </row>
    <row r="131">
      <c r="A131" s="4" t="n">
        <v>35821</v>
      </c>
      <c r="B131" s="3" t="n">
        <v>211.926894643452</v>
      </c>
      <c r="C131" s="13" t="n">
        <v>39539</v>
      </c>
      <c r="D131" s="3" t="n">
        <v>239.3934405039204</v>
      </c>
      <c r="E131" t="n">
        <v>101.5232747570893</v>
      </c>
    </row>
    <row r="132">
      <c r="A132" s="4" t="n">
        <v>35822</v>
      </c>
      <c r="B132" s="3" t="n">
        <v>212.0083110455432</v>
      </c>
      <c r="C132" s="13" t="n">
        <v>39569</v>
      </c>
      <c r="D132" s="3" t="n">
        <v>245.6043506006235</v>
      </c>
      <c r="E132" t="n">
        <v>104.1572313555319</v>
      </c>
    </row>
    <row r="133">
      <c r="A133" s="4" t="n">
        <v>35823</v>
      </c>
      <c r="B133" s="3" t="n">
        <v>212.0083110455432</v>
      </c>
      <c r="C133" s="13" t="n">
        <v>39600</v>
      </c>
      <c r="D133" s="3" t="n">
        <v>273.7635521124944</v>
      </c>
      <c r="E133" t="n">
        <v>116.0991389784481</v>
      </c>
    </row>
    <row r="134">
      <c r="A134" s="4" t="n">
        <v>35824</v>
      </c>
      <c r="B134" s="3" t="n">
        <v>212.0897274476344</v>
      </c>
      <c r="C134" s="13" t="n">
        <v>39630</v>
      </c>
      <c r="D134" s="3" t="n">
        <v>272.7343002798362</v>
      </c>
      <c r="E134" t="n">
        <v>115.6626482526319</v>
      </c>
    </row>
    <row r="135">
      <c r="A135" s="4" t="n">
        <v>35825</v>
      </c>
      <c r="B135" s="3" t="n">
        <v>212.5782258601818</v>
      </c>
      <c r="C135" s="13" t="n">
        <v>39661</v>
      </c>
      <c r="D135" s="3" t="n">
        <v>271.4228812521347</v>
      </c>
      <c r="E135" t="n">
        <v>115.1064945251498</v>
      </c>
    </row>
    <row r="136">
      <c r="A136" s="4" t="n">
        <v>35828</v>
      </c>
      <c r="B136" s="3" t="n">
        <v>212.4397423925731</v>
      </c>
      <c r="C136" s="13" t="n">
        <v>39692</v>
      </c>
      <c r="D136" s="3" t="n">
        <v>261.6218408779536</v>
      </c>
      <c r="E136" t="n">
        <v>110.9500159152148</v>
      </c>
    </row>
    <row r="137">
      <c r="A137" s="4" t="n">
        <v>35829</v>
      </c>
      <c r="B137" s="3" t="n">
        <v>213.0899022774776</v>
      </c>
      <c r="C137" s="13" t="n">
        <v>39722</v>
      </c>
      <c r="D137" s="3" t="n">
        <v>264.8573499574033</v>
      </c>
      <c r="E137" t="n">
        <v>112.3221482366375</v>
      </c>
    </row>
    <row r="138">
      <c r="A138" s="4" t="n">
        <v>35830</v>
      </c>
      <c r="B138" s="3" t="n">
        <v>213.0899022774776</v>
      </c>
      <c r="C138" s="13" t="n">
        <v>39753</v>
      </c>
      <c r="D138" s="3" t="n">
        <v>256.8572651539417</v>
      </c>
      <c r="E138" t="n">
        <v>108.9294286789413</v>
      </c>
    </row>
    <row r="139">
      <c r="A139" s="4" t="n">
        <v>35831</v>
      </c>
      <c r="B139" s="3" t="n">
        <v>213.8213321479953</v>
      </c>
      <c r="C139" s="13" t="n">
        <v>39783</v>
      </c>
      <c r="D139" s="3" t="n">
        <v>239.1748741736014</v>
      </c>
      <c r="E139" t="n">
        <v>101.430583956711</v>
      </c>
    </row>
    <row r="140">
      <c r="A140" s="4" t="n">
        <v>35832</v>
      </c>
      <c r="B140" s="3" t="n">
        <v>214.2276820760607</v>
      </c>
      <c r="C140" s="13" t="n">
        <v>39814</v>
      </c>
      <c r="D140" s="3" t="n">
        <v>245.5125245920537</v>
      </c>
      <c r="E140" t="n">
        <v>100</v>
      </c>
    </row>
    <row r="141">
      <c r="A141" s="4" t="n">
        <v>35835</v>
      </c>
      <c r="B141" s="3" t="n">
        <v>214.3902220472868</v>
      </c>
      <c r="C141" s="13" t="n">
        <v>39845</v>
      </c>
      <c r="D141" s="3" t="n">
        <v>237.6717712428005</v>
      </c>
      <c r="E141" t="n">
        <v>96.80637337655931</v>
      </c>
    </row>
    <row r="142">
      <c r="A142" s="4" t="n">
        <v>35836</v>
      </c>
      <c r="B142" s="3" t="n">
        <v>214.3902220472868</v>
      </c>
      <c r="C142" s="13" t="n">
        <v>39873</v>
      </c>
      <c r="D142" s="3" t="n">
        <v>227.7146514959803</v>
      </c>
      <c r="E142" t="n">
        <v>92.75072702476318</v>
      </c>
    </row>
    <row r="143">
      <c r="A143" s="4" t="n">
        <v>35837</v>
      </c>
      <c r="B143" s="3" t="n">
        <v>214.6340320041261</v>
      </c>
      <c r="C143" s="13" t="n">
        <v>39904</v>
      </c>
      <c r="D143" s="3" t="n">
        <v>235.3854417224772</v>
      </c>
      <c r="E143" t="n">
        <v>95.87512576541512</v>
      </c>
    </row>
    <row r="144">
      <c r="A144" s="4" t="n">
        <v>35838</v>
      </c>
      <c r="B144" s="3" t="n">
        <v>214.8778419609653</v>
      </c>
      <c r="C144" s="13" t="n">
        <v>39934</v>
      </c>
      <c r="D144" s="3" t="n">
        <v>233.8996329183922</v>
      </c>
      <c r="E144" t="n">
        <v>95.26993920454461</v>
      </c>
    </row>
    <row r="145">
      <c r="A145" s="4" t="n">
        <v>35839</v>
      </c>
      <c r="B145" s="3" t="n">
        <v>214.7153019897391</v>
      </c>
      <c r="C145" s="13" t="n">
        <v>39965</v>
      </c>
      <c r="D145" s="3" t="n">
        <v>238.1976949642499</v>
      </c>
      <c r="E145" t="n">
        <v>97.02058799649501</v>
      </c>
    </row>
    <row r="146">
      <c r="A146" s="4" t="n">
        <v>35842</v>
      </c>
      <c r="B146" s="3" t="n">
        <v>214.4714920328999</v>
      </c>
      <c r="C146" s="13" t="n">
        <v>39995</v>
      </c>
      <c r="D146" s="3" t="n">
        <v>240.8386791925601</v>
      </c>
      <c r="E146" t="n">
        <v>98.09629044088089</v>
      </c>
    </row>
    <row r="147">
      <c r="A147" s="4" t="n">
        <v>35843</v>
      </c>
      <c r="B147" s="3" t="n">
        <v>215.1216519178045</v>
      </c>
      <c r="C147" s="13" t="n">
        <v>40026</v>
      </c>
      <c r="D147" s="3" t="n">
        <v>231.3890494647517</v>
      </c>
      <c r="E147" t="n">
        <v>94.24735045563573</v>
      </c>
    </row>
    <row r="148">
      <c r="A148" s="4" t="n">
        <v>35844</v>
      </c>
      <c r="B148" s="3" t="n">
        <v>215.5280018458699</v>
      </c>
      <c r="C148" s="13" t="n">
        <v>40057</v>
      </c>
      <c r="D148" s="3" t="n">
        <v>228.440805106396</v>
      </c>
      <c r="E148" t="n">
        <v>93.04649752022866</v>
      </c>
    </row>
    <row r="149">
      <c r="A149" s="4" t="n">
        <v>35845</v>
      </c>
      <c r="B149" s="3" t="n">
        <v>215.690541817096</v>
      </c>
      <c r="C149" s="13" t="n">
        <v>40087</v>
      </c>
      <c r="D149" s="3" t="n">
        <v>228.1357630638283</v>
      </c>
      <c r="E149" t="n">
        <v>92.92225048107065</v>
      </c>
    </row>
    <row r="150">
      <c r="A150" s="4" t="n">
        <v>35846</v>
      </c>
      <c r="B150" s="3" t="n">
        <v>215.7718118027091</v>
      </c>
      <c r="C150" s="13" t="n">
        <v>40118</v>
      </c>
      <c r="D150" s="3" t="n">
        <v>219.5376676445075</v>
      </c>
      <c r="E150" t="n">
        <v>89.4201499533654</v>
      </c>
    </row>
    <row r="151">
      <c r="A151" s="4" t="n">
        <v>35851</v>
      </c>
      <c r="B151" s="3" t="n">
        <v>216.0968917451614</v>
      </c>
      <c r="C151" s="13" t="n">
        <v>40148</v>
      </c>
      <c r="D151" s="3" t="n">
        <v>220.9855223473976</v>
      </c>
      <c r="E151" t="n">
        <v>90.00987738388889</v>
      </c>
    </row>
    <row r="152">
      <c r="A152" s="4" t="n">
        <v>35852</v>
      </c>
      <c r="B152" s="3" t="n">
        <v>216.0156217595483</v>
      </c>
      <c r="C152" s="13" t="n">
        <v>40179</v>
      </c>
      <c r="D152" s="3" t="n">
        <v>222.7211891074539</v>
      </c>
      <c r="E152" t="n">
        <v>100</v>
      </c>
    </row>
    <row r="153">
      <c r="A153" s="4" t="n">
        <v>35853</v>
      </c>
      <c r="B153" s="3" t="n">
        <v>216.2594317163875</v>
      </c>
      <c r="C153" s="13" t="n">
        <v>40210</v>
      </c>
      <c r="D153" s="3" t="n">
        <v>223.9790623773298</v>
      </c>
      <c r="E153" t="n">
        <v>100.564774853671</v>
      </c>
    </row>
    <row r="154">
      <c r="A154" s="4" t="n">
        <v>35856</v>
      </c>
      <c r="B154" s="3" t="n">
        <v>216.4185603684763</v>
      </c>
      <c r="C154" s="13" t="n">
        <v>40238</v>
      </c>
      <c r="D154" s="3" t="n">
        <v>227.6623264248607</v>
      </c>
      <c r="E154" t="n">
        <v>102.2185304133873</v>
      </c>
    </row>
    <row r="155">
      <c r="A155" s="4" t="n">
        <v>35857</v>
      </c>
      <c r="B155" s="3" t="n">
        <v>216.5807931723507</v>
      </c>
      <c r="C155" s="13" t="n">
        <v>40269</v>
      </c>
      <c r="D155" s="3" t="n">
        <v>235.3532635748847</v>
      </c>
      <c r="E155" t="n">
        <v>105.6716985564119</v>
      </c>
    </row>
    <row r="156">
      <c r="A156" s="4" t="n">
        <v>35858</v>
      </c>
      <c r="B156" s="3" t="n">
        <v>217.5541899955973</v>
      </c>
      <c r="C156" s="13" t="n">
        <v>40299</v>
      </c>
      <c r="D156" s="3" t="n">
        <v>228.2967399513682</v>
      </c>
      <c r="E156" t="n">
        <v>102.5033769199321</v>
      </c>
    </row>
    <row r="157">
      <c r="A157" s="4" t="n">
        <v>35859</v>
      </c>
      <c r="B157" s="3" t="n">
        <v>218.2031212110949</v>
      </c>
      <c r="C157" s="13" t="n">
        <v>40330</v>
      </c>
      <c r="D157" s="3" t="n">
        <v>230.1699354269099</v>
      </c>
      <c r="E157" t="n">
        <v>103.3444264325754</v>
      </c>
    </row>
    <row r="158">
      <c r="A158" s="4" t="n">
        <v>35860</v>
      </c>
      <c r="B158" s="3" t="n">
        <v>218.7709360246554</v>
      </c>
      <c r="C158" s="13" t="n">
        <v>40360</v>
      </c>
      <c r="D158" s="3" t="n">
        <v>235.3607611618091</v>
      </c>
      <c r="E158" t="n">
        <v>105.6750649118783</v>
      </c>
    </row>
    <row r="159">
      <c r="A159" s="4" t="n">
        <v>35863</v>
      </c>
      <c r="B159" s="3" t="n">
        <v>219.2576344362787</v>
      </c>
      <c r="C159" s="13" t="n">
        <v>40391</v>
      </c>
      <c r="D159" s="3" t="n">
        <v>247.0146131383016</v>
      </c>
      <c r="E159" t="n">
        <v>110.907549536801</v>
      </c>
    </row>
    <row r="160">
      <c r="A160" s="4" t="n">
        <v>35864</v>
      </c>
      <c r="B160" s="3" t="n">
        <v>218.8520524265926</v>
      </c>
      <c r="C160" s="13" t="n">
        <v>40422</v>
      </c>
      <c r="D160" s="3" t="n">
        <v>256.5441834707546</v>
      </c>
      <c r="E160" t="n">
        <v>115.1862490043471</v>
      </c>
    </row>
    <row r="161">
      <c r="A161" s="4" t="n">
        <v>35865</v>
      </c>
      <c r="B161" s="3" t="n">
        <v>216.9863751820368</v>
      </c>
      <c r="C161" s="13" t="n">
        <v>40452</v>
      </c>
      <c r="D161" s="3" t="n">
        <v>273.3510807229106</v>
      </c>
      <c r="E161" t="n">
        <v>122.7324089900714</v>
      </c>
    </row>
    <row r="162">
      <c r="A162" s="4" t="n">
        <v>35866</v>
      </c>
      <c r="B162" s="3" t="n">
        <v>216.5807931723507</v>
      </c>
      <c r="C162" s="13" t="n">
        <v>40483</v>
      </c>
      <c r="D162" s="3" t="n">
        <v>302.6173400021466</v>
      </c>
      <c r="E162" t="n">
        <v>135.8727210531127</v>
      </c>
    </row>
    <row r="163">
      <c r="A163" s="4" t="n">
        <v>35867</v>
      </c>
      <c r="B163" s="3" t="n">
        <v>216.5807931723507</v>
      </c>
      <c r="C163" s="13" t="n">
        <v>40513</v>
      </c>
      <c r="D163" s="3" t="n">
        <v>278.978402890511</v>
      </c>
      <c r="E163" t="n">
        <v>125.2590308126971</v>
      </c>
    </row>
    <row r="164">
      <c r="A164" s="4" t="n">
        <v>35870</v>
      </c>
      <c r="B164" s="3" t="n">
        <v>216.4185603684763</v>
      </c>
      <c r="C164" s="13" t="n">
        <v>40544</v>
      </c>
      <c r="D164" s="3" t="n">
        <v>271.9593867873208</v>
      </c>
      <c r="E164" t="n">
        <v>100</v>
      </c>
    </row>
    <row r="165">
      <c r="A165" s="4" t="n">
        <v>35871</v>
      </c>
      <c r="B165" s="3" t="n">
        <v>216.4185603684763</v>
      </c>
      <c r="C165" s="13" t="n">
        <v>40575</v>
      </c>
      <c r="D165" s="3" t="n">
        <v>272.4863255256906</v>
      </c>
      <c r="E165" t="n">
        <v>100.193756407747</v>
      </c>
    </row>
    <row r="166">
      <c r="A166" s="4" t="n">
        <v>35872</v>
      </c>
      <c r="B166" s="3" t="n">
        <v>216.7430259762251</v>
      </c>
      <c r="C166" s="13" t="n">
        <v>40603</v>
      </c>
      <c r="D166" s="3" t="n">
        <v>273.8081773288655</v>
      </c>
      <c r="E166" t="n">
        <v>100.6798039087323</v>
      </c>
    </row>
    <row r="167">
      <c r="A167" s="4" t="n">
        <v>35873</v>
      </c>
      <c r="B167" s="3" t="n">
        <v>216.5807931723507</v>
      </c>
      <c r="C167" s="13" t="n">
        <v>40634</v>
      </c>
      <c r="D167" s="3" t="n">
        <v>269.4236260876944</v>
      </c>
      <c r="E167" t="n">
        <v>99.06759581657336</v>
      </c>
    </row>
    <row r="168">
      <c r="A168" s="4" t="n">
        <v>35874</v>
      </c>
      <c r="B168" s="3" t="n">
        <v>216.4996767704135</v>
      </c>
      <c r="C168" s="13" t="n">
        <v>40664</v>
      </c>
      <c r="D168" s="3" t="n">
        <v>258.4232919918076</v>
      </c>
      <c r="E168" t="n">
        <v>95.02275139114843</v>
      </c>
    </row>
    <row r="169">
      <c r="A169" s="4" t="n">
        <v>35877</v>
      </c>
      <c r="B169" s="3" t="n">
        <v>216.5807931723507</v>
      </c>
      <c r="C169" s="13" t="n">
        <v>40695</v>
      </c>
      <c r="D169" s="3" t="n">
        <v>250.6614859884784</v>
      </c>
      <c r="E169" t="n">
        <v>92.1687200980866</v>
      </c>
    </row>
    <row r="170">
      <c r="A170" s="4" t="n">
        <v>35878</v>
      </c>
      <c r="B170" s="3" t="n">
        <v>216.9863751820368</v>
      </c>
      <c r="C170" s="13" t="n">
        <v>40725</v>
      </c>
      <c r="D170" s="3" t="n">
        <v>256.439549079304</v>
      </c>
      <c r="E170" t="n">
        <v>94.29332523089056</v>
      </c>
    </row>
    <row r="171">
      <c r="A171" s="4" t="n">
        <v>35879</v>
      </c>
      <c r="B171" s="3" t="n">
        <v>217.2297243878484</v>
      </c>
      <c r="C171" s="13" t="n">
        <v>40756</v>
      </c>
      <c r="D171" s="3" t="n">
        <v>259.9641141395788</v>
      </c>
      <c r="E171" t="n">
        <v>95.5893147173763</v>
      </c>
    </row>
    <row r="172">
      <c r="A172" s="4" t="n">
        <v>35880</v>
      </c>
      <c r="B172" s="3" t="n">
        <v>217.2297243878484</v>
      </c>
      <c r="C172" s="13" t="n">
        <v>40787</v>
      </c>
      <c r="D172" s="3" t="n">
        <v>251.7105760658376</v>
      </c>
      <c r="E172" t="n">
        <v>92.55447257743737</v>
      </c>
    </row>
    <row r="173">
      <c r="A173" s="4" t="n">
        <v>35881</v>
      </c>
      <c r="B173" s="3" t="n">
        <v>217.3108407897856</v>
      </c>
      <c r="C173" s="13" t="n">
        <v>40817</v>
      </c>
      <c r="D173" s="3" t="n">
        <v>253.4213775288144</v>
      </c>
      <c r="E173" t="n">
        <v>93.18353763129947</v>
      </c>
    </row>
    <row r="174">
      <c r="A174" s="4" t="n">
        <v>35884</v>
      </c>
      <c r="B174" s="3" t="n">
        <v>217.47307359366</v>
      </c>
      <c r="C174" s="13" t="n">
        <v>40848</v>
      </c>
      <c r="D174" s="3" t="n">
        <v>268.356273019873</v>
      </c>
      <c r="E174" t="n">
        <v>98.6751279998048</v>
      </c>
    </row>
    <row r="175">
      <c r="A175" s="4" t="n">
        <v>35885</v>
      </c>
      <c r="B175" s="3" t="n">
        <v>217.5541899955973</v>
      </c>
      <c r="C175" s="13" t="n">
        <v>40878</v>
      </c>
      <c r="D175" s="3" t="n">
        <v>257.4899549842165</v>
      </c>
      <c r="E175" t="n">
        <v>94.67956154261381</v>
      </c>
    </row>
    <row r="176">
      <c r="A176" s="4" t="n">
        <v>35886</v>
      </c>
      <c r="B176" s="3" t="n">
        <v>217.8475465596904</v>
      </c>
      <c r="C176" s="13" t="n">
        <v>40909</v>
      </c>
      <c r="D176" s="3" t="n">
        <v>249.3284394580355</v>
      </c>
      <c r="E176" t="n">
        <v>100</v>
      </c>
    </row>
    <row r="177">
      <c r="A177" s="4" t="n">
        <v>35887</v>
      </c>
      <c r="B177" s="3" t="n">
        <v>218.0905895644056</v>
      </c>
      <c r="C177" s="13" t="n">
        <v>40940</v>
      </c>
      <c r="D177" s="3" t="n">
        <v>245.1588978203326</v>
      </c>
      <c r="E177" t="n">
        <v>98.3276911182831</v>
      </c>
    </row>
    <row r="178">
      <c r="A178" s="4" t="n">
        <v>35888</v>
      </c>
      <c r="B178" s="3" t="n">
        <v>218.3336325691207</v>
      </c>
      <c r="C178" s="13" t="n">
        <v>40969</v>
      </c>
      <c r="D178" s="3" t="n">
        <v>236.8110054629535</v>
      </c>
      <c r="E178" t="n">
        <v>94.9795402312343</v>
      </c>
    </row>
    <row r="179">
      <c r="A179" s="4" t="n">
        <v>35891</v>
      </c>
      <c r="B179" s="3" t="n">
        <v>218.9817472483612</v>
      </c>
      <c r="C179" s="13" t="n">
        <v>41000</v>
      </c>
      <c r="D179" s="3" t="n">
        <v>238.176258868165</v>
      </c>
      <c r="E179" t="n">
        <v>95.52711250505079</v>
      </c>
    </row>
    <row r="180">
      <c r="A180" s="4" t="n">
        <v>35892</v>
      </c>
      <c r="B180" s="3" t="n">
        <v>219.1437759181713</v>
      </c>
      <c r="C180" s="13" t="n">
        <v>41030</v>
      </c>
      <c r="D180" s="3" t="n">
        <v>229.8980902101362</v>
      </c>
      <c r="E180" t="n">
        <v>92.2069262174283</v>
      </c>
    </row>
    <row r="181">
      <c r="A181" s="4" t="n">
        <v>35893</v>
      </c>
      <c r="B181" s="3" t="n">
        <v>219.3058045879814</v>
      </c>
      <c r="C181" s="13" t="n">
        <v>41061</v>
      </c>
      <c r="D181" s="3" t="n">
        <v>227.3762032735255</v>
      </c>
      <c r="E181" t="n">
        <v>91.19545438449481</v>
      </c>
    </row>
    <row r="182">
      <c r="A182" s="4" t="n">
        <v>35898</v>
      </c>
      <c r="B182" s="3" t="n">
        <v>219.5488475926966</v>
      </c>
      <c r="C182" s="13" t="n">
        <v>41091</v>
      </c>
      <c r="D182" s="3" t="n">
        <v>220.3284973208627</v>
      </c>
      <c r="E182" t="n">
        <v>88.36877886846366</v>
      </c>
    </row>
    <row r="183">
      <c r="A183" s="4" t="n">
        <v>35899</v>
      </c>
      <c r="B183" s="3" t="n">
        <v>219.8729049323168</v>
      </c>
      <c r="C183" s="13" t="n">
        <v>41122</v>
      </c>
      <c r="D183" s="3" t="n">
        <v>215.8700695010165</v>
      </c>
      <c r="E183" t="n">
        <v>86.5806042705167</v>
      </c>
    </row>
    <row r="184">
      <c r="A184" s="4" t="n">
        <v>35900</v>
      </c>
      <c r="B184" s="3" t="n">
        <v>220.0349336021269</v>
      </c>
      <c r="C184" s="13" t="n">
        <v>41153</v>
      </c>
      <c r="D184" s="3" t="n">
        <v>227.1148731784196</v>
      </c>
      <c r="E184" t="n">
        <v>91.09064079175987</v>
      </c>
    </row>
    <row r="185">
      <c r="A185" s="4" t="n">
        <v>35901</v>
      </c>
      <c r="B185" s="3" t="n">
        <v>219.8729049323168</v>
      </c>
      <c r="C185" s="13" t="n">
        <v>41183</v>
      </c>
      <c r="D185" s="3" t="n">
        <v>226.1117502321479</v>
      </c>
      <c r="E185" t="n">
        <v>90.68831085761671</v>
      </c>
    </row>
    <row r="186">
      <c r="A186" s="4" t="n">
        <v>35902</v>
      </c>
      <c r="B186" s="3" t="n">
        <v>219.4678332577915</v>
      </c>
      <c r="C186" s="13" t="n">
        <v>41214</v>
      </c>
      <c r="D186" s="3" t="n">
        <v>230.4029938101204</v>
      </c>
      <c r="E186" t="n">
        <v>92.40943163601662</v>
      </c>
    </row>
    <row r="187">
      <c r="A187" s="4" t="n">
        <v>35905</v>
      </c>
      <c r="B187" s="3" t="n">
        <v>219.5488475926966</v>
      </c>
      <c r="C187" s="13" t="n">
        <v>41244</v>
      </c>
      <c r="D187" s="3" t="n">
        <v>226.0201166025153</v>
      </c>
      <c r="E187" t="n">
        <v>90.65155868051578</v>
      </c>
    </row>
    <row r="188">
      <c r="A188" s="4" t="n">
        <v>35907</v>
      </c>
      <c r="B188" s="3" t="n">
        <v>218.4956612389308</v>
      </c>
      <c r="C188" s="13" t="n">
        <v>41275</v>
      </c>
      <c r="D188" s="3" t="n">
        <v>228.1519764382171</v>
      </c>
      <c r="E188" t="n">
        <v>100</v>
      </c>
    </row>
    <row r="189">
      <c r="A189" s="4" t="n">
        <v>35908</v>
      </c>
      <c r="B189" s="3" t="n">
        <v>218.2526182342157</v>
      </c>
      <c r="C189" s="13" t="n">
        <v>41306</v>
      </c>
      <c r="D189" s="3" t="n">
        <v>228.7680896857377</v>
      </c>
      <c r="E189" t="n">
        <v>100.2700451063975</v>
      </c>
    </row>
    <row r="190">
      <c r="A190" s="4" t="n">
        <v>35909</v>
      </c>
      <c r="B190" s="3" t="n">
        <v>217.9285608945955</v>
      </c>
      <c r="C190" s="13" t="n">
        <v>41334</v>
      </c>
      <c r="D190" s="3" t="n">
        <v>228.4574480026277</v>
      </c>
      <c r="E190" t="n">
        <v>100.1338895104831</v>
      </c>
    </row>
    <row r="191">
      <c r="A191" s="4" t="n">
        <v>35912</v>
      </c>
      <c r="B191" s="3" t="n">
        <v>217.8475465596904</v>
      </c>
      <c r="C191" s="13" t="n">
        <v>41365</v>
      </c>
      <c r="D191" s="3" t="n">
        <v>232.2480113834845</v>
      </c>
      <c r="E191" t="n">
        <v>101.7953098672264</v>
      </c>
    </row>
    <row r="192">
      <c r="A192" s="4" t="n">
        <v>35913</v>
      </c>
      <c r="B192" s="3" t="n">
        <v>217.4424748851652</v>
      </c>
      <c r="C192" s="13" t="n">
        <v>41395</v>
      </c>
      <c r="D192" s="3" t="n">
        <v>227.5430869308517</v>
      </c>
      <c r="E192" t="n">
        <v>99.73312109021757</v>
      </c>
    </row>
    <row r="193">
      <c r="A193" s="4" t="n">
        <v>35914</v>
      </c>
      <c r="B193" s="3" t="n">
        <v>217.4424748851652</v>
      </c>
      <c r="C193" s="13" t="n">
        <v>41426</v>
      </c>
      <c r="D193" s="3" t="n">
        <v>228.3820465084474</v>
      </c>
      <c r="E193" t="n">
        <v>100.1008407088214</v>
      </c>
    </row>
    <row r="194">
      <c r="A194" s="4" t="n">
        <v>35915</v>
      </c>
      <c r="B194" s="3" t="n">
        <v>217.6045035549753</v>
      </c>
      <c r="C194" s="13" t="n">
        <v>41456</v>
      </c>
      <c r="D194" s="3" t="n">
        <v>235.6424026021432</v>
      </c>
      <c r="E194" t="n">
        <v>103.2830862484132</v>
      </c>
    </row>
    <row r="195">
      <c r="A195" s="4" t="n">
        <v>35919</v>
      </c>
      <c r="B195" s="3" t="n">
        <v>216.5823412894116</v>
      </c>
      <c r="C195" s="13" t="n">
        <v>41487</v>
      </c>
      <c r="D195" s="3" t="n">
        <v>232.9713046894211</v>
      </c>
      <c r="E195" t="n">
        <v>102.1123324577068</v>
      </c>
    </row>
    <row r="196">
      <c r="A196" s="4" t="n">
        <v>35920</v>
      </c>
      <c r="B196" s="3" t="n">
        <v>216.7441510326237</v>
      </c>
      <c r="C196" s="13" t="n">
        <v>41518</v>
      </c>
      <c r="D196" s="3" t="n">
        <v>242.0650423961943</v>
      </c>
      <c r="E196" t="n">
        <v>106.0981571035151</v>
      </c>
    </row>
    <row r="197">
      <c r="A197" s="4" t="n">
        <v>35921</v>
      </c>
      <c r="B197" s="3" t="n">
        <v>216.0160071881692</v>
      </c>
      <c r="C197" s="13" t="n">
        <v>41548</v>
      </c>
      <c r="D197" s="3" t="n">
        <v>244.5056295418267</v>
      </c>
      <c r="E197" t="n">
        <v>107.1678770260569</v>
      </c>
    </row>
    <row r="198">
      <c r="A198" s="4" t="n">
        <v>35922</v>
      </c>
      <c r="B198" s="3" t="n">
        <v>214.3170048844421</v>
      </c>
      <c r="C198" s="13" t="n">
        <v>41579</v>
      </c>
      <c r="D198" s="3" t="n">
        <v>242.9012197590289</v>
      </c>
      <c r="E198" t="n">
        <v>106.464657265332</v>
      </c>
    </row>
    <row r="199">
      <c r="A199" s="4" t="n">
        <v>35923</v>
      </c>
      <c r="B199" s="3" t="n">
        <v>213.9933853980178</v>
      </c>
      <c r="C199" s="13" t="n">
        <v>41609</v>
      </c>
      <c r="D199" s="3" t="n">
        <v>250.9733239026574</v>
      </c>
      <c r="E199" t="n">
        <v>110.0026954930282</v>
      </c>
    </row>
    <row r="200">
      <c r="A200" s="4" t="n">
        <v>35926</v>
      </c>
      <c r="B200" s="3" t="n">
        <v>214.7215292424723</v>
      </c>
      <c r="C200" s="13" t="n">
        <v>41640</v>
      </c>
      <c r="D200" s="3" t="n">
        <v>252.7387450233583</v>
      </c>
      <c r="E200" t="n">
        <v>100</v>
      </c>
    </row>
    <row r="201">
      <c r="A201" s="4" t="n">
        <v>35927</v>
      </c>
      <c r="B201" s="3" t="n">
        <v>214.236100012836</v>
      </c>
      <c r="C201" s="13" t="n">
        <v>41671</v>
      </c>
      <c r="D201" s="3" t="n">
        <v>260.3324219612624</v>
      </c>
      <c r="E201" t="n">
        <v>103.0045559248157</v>
      </c>
    </row>
    <row r="202">
      <c r="A202" s="4" t="n">
        <v>35928</v>
      </c>
      <c r="B202" s="3" t="n">
        <v>214.0742902696239</v>
      </c>
      <c r="C202" s="13" t="n">
        <v>41699</v>
      </c>
      <c r="D202" s="3" t="n">
        <v>270.3885333061065</v>
      </c>
      <c r="E202" t="n">
        <v>106.9834121717733</v>
      </c>
    </row>
    <row r="203">
      <c r="A203" s="4" t="n">
        <v>35929</v>
      </c>
      <c r="B203" s="3" t="n">
        <v>213.3461464251694</v>
      </c>
      <c r="C203" s="13" t="n">
        <v>41730</v>
      </c>
      <c r="D203" s="3" t="n">
        <v>267.8200348891125</v>
      </c>
      <c r="E203" t="n">
        <v>105.9671459808667</v>
      </c>
    </row>
    <row r="204">
      <c r="A204" s="4" t="n">
        <v>35930</v>
      </c>
      <c r="B204" s="3" t="n">
        <v>213.2652415535633</v>
      </c>
      <c r="C204" s="13" t="n">
        <v>41760</v>
      </c>
      <c r="D204" s="3" t="n">
        <v>262.6583407892481</v>
      </c>
      <c r="E204" t="n">
        <v>103.9248417431894</v>
      </c>
    </row>
    <row r="205">
      <c r="A205" s="4" t="n">
        <v>35933</v>
      </c>
      <c r="B205" s="3" t="n">
        <v>212.779812323927</v>
      </c>
      <c r="C205" s="13" t="n">
        <v>41791</v>
      </c>
      <c r="D205" s="3" t="n">
        <v>264.2401226697658</v>
      </c>
      <c r="E205" t="n">
        <v>104.5506982498249</v>
      </c>
    </row>
    <row r="206">
      <c r="A206" s="4" t="n">
        <v>35934</v>
      </c>
      <c r="B206" s="3" t="n">
        <v>210.3526661757453</v>
      </c>
      <c r="C206" s="13" t="n">
        <v>41821</v>
      </c>
      <c r="D206" s="3" t="n">
        <v>260.7342047456959</v>
      </c>
      <c r="E206" t="n">
        <v>103.1635275080592</v>
      </c>
    </row>
    <row r="207">
      <c r="A207" s="4" t="n">
        <v>35935</v>
      </c>
      <c r="B207" s="3" t="n">
        <v>209.4627125880787</v>
      </c>
      <c r="C207" s="13" t="n">
        <v>41852</v>
      </c>
      <c r="D207" s="3" t="n">
        <v>269.9479159179717</v>
      </c>
      <c r="E207" t="n">
        <v>106.8090750759338</v>
      </c>
    </row>
    <row r="208">
      <c r="A208" s="4" t="n">
        <v>35936</v>
      </c>
      <c r="B208" s="3" t="n">
        <v>209.3009028448666</v>
      </c>
      <c r="C208" s="13" t="n">
        <v>41883</v>
      </c>
      <c r="D208" s="3" t="n">
        <v>281.0646324724798</v>
      </c>
      <c r="E208" t="n">
        <v>111.2075762054226</v>
      </c>
    </row>
    <row r="209">
      <c r="A209" s="4" t="n">
        <v>35937</v>
      </c>
      <c r="B209" s="3" t="n">
        <v>209.3009028448666</v>
      </c>
      <c r="C209" s="13" t="n">
        <v>41913</v>
      </c>
      <c r="D209" s="3" t="n">
        <v>292.1340148817975</v>
      </c>
      <c r="E209" t="n">
        <v>115.5873488470469</v>
      </c>
    </row>
    <row r="210">
      <c r="A210" s="4" t="n">
        <v>35940</v>
      </c>
      <c r="B210" s="3" t="n">
        <v>209.1390931016545</v>
      </c>
      <c r="C210" s="13" t="n">
        <v>41944</v>
      </c>
      <c r="D210" s="3" t="n">
        <v>308.9118441837954</v>
      </c>
      <c r="E210" t="n">
        <v>122.2257569393428</v>
      </c>
    </row>
    <row r="211">
      <c r="A211" s="4" t="n">
        <v>35941</v>
      </c>
      <c r="B211" s="3" t="n">
        <v>208.0064248991697</v>
      </c>
      <c r="C211" s="13" t="n">
        <v>41974</v>
      </c>
      <c r="D211" s="3" t="n">
        <v>306.9598294969841</v>
      </c>
      <c r="E211" t="n">
        <v>121.4534120870999</v>
      </c>
    </row>
    <row r="212">
      <c r="A212" s="4" t="n">
        <v>35942</v>
      </c>
      <c r="B212" s="3" t="n">
        <v>208.0064248991697</v>
      </c>
      <c r="C212" s="13" t="n">
        <v>42005</v>
      </c>
      <c r="D212" s="3" t="n">
        <v>304.5823318519738</v>
      </c>
      <c r="E212" t="n">
        <v>100</v>
      </c>
    </row>
    <row r="213">
      <c r="A213" s="4" t="n">
        <v>35943</v>
      </c>
      <c r="B213" s="3" t="n">
        <v>208.1682346423818</v>
      </c>
      <c r="C213" s="13" t="n">
        <v>42036</v>
      </c>
      <c r="D213" s="3" t="n">
        <v>304.4524992198636</v>
      </c>
      <c r="E213" t="n">
        <v>99.95737355107872</v>
      </c>
    </row>
    <row r="214">
      <c r="A214" s="4" t="n">
        <v>35944</v>
      </c>
      <c r="B214" s="3" t="n">
        <v>209.786332074503</v>
      </c>
      <c r="C214" s="13" t="n">
        <v>42064</v>
      </c>
      <c r="D214" s="3" t="n">
        <v>305.6347473573384</v>
      </c>
      <c r="E214" t="n">
        <v>100.345527430618</v>
      </c>
    </row>
    <row r="215">
      <c r="A215" s="4" t="n">
        <v>35947</v>
      </c>
      <c r="B215" s="3" t="n">
        <v>209.6305732629822</v>
      </c>
      <c r="C215" s="13" t="n">
        <v>42095</v>
      </c>
      <c r="D215" s="3" t="n">
        <v>310.596047155812</v>
      </c>
      <c r="E215" t="n">
        <v>101.9744137052444</v>
      </c>
    </row>
    <row r="216">
      <c r="A216" s="4" t="n">
        <v>35948</v>
      </c>
      <c r="B216" s="3" t="n">
        <v>210.033553988209</v>
      </c>
      <c r="C216" s="13" t="n">
        <v>42125</v>
      </c>
      <c r="D216" s="3" t="n">
        <v>306.0695439555691</v>
      </c>
      <c r="E216" t="n">
        <v>100.488279177112</v>
      </c>
    </row>
    <row r="217">
      <c r="A217" s="4" t="n">
        <v>35949</v>
      </c>
      <c r="B217" s="3" t="n">
        <v>210.5171308584812</v>
      </c>
      <c r="C217" s="13" t="n">
        <v>42156</v>
      </c>
      <c r="D217" s="3" t="n">
        <v>300.6041525471609</v>
      </c>
      <c r="E217" t="n">
        <v>98.69389032494955</v>
      </c>
    </row>
    <row r="218">
      <c r="A218" s="4" t="n">
        <v>35950</v>
      </c>
      <c r="B218" s="3" t="n">
        <v>210.1947462782997</v>
      </c>
      <c r="C218" s="13" t="n">
        <v>42186</v>
      </c>
      <c r="D218" s="3" t="n">
        <v>290.5366311055909</v>
      </c>
      <c r="E218" t="n">
        <v>95.38853725986672</v>
      </c>
    </row>
    <row r="219">
      <c r="A219" s="4" t="n">
        <v>35951</v>
      </c>
      <c r="B219" s="3" t="n">
        <v>210.3559385683905</v>
      </c>
      <c r="C219" s="13" t="n">
        <v>42217</v>
      </c>
      <c r="D219" s="3" t="n">
        <v>287.6765559554298</v>
      </c>
      <c r="E219" t="n">
        <v>94.44952181114691</v>
      </c>
    </row>
    <row r="220">
      <c r="A220" s="4" t="n">
        <v>35954</v>
      </c>
      <c r="B220" s="3" t="n">
        <v>210.6783231485719</v>
      </c>
      <c r="C220" s="13" t="n">
        <v>42248</v>
      </c>
      <c r="D220" s="3" t="n">
        <v>289.8430811089543</v>
      </c>
      <c r="E220" t="n">
        <v>95.16083199790371</v>
      </c>
    </row>
    <row r="221">
      <c r="A221" s="4" t="n">
        <v>35955</v>
      </c>
      <c r="B221" s="3" t="n">
        <v>210.1141501332544</v>
      </c>
      <c r="C221" s="13" t="n">
        <v>42278</v>
      </c>
      <c r="D221" s="3" t="n">
        <v>292.0694356244693</v>
      </c>
      <c r="E221" t="n">
        <v>95.89178526823227</v>
      </c>
    </row>
    <row r="222">
      <c r="A222" s="4" t="n">
        <v>35956</v>
      </c>
      <c r="B222" s="3" t="n">
        <v>209.9529578431637</v>
      </c>
      <c r="C222" s="13" t="n">
        <v>42309</v>
      </c>
      <c r="D222" s="3" t="n">
        <v>289.6503904349964</v>
      </c>
      <c r="E222" t="n">
        <v>95.09756809392533</v>
      </c>
    </row>
    <row r="223">
      <c r="A223" s="4" t="n">
        <v>35958</v>
      </c>
      <c r="B223" s="3" t="n">
        <v>210.5171308584812</v>
      </c>
      <c r="C223" s="13" t="n">
        <v>42339</v>
      </c>
      <c r="D223" s="3" t="n">
        <v>285.0683304642781</v>
      </c>
      <c r="E223" t="n">
        <v>93.59319325285769</v>
      </c>
    </row>
    <row r="224">
      <c r="A224" s="4" t="n">
        <v>35961</v>
      </c>
      <c r="B224" s="3" t="n">
        <v>210.7589192936172</v>
      </c>
      <c r="C224" s="13" t="n">
        <v>42370</v>
      </c>
      <c r="D224" s="3" t="n">
        <v>286.957393891613</v>
      </c>
      <c r="E224" t="n">
        <v>100</v>
      </c>
    </row>
    <row r="225">
      <c r="A225" s="4" t="n">
        <v>35962</v>
      </c>
      <c r="B225" s="3" t="n">
        <v>210.5977270035265</v>
      </c>
      <c r="C225" s="13" t="n">
        <v>42401</v>
      </c>
      <c r="D225" s="3" t="n">
        <v>291.758366370623</v>
      </c>
      <c r="E225" t="n">
        <v>101.673061081961</v>
      </c>
    </row>
    <row r="226">
      <c r="A226" s="4" t="n">
        <v>35963</v>
      </c>
      <c r="B226" s="3" t="n">
        <v>211.0007077287533</v>
      </c>
      <c r="C226" s="13" t="n">
        <v>42430</v>
      </c>
      <c r="D226" s="3" t="n">
        <v>293.673333423477</v>
      </c>
      <c r="E226" t="n">
        <v>102.3403960569842</v>
      </c>
    </row>
    <row r="227">
      <c r="A227" s="4" t="n">
        <v>35964</v>
      </c>
      <c r="B227" s="3" t="n">
        <v>210.8395154386626</v>
      </c>
      <c r="C227" s="13" t="n">
        <v>42461</v>
      </c>
      <c r="D227" s="3" t="n">
        <v>295.6903547943787</v>
      </c>
      <c r="E227" t="n">
        <v>103.0432953074784</v>
      </c>
    </row>
    <row r="228">
      <c r="A228" s="4" t="n">
        <v>35965</v>
      </c>
      <c r="B228" s="3" t="n">
        <v>210.6783231485719</v>
      </c>
      <c r="C228" s="13" t="n">
        <v>42491</v>
      </c>
      <c r="D228" s="3" t="n">
        <v>287.6907590100559</v>
      </c>
      <c r="E228" t="n">
        <v>100.2555658554384</v>
      </c>
    </row>
    <row r="229">
      <c r="A229" s="4" t="n">
        <v>35968</v>
      </c>
      <c r="B229" s="3" t="n">
        <v>210.5977270035265</v>
      </c>
      <c r="C229" s="13" t="n">
        <v>42522</v>
      </c>
      <c r="D229" s="3" t="n">
        <v>287.1009414107842</v>
      </c>
      <c r="E229" t="n">
        <v>100.0500239834299</v>
      </c>
    </row>
    <row r="230">
      <c r="A230" s="4" t="n">
        <v>35969</v>
      </c>
      <c r="B230" s="3" t="n">
        <v>210.8395154386626</v>
      </c>
      <c r="C230" s="13" t="n">
        <v>42552</v>
      </c>
      <c r="D230" s="3" t="n">
        <v>284.6324828199185</v>
      </c>
      <c r="E230" t="n">
        <v>99.18980617987748</v>
      </c>
    </row>
    <row r="231">
      <c r="A231" s="4" t="n">
        <v>35970</v>
      </c>
      <c r="B231" s="3" t="n">
        <v>211.4842845990255</v>
      </c>
      <c r="C231" s="13" t="n">
        <v>42583</v>
      </c>
      <c r="D231" s="3" t="n">
        <v>275.1863406456966</v>
      </c>
      <c r="E231" t="n">
        <v>95.89797876044189</v>
      </c>
    </row>
    <row r="232">
      <c r="A232" s="4" t="n">
        <v>35971</v>
      </c>
      <c r="B232" s="3" t="n">
        <v>211.8066691792069</v>
      </c>
      <c r="C232" s="13" t="n">
        <v>42614</v>
      </c>
      <c r="D232" s="3" t="n">
        <v>273.6024745080999</v>
      </c>
      <c r="E232" t="n">
        <v>95.34602708701857</v>
      </c>
    </row>
    <row r="233">
      <c r="A233" s="4" t="n">
        <v>35972</v>
      </c>
      <c r="B233" s="3" t="n">
        <v>212.2096499044337</v>
      </c>
      <c r="C233" s="13" t="n">
        <v>42644</v>
      </c>
      <c r="D233" s="3" t="n">
        <v>275.4470686793519</v>
      </c>
      <c r="E233" t="n">
        <v>95.98883825359501</v>
      </c>
    </row>
    <row r="234">
      <c r="A234" s="4" t="n">
        <v>35975</v>
      </c>
      <c r="B234" s="3" t="n">
        <v>211.8066691792069</v>
      </c>
      <c r="C234" s="13" t="n">
        <v>42675</v>
      </c>
      <c r="D234" s="3" t="n">
        <v>272.9103954499568</v>
      </c>
      <c r="E234" t="n">
        <v>95.10484875432</v>
      </c>
    </row>
    <row r="235">
      <c r="A235" s="4" t="n">
        <v>35976</v>
      </c>
      <c r="B235" s="3" t="n">
        <v>211.9678614692976</v>
      </c>
      <c r="C235" s="13" t="n">
        <v>42705</v>
      </c>
      <c r="D235" s="3" t="n">
        <v>270.3973141421019</v>
      </c>
      <c r="E235" t="n">
        <v>94.22908065726091</v>
      </c>
    </row>
    <row r="236">
      <c r="A236" s="4" t="n">
        <v>35977</v>
      </c>
      <c r="B236" s="3" t="n">
        <v>212.6465938155172</v>
      </c>
      <c r="C236" s="13" t="n">
        <v>42736</v>
      </c>
      <c r="D236" s="3" t="n">
        <v>267.0007863816258</v>
      </c>
      <c r="E236" t="n">
        <v>100</v>
      </c>
    </row>
    <row r="237">
      <c r="A237" s="4" t="n">
        <v>35978</v>
      </c>
      <c r="B237" s="3" t="n">
        <v>212.4851309500536</v>
      </c>
      <c r="C237" s="13" t="n">
        <v>42767</v>
      </c>
      <c r="D237" s="3" t="n">
        <v>260.6797281685355</v>
      </c>
      <c r="E237" t="n">
        <v>97.63256943968113</v>
      </c>
    </row>
    <row r="238">
      <c r="A238" s="4" t="n">
        <v>35979</v>
      </c>
      <c r="B238" s="3" t="n">
        <v>212.7273252482489</v>
      </c>
      <c r="C238" s="13" t="n">
        <v>42795</v>
      </c>
      <c r="D238" s="3" t="n">
        <v>257.6521391407203</v>
      </c>
      <c r="E238" t="n">
        <v>96.49864430453646</v>
      </c>
    </row>
    <row r="239">
      <c r="A239" s="4" t="n">
        <v>35982</v>
      </c>
      <c r="B239" s="3" t="n">
        <v>212.8080566809807</v>
      </c>
      <c r="C239" s="13" t="n">
        <v>42826</v>
      </c>
      <c r="D239" s="3" t="n">
        <v>248.6300222711928</v>
      </c>
      <c r="E239" t="n">
        <v>93.11958426812437</v>
      </c>
    </row>
    <row r="240">
      <c r="A240" s="4" t="n">
        <v>35983</v>
      </c>
      <c r="B240" s="3" t="n">
        <v>212.8080566809807</v>
      </c>
      <c r="C240" s="13" t="n">
        <v>42856</v>
      </c>
      <c r="D240" s="3" t="n">
        <v>249.6357256343643</v>
      </c>
      <c r="E240" t="n">
        <v>93.49625108502806</v>
      </c>
    </row>
    <row r="241">
      <c r="A241" s="4" t="n">
        <v>35984</v>
      </c>
      <c r="B241" s="3" t="n">
        <v>212.7273252482489</v>
      </c>
      <c r="C241" s="13" t="n">
        <v>42887</v>
      </c>
      <c r="D241" s="3" t="n">
        <v>237.6164184084575</v>
      </c>
      <c r="E241" t="n">
        <v>88.99465115013967</v>
      </c>
    </row>
    <row r="242">
      <c r="A242" s="4" t="n">
        <v>35986</v>
      </c>
      <c r="B242" s="3" t="n">
        <v>212.8887881137125</v>
      </c>
      <c r="C242" s="13" t="n">
        <v>42917</v>
      </c>
      <c r="D242" s="3" t="n">
        <v>231.6039524772607</v>
      </c>
      <c r="E242" t="n">
        <v>86.7427978830848</v>
      </c>
    </row>
    <row r="243">
      <c r="A243" s="4" t="n">
        <v>35989</v>
      </c>
      <c r="B243" s="3" t="n">
        <v>214.9070739320071</v>
      </c>
      <c r="C243" s="13" t="n">
        <v>42948</v>
      </c>
      <c r="D243" s="3" t="n">
        <v>248.4975194215106</v>
      </c>
      <c r="E243" t="n">
        <v>93.06995787882498</v>
      </c>
    </row>
    <row r="244">
      <c r="A244" s="4" t="n">
        <v>35990</v>
      </c>
      <c r="B244" s="3" t="n">
        <v>215.7143882593249</v>
      </c>
      <c r="C244" s="13" t="n">
        <v>42979</v>
      </c>
      <c r="D244" s="3" t="n">
        <v>265.3883592786531</v>
      </c>
      <c r="E244" t="n">
        <v>99.39609649663427</v>
      </c>
    </row>
    <row r="245">
      <c r="A245" s="4" t="n">
        <v>35991</v>
      </c>
      <c r="B245" s="3" t="n">
        <v>215.7951196920567</v>
      </c>
      <c r="C245" s="13" t="n">
        <v>43009</v>
      </c>
      <c r="D245" s="3" t="n">
        <v>259.9106639924851</v>
      </c>
      <c r="E245" t="n">
        <v>97.34453127077809</v>
      </c>
    </row>
    <row r="246">
      <c r="A246" s="4" t="n">
        <v>35992</v>
      </c>
      <c r="B246" s="3" t="n">
        <v>216.2795082884474</v>
      </c>
      <c r="C246" s="13" t="n">
        <v>43040</v>
      </c>
      <c r="D246" s="3" t="n">
        <v>258.9529730566977</v>
      </c>
      <c r="E246" t="n">
        <v>96.98584658345338</v>
      </c>
    </row>
    <row r="247">
      <c r="A247" s="4" t="n">
        <v>35993</v>
      </c>
      <c r="B247" s="3" t="n">
        <v>217.0868226157652</v>
      </c>
      <c r="C247" s="13" t="n">
        <v>43070</v>
      </c>
      <c r="D247" s="3" t="n">
        <v>264.3737771595753</v>
      </c>
      <c r="E247" t="n">
        <v>99.01610431278067</v>
      </c>
    </row>
    <row r="248">
      <c r="A248" s="4" t="n">
        <v>35996</v>
      </c>
      <c r="B248" s="3" t="n">
        <v>217.4097483466923</v>
      </c>
      <c r="C248" s="13" t="n">
        <v>43101</v>
      </c>
      <c r="D248" s="3" t="n">
        <v>264.7425048408426</v>
      </c>
      <c r="E248" t="n">
        <v>100</v>
      </c>
    </row>
    <row r="249">
      <c r="A249" s="4" t="n">
        <v>35997</v>
      </c>
      <c r="B249" s="3" t="n">
        <v>217.7326740776195</v>
      </c>
      <c r="C249" s="13" t="n">
        <v>43132</v>
      </c>
      <c r="D249" s="3" t="n">
        <v>261.9579549830739</v>
      </c>
      <c r="E249" t="n">
        <v>98.94820446023854</v>
      </c>
    </row>
    <row r="250">
      <c r="A250" s="4" t="n">
        <v>35998</v>
      </c>
      <c r="B250" s="3" t="n">
        <v>218.9436455685963</v>
      </c>
      <c r="C250" s="13" t="n">
        <v>43160</v>
      </c>
      <c r="D250" s="3" t="n">
        <v>259.7806654713467</v>
      </c>
      <c r="E250" t="n">
        <v>98.12578664975656</v>
      </c>
    </row>
    <row r="251">
      <c r="A251" s="4" t="n">
        <v>35999</v>
      </c>
      <c r="B251" s="3" t="n">
        <v>219.4280341649869</v>
      </c>
      <c r="C251" s="13" t="n">
        <v>43191</v>
      </c>
      <c r="D251" s="3" t="n">
        <v>255.3783858721322</v>
      </c>
      <c r="E251" t="n">
        <v>96.46293330406466</v>
      </c>
    </row>
    <row r="252">
      <c r="A252" s="4" t="n">
        <v>36000</v>
      </c>
      <c r="B252" s="3" t="n">
        <v>219.9931541941094</v>
      </c>
      <c r="C252" s="13" t="n">
        <v>43221</v>
      </c>
      <c r="D252" s="3" t="n">
        <v>247.3861401066137</v>
      </c>
      <c r="E252" t="n">
        <v>93.44405812558766</v>
      </c>
    </row>
    <row r="253">
      <c r="A253" s="4" t="n">
        <v>36003</v>
      </c>
      <c r="B253" s="3" t="n">
        <v>220.881199954159</v>
      </c>
      <c r="C253" s="13" t="n">
        <v>43252</v>
      </c>
      <c r="D253" s="3" t="n">
        <v>239.2857528253776</v>
      </c>
      <c r="E253" t="n">
        <v>90.38433513697808</v>
      </c>
    </row>
    <row r="254">
      <c r="A254" s="4" t="n">
        <v>36004</v>
      </c>
      <c r="B254" s="3" t="n">
        <v>221.0426628196226</v>
      </c>
      <c r="C254" s="13" t="n">
        <v>43282</v>
      </c>
      <c r="D254" s="3" t="n">
        <v>243.5749838991854</v>
      </c>
      <c r="E254" t="n">
        <v>92.00448716975664</v>
      </c>
    </row>
    <row r="255">
      <c r="A255" s="4" t="n">
        <v>36005</v>
      </c>
      <c r="B255" s="3" t="n">
        <v>221.1233942523544</v>
      </c>
      <c r="C255" s="13" t="n">
        <v>43313</v>
      </c>
      <c r="D255" s="3" t="n">
        <v>247.1433263267237</v>
      </c>
      <c r="E255" t="n">
        <v>93.35234116459721</v>
      </c>
    </row>
    <row r="256">
      <c r="A256" s="4" t="n">
        <v>36006</v>
      </c>
      <c r="B256" s="3" t="n">
        <v>221.8499771469405</v>
      </c>
      <c r="C256" s="13" t="n">
        <v>43344</v>
      </c>
      <c r="D256" s="3" t="n">
        <v>251.619121007497</v>
      </c>
      <c r="E256" t="n">
        <v>95.04296303261349</v>
      </c>
    </row>
    <row r="257">
      <c r="A257" s="4" t="n">
        <v>36007</v>
      </c>
      <c r="B257" s="3" t="n">
        <v>222.4150971760629</v>
      </c>
      <c r="C257" s="13" t="n">
        <v>43374</v>
      </c>
      <c r="D257" s="3" t="n">
        <v>247.5479098286211</v>
      </c>
      <c r="E257" t="n">
        <v>93.5051626777655</v>
      </c>
    </row>
    <row r="258">
      <c r="A258" s="4" t="n">
        <v>36010</v>
      </c>
      <c r="B258" s="3" t="n">
        <v>222.841344685333</v>
      </c>
      <c r="C258" s="13" t="n">
        <v>43405</v>
      </c>
      <c r="D258" s="3" t="n">
        <v>244.9115648884314</v>
      </c>
      <c r="E258" t="n">
        <v>92.50934791739121</v>
      </c>
    </row>
    <row r="259">
      <c r="A259" s="4" t="n">
        <v>36011</v>
      </c>
      <c r="B259" s="3" t="n">
        <v>222.6796310825135</v>
      </c>
      <c r="C259" s="13" t="n">
        <v>43435</v>
      </c>
      <c r="D259" s="3" t="n">
        <v>254.2692118808808</v>
      </c>
      <c r="E259" t="n">
        <v>96.04396998273543</v>
      </c>
    </row>
    <row r="260">
      <c r="A260" s="4" t="n">
        <v>36012</v>
      </c>
      <c r="B260" s="3" t="n">
        <v>222.1136334726451</v>
      </c>
      <c r="C260" s="13" t="n">
        <v>43466</v>
      </c>
      <c r="D260" s="3" t="n">
        <v>257.6860135822412</v>
      </c>
      <c r="E260" t="n">
        <v>100</v>
      </c>
    </row>
    <row r="261">
      <c r="A261" s="4" t="n">
        <v>36013</v>
      </c>
      <c r="B261" s="3" t="n">
        <v>222.0327766712354</v>
      </c>
      <c r="C261" s="13" t="n">
        <v>43497</v>
      </c>
      <c r="D261" s="3" t="n">
        <v>252.3112246426255</v>
      </c>
      <c r="E261" t="n">
        <v>97.91421006328684</v>
      </c>
    </row>
    <row r="262">
      <c r="A262" s="4" t="n">
        <v>36014</v>
      </c>
      <c r="B262" s="3" t="n">
        <v>222.2753470754647</v>
      </c>
      <c r="C262" s="13" t="n">
        <v>43525</v>
      </c>
      <c r="D262" s="3" t="n">
        <v>253.3804649958966</v>
      </c>
      <c r="E262" t="n">
        <v>98.32914929045211</v>
      </c>
    </row>
    <row r="263">
      <c r="A263" s="4" t="n">
        <v>36017</v>
      </c>
      <c r="B263" s="3" t="n">
        <v>222.1136334726451</v>
      </c>
      <c r="C263" s="13" t="n">
        <v>43556</v>
      </c>
      <c r="D263" s="3" t="n">
        <v>258.2696670520086</v>
      </c>
      <c r="E263" t="n">
        <v>100.2264979234432</v>
      </c>
    </row>
    <row r="264">
      <c r="A264" s="4" t="n">
        <v>36018</v>
      </c>
      <c r="B264" s="3" t="n">
        <v>222.1944902740549</v>
      </c>
      <c r="C264" s="13" t="n">
        <v>43586</v>
      </c>
      <c r="D264" s="3" t="n">
        <v>249.6944065522994</v>
      </c>
      <c r="E264" t="n">
        <v>96.89870361264632</v>
      </c>
    </row>
    <row r="265">
      <c r="A265" s="4" t="n">
        <v>36019</v>
      </c>
      <c r="B265" s="3" t="n">
        <v>222.1944902740549</v>
      </c>
      <c r="C265" s="13" t="n">
        <v>43617</v>
      </c>
      <c r="D265" s="3" t="n">
        <v>243.191314140507</v>
      </c>
      <c r="E265" t="n">
        <v>94.37505387264328</v>
      </c>
    </row>
    <row r="266">
      <c r="A266" s="4" t="n">
        <v>36020</v>
      </c>
      <c r="B266" s="3" t="n">
        <v>221.790206267006</v>
      </c>
      <c r="C266" s="13" t="n">
        <v>43647</v>
      </c>
      <c r="D266" s="3" t="n">
        <v>247.3453907548506</v>
      </c>
      <c r="E266" t="n">
        <v>95.98712297821692</v>
      </c>
    </row>
    <row r="267">
      <c r="A267" s="4" t="n">
        <v>36021</v>
      </c>
      <c r="B267" s="3" t="n">
        <v>221.9519198698255</v>
      </c>
      <c r="C267" s="13" t="n">
        <v>43678</v>
      </c>
      <c r="D267" s="3" t="n">
        <v>251.1016238351532</v>
      </c>
      <c r="E267" t="n">
        <v>97.44480126974895</v>
      </c>
    </row>
    <row r="268">
      <c r="A268" s="4" t="n">
        <v>36024</v>
      </c>
      <c r="B268" s="3" t="n">
        <v>220.0922134374008</v>
      </c>
      <c r="C268" s="13" t="n">
        <v>43709</v>
      </c>
      <c r="D268" s="3" t="n">
        <v>257.4623214565403</v>
      </c>
      <c r="E268" t="n">
        <v>99.91319198019666</v>
      </c>
    </row>
    <row r="269">
      <c r="A269" s="4" t="n">
        <v>36025</v>
      </c>
      <c r="B269" s="3" t="n">
        <v>220.2539270402203</v>
      </c>
      <c r="C269" s="13" t="n">
        <v>43739</v>
      </c>
      <c r="D269" s="3" t="n">
        <v>263.7273758040672</v>
      </c>
      <c r="E269" t="n">
        <v>102.3444664837806</v>
      </c>
    </row>
    <row r="270">
      <c r="A270" s="4" t="n">
        <v>36026</v>
      </c>
      <c r="B270" s="3" t="n">
        <v>220.3347838416301</v>
      </c>
      <c r="C270" s="13" t="n">
        <v>43770</v>
      </c>
      <c r="D270" s="3" t="n">
        <v>323.9768573668765</v>
      </c>
      <c r="E270" t="n">
        <v>125.7254333920139</v>
      </c>
    </row>
    <row r="271">
      <c r="A271" s="4" t="n">
        <v>36027</v>
      </c>
      <c r="B271" s="3" t="n">
        <v>220.9007814514985</v>
      </c>
      <c r="C271" s="13" t="n">
        <v>43800</v>
      </c>
      <c r="D271" s="3" t="n">
        <v>334.3977255696545</v>
      </c>
      <c r="E271" t="n">
        <v>129.769451170826</v>
      </c>
    </row>
    <row r="272">
      <c r="A272" s="4" t="n">
        <v>36028</v>
      </c>
      <c r="B272" s="3" t="n">
        <v>221.2242086571376</v>
      </c>
      <c r="C272" s="13" t="n">
        <v>43831</v>
      </c>
      <c r="D272" s="3" t="n">
        <v>303.102950007646</v>
      </c>
      <c r="E272" t="n">
        <v>100</v>
      </c>
    </row>
    <row r="273">
      <c r="A273" s="4" t="n">
        <v>36031</v>
      </c>
      <c r="B273" s="3" t="n">
        <v>221.8710630684158</v>
      </c>
      <c r="C273" s="13" t="n">
        <v>43862</v>
      </c>
      <c r="D273" s="3" t="n">
        <v>309.5170511135041</v>
      </c>
      <c r="E273" t="n">
        <v>102.1161460506064</v>
      </c>
    </row>
    <row r="274">
      <c r="A274" s="4" t="n">
        <v>36032</v>
      </c>
      <c r="B274" s="3" t="n">
        <v>223.6499126994308</v>
      </c>
      <c r="C274" s="13" t="n">
        <v>43891</v>
      </c>
      <c r="D274" s="3" t="n">
        <v>310.8433046778537</v>
      </c>
      <c r="E274" t="n">
        <v>102.553704828677</v>
      </c>
    </row>
    <row r="275">
      <c r="A275" s="4" t="n">
        <v>36033</v>
      </c>
      <c r="B275" s="3" t="n">
        <v>224.4584807135285</v>
      </c>
      <c r="C275" s="13" t="n">
        <v>43922</v>
      </c>
      <c r="D275" s="3" t="n">
        <v>307.1509411181839</v>
      </c>
      <c r="E275" t="n">
        <v>101.3355168963007</v>
      </c>
    </row>
    <row r="276">
      <c r="A276" s="4" t="n">
        <v>36034</v>
      </c>
      <c r="B276" s="3" t="n">
        <v>225.5904759332653</v>
      </c>
      <c r="C276" s="13" t="n">
        <v>43952</v>
      </c>
      <c r="D276" s="3" t="n">
        <v>308.814079586815</v>
      </c>
      <c r="E276" t="n">
        <v>101.8842210473455</v>
      </c>
    </row>
    <row r="277">
      <c r="A277" s="4" t="n">
        <v>36035</v>
      </c>
      <c r="B277" s="3" t="n">
        <v>226.8033279544119</v>
      </c>
      <c r="C277" s="13" t="n">
        <v>43983</v>
      </c>
      <c r="D277" s="3" t="n">
        <v>317.1619729548851</v>
      </c>
      <c r="E277" t="n">
        <v>104.6383655938962</v>
      </c>
    </row>
    <row r="278">
      <c r="A278" s="4" t="n">
        <v>36038</v>
      </c>
      <c r="B278" s="3" t="n">
        <v>227.6927527699194</v>
      </c>
      <c r="C278" s="13" t="n">
        <v>44013</v>
      </c>
      <c r="D278" s="3" t="n">
        <v>327.2454416077279</v>
      </c>
      <c r="E278" t="n">
        <v>107.9651127115302</v>
      </c>
    </row>
    <row r="279">
      <c r="A279" s="4" t="n">
        <v>36039</v>
      </c>
      <c r="B279" s="3" t="n">
        <v>229.7463589306952</v>
      </c>
      <c r="C279" s="13" t="n">
        <v>44044</v>
      </c>
      <c r="D279" s="3" t="n">
        <v>328.7397933458298</v>
      </c>
      <c r="E279" t="n">
        <v>108.4581305914499</v>
      </c>
    </row>
    <row r="280">
      <c r="A280" s="4" t="n">
        <v>36040</v>
      </c>
      <c r="B280" s="3" t="n">
        <v>230.0700593307384</v>
      </c>
      <c r="C280" s="13" t="n">
        <v>44075</v>
      </c>
      <c r="D280" s="3" t="n">
        <v>342.6693484697994</v>
      </c>
      <c r="E280" t="n">
        <v>113.053782043743</v>
      </c>
    </row>
    <row r="281">
      <c r="A281" s="4" t="n">
        <v>36041</v>
      </c>
      <c r="B281" s="3" t="n">
        <v>230.1509844307492</v>
      </c>
      <c r="C281" s="13" t="n">
        <v>44105</v>
      </c>
      <c r="D281" s="3" t="n">
        <v>353.5162443308286</v>
      </c>
      <c r="E281" t="n">
        <v>116.6323997578747</v>
      </c>
    </row>
    <row r="282">
      <c r="A282" s="4" t="n">
        <v>36042</v>
      </c>
      <c r="B282" s="3" t="n">
        <v>230.6365350308141</v>
      </c>
      <c r="C282" s="13" t="n">
        <v>44136</v>
      </c>
      <c r="D282" s="3" t="n">
        <v>369.0454425324041</v>
      </c>
      <c r="E282" t="n">
        <v>121.755806904253</v>
      </c>
    </row>
    <row r="283">
      <c r="A283" s="4" t="n">
        <v>36046</v>
      </c>
      <c r="B283" s="3" t="n">
        <v>230.4746848307925</v>
      </c>
      <c r="C283" s="13" t="n">
        <v>44166</v>
      </c>
      <c r="D283" s="3" t="n">
        <v>340.9451293810804</v>
      </c>
      <c r="E283" t="n">
        <v>112.4849261191552</v>
      </c>
    </row>
    <row r="284">
      <c r="A284" s="4" t="n">
        <v>36047</v>
      </c>
      <c r="B284" s="3" t="n">
        <v>228.6134075305438</v>
      </c>
      <c r="C284" s="13" t="n">
        <v>44197</v>
      </c>
      <c r="D284" s="3" t="n">
        <v>360.9631948679868</v>
      </c>
      <c r="E284" t="n">
        <v>100</v>
      </c>
    </row>
    <row r="285">
      <c r="A285" s="4" t="n">
        <v>36048</v>
      </c>
      <c r="B285" s="3" t="n">
        <v>229.7463589306952</v>
      </c>
      <c r="C285" s="13" t="n">
        <v>44228</v>
      </c>
      <c r="D285" s="3" t="n">
        <v>367.5631378773396</v>
      </c>
      <c r="E285" t="n">
        <v>101.8284254747265</v>
      </c>
    </row>
    <row r="286">
      <c r="A286" s="4" t="n">
        <v>36049</v>
      </c>
      <c r="B286" s="3" t="n">
        <v>230.1509844307492</v>
      </c>
      <c r="C286" s="13" t="n">
        <v>44256</v>
      </c>
      <c r="D286" s="3" t="n">
        <v>366.0788772958088</v>
      </c>
      <c r="E286" t="n">
        <v>101.4172310364476</v>
      </c>
    </row>
    <row r="287">
      <c r="A287" s="4" t="n">
        <v>36052</v>
      </c>
      <c r="B287" s="3" t="n">
        <v>229.9082091307168</v>
      </c>
      <c r="C287" s="13" t="n">
        <v>44287</v>
      </c>
      <c r="D287" s="3" t="n">
        <v>368.4748758726298</v>
      </c>
      <c r="E287" t="n">
        <v>102.0810102280345</v>
      </c>
    </row>
    <row r="288">
      <c r="A288" s="4" t="n">
        <v>36053</v>
      </c>
      <c r="B288" s="3" t="n">
        <v>230.9602354308574</v>
      </c>
      <c r="C288" s="13" t="n">
        <v>44317</v>
      </c>
      <c r="D288" s="3" t="n">
        <v>347.7185646545998</v>
      </c>
      <c r="E288" t="n">
        <v>96.3307532729948</v>
      </c>
    </row>
    <row r="289">
      <c r="A289" s="4" t="n">
        <v>36054</v>
      </c>
      <c r="B289" s="3" t="n">
        <v>232.3359621310412</v>
      </c>
      <c r="C289" s="13" t="n">
        <v>44348</v>
      </c>
      <c r="D289" s="3" t="n">
        <v>353.2083790485628</v>
      </c>
      <c r="E289" t="n">
        <v>97.85163254046992</v>
      </c>
    </row>
    <row r="290">
      <c r="A290" s="4" t="n">
        <v>36055</v>
      </c>
      <c r="B290" s="3" t="n">
        <v>233.2261382311601</v>
      </c>
      <c r="C290" s="13" t="n">
        <v>44378</v>
      </c>
      <c r="D290" s="3" t="n">
        <v>351.9752585511856</v>
      </c>
      <c r="E290" t="n">
        <v>97.51001308593574</v>
      </c>
    </row>
    <row r="291">
      <c r="A291" s="4" t="n">
        <v>36056</v>
      </c>
      <c r="B291" s="3" t="n">
        <v>233.6307637312142</v>
      </c>
      <c r="C291" s="13" t="n">
        <v>44409</v>
      </c>
      <c r="D291" s="3" t="n">
        <v>345.8149959972309</v>
      </c>
      <c r="E291" t="n">
        <v>95.80339516988818</v>
      </c>
    </row>
    <row r="292">
      <c r="A292" s="4" t="n">
        <v>36059</v>
      </c>
      <c r="B292" s="3" t="n">
        <v>233.8735390312466</v>
      </c>
      <c r="C292" s="13" t="n">
        <v>44440</v>
      </c>
      <c r="D292" s="3" t="n">
        <v>333.597342923439</v>
      </c>
      <c r="E292" t="n">
        <v>92.41865865173425</v>
      </c>
    </row>
    <row r="293">
      <c r="A293" s="4" t="n">
        <v>36060</v>
      </c>
      <c r="B293" s="3" t="n">
        <v>232.9024378311169</v>
      </c>
      <c r="C293" s="13" t="n">
        <v>44470</v>
      </c>
      <c r="D293" s="3" t="n">
        <v>295.8149321715815</v>
      </c>
      <c r="E293" t="n">
        <v>81.95154973619081</v>
      </c>
    </row>
    <row r="294">
      <c r="A294" s="4" t="n">
        <v>36061</v>
      </c>
      <c r="B294" s="3" t="n">
        <v>232.0122617309979</v>
      </c>
      <c r="C294" s="13" t="n">
        <v>44501</v>
      </c>
      <c r="D294" s="3" t="n">
        <v>326.586223527989</v>
      </c>
      <c r="E294" t="n">
        <v>90.47632228749241</v>
      </c>
    </row>
    <row r="295">
      <c r="A295" s="4" t="n">
        <v>36062</v>
      </c>
      <c r="B295" s="3" t="n">
        <v>231.8504115309763</v>
      </c>
      <c r="C295" s="13" t="n">
        <v>44531</v>
      </c>
      <c r="D295" s="3" t="n">
        <v>349.0479876256598</v>
      </c>
      <c r="E295" t="n">
        <v>96.69905203307925</v>
      </c>
    </row>
    <row r="296">
      <c r="A296" s="4" t="n">
        <v>36063</v>
      </c>
      <c r="B296" s="3" t="n">
        <v>232.0931868310087</v>
      </c>
      <c r="C296" s="13" t="n">
        <v>44562</v>
      </c>
      <c r="D296" s="3" t="n">
        <v>361.5733938337908</v>
      </c>
      <c r="E296" t="n">
        <v>100</v>
      </c>
    </row>
    <row r="297">
      <c r="A297" s="4" t="n">
        <v>36066</v>
      </c>
      <c r="B297" s="3" t="n">
        <v>231.526711130933</v>
      </c>
      <c r="C297" s="13" t="n">
        <v>44593</v>
      </c>
      <c r="D297" s="3" t="n">
        <v>356.9903395598232</v>
      </c>
      <c r="E297" t="n">
        <v>98.73246916058365</v>
      </c>
    </row>
    <row r="298">
      <c r="A298" s="4" t="n">
        <v>36067</v>
      </c>
      <c r="B298" s="3" t="n">
        <v>230.3937597307817</v>
      </c>
      <c r="C298" s="13" t="n">
        <v>44621</v>
      </c>
      <c r="D298" s="3" t="n">
        <v>355.436637220426</v>
      </c>
      <c r="E298" t="n">
        <v>98.30276322372718</v>
      </c>
    </row>
    <row r="299">
      <c r="A299" s="4" t="n">
        <v>36068</v>
      </c>
      <c r="B299" s="3" t="n">
        <v>230.5556099308033</v>
      </c>
      <c r="C299" s="13" t="n">
        <v>44652</v>
      </c>
      <c r="D299" s="3" t="n">
        <v>340.6824922332372</v>
      </c>
      <c r="E299" t="n">
        <v>94.22222377065808</v>
      </c>
    </row>
    <row r="300">
      <c r="A300" s="4" t="n">
        <v>36069</v>
      </c>
      <c r="B300" s="3" t="n">
        <v>228.6769301823092</v>
      </c>
      <c r="C300" s="13" t="n">
        <v>44682</v>
      </c>
      <c r="D300" s="3" t="n">
        <v>326.8092895041979</v>
      </c>
      <c r="E300" t="n">
        <v>90.38532565657378</v>
      </c>
    </row>
    <row r="301">
      <c r="A301" s="4" t="n">
        <v>36070</v>
      </c>
      <c r="B301" s="3" t="n">
        <v>228.6769301823092</v>
      </c>
      <c r="C301" s="13" t="n">
        <v>44713</v>
      </c>
      <c r="D301" s="3" t="n">
        <v>319.7478389366632</v>
      </c>
      <c r="E301" t="n">
        <v>88.43234717752652</v>
      </c>
    </row>
    <row r="302">
      <c r="A302" s="4" t="n">
        <v>36073</v>
      </c>
      <c r="B302" s="3" t="n">
        <v>227.6257278865631</v>
      </c>
      <c r="C302" s="13" t="n">
        <v>44743</v>
      </c>
      <c r="D302" s="3" t="n">
        <v>325.5557037234961</v>
      </c>
      <c r="E302" t="n">
        <v>90.03862266291323</v>
      </c>
    </row>
    <row r="303">
      <c r="A303" s="4" t="n">
        <v>36074</v>
      </c>
      <c r="B303" s="3" t="n">
        <v>227.2214193112762</v>
      </c>
      <c r="C303" s="13" t="n">
        <v>44774</v>
      </c>
      <c r="D303" s="3" t="n">
        <v>316.7146445185362</v>
      </c>
      <c r="E303" t="n">
        <v>87.59345956304644</v>
      </c>
    </row>
    <row r="304">
      <c r="A304" s="4" t="n">
        <v>36075</v>
      </c>
      <c r="B304" s="3" t="n">
        <v>226.8171107359892</v>
      </c>
      <c r="C304" s="13" t="n">
        <v>44805</v>
      </c>
      <c r="D304" s="3" t="n">
        <v>309.4878995051168</v>
      </c>
      <c r="E304" t="n">
        <v>85.59476576071943</v>
      </c>
    </row>
    <row r="305">
      <c r="A305" s="4" t="n">
        <v>36076</v>
      </c>
      <c r="B305" s="3" t="n">
        <v>225.6850467251857</v>
      </c>
      <c r="C305" s="13" t="n">
        <v>44835</v>
      </c>
      <c r="D305" s="3" t="n">
        <v>305.7160232443299</v>
      </c>
      <c r="E305" t="n">
        <v>84.5515816312697</v>
      </c>
    </row>
    <row r="306">
      <c r="A306" s="4" t="n">
        <v>36077</v>
      </c>
      <c r="B306" s="3" t="n">
        <v>226.0893553004727</v>
      </c>
      <c r="C306" s="13" t="n">
        <v>44866</v>
      </c>
      <c r="D306" s="3" t="n">
        <v>293.5807915357722</v>
      </c>
      <c r="E306" t="n">
        <v>81.19535246299853</v>
      </c>
    </row>
    <row r="307">
      <c r="A307" s="4" t="n">
        <v>36081</v>
      </c>
      <c r="B307" s="3" t="n">
        <v>225.3615998649561</v>
      </c>
      <c r="C307" s="13" t="n">
        <v>44896</v>
      </c>
      <c r="D307" s="3" t="n">
        <v>301.2947468504941</v>
      </c>
      <c r="E307" t="n">
        <v>83.3287935419812</v>
      </c>
    </row>
    <row r="308">
      <c r="A308" s="4" t="n">
        <v>36082</v>
      </c>
      <c r="B308" s="3" t="n">
        <v>225.1190147197839</v>
      </c>
      <c r="C308" s="13" t="n">
        <v>44927</v>
      </c>
      <c r="D308" s="3" t="n">
        <v>294.3535656149363</v>
      </c>
      <c r="E308" t="n">
        <v>100</v>
      </c>
    </row>
    <row r="309">
      <c r="A309" s="4" t="n">
        <v>36083</v>
      </c>
      <c r="B309" s="3" t="n">
        <v>223.8252272788656</v>
      </c>
      <c r="C309" s="13" t="n">
        <v>44958</v>
      </c>
      <c r="D309" s="3" t="n">
        <v>298.3906385987987</v>
      </c>
      <c r="E309" t="n">
        <v>101.3715046989251</v>
      </c>
    </row>
    <row r="310">
      <c r="A310" s="4" t="n">
        <v>36084</v>
      </c>
      <c r="B310" s="3" t="n">
        <v>223.8252272788656</v>
      </c>
      <c r="C310" s="13" t="n">
        <v>44986</v>
      </c>
      <c r="D310" s="3" t="n">
        <v>290.0827416166014</v>
      </c>
      <c r="E310" t="n">
        <v>98.54908365407</v>
      </c>
    </row>
    <row r="311">
      <c r="A311" s="4" t="n">
        <v>36087</v>
      </c>
      <c r="B311" s="3" t="n">
        <v>222.4505781228899</v>
      </c>
      <c r="C311" s="13" t="n">
        <v>45017</v>
      </c>
      <c r="D311" s="3" t="n">
        <v>297.0301080547304</v>
      </c>
      <c r="E311" t="n">
        <v>100.9092950629637</v>
      </c>
    </row>
    <row r="312">
      <c r="A312" s="4" t="n">
        <v>36088</v>
      </c>
      <c r="B312" s="3" t="n">
        <v>222.6931632680621</v>
      </c>
      <c r="C312" s="13" t="n">
        <v>45047</v>
      </c>
      <c r="D312" s="3" t="n">
        <v>279.3446134906031</v>
      </c>
      <c r="E312" t="n">
        <v>94.90104626625538</v>
      </c>
    </row>
    <row r="313">
      <c r="A313" s="4" t="n">
        <v>36089</v>
      </c>
      <c r="B313" s="3" t="n">
        <v>221.8845461174882</v>
      </c>
      <c r="C313" s="13" t="n">
        <v>45078</v>
      </c>
      <c r="D313" s="3" t="n">
        <v>268.6077034734091</v>
      </c>
      <c r="E313" t="n">
        <v>91.2534227034956</v>
      </c>
    </row>
    <row r="314">
      <c r="A314" s="4" t="n">
        <v>36090</v>
      </c>
      <c r="B314" s="3" t="n">
        <v>222.5314398379473</v>
      </c>
      <c r="C314" s="13" t="n">
        <v>45108</v>
      </c>
      <c r="D314" s="3" t="n">
        <v>272.7559607051745</v>
      </c>
      <c r="E314" t="n">
        <v>92.66269974863661</v>
      </c>
    </row>
    <row r="315">
      <c r="A315" s="4" t="n">
        <v>36091</v>
      </c>
      <c r="B315" s="3" t="n">
        <v>222.2888546927751</v>
      </c>
      <c r="C315" s="13" t="n">
        <v>45139</v>
      </c>
      <c r="D315" s="3" t="n">
        <v>239.968540504552</v>
      </c>
      <c r="E315" t="n">
        <v>81.52391155963471</v>
      </c>
    </row>
    <row r="316">
      <c r="A316" s="4" t="n">
        <v>36094</v>
      </c>
      <c r="B316" s="3" t="n">
        <v>222.7740249831195</v>
      </c>
      <c r="C316" s="13" t="n">
        <v>45170</v>
      </c>
      <c r="D316" s="3" t="n">
        <v>230.5795644173446</v>
      </c>
      <c r="E316" t="n">
        <v>78.33421821666711</v>
      </c>
    </row>
    <row r="317">
      <c r="A317" s="4" t="n">
        <v>36095</v>
      </c>
      <c r="B317" s="3" t="n">
        <v>222.9357484132343</v>
      </c>
      <c r="C317" s="13" t="n">
        <v>45200</v>
      </c>
      <c r="D317" s="3" t="n">
        <v>256.7740441812459</v>
      </c>
      <c r="E317" t="n">
        <v>87.23320325500976</v>
      </c>
    </row>
    <row r="318">
      <c r="A318" s="4" t="n">
        <v>36096</v>
      </c>
      <c r="B318" s="3" t="n">
        <v>223.0974718433491</v>
      </c>
      <c r="C318" s="13" t="n">
        <v>45231</v>
      </c>
      <c r="D318" s="3" t="n">
        <v>252.0743967727625</v>
      </c>
      <c r="E318" t="n">
        <v>85.63660380541064</v>
      </c>
    </row>
    <row r="319">
      <c r="A319" s="4" t="n">
        <v>36097</v>
      </c>
      <c r="B319" s="3" t="n">
        <v>223.2591952734639</v>
      </c>
      <c r="C319" s="13" t="n">
        <v>45261</v>
      </c>
      <c r="D319" s="3" t="n">
        <v>264.8867073882886</v>
      </c>
      <c r="E319" t="n">
        <v>89.98929801815437</v>
      </c>
    </row>
    <row r="320">
      <c r="A320" s="4" t="n">
        <v>36098</v>
      </c>
      <c r="B320" s="3" t="n">
        <v>224.1486741390952</v>
      </c>
      <c r="C320" s="13" t="n">
        <v>45292</v>
      </c>
      <c r="D320" s="3" t="n">
        <v>265.7809002568276</v>
      </c>
      <c r="E320" t="n">
        <v>100</v>
      </c>
    </row>
    <row r="321">
      <c r="A321" s="4" t="n">
        <v>36102</v>
      </c>
      <c r="B321" s="3" t="n">
        <v>225.0275684829436</v>
      </c>
      <c r="C321" s="13" t="n">
        <v>45323</v>
      </c>
      <c r="D321" s="3" t="n">
        <v>254.5208565978648</v>
      </c>
      <c r="E321" t="n">
        <v>95.76341127293871</v>
      </c>
    </row>
    <row r="322">
      <c r="A322" s="4" t="n">
        <v>36103</v>
      </c>
      <c r="B322" s="3" t="n">
        <v>224.297486249221</v>
      </c>
      <c r="C322" s="13" t="n">
        <v>45352</v>
      </c>
      <c r="D322" s="3" t="n">
        <v>250.307195141659</v>
      </c>
      <c r="E322" t="n">
        <v>94.17802216027708</v>
      </c>
    </row>
    <row r="323">
      <c r="A323" s="4" t="n">
        <v>36104</v>
      </c>
      <c r="B323" s="3" t="n">
        <v>225.6765304684748</v>
      </c>
      <c r="C323" s="13" t="n">
        <v>45383</v>
      </c>
      <c r="D323" s="3" t="n">
        <v>247.0698537479007</v>
      </c>
      <c r="E323" t="n">
        <v>92.95997323703617</v>
      </c>
    </row>
    <row r="324">
      <c r="A324" s="4" t="n">
        <v>36105</v>
      </c>
      <c r="B324" s="3" t="n">
        <v>225.7576507166662</v>
      </c>
      <c r="C324" s="13" t="n">
        <v>45413</v>
      </c>
      <c r="D324" s="3" t="n">
        <v>241.0792443468716</v>
      </c>
      <c r="E324" t="n">
        <v>90.70600788616245</v>
      </c>
    </row>
    <row r="325">
      <c r="A325" s="4" t="n">
        <v>36108</v>
      </c>
      <c r="B325" s="3" t="n">
        <v>226.0010114612404</v>
      </c>
      <c r="C325" s="13" t="n">
        <v>45444</v>
      </c>
      <c r="D325" s="3" t="n">
        <v>232.5790514726652</v>
      </c>
      <c r="E325" t="n">
        <v>87.50781235518467</v>
      </c>
    </row>
    <row r="326">
      <c r="A326" s="4" t="n">
        <v>36109</v>
      </c>
      <c r="B326" s="3" t="n">
        <v>226.1632519576232</v>
      </c>
      <c r="C326" s="13" t="n">
        <v>45474</v>
      </c>
      <c r="D326" s="3" t="n">
        <v>240.1527192047793</v>
      </c>
      <c r="E326" t="n">
        <v>90.35740302358693</v>
      </c>
    </row>
    <row r="327">
      <c r="A327" s="4" t="n">
        <v>36110</v>
      </c>
      <c r="B327" s="3" t="n">
        <v>226.4877329503888</v>
      </c>
      <c r="C327" s="13" t="n">
        <v>45505</v>
      </c>
      <c r="D327" s="3" t="n">
        <v>245.5261674274965</v>
      </c>
      <c r="E327" t="n">
        <v>92.37916162908671</v>
      </c>
    </row>
    <row r="328">
      <c r="A328" s="4" t="n">
        <v>36111</v>
      </c>
      <c r="B328" s="3" t="n">
        <v>227.6234164250684</v>
      </c>
      <c r="C328" s="13" t="n">
        <v>45536</v>
      </c>
      <c r="D328" s="3" t="n">
        <v>265.1601727962077</v>
      </c>
      <c r="E328" t="n">
        <v>99.76645144176273</v>
      </c>
    </row>
    <row r="329">
      <c r="A329" s="4" t="n">
        <v>36112</v>
      </c>
      <c r="B329" s="3" t="n">
        <v>227.6234164250684</v>
      </c>
      <c r="C329" s="13" t="n">
        <v>45566</v>
      </c>
      <c r="D329" s="3" t="n">
        <v>307.8939584745771</v>
      </c>
      <c r="E329" t="n">
        <v>115.8450280577179</v>
      </c>
    </row>
    <row r="330">
      <c r="A330" s="4" t="n">
        <v>36115</v>
      </c>
      <c r="B330" s="3" t="n">
        <v>227.8667771696426</v>
      </c>
      <c r="C330" s="13" t="n">
        <v>45597</v>
      </c>
      <c r="D330" s="3" t="n">
        <v>341.9245036570027</v>
      </c>
      <c r="E330" t="n">
        <v>128.6490125236977</v>
      </c>
    </row>
    <row r="331">
      <c r="A331" s="4" t="n">
        <v>36116</v>
      </c>
      <c r="B331" s="3" t="n">
        <v>227.947897417834</v>
      </c>
      <c r="C331" s="13" t="n">
        <v>45627</v>
      </c>
      <c r="D331" s="3" t="n">
        <v>320.3263157894737</v>
      </c>
      <c r="E331" t="n">
        <v>120.5226995167592</v>
      </c>
    </row>
    <row r="332">
      <c r="A332" s="4" t="n">
        <v>36117</v>
      </c>
      <c r="B332" s="3" t="n">
        <v>228.2723784105996</v>
      </c>
      <c r="C332" s="13" t="n">
        <v>45658</v>
      </c>
      <c r="D332" s="3" t="n">
        <v>324.9522727272727</v>
      </c>
      <c r="E332" t="n">
        <v>100</v>
      </c>
    </row>
    <row r="333">
      <c r="A333" s="4" t="n">
        <v>36118</v>
      </c>
      <c r="B333" s="3" t="n">
        <v>228.2723784105996</v>
      </c>
      <c r="C333" s="13" t="n">
        <v>45689</v>
      </c>
      <c r="D333" s="3" t="n">
        <v>319.2075</v>
      </c>
      <c r="E333" t="n">
        <v>98.23211800334315</v>
      </c>
    </row>
    <row r="334">
      <c r="A334" s="4" t="n">
        <v>36119</v>
      </c>
      <c r="B334" s="3" t="n">
        <v>228.8402201479394</v>
      </c>
      <c r="C334" s="13" t="n">
        <v>45717</v>
      </c>
      <c r="D334" s="3" t="n">
        <v>312.4657894736843</v>
      </c>
      <c r="E334" t="n">
        <v>96.15744086084048</v>
      </c>
    </row>
    <row r="335">
      <c r="A335" s="4" t="n">
        <v>36122</v>
      </c>
      <c r="B335" s="3" t="n">
        <v>229.7325428780448</v>
      </c>
      <c r="C335" s="13" t="n">
        <v>45748</v>
      </c>
      <c r="D335" s="3" t="n">
        <v>323.9575</v>
      </c>
      <c r="E335" t="n">
        <v>99.69387112792788</v>
      </c>
    </row>
    <row r="336">
      <c r="A336" s="4" t="n">
        <v>36123</v>
      </c>
      <c r="B336" s="3" t="n">
        <v>229.8136631262362</v>
      </c>
      <c r="C336" s="13" t="n">
        <v>45778</v>
      </c>
      <c r="D336" s="3" t="n">
        <v>308.1547619047619</v>
      </c>
      <c r="E336" t="n">
        <v>94.83077601472611</v>
      </c>
    </row>
    <row r="337">
      <c r="A337" s="4" t="n">
        <v>36124</v>
      </c>
      <c r="B337" s="3" t="n">
        <v>230.6248656081502</v>
      </c>
      <c r="C337" s="13" t="n">
        <v>45809</v>
      </c>
      <c r="D337" s="3" t="n">
        <v>313.51</v>
      </c>
      <c r="E337" t="n">
        <v>96.47878359759126</v>
      </c>
    </row>
    <row r="338">
      <c r="A338" s="4" t="n">
        <v>36125</v>
      </c>
      <c r="B338" s="3" t="n">
        <v>230.7059858563416</v>
      </c>
      <c r="C338" s="13" t="n">
        <v>45839</v>
      </c>
      <c r="D338" s="3" t="n">
        <v>299.9695652173913</v>
      </c>
      <c r="E338" t="n">
        <v>92.31188404986199</v>
      </c>
    </row>
    <row r="339">
      <c r="A339" s="4" t="n">
        <v>36126</v>
      </c>
      <c r="B339" s="3" t="n">
        <v>230.8682263527244</v>
      </c>
      <c r="C339" s="13" t="n">
        <v>45870</v>
      </c>
      <c r="D339" s="3" t="n">
        <v>307.25</v>
      </c>
      <c r="E339" t="n">
        <v>94.55234684813854</v>
      </c>
    </row>
    <row r="340">
      <c r="A340" s="4" t="n">
        <v>36129</v>
      </c>
      <c r="B340" s="3" t="n">
        <v>232.003909827404</v>
      </c>
      <c r="C340" s="13" t="n">
        <v>45901</v>
      </c>
      <c r="D340" s="3" t="n">
        <v>307.8727272727273</v>
      </c>
      <c r="E340" t="n">
        <v>94.74398338217502</v>
      </c>
    </row>
    <row r="341">
      <c r="A341" s="4" t="n">
        <v>36130</v>
      </c>
      <c r="B341" s="3" t="n">
        <v>230.6436042645879</v>
      </c>
      <c r="C341" s="13" t="n">
        <v>45931</v>
      </c>
      <c r="D341" s="3" t="n">
        <v>310.5108695652174</v>
      </c>
      <c r="E341" t="n">
        <v>95.55583869567954</v>
      </c>
    </row>
    <row r="342">
      <c r="A342" s="4" t="n">
        <v>36131</v>
      </c>
      <c r="B342" s="3" t="n">
        <v>230.2398164419958</v>
      </c>
      <c r="C342" s="13" t="n">
        <v>45962</v>
      </c>
      <c r="D342" s="3" t="n">
        <v>322.0815789473684</v>
      </c>
      <c r="E342" t="n">
        <v>99.11657987315768</v>
      </c>
    </row>
    <row r="343">
      <c r="A343" s="4" t="n">
        <v>36132</v>
      </c>
      <c r="B343" s="3" t="n">
        <v>229.1899681032564</v>
      </c>
      <c r="C343" s="13" t="n">
        <v>45992</v>
      </c>
      <c r="D343" s="7">
        <f t="array" ref="D343">IFERROR(AVERAGE(_xlfn._xlws.FILTER($B$2:$B$69998,(IFERROR(MONTH($A$2:$A$69998),0)=MONTH(C343))*(IFERROR(YEAR($A$2:$A$69998),0)=YEAR(C343)))),"")</f>
        <v/>
      </c>
      <c r="E343">
        <f>IFERROR(E332*D343/D332,"")</f>
        <v/>
      </c>
    </row>
    <row r="344">
      <c r="A344" s="4" t="n">
        <v>36133</v>
      </c>
      <c r="B344" s="3" t="n">
        <v>227.8170895064434</v>
      </c>
      <c r="C344" s="13">
        <f>EOMONTH(C343,0)+1</f>
        <v/>
      </c>
      <c r="D344" s="3">
        <f t="array" ref="D344">IFERROR(AVERAGE(_xlfn._xlws.FILTER($B$2:$B$69998,(IFERROR(MONTH($A$2:$A$69998),0)=MONTH(C344))*(IFERROR(YEAR($A$2:$A$69998),0)=YEAR(C344)))),"")</f>
        <v/>
      </c>
      <c r="E344" t="n">
        <v>100</v>
      </c>
    </row>
    <row r="345">
      <c r="A345" s="4" t="n">
        <v>36136</v>
      </c>
      <c r="B345" s="3" t="n">
        <v>227.6555743774066</v>
      </c>
      <c r="C345" s="13">
        <f>EOMONTH(C344,0)+1</f>
        <v/>
      </c>
      <c r="D345" s="3">
        <f t="array" ref="D345">IFERROR(AVERAGE(_xlfn._xlws.FILTER($B$2:$B$69998,(IFERROR(MONTH($A$2:$A$69998),0)=MONTH(C345))*(IFERROR(YEAR($A$2:$A$69998),0)=YEAR(C345)))),"")</f>
        <v/>
      </c>
      <c r="E345">
        <f>IFERROR($E$344*D345/IF(ISNUMBER($D$344),$D$344,$D$342),"")</f>
        <v/>
      </c>
    </row>
    <row r="346">
      <c r="A346" s="4" t="n">
        <v>36137</v>
      </c>
      <c r="B346" s="3" t="n">
        <v>227.0902714257777</v>
      </c>
      <c r="C346" s="13">
        <f>EOMONTH(C345,0)+1</f>
        <v/>
      </c>
      <c r="D346" s="3">
        <f t="array" ref="D346">IFERROR(AVERAGE(_xlfn._xlws.FILTER($B$2:$B$69998,(IFERROR(MONTH($A$2:$A$69998),0)=MONTH(C346))*(IFERROR(YEAR($A$2:$A$69998),0)=YEAR(C346)))),"")</f>
        <v/>
      </c>
      <c r="E346">
        <f>IFERROR($E$344*D346/IF(ISNUMBER($D$344),$D$344,$D$342),"")</f>
        <v/>
      </c>
    </row>
    <row r="347">
      <c r="A347" s="4" t="n">
        <v>36138</v>
      </c>
      <c r="B347" s="3" t="n">
        <v>226.5249684741488</v>
      </c>
      <c r="C347" s="13">
        <f>EOMONTH(C346,0)+1</f>
        <v/>
      </c>
      <c r="D347" s="3">
        <f t="array" ref="D347">IFERROR(AVERAGE(_xlfn._xlws.FILTER($B$2:$B$69998,(IFERROR(MONTH($A$2:$A$69998),0)=MONTH(C347))*(IFERROR(YEAR($A$2:$A$69998),0)=YEAR(C347)))),"")</f>
        <v/>
      </c>
      <c r="E347">
        <f>IFERROR($E$344*D347/IF(ISNUMBER($D$344),$D$344,$D$342),"")</f>
        <v/>
      </c>
    </row>
    <row r="348">
      <c r="A348" s="4" t="n">
        <v>36139</v>
      </c>
      <c r="B348" s="3" t="n">
        <v>225.9596655225199</v>
      </c>
      <c r="C348" s="13">
        <f>EOMONTH(C347,0)+1</f>
        <v/>
      </c>
      <c r="D348" s="3">
        <f t="array" ref="D348">IFERROR(AVERAGE(_xlfn._xlws.FILTER($B$2:$B$69998,(IFERROR(MONTH($A$2:$A$69998),0)=MONTH(C348))*(IFERROR(YEAR($A$2:$A$69998),0)=YEAR(C348)))),"")</f>
        <v/>
      </c>
      <c r="E348">
        <f>IFERROR($E$344*D348/IF(ISNUMBER($D$344),$D$344,$D$342),"")</f>
        <v/>
      </c>
    </row>
    <row r="349">
      <c r="A349" s="4" t="n">
        <v>36140</v>
      </c>
      <c r="B349" s="3" t="n">
        <v>225.2328474418542</v>
      </c>
      <c r="C349" s="13">
        <f>EOMONTH(C348,0)+1</f>
        <v/>
      </c>
      <c r="D349" s="3">
        <f t="array" ref="D349">IFERROR(AVERAGE(_xlfn._xlws.FILTER($B$2:$B$69998,(IFERROR(MONTH($A$2:$A$69998),0)=MONTH(C349))*(IFERROR(YEAR($A$2:$A$69998),0)=YEAR(C349)))),"")</f>
        <v/>
      </c>
      <c r="E349">
        <f>IFERROR($E$344*D349/IF(ISNUMBER($D$344),$D$344,$D$342),"")</f>
        <v/>
      </c>
    </row>
    <row r="350">
      <c r="A350" s="4" t="n">
        <v>36143</v>
      </c>
      <c r="B350" s="3" t="n">
        <v>224.1829991031148</v>
      </c>
      <c r="C350" s="13">
        <f>EOMONTH(C349,0)+1</f>
        <v/>
      </c>
      <c r="D350" s="3">
        <f t="array" ref="D350">IFERROR(AVERAGE(_xlfn._xlws.FILTER($B$2:$B$69998,(MONTH($A$2:$A$69998)=MONTH(C350))*(YEAR($A$2:$A$69998)=YEAR(C350)))),IFERROR(LOOKUP(2,1/(ISNUMBER(BGIN26!C:C)),BGIN26!C:C),""))</f>
        <v/>
      </c>
      <c r="E350">
        <f t="array" ref="E350">IFERROR($E$344*IF(ISNUMBER(D350),D350,LOOKUP(2,1/(ISNUMBER(BGIN26!C:C)),BGIN26!C:C))/IF(ISNUMBER($D$344),$D$344,$D$342),"")</f>
        <v/>
      </c>
    </row>
    <row r="351">
      <c r="A351" s="4" t="n">
        <v>36144</v>
      </c>
      <c r="B351" s="3" t="n">
        <v>223.9407264095596</v>
      </c>
      <c r="C351" s="13">
        <f>EOMONTH(C350,0)+1</f>
        <v/>
      </c>
      <c r="D351" s="3">
        <f t="array" ref="D351">IFERROR(AVERAGE(_xlfn._xlws.FILTER($B$2:$B$69998,(MONTH($A$2:$A$69998)=MONTH(C351))*(YEAR($A$2:$A$69998)=YEAR(C351)))),IFERROR(LOOKUP(2,1/(ISNUMBER(BGIQ26!C:C)),BGIQ26!C:C),""))</f>
        <v/>
      </c>
      <c r="E351">
        <f t="array" ref="E351">IFERROR($E$344*IF(ISNUMBER(D351),D351,LOOKUP(2,1/(ISNUMBER(BGIQ26!C:C)),BGIQ26!C:C))/IF(ISNUMBER($D$344),$D$344,$D$342),"")</f>
        <v/>
      </c>
    </row>
    <row r="352">
      <c r="A352" s="4" t="n">
        <v>36145</v>
      </c>
      <c r="B352" s="3" t="n">
        <v>223.6176961514859</v>
      </c>
      <c r="C352" s="13">
        <f>EOMONTH(C351,0)+1</f>
        <v/>
      </c>
      <c r="D352" s="3">
        <f t="array" ref="D352">IFERROR(AVERAGE(_xlfn._xlws.FILTER($B$2:$B$69998,(MONTH($A$2:$A$69998)=MONTH(C352))*(YEAR($A$2:$A$69998)=YEAR(C352)))),IFERROR(LOOKUP(2,1/(ISNUMBER(BGIU26!C:C)),BGIU26!C:C),""))</f>
        <v/>
      </c>
      <c r="E352">
        <f t="array" ref="E352">IFERROR($E$344*IF(ISNUMBER(D352),D352,LOOKUP(2,1/(ISNUMBER(BGIU26!C:C)),BGIU26!C:C))/IF(ISNUMBER($D$344),$D$344,$D$342),"")</f>
        <v/>
      </c>
    </row>
    <row r="353">
      <c r="A353" s="4" t="n">
        <v>36146</v>
      </c>
      <c r="B353" s="3" t="n">
        <v>225.5558776999278</v>
      </c>
      <c r="C353" s="13">
        <f>EOMONTH(C352,0)+1</f>
        <v/>
      </c>
      <c r="D353" s="3">
        <f t="array" ref="D353">IFERROR(AVERAGE(_xlfn._xlws.FILTER($B$2:$B$69998,(MONTH($A$2:$A$69998)=MONTH(C353))*(YEAR($A$2:$A$69998)=YEAR(C353)))),IFERROR(LOOKUP(2,1/(ISNUMBER(BGIV26!C:C)),BGIV26!C:C),""))</f>
        <v/>
      </c>
      <c r="E353">
        <f t="array" ref="E353">IFERROR($E$344*IF(ISNUMBER(D353),D353,LOOKUP(2,1/(ISNUMBER(BGIV26!C:C)),BGIV26!C:C))/IF(ISNUMBER($D$344),$D$344,$D$342),"")</f>
        <v/>
      </c>
    </row>
    <row r="354">
      <c r="A354" s="4" t="n">
        <v>36147</v>
      </c>
      <c r="B354" s="3" t="n">
        <v>225.7981503934831</v>
      </c>
      <c r="C354" s="13">
        <f>EOMONTH(C353,0)+1</f>
        <v/>
      </c>
      <c r="D354" s="3">
        <f t="array" ref="D354">IFERROR(AVERAGE(_xlfn._xlws.FILTER($B$2:$B$69998,(MONTH($A$2:$A$69998)=MONTH(C354))*(YEAR($A$2:$A$69998)=YEAR(C354)))),IFERROR(LOOKUP(2,1/(ISNUMBER(BGIX26!C:C)),BGIX26!C:C),""))</f>
        <v/>
      </c>
      <c r="E354">
        <f t="array" ref="E354">IFERROR($E$344*IF(ISNUMBER(D354),D354,LOOKUP(2,1/(ISNUMBER(BGIX26!C:C)),BGIX26!C:C))/IF(ISNUMBER($D$344),$D$344,$D$342),"")</f>
        <v/>
      </c>
    </row>
    <row r="355">
      <c r="A355" s="4" t="n">
        <v>36150</v>
      </c>
      <c r="B355" s="3" t="n">
        <v>225.7981503934831</v>
      </c>
      <c r="C355" s="13">
        <f>EOMONTH(C354,0)+1</f>
        <v/>
      </c>
      <c r="D355" s="3">
        <f t="array" ref="D355">IFERROR(AVERAGE(_xlfn._xlws.FILTER($B$2:$B$69998,(MONTH($A$2:$A$69998)=MONTH(C355))*(YEAR($A$2:$A$69998)=YEAR(C355)))),IFERROR(LOOKUP(2,1/(ISNUMBER(BGIZ26!C:C)),BGIZ26!C:C),""))</f>
        <v/>
      </c>
      <c r="E355">
        <f t="array" ref="E355">IFERROR($E$344*IF(ISNUMBER(D355),D355,LOOKUP(2,1/(ISNUMBER(BGIZ26!C:C)),BGIZ26!C:C))/IF(ISNUMBER($D$344),$D$344,$D$342),"")</f>
        <v/>
      </c>
    </row>
    <row r="356">
      <c r="A356" s="4" t="n">
        <v>36151</v>
      </c>
      <c r="B356" s="3" t="n">
        <v>226.9287562967409</v>
      </c>
    </row>
    <row r="357">
      <c r="A357" s="4" t="n">
        <v>36152</v>
      </c>
      <c r="B357" s="3" t="n">
        <v>227.0902714257777</v>
      </c>
    </row>
    <row r="358">
      <c r="A358" s="4" t="n">
        <v>36157</v>
      </c>
      <c r="B358" s="3" t="n">
        <v>228.0593621999986</v>
      </c>
    </row>
    <row r="359">
      <c r="A359" s="4" t="n">
        <v>36158</v>
      </c>
      <c r="B359" s="3" t="n">
        <v>227.8170895064434</v>
      </c>
    </row>
    <row r="360">
      <c r="A360" s="4" t="n">
        <v>36159</v>
      </c>
      <c r="B360" s="3" t="n">
        <v>228.5439075871091</v>
      </c>
    </row>
    <row r="361">
      <c r="A361" s="4" t="n">
        <v>36164</v>
      </c>
      <c r="B361" s="3" t="n">
        <v>226.1651333150542</v>
      </c>
    </row>
    <row r="362">
      <c r="A362" s="4" t="n">
        <v>36165</v>
      </c>
      <c r="B362" s="3" t="n">
        <v>225.7646992971451</v>
      </c>
    </row>
    <row r="363">
      <c r="A363" s="4" t="n">
        <v>36166</v>
      </c>
      <c r="B363" s="3" t="n">
        <v>225.7646992971451</v>
      </c>
    </row>
    <row r="364">
      <c r="A364" s="4" t="n">
        <v>36167</v>
      </c>
      <c r="B364" s="3" t="n">
        <v>226.1651333150542</v>
      </c>
    </row>
    <row r="365">
      <c r="A365" s="4" t="n">
        <v>36168</v>
      </c>
      <c r="B365" s="3" t="n">
        <v>225.8447861007269</v>
      </c>
    </row>
    <row r="366">
      <c r="A366" s="4" t="n">
        <v>36171</v>
      </c>
      <c r="B366" s="3" t="n">
        <v>226.3253069222178</v>
      </c>
    </row>
    <row r="367">
      <c r="A367" s="4" t="n">
        <v>36172</v>
      </c>
      <c r="B367" s="3" t="n">
        <v>226.4854805293815</v>
      </c>
    </row>
    <row r="368">
      <c r="A368" s="4" t="n">
        <v>36173</v>
      </c>
      <c r="B368" s="3" t="n">
        <v>226.3253069222178</v>
      </c>
    </row>
    <row r="369">
      <c r="A369" s="4" t="n">
        <v>36174</v>
      </c>
      <c r="B369" s="3" t="n">
        <v>226.5655673329633</v>
      </c>
    </row>
    <row r="370">
      <c r="A370" s="4" t="n">
        <v>36175</v>
      </c>
      <c r="B370" s="3" t="n">
        <v>226.9660013508724</v>
      </c>
    </row>
    <row r="371">
      <c r="A371" s="4" t="n">
        <v>36178</v>
      </c>
      <c r="B371" s="3" t="n">
        <v>228.3274770117633</v>
      </c>
    </row>
    <row r="372">
      <c r="A372" s="4" t="n">
        <v>36179</v>
      </c>
      <c r="B372" s="3" t="n">
        <v>229.8491262798179</v>
      </c>
    </row>
    <row r="373">
      <c r="A373" s="4" t="n">
        <v>36180</v>
      </c>
      <c r="B373" s="3" t="n">
        <v>230.0092998869814</v>
      </c>
    </row>
    <row r="374">
      <c r="A374" s="4" t="n">
        <v>36181</v>
      </c>
      <c r="B374" s="3" t="n">
        <v>232.8123380123451</v>
      </c>
    </row>
    <row r="375">
      <c r="A375" s="4" t="n">
        <v>36182</v>
      </c>
      <c r="B375" s="3" t="n">
        <v>235.2149421197996</v>
      </c>
    </row>
    <row r="376">
      <c r="A376" s="4" t="n">
        <v>36186</v>
      </c>
      <c r="B376" s="3" t="n">
        <v>242.8231884600724</v>
      </c>
    </row>
    <row r="377">
      <c r="A377" s="4" t="n">
        <v>36187</v>
      </c>
      <c r="B377" s="3" t="n">
        <v>245.8664869961814</v>
      </c>
    </row>
    <row r="378">
      <c r="A378" s="4" t="n">
        <v>36188</v>
      </c>
      <c r="B378" s="3" t="n">
        <v>248.9898723358723</v>
      </c>
    </row>
    <row r="379">
      <c r="A379" s="4" t="n">
        <v>36189</v>
      </c>
      <c r="B379" s="3" t="n">
        <v>250.2712611931815</v>
      </c>
    </row>
    <row r="380">
      <c r="A380" s="4" t="n">
        <v>36192</v>
      </c>
      <c r="B380" s="3" t="n">
        <v>246.3406823594715</v>
      </c>
    </row>
    <row r="381">
      <c r="A381" s="4" t="n">
        <v>36193</v>
      </c>
      <c r="B381" s="3" t="n">
        <v>250.43734259325</v>
      </c>
    </row>
    <row r="382">
      <c r="A382" s="4" t="n">
        <v>36194</v>
      </c>
      <c r="B382" s="3" t="n">
        <v>243.5580452195465</v>
      </c>
    </row>
    <row r="383">
      <c r="A383" s="4" t="n">
        <v>36195</v>
      </c>
      <c r="B383" s="3" t="n">
        <v>239.229498557441</v>
      </c>
    </row>
    <row r="384">
      <c r="A384" s="4" t="n">
        <v>36196</v>
      </c>
      <c r="B384" s="3" t="n">
        <v>235.7512021325347</v>
      </c>
    </row>
    <row r="385">
      <c r="A385" s="4" t="n">
        <v>36199</v>
      </c>
      <c r="B385" s="3" t="n">
        <v>234.5917699908993</v>
      </c>
    </row>
    <row r="386">
      <c r="A386" s="4" t="n">
        <v>36200</v>
      </c>
      <c r="B386" s="3" t="n">
        <v>233.5096333253729</v>
      </c>
    </row>
    <row r="387">
      <c r="A387" s="4" t="n">
        <v>36201</v>
      </c>
      <c r="B387" s="3" t="n">
        <v>233.973406182027</v>
      </c>
    </row>
    <row r="388">
      <c r="A388" s="4" t="n">
        <v>36202</v>
      </c>
      <c r="B388" s="3" t="n">
        <v>235.2874292758805</v>
      </c>
    </row>
    <row r="389">
      <c r="A389" s="4" t="n">
        <v>36203</v>
      </c>
      <c r="B389" s="3" t="n">
        <v>236.1376795130798</v>
      </c>
    </row>
    <row r="390">
      <c r="A390" s="4" t="n">
        <v>36208</v>
      </c>
      <c r="B390" s="3" t="n">
        <v>240.8527035557305</v>
      </c>
    </row>
    <row r="391">
      <c r="A391" s="4" t="n">
        <v>36209</v>
      </c>
      <c r="B391" s="3" t="n">
        <v>242.5532040301291</v>
      </c>
    </row>
    <row r="392">
      <c r="A392" s="4" t="n">
        <v>36210</v>
      </c>
      <c r="B392" s="3" t="n">
        <v>242.7077949823472</v>
      </c>
    </row>
    <row r="393">
      <c r="A393" s="4" t="n">
        <v>36213</v>
      </c>
      <c r="B393" s="3" t="n">
        <v>243.0942723628923</v>
      </c>
    </row>
    <row r="394">
      <c r="A394" s="4" t="n">
        <v>36214</v>
      </c>
      <c r="B394" s="3" t="n">
        <v>242.166726649584</v>
      </c>
    </row>
    <row r="395">
      <c r="A395" s="4" t="n">
        <v>36215</v>
      </c>
      <c r="B395" s="3" t="n">
        <v>241.7029537929298</v>
      </c>
    </row>
    <row r="396">
      <c r="A396" s="4" t="n">
        <v>36216</v>
      </c>
      <c r="B396" s="3" t="n">
        <v>241.7029537929298</v>
      </c>
    </row>
    <row r="397">
      <c r="A397" s="4" t="n">
        <v>36217</v>
      </c>
      <c r="B397" s="3" t="n">
        <v>242.7850904584562</v>
      </c>
    </row>
    <row r="398">
      <c r="A398" s="4" t="n">
        <v>36220</v>
      </c>
      <c r="B398" s="3" t="n">
        <v>236.2427344107955</v>
      </c>
    </row>
    <row r="399">
      <c r="A399" s="4" t="n">
        <v>36221</v>
      </c>
      <c r="B399" s="3" t="n">
        <v>236.9943816726816</v>
      </c>
    </row>
    <row r="400">
      <c r="A400" s="4" t="n">
        <v>36222</v>
      </c>
      <c r="B400" s="3" t="n">
        <v>235.7917460536639</v>
      </c>
    </row>
    <row r="401">
      <c r="A401" s="4" t="n">
        <v>36223</v>
      </c>
      <c r="B401" s="3" t="n">
        <v>236.8440522203044</v>
      </c>
    </row>
    <row r="402">
      <c r="A402" s="4" t="n">
        <v>36224</v>
      </c>
      <c r="B402" s="3" t="n">
        <v>237.0695463988702</v>
      </c>
    </row>
    <row r="403">
      <c r="A403" s="4" t="n">
        <v>36227</v>
      </c>
      <c r="B403" s="3" t="n">
        <v>237.5205347560019</v>
      </c>
    </row>
    <row r="404">
      <c r="A404" s="4" t="n">
        <v>36228</v>
      </c>
      <c r="B404" s="3" t="n">
        <v>237.1447111250588</v>
      </c>
    </row>
    <row r="405">
      <c r="A405" s="4" t="n">
        <v>36229</v>
      </c>
      <c r="B405" s="3" t="n">
        <v>237.6708642083791</v>
      </c>
    </row>
    <row r="406">
      <c r="A406" s="4" t="n">
        <v>36230</v>
      </c>
      <c r="B406" s="3" t="n">
        <v>239.1741587321513</v>
      </c>
    </row>
    <row r="407">
      <c r="A407" s="4" t="n">
        <v>36231</v>
      </c>
      <c r="B407" s="3" t="n">
        <v>238.8734998273968</v>
      </c>
    </row>
    <row r="408">
      <c r="A408" s="4" t="n">
        <v>36234</v>
      </c>
      <c r="B408" s="3" t="n">
        <v>238.3473467440766</v>
      </c>
    </row>
    <row r="409">
      <c r="A409" s="4" t="n">
        <v>36235</v>
      </c>
      <c r="B409" s="3" t="n">
        <v>237.5956994821905</v>
      </c>
    </row>
    <row r="410">
      <c r="A410" s="4" t="n">
        <v>36236</v>
      </c>
      <c r="B410" s="3" t="n">
        <v>237.2950405774361</v>
      </c>
    </row>
    <row r="411">
      <c r="A411" s="4" t="n">
        <v>36237</v>
      </c>
      <c r="B411" s="3" t="n">
        <v>236.6937227679272</v>
      </c>
    </row>
    <row r="412">
      <c r="A412" s="4" t="n">
        <v>36238</v>
      </c>
      <c r="B412" s="3" t="n">
        <v>236.1675696846069</v>
      </c>
    </row>
    <row r="413">
      <c r="A413" s="4" t="n">
        <v>36241</v>
      </c>
      <c r="B413" s="3" t="n">
        <v>235.7165813274753</v>
      </c>
    </row>
    <row r="414">
      <c r="A414" s="4" t="n">
        <v>36242</v>
      </c>
      <c r="B414" s="3" t="n">
        <v>235.4159224227209</v>
      </c>
    </row>
    <row r="415">
      <c r="A415" s="4" t="n">
        <v>36243</v>
      </c>
      <c r="B415" s="3" t="n">
        <v>234.7394398870234</v>
      </c>
    </row>
    <row r="416">
      <c r="A416" s="4" t="n">
        <v>36244</v>
      </c>
      <c r="B416" s="3" t="n">
        <v>235.1152635179664</v>
      </c>
    </row>
    <row r="417">
      <c r="A417" s="4" t="n">
        <v>36245</v>
      </c>
      <c r="B417" s="3" t="n">
        <v>234.6642751608347</v>
      </c>
    </row>
    <row r="418">
      <c r="A418" s="4" t="n">
        <v>36248</v>
      </c>
      <c r="B418" s="3" t="n">
        <v>235.4910871489094</v>
      </c>
    </row>
    <row r="419">
      <c r="A419" s="4" t="n">
        <v>36249</v>
      </c>
      <c r="B419" s="3" t="n">
        <v>236.4682285893614</v>
      </c>
    </row>
    <row r="420">
      <c r="A420" s="4" t="n">
        <v>36250</v>
      </c>
      <c r="B420" s="3" t="n">
        <v>236.54339331555</v>
      </c>
    </row>
    <row r="421">
      <c r="A421" s="4" t="n">
        <v>36255</v>
      </c>
      <c r="B421" s="3" t="n">
        <v>235.4687558815647</v>
      </c>
    </row>
    <row r="422">
      <c r="A422" s="4" t="n">
        <v>36256</v>
      </c>
      <c r="B422" s="3" t="n">
        <v>235.1702218012078</v>
      </c>
    </row>
    <row r="423">
      <c r="A423" s="4" t="n">
        <v>36257</v>
      </c>
      <c r="B423" s="3" t="n">
        <v>235.0209547610293</v>
      </c>
    </row>
    <row r="424">
      <c r="A424" s="4" t="n">
        <v>36258</v>
      </c>
      <c r="B424" s="3" t="n">
        <v>234.5731536404938</v>
      </c>
    </row>
    <row r="425">
      <c r="A425" s="4" t="n">
        <v>36259</v>
      </c>
      <c r="B425" s="3" t="n">
        <v>233.7521849195121</v>
      </c>
    </row>
    <row r="426">
      <c r="A426" s="4" t="n">
        <v>36262</v>
      </c>
      <c r="B426" s="3" t="n">
        <v>232.2595145177272</v>
      </c>
    </row>
    <row r="427">
      <c r="A427" s="4" t="n">
        <v>36263</v>
      </c>
      <c r="B427" s="3" t="n">
        <v>230.8414776360316</v>
      </c>
    </row>
    <row r="428">
      <c r="A428" s="4" t="n">
        <v>36264</v>
      </c>
      <c r="B428" s="3" t="n">
        <v>230.1697759552284</v>
      </c>
    </row>
    <row r="429">
      <c r="A429" s="4" t="n">
        <v>36265</v>
      </c>
      <c r="B429" s="3" t="n">
        <v>228.9010061137112</v>
      </c>
    </row>
    <row r="430">
      <c r="A430" s="4" t="n">
        <v>36266</v>
      </c>
      <c r="B430" s="3" t="n">
        <v>228.3039379529973</v>
      </c>
    </row>
    <row r="431">
      <c r="A431" s="4" t="n">
        <v>36269</v>
      </c>
      <c r="B431" s="3" t="n">
        <v>227.8561368324619</v>
      </c>
    </row>
    <row r="432">
      <c r="A432" s="4" t="n">
        <v>36270</v>
      </c>
      <c r="B432" s="3" t="n">
        <v>227.1844351516586</v>
      </c>
    </row>
    <row r="433">
      <c r="A433" s="4" t="n">
        <v>36272</v>
      </c>
      <c r="B433" s="3" t="n">
        <v>227.3337021918371</v>
      </c>
    </row>
    <row r="434">
      <c r="A434" s="4" t="n">
        <v>36273</v>
      </c>
      <c r="B434" s="3" t="n">
        <v>226.8112675512124</v>
      </c>
    </row>
    <row r="435">
      <c r="A435" s="4" t="n">
        <v>36276</v>
      </c>
      <c r="B435" s="3" t="n">
        <v>227.7815033123726</v>
      </c>
    </row>
    <row r="436">
      <c r="A436" s="4" t="n">
        <v>36277</v>
      </c>
      <c r="B436" s="3" t="n">
        <v>227.7815033123726</v>
      </c>
    </row>
    <row r="437">
      <c r="A437" s="4" t="n">
        <v>36278</v>
      </c>
      <c r="B437" s="3" t="n">
        <v>227.5576027521049</v>
      </c>
    </row>
    <row r="438">
      <c r="A438" s="4" t="n">
        <v>36279</v>
      </c>
      <c r="B438" s="3" t="n">
        <v>227.7815033123726</v>
      </c>
    </row>
    <row r="439">
      <c r="A439" s="4" t="n">
        <v>36280</v>
      </c>
      <c r="B439" s="3" t="n">
        <v>228.1546709128189</v>
      </c>
    </row>
    <row r="440">
      <c r="A440" s="4" t="n">
        <v>36283</v>
      </c>
      <c r="B440" s="3" t="n">
        <v>227.2430705767644</v>
      </c>
    </row>
    <row r="441">
      <c r="A441" s="4" t="n">
        <v>36284</v>
      </c>
      <c r="B441" s="3" t="n">
        <v>225.8209301482537</v>
      </c>
    </row>
    <row r="442">
      <c r="A442" s="4" t="n">
        <v>36285</v>
      </c>
      <c r="B442" s="3" t="n">
        <v>225.521532163304</v>
      </c>
    </row>
    <row r="443">
      <c r="A443" s="4" t="n">
        <v>36286</v>
      </c>
      <c r="B443" s="3" t="n">
        <v>222.9017997949948</v>
      </c>
    </row>
    <row r="444">
      <c r="A444" s="4" t="n">
        <v>36287</v>
      </c>
      <c r="B444" s="3" t="n">
        <v>222.3030038250956</v>
      </c>
    </row>
    <row r="445">
      <c r="A445" s="4" t="n">
        <v>36290</v>
      </c>
      <c r="B445" s="3" t="n">
        <v>219.9078199454986</v>
      </c>
    </row>
    <row r="446">
      <c r="A446" s="4" t="n">
        <v>36291</v>
      </c>
      <c r="B446" s="3" t="n">
        <v>216.7641411035276</v>
      </c>
    </row>
    <row r="447">
      <c r="A447" s="4" t="n">
        <v>36292</v>
      </c>
      <c r="B447" s="3" t="n">
        <v>215.9407966449161</v>
      </c>
    </row>
    <row r="448">
      <c r="A448" s="4" t="n">
        <v>36293</v>
      </c>
      <c r="B448" s="3" t="n">
        <v>216.9886895922398</v>
      </c>
    </row>
    <row r="449">
      <c r="A449" s="4" t="n">
        <v>36294</v>
      </c>
      <c r="B449" s="3" t="n">
        <v>217.9617330433261</v>
      </c>
    </row>
    <row r="450">
      <c r="A450" s="4" t="n">
        <v>36297</v>
      </c>
      <c r="B450" s="3" t="n">
        <v>217.8120340508513</v>
      </c>
    </row>
    <row r="451">
      <c r="A451" s="4" t="n">
        <v>36298</v>
      </c>
      <c r="B451" s="3" t="n">
        <v>218.6353785094627</v>
      </c>
    </row>
    <row r="452">
      <c r="A452" s="4" t="n">
        <v>36299</v>
      </c>
      <c r="B452" s="3" t="n">
        <v>221.0305623890597</v>
      </c>
    </row>
    <row r="453">
      <c r="A453" s="4" t="n">
        <v>36300</v>
      </c>
      <c r="B453" s="3" t="n">
        <v>222.003605840146</v>
      </c>
    </row>
    <row r="454">
      <c r="A454" s="4" t="n">
        <v>36301</v>
      </c>
      <c r="B454" s="3" t="n">
        <v>222.4527028175704</v>
      </c>
    </row>
    <row r="455">
      <c r="A455" s="4" t="n">
        <v>36304</v>
      </c>
      <c r="B455" s="3" t="n">
        <v>221.8539068476712</v>
      </c>
    </row>
    <row r="456">
      <c r="A456" s="4" t="n">
        <v>36305</v>
      </c>
      <c r="B456" s="3" t="n">
        <v>221.2551108777719</v>
      </c>
    </row>
    <row r="457">
      <c r="A457" s="4" t="n">
        <v>36306</v>
      </c>
      <c r="B457" s="3" t="n">
        <v>221.3299603740093</v>
      </c>
    </row>
    <row r="458">
      <c r="A458" s="4" t="n">
        <v>36307</v>
      </c>
      <c r="B458" s="3" t="n">
        <v>222.1533048326208</v>
      </c>
    </row>
    <row r="459">
      <c r="A459" s="4" t="n">
        <v>36308</v>
      </c>
      <c r="B459" s="3" t="n">
        <v>222.0784553363834</v>
      </c>
    </row>
    <row r="460">
      <c r="A460" s="4" t="n">
        <v>36311</v>
      </c>
      <c r="B460" s="3" t="n">
        <v>222.2281543288582</v>
      </c>
    </row>
    <row r="461">
      <c r="A461" s="4" t="n">
        <v>36312</v>
      </c>
      <c r="B461" s="3" t="n">
        <v>220.2363153207575</v>
      </c>
    </row>
    <row r="462">
      <c r="A462" s="4" t="n">
        <v>36313</v>
      </c>
      <c r="B462" s="3" t="n">
        <v>220.6837985215447</v>
      </c>
    </row>
    <row r="463">
      <c r="A463" s="4" t="n">
        <v>36315</v>
      </c>
      <c r="B463" s="3" t="n">
        <v>221.578764923119</v>
      </c>
    </row>
    <row r="464">
      <c r="A464" s="4" t="n">
        <v>36318</v>
      </c>
      <c r="B464" s="3" t="n">
        <v>220.0125737203639</v>
      </c>
    </row>
    <row r="465">
      <c r="A465" s="4" t="n">
        <v>36319</v>
      </c>
      <c r="B465" s="3" t="n">
        <v>221.2058622557964</v>
      </c>
    </row>
    <row r="466">
      <c r="A466" s="4" t="n">
        <v>36320</v>
      </c>
      <c r="B466" s="3" t="n">
        <v>221.1312817223319</v>
      </c>
    </row>
    <row r="467">
      <c r="A467" s="4" t="n">
        <v>36321</v>
      </c>
      <c r="B467" s="3" t="n">
        <v>221.42960385619</v>
      </c>
    </row>
    <row r="468">
      <c r="A468" s="4" t="n">
        <v>36322</v>
      </c>
      <c r="B468" s="3" t="n">
        <v>221.6533454565836</v>
      </c>
    </row>
    <row r="469">
      <c r="A469" s="4" t="n">
        <v>36325</v>
      </c>
      <c r="B469" s="3" t="n">
        <v>221.0567011888674</v>
      </c>
    </row>
    <row r="470">
      <c r="A470" s="4" t="n">
        <v>36326</v>
      </c>
      <c r="B470" s="3" t="n">
        <v>221.1312817223319</v>
      </c>
    </row>
    <row r="471">
      <c r="A471" s="4" t="n">
        <v>36327</v>
      </c>
      <c r="B471" s="3" t="n">
        <v>221.8770870569772</v>
      </c>
    </row>
    <row r="472">
      <c r="A472" s="4" t="n">
        <v>36328</v>
      </c>
      <c r="B472" s="3" t="n">
        <v>221.8025065235126</v>
      </c>
    </row>
    <row r="473">
      <c r="A473" s="4" t="n">
        <v>36329</v>
      </c>
      <c r="B473" s="3" t="n">
        <v>222.6228923916225</v>
      </c>
    </row>
    <row r="474">
      <c r="A474" s="4" t="n">
        <v>36332</v>
      </c>
      <c r="B474" s="3" t="n">
        <v>222.9212145254806</v>
      </c>
    </row>
    <row r="475">
      <c r="A475" s="4" t="n">
        <v>36333</v>
      </c>
      <c r="B475" s="3" t="n">
        <v>224.1145030609131</v>
      </c>
    </row>
    <row r="476">
      <c r="A476" s="4" t="n">
        <v>36334</v>
      </c>
      <c r="B476" s="3" t="n">
        <v>224.5619862617002</v>
      </c>
    </row>
    <row r="477">
      <c r="A477" s="4" t="n">
        <v>36335</v>
      </c>
      <c r="B477" s="3" t="n">
        <v>227.1723049329588</v>
      </c>
    </row>
    <row r="478">
      <c r="A478" s="4" t="n">
        <v>36336</v>
      </c>
      <c r="B478" s="3" t="n">
        <v>228.8130766691785</v>
      </c>
    </row>
    <row r="479">
      <c r="A479" s="4" t="n">
        <v>36339</v>
      </c>
      <c r="B479" s="3" t="n">
        <v>230.15552627154</v>
      </c>
    </row>
    <row r="480">
      <c r="A480" s="4" t="n">
        <v>36340</v>
      </c>
      <c r="B480" s="3" t="n">
        <v>230.9759121396499</v>
      </c>
    </row>
    <row r="481">
      <c r="A481" s="4" t="n">
        <v>36341</v>
      </c>
      <c r="B481" s="3" t="n">
        <v>232.0200396081533</v>
      </c>
    </row>
    <row r="482">
      <c r="A482" s="4" t="n">
        <v>36342</v>
      </c>
      <c r="B482" s="3" t="n">
        <v>229.2891306267631</v>
      </c>
    </row>
    <row r="483">
      <c r="A483" s="4" t="n">
        <v>36343</v>
      </c>
      <c r="B483" s="3" t="n">
        <v>229.2156875996565</v>
      </c>
    </row>
    <row r="484">
      <c r="A484" s="4" t="n">
        <v>36346</v>
      </c>
      <c r="B484" s="3" t="n">
        <v>230.023560897829</v>
      </c>
    </row>
    <row r="485">
      <c r="A485" s="4" t="n">
        <v>36347</v>
      </c>
      <c r="B485" s="3" t="n">
        <v>232.7409529007727</v>
      </c>
    </row>
    <row r="486">
      <c r="A486" s="4" t="n">
        <v>36348</v>
      </c>
      <c r="B486" s="3" t="n">
        <v>234.0629273886913</v>
      </c>
    </row>
    <row r="487">
      <c r="A487" s="4" t="n">
        <v>36349</v>
      </c>
      <c r="B487" s="3" t="n">
        <v>234.5770285784374</v>
      </c>
    </row>
    <row r="488">
      <c r="A488" s="4" t="n">
        <v>36353</v>
      </c>
      <c r="B488" s="3" t="n">
        <v>235.1645727952901</v>
      </c>
    </row>
    <row r="489">
      <c r="A489" s="4" t="n">
        <v>36354</v>
      </c>
      <c r="B489" s="3" t="n">
        <v>236.0458891205691</v>
      </c>
    </row>
    <row r="490">
      <c r="A490" s="4" t="n">
        <v>36355</v>
      </c>
      <c r="B490" s="3" t="n">
        <v>236.1927751747822</v>
      </c>
    </row>
    <row r="491">
      <c r="A491" s="4" t="n">
        <v>36356</v>
      </c>
      <c r="B491" s="3" t="n">
        <v>236.0458891205691</v>
      </c>
    </row>
    <row r="492">
      <c r="A492" s="4" t="n">
        <v>36357</v>
      </c>
      <c r="B492" s="3" t="n">
        <v>237.0006484729547</v>
      </c>
    </row>
    <row r="493">
      <c r="A493" s="4" t="n">
        <v>36360</v>
      </c>
      <c r="B493" s="3" t="n">
        <v>238.542952042193</v>
      </c>
    </row>
    <row r="494">
      <c r="A494" s="4" t="n">
        <v>36361</v>
      </c>
      <c r="B494" s="3" t="n">
        <v>238.6163950692996</v>
      </c>
    </row>
    <row r="495">
      <c r="A495" s="4" t="n">
        <v>36362</v>
      </c>
      <c r="B495" s="3" t="n">
        <v>238.910167177726</v>
      </c>
    </row>
    <row r="496">
      <c r="A496" s="4" t="n">
        <v>36363</v>
      </c>
      <c r="B496" s="3" t="n">
        <v>239.8649265301116</v>
      </c>
    </row>
    <row r="497">
      <c r="A497" s="4" t="n">
        <v>36364</v>
      </c>
      <c r="B497" s="3" t="n">
        <v>240.6727998282841</v>
      </c>
    </row>
    <row r="498">
      <c r="A498" s="4" t="n">
        <v>36367</v>
      </c>
      <c r="B498" s="3" t="n">
        <v>241.040014963817</v>
      </c>
    </row>
    <row r="499">
      <c r="A499" s="4" t="n">
        <v>36368</v>
      </c>
      <c r="B499" s="3" t="n">
        <v>241.040014963817</v>
      </c>
    </row>
    <row r="500">
      <c r="A500" s="4" t="n">
        <v>36369</v>
      </c>
      <c r="B500" s="3" t="n">
        <v>241.4806731264565</v>
      </c>
    </row>
    <row r="501">
      <c r="A501" s="4" t="n">
        <v>36370</v>
      </c>
      <c r="B501" s="3" t="n">
        <v>241.921331289096</v>
      </c>
    </row>
    <row r="502">
      <c r="A502" s="4" t="n">
        <v>36371</v>
      </c>
      <c r="B502" s="3" t="n">
        <v>242.5823185330553</v>
      </c>
    </row>
    <row r="503">
      <c r="A503" s="4" t="n">
        <v>36374</v>
      </c>
      <c r="B503" s="3" t="n">
        <v>238.4233325483234</v>
      </c>
    </row>
    <row r="504">
      <c r="A504" s="4" t="n">
        <v>36375</v>
      </c>
      <c r="B504" s="3" t="n">
        <v>238.6402782558287</v>
      </c>
    </row>
    <row r="505">
      <c r="A505" s="4" t="n">
        <v>36376</v>
      </c>
      <c r="B505" s="3" t="n">
        <v>239.6526915575201</v>
      </c>
    </row>
    <row r="506">
      <c r="A506" s="4" t="n">
        <v>36377</v>
      </c>
      <c r="B506" s="3" t="n">
        <v>239.2188001425095</v>
      </c>
    </row>
    <row r="507">
      <c r="A507" s="4" t="n">
        <v>36378</v>
      </c>
      <c r="B507" s="3" t="n">
        <v>238.2787020766532</v>
      </c>
    </row>
    <row r="508">
      <c r="A508" s="4" t="n">
        <v>36381</v>
      </c>
      <c r="B508" s="3" t="n">
        <v>238.4233325483234</v>
      </c>
    </row>
    <row r="509">
      <c r="A509" s="4" t="n">
        <v>36382</v>
      </c>
      <c r="B509" s="3" t="n">
        <v>238.3510173124883</v>
      </c>
    </row>
    <row r="510">
      <c r="A510" s="4" t="n">
        <v>36383</v>
      </c>
      <c r="B510" s="3" t="n">
        <v>236.1092450016002</v>
      </c>
    </row>
    <row r="511">
      <c r="A511" s="4" t="n">
        <v>36384</v>
      </c>
      <c r="B511" s="3" t="n">
        <v>234.8075707565684</v>
      </c>
    </row>
    <row r="512">
      <c r="A512" s="4" t="n">
        <v>36385</v>
      </c>
      <c r="B512" s="3" t="n">
        <v>233.9397879265472</v>
      </c>
    </row>
    <row r="513">
      <c r="A513" s="4" t="n">
        <v>36388</v>
      </c>
      <c r="B513" s="3" t="n">
        <v>232.6381136815154</v>
      </c>
    </row>
    <row r="514">
      <c r="A514" s="4" t="n">
        <v>36389</v>
      </c>
      <c r="B514" s="3" t="n">
        <v>232.8550593890207</v>
      </c>
    </row>
    <row r="515">
      <c r="A515" s="4" t="n">
        <v>36390</v>
      </c>
      <c r="B515" s="3" t="n">
        <v>232.7827441531856</v>
      </c>
    </row>
    <row r="516">
      <c r="A516" s="4" t="n">
        <v>36391</v>
      </c>
      <c r="B516" s="3" t="n">
        <v>233.7228422190419</v>
      </c>
    </row>
    <row r="517">
      <c r="A517" s="4" t="n">
        <v>36392</v>
      </c>
      <c r="B517" s="3" t="n">
        <v>233.7228422190419</v>
      </c>
    </row>
    <row r="518">
      <c r="A518" s="4" t="n">
        <v>36395</v>
      </c>
      <c r="B518" s="3" t="n">
        <v>235.0968316999088</v>
      </c>
    </row>
    <row r="519">
      <c r="A519" s="4" t="n">
        <v>36396</v>
      </c>
      <c r="B519" s="3" t="n">
        <v>235.6030383507545</v>
      </c>
    </row>
    <row r="520">
      <c r="A520" s="4" t="n">
        <v>36397</v>
      </c>
      <c r="B520" s="3" t="n">
        <v>235.7476688224247</v>
      </c>
    </row>
    <row r="521">
      <c r="A521" s="4" t="n">
        <v>36398</v>
      </c>
      <c r="B521" s="3" t="n">
        <v>236.4708211807757</v>
      </c>
    </row>
    <row r="522">
      <c r="A522" s="4" t="n">
        <v>36399</v>
      </c>
      <c r="B522" s="3" t="n">
        <v>237.4109192466319</v>
      </c>
    </row>
    <row r="523">
      <c r="A523" s="4" t="n">
        <v>36402</v>
      </c>
      <c r="B523" s="3" t="n">
        <v>238.6402782558287</v>
      </c>
    </row>
    <row r="524">
      <c r="A524" s="4" t="n">
        <v>36403</v>
      </c>
      <c r="B524" s="3" t="n">
        <v>238.4233325483234</v>
      </c>
    </row>
    <row r="525">
      <c r="A525" s="4" t="n">
        <v>36404</v>
      </c>
      <c r="B525" s="3" t="n">
        <v>235.1683088388483</v>
      </c>
    </row>
    <row r="526">
      <c r="A526" s="4" t="n">
        <v>36405</v>
      </c>
      <c r="B526" s="3" t="n">
        <v>237.0217116972326</v>
      </c>
    </row>
    <row r="527">
      <c r="A527" s="4" t="n">
        <v>36406</v>
      </c>
      <c r="B527" s="3" t="n">
        <v>237.0217116972326</v>
      </c>
    </row>
    <row r="528">
      <c r="A528" s="4" t="n">
        <v>36409</v>
      </c>
      <c r="B528" s="3" t="n">
        <v>237.9484131264248</v>
      </c>
    </row>
    <row r="529">
      <c r="A529" s="4" t="n">
        <v>36411</v>
      </c>
      <c r="B529" s="3" t="n">
        <v>238.4474062036822</v>
      </c>
    </row>
    <row r="530">
      <c r="A530" s="4" t="n">
        <v>36412</v>
      </c>
      <c r="B530" s="3" t="n">
        <v>239.5166770835193</v>
      </c>
    </row>
    <row r="531">
      <c r="A531" s="4" t="n">
        <v>36413</v>
      </c>
      <c r="B531" s="3" t="n">
        <v>239.9443854354541</v>
      </c>
    </row>
    <row r="532">
      <c r="A532" s="4" t="n">
        <v>36416</v>
      </c>
      <c r="B532" s="3" t="n">
        <v>240.9423715899688</v>
      </c>
    </row>
    <row r="533">
      <c r="A533" s="4" t="n">
        <v>36417</v>
      </c>
      <c r="B533" s="3" t="n">
        <v>241.7265035685161</v>
      </c>
    </row>
    <row r="534">
      <c r="A534" s="4" t="n">
        <v>36418</v>
      </c>
      <c r="B534" s="3" t="n">
        <v>243.4373369762555</v>
      </c>
    </row>
    <row r="535">
      <c r="A535" s="4" t="n">
        <v>36419</v>
      </c>
      <c r="B535" s="3" t="n">
        <v>245.3620245599624</v>
      </c>
    </row>
    <row r="536">
      <c r="A536" s="4" t="n">
        <v>36420</v>
      </c>
      <c r="B536" s="3" t="n">
        <v>246.217441263832</v>
      </c>
    </row>
    <row r="537">
      <c r="A537" s="4" t="n">
        <v>36423</v>
      </c>
      <c r="B537" s="3" t="n">
        <v>248.9975455514086</v>
      </c>
    </row>
    <row r="538">
      <c r="A538" s="4" t="n">
        <v>36424</v>
      </c>
      <c r="B538" s="3" t="n">
        <v>252.2053581909201</v>
      </c>
    </row>
    <row r="539">
      <c r="A539" s="4" t="n">
        <v>36425</v>
      </c>
      <c r="B539" s="3" t="n">
        <v>253.9161915986594</v>
      </c>
    </row>
    <row r="540">
      <c r="A540" s="4" t="n">
        <v>36426</v>
      </c>
      <c r="B540" s="3" t="n">
        <v>259.9753932510699</v>
      </c>
    </row>
    <row r="541">
      <c r="A541" s="4" t="n">
        <v>36427</v>
      </c>
      <c r="B541" s="3" t="n">
        <v>265.8207407275129</v>
      </c>
    </row>
    <row r="542">
      <c r="A542" s="4" t="n">
        <v>36430</v>
      </c>
      <c r="B542" s="3" t="n">
        <v>275.1590397447573</v>
      </c>
    </row>
    <row r="543">
      <c r="A543" s="4" t="n">
        <v>36431</v>
      </c>
      <c r="B543" s="3" t="n">
        <v>278.6519912855586</v>
      </c>
    </row>
    <row r="544">
      <c r="A544" s="4" t="n">
        <v>36432</v>
      </c>
      <c r="B544" s="3" t="n">
        <v>279.9351163413632</v>
      </c>
    </row>
    <row r="545">
      <c r="A545" s="4" t="n">
        <v>36433</v>
      </c>
      <c r="B545" s="3" t="n">
        <v>279.2222690881384</v>
      </c>
    </row>
    <row r="546">
      <c r="A546" s="4" t="n">
        <v>36434</v>
      </c>
      <c r="B546" s="3" t="n">
        <v>273.280282685926</v>
      </c>
    </row>
    <row r="547">
      <c r="A547" s="4" t="n">
        <v>36437</v>
      </c>
      <c r="B547" s="3" t="n">
        <v>271.8784859037463</v>
      </c>
    </row>
    <row r="548">
      <c r="A548" s="4" t="n">
        <v>36438</v>
      </c>
      <c r="B548" s="3" t="n">
        <v>272.2990249384002</v>
      </c>
    </row>
    <row r="549">
      <c r="A549" s="4" t="n">
        <v>36439</v>
      </c>
      <c r="B549" s="3" t="n">
        <v>271.8083960646373</v>
      </c>
    </row>
    <row r="550">
      <c r="A550" s="4" t="n">
        <v>36440</v>
      </c>
      <c r="B550" s="3" t="n">
        <v>272.7195639730541</v>
      </c>
    </row>
    <row r="551">
      <c r="A551" s="4" t="n">
        <v>36441</v>
      </c>
      <c r="B551" s="3" t="n">
        <v>272.5092944557272</v>
      </c>
    </row>
    <row r="552">
      <c r="A552" s="4" t="n">
        <v>36444</v>
      </c>
      <c r="B552" s="3" t="n">
        <v>272.929833490381</v>
      </c>
    </row>
    <row r="553">
      <c r="A553" s="4" t="n">
        <v>36446</v>
      </c>
      <c r="B553" s="3" t="n">
        <v>272.929833490381</v>
      </c>
    </row>
    <row r="554">
      <c r="A554" s="4" t="n">
        <v>36447</v>
      </c>
      <c r="B554" s="3" t="n">
        <v>274.8923489854326</v>
      </c>
    </row>
    <row r="555">
      <c r="A555" s="4" t="n">
        <v>36448</v>
      </c>
      <c r="B555" s="3" t="n">
        <v>275.3128880200865</v>
      </c>
    </row>
    <row r="556">
      <c r="A556" s="4" t="n">
        <v>36451</v>
      </c>
      <c r="B556" s="3" t="n">
        <v>278.6772002973177</v>
      </c>
    </row>
    <row r="557">
      <c r="A557" s="4" t="n">
        <v>36452</v>
      </c>
      <c r="B557" s="3" t="n">
        <v>279.2379190101896</v>
      </c>
    </row>
    <row r="558">
      <c r="A558" s="4" t="n">
        <v>36453</v>
      </c>
      <c r="B558" s="3" t="n">
        <v>279.3080088492986</v>
      </c>
    </row>
    <row r="559">
      <c r="A559" s="4" t="n">
        <v>36454</v>
      </c>
      <c r="B559" s="3" t="n">
        <v>279.5883682057345</v>
      </c>
    </row>
    <row r="560">
      <c r="A560" s="4" t="n">
        <v>36455</v>
      </c>
      <c r="B560" s="3" t="n">
        <v>281.6910633790039</v>
      </c>
    </row>
    <row r="561">
      <c r="A561" s="4" t="n">
        <v>36458</v>
      </c>
      <c r="B561" s="3" t="n">
        <v>283.0928601611836</v>
      </c>
    </row>
    <row r="562">
      <c r="A562" s="4" t="n">
        <v>36459</v>
      </c>
      <c r="B562" s="3" t="n">
        <v>284.7049264606902</v>
      </c>
    </row>
    <row r="563">
      <c r="A563" s="4" t="n">
        <v>36460</v>
      </c>
      <c r="B563" s="3" t="n">
        <v>286.3169927601969</v>
      </c>
    </row>
    <row r="564">
      <c r="A564" s="4" t="n">
        <v>36461</v>
      </c>
      <c r="B564" s="3" t="n">
        <v>286.8777114730688</v>
      </c>
    </row>
    <row r="565">
      <c r="A565" s="4" t="n">
        <v>36462</v>
      </c>
      <c r="B565" s="3" t="n">
        <v>288.6299574507934</v>
      </c>
    </row>
    <row r="566">
      <c r="A566" s="4" t="n">
        <v>36465</v>
      </c>
      <c r="B566" s="3" t="n">
        <v>282.6547252470861</v>
      </c>
    </row>
    <row r="567">
      <c r="A567" s="4" t="n">
        <v>36467</v>
      </c>
      <c r="B567" s="3" t="n">
        <v>286.1459800273238</v>
      </c>
    </row>
    <row r="568">
      <c r="A568" s="4" t="n">
        <v>36468</v>
      </c>
      <c r="B568" s="3" t="n">
        <v>288.6788511423982</v>
      </c>
    </row>
    <row r="569">
      <c r="A569" s="4" t="n">
        <v>36469</v>
      </c>
      <c r="B569" s="3" t="n">
        <v>291.0748103053064</v>
      </c>
    </row>
    <row r="570">
      <c r="A570" s="4" t="n">
        <v>36472</v>
      </c>
      <c r="B570" s="3" t="n">
        <v>292.7862097073837</v>
      </c>
    </row>
    <row r="571">
      <c r="A571" s="4" t="n">
        <v>36473</v>
      </c>
      <c r="B571" s="3" t="n">
        <v>292.4439298269683</v>
      </c>
    </row>
    <row r="572">
      <c r="A572" s="4" t="n">
        <v>36474</v>
      </c>
      <c r="B572" s="3" t="n">
        <v>294.0868732529624</v>
      </c>
    </row>
    <row r="573">
      <c r="A573" s="4" t="n">
        <v>36475</v>
      </c>
      <c r="B573" s="3" t="n">
        <v>294.1553292290455</v>
      </c>
    </row>
    <row r="574">
      <c r="A574" s="4" t="n">
        <v>36476</v>
      </c>
      <c r="B574" s="3" t="n">
        <v>293.2654015399654</v>
      </c>
    </row>
    <row r="575">
      <c r="A575" s="4" t="n">
        <v>36480</v>
      </c>
      <c r="B575" s="3" t="n">
        <v>293.2654015399654</v>
      </c>
    </row>
    <row r="576">
      <c r="A576" s="4" t="n">
        <v>36481</v>
      </c>
      <c r="B576" s="3" t="n">
        <v>287.9258354054842</v>
      </c>
    </row>
    <row r="577">
      <c r="A577" s="4" t="n">
        <v>36482</v>
      </c>
      <c r="B577" s="3" t="n">
        <v>286.2144360034069</v>
      </c>
    </row>
    <row r="578">
      <c r="A578" s="4" t="n">
        <v>36483</v>
      </c>
      <c r="B578" s="3" t="n">
        <v>285.2560523382436</v>
      </c>
    </row>
    <row r="579">
      <c r="A579" s="4" t="n">
        <v>36486</v>
      </c>
      <c r="B579" s="3" t="n">
        <v>285.3929642904097</v>
      </c>
    </row>
    <row r="580">
      <c r="A580" s="4" t="n">
        <v>36487</v>
      </c>
      <c r="B580" s="3" t="n">
        <v>279.7111182755132</v>
      </c>
    </row>
    <row r="581">
      <c r="A581" s="4" t="n">
        <v>36488</v>
      </c>
      <c r="B581" s="3" t="n">
        <v>278.1366308256021</v>
      </c>
    </row>
    <row r="582">
      <c r="A582" s="4" t="n">
        <v>36489</v>
      </c>
      <c r="B582" s="3" t="n">
        <v>277.1782471604388</v>
      </c>
    </row>
    <row r="583">
      <c r="A583" s="4" t="n">
        <v>36490</v>
      </c>
      <c r="B583" s="3" t="n">
        <v>275.6722156866107</v>
      </c>
    </row>
    <row r="584">
      <c r="A584" s="4" t="n">
        <v>36493</v>
      </c>
      <c r="B584" s="3" t="n">
        <v>275.6037597105276</v>
      </c>
    </row>
    <row r="585">
      <c r="A585" s="4" t="n">
        <v>36494</v>
      </c>
      <c r="B585" s="3" t="n">
        <v>275.9460395909431</v>
      </c>
    </row>
    <row r="586">
      <c r="A586" s="4" t="n">
        <v>36495</v>
      </c>
      <c r="B586" s="3" t="n">
        <v>271.8568417565511</v>
      </c>
    </row>
    <row r="587">
      <c r="A587" s="4" t="n">
        <v>36496</v>
      </c>
      <c r="B587" s="3" t="n">
        <v>273.5378759004823</v>
      </c>
    </row>
    <row r="588">
      <c r="A588" s="4" t="n">
        <v>36497</v>
      </c>
      <c r="B588" s="3" t="n">
        <v>277.3706337486454</v>
      </c>
    </row>
    <row r="589">
      <c r="A589" s="4" t="n">
        <v>36500</v>
      </c>
      <c r="B589" s="3" t="n">
        <v>278.1775301377324</v>
      </c>
    </row>
    <row r="590">
      <c r="A590" s="4" t="n">
        <v>36501</v>
      </c>
      <c r="B590" s="3" t="n">
        <v>277.9085646747034</v>
      </c>
    </row>
    <row r="591">
      <c r="A591" s="4" t="n">
        <v>36502</v>
      </c>
      <c r="B591" s="3" t="n">
        <v>278.1775301377324</v>
      </c>
    </row>
    <row r="592">
      <c r="A592" s="4" t="n">
        <v>36503</v>
      </c>
      <c r="B592" s="3" t="n">
        <v>277.1016682856164</v>
      </c>
    </row>
    <row r="593">
      <c r="A593" s="4" t="n">
        <v>36504</v>
      </c>
      <c r="B593" s="3" t="n">
        <v>275.8240823362287</v>
      </c>
    </row>
    <row r="594">
      <c r="A594" s="4" t="n">
        <v>36507</v>
      </c>
      <c r="B594" s="3" t="n">
        <v>270.6464971729207</v>
      </c>
    </row>
    <row r="595">
      <c r="A595" s="4" t="n">
        <v>36508</v>
      </c>
      <c r="B595" s="3" t="n">
        <v>270.5120144414062</v>
      </c>
    </row>
    <row r="596">
      <c r="A596" s="4" t="n">
        <v>36509</v>
      </c>
      <c r="B596" s="3" t="n">
        <v>271.3861521962504</v>
      </c>
    </row>
    <row r="597">
      <c r="A597" s="4" t="n">
        <v>36510</v>
      </c>
      <c r="B597" s="3" t="n">
        <v>271.1844280989786</v>
      </c>
    </row>
    <row r="598">
      <c r="A598" s="4" t="n">
        <v>36511</v>
      </c>
      <c r="B598" s="3" t="n">
        <v>271.7896003907939</v>
      </c>
    </row>
    <row r="599">
      <c r="A599" s="4" t="n">
        <v>36514</v>
      </c>
      <c r="B599" s="3" t="n">
        <v>271.6551176592794</v>
      </c>
    </row>
    <row r="600">
      <c r="A600" s="4" t="n">
        <v>36515</v>
      </c>
      <c r="B600" s="3" t="n">
        <v>272.0585658538229</v>
      </c>
    </row>
    <row r="601">
      <c r="A601" s="4" t="n">
        <v>36516</v>
      </c>
      <c r="B601" s="3" t="n">
        <v>272.3947726826091</v>
      </c>
    </row>
    <row r="602">
      <c r="A602" s="4" t="n">
        <v>36517</v>
      </c>
      <c r="B602" s="3" t="n">
        <v>273.2016690716961</v>
      </c>
    </row>
    <row r="603">
      <c r="A603" s="4" t="n">
        <v>36521</v>
      </c>
      <c r="B603" s="3" t="n">
        <v>273.5378759004823</v>
      </c>
    </row>
    <row r="604">
      <c r="A604" s="4" t="n">
        <v>36522</v>
      </c>
      <c r="B604" s="3" t="n">
        <v>273.6051172662395</v>
      </c>
    </row>
    <row r="605">
      <c r="A605" s="4" t="n">
        <v>36523</v>
      </c>
      <c r="B605" s="3" t="n">
        <v>272.7982208771526</v>
      </c>
    </row>
    <row r="606">
      <c r="A606" s="4" t="n">
        <v>36524</v>
      </c>
      <c r="B606" s="3" t="n">
        <v>273.7395999977541</v>
      </c>
    </row>
    <row r="607">
      <c r="A607" s="4" t="n">
        <v>36528</v>
      </c>
      <c r="B607" s="3" t="n">
        <v>270.0643419614977</v>
      </c>
    </row>
    <row r="608">
      <c r="A608" s="4" t="n">
        <v>36529</v>
      </c>
      <c r="B608" s="3" t="n">
        <v>269.9979218085313</v>
      </c>
    </row>
    <row r="609">
      <c r="A609" s="4" t="n">
        <v>36530</v>
      </c>
      <c r="B609" s="3" t="n">
        <v>270.728543491162</v>
      </c>
    </row>
    <row r="610">
      <c r="A610" s="4" t="n">
        <v>36531</v>
      </c>
      <c r="B610" s="3" t="n">
        <v>270.8613837970949</v>
      </c>
    </row>
    <row r="611">
      <c r="A611" s="4" t="n">
        <v>36532</v>
      </c>
      <c r="B611" s="3" t="n">
        <v>271.5920054797256</v>
      </c>
    </row>
    <row r="612">
      <c r="A612" s="4" t="n">
        <v>36535</v>
      </c>
      <c r="B612" s="3" t="n">
        <v>272.4554674682892</v>
      </c>
    </row>
    <row r="613">
      <c r="A613" s="4" t="n">
        <v>36536</v>
      </c>
      <c r="B613" s="3" t="n">
        <v>273.8502906805841</v>
      </c>
    </row>
    <row r="614">
      <c r="A614" s="4" t="n">
        <v>36537</v>
      </c>
      <c r="B614" s="3" t="n">
        <v>274.1823914454163</v>
      </c>
    </row>
    <row r="615">
      <c r="A615" s="4" t="n">
        <v>36538</v>
      </c>
      <c r="B615" s="3" t="n">
        <v>274.1823914454163</v>
      </c>
    </row>
    <row r="616">
      <c r="A616" s="4" t="n">
        <v>36539</v>
      </c>
      <c r="B616" s="3" t="n">
        <v>274.5809123632148</v>
      </c>
    </row>
    <row r="617">
      <c r="A617" s="4" t="n">
        <v>36542</v>
      </c>
      <c r="B617" s="3" t="n">
        <v>275.6436348106777</v>
      </c>
    </row>
    <row r="618">
      <c r="A618" s="4" t="n">
        <v>36543</v>
      </c>
      <c r="B618" s="3" t="n">
        <v>275.3115340458456</v>
      </c>
    </row>
    <row r="619">
      <c r="A619" s="4" t="n">
        <v>36544</v>
      </c>
      <c r="B619" s="3" t="n">
        <v>275.5772146577113</v>
      </c>
    </row>
    <row r="620">
      <c r="A620" s="4" t="n">
        <v>36545</v>
      </c>
      <c r="B620" s="3" t="n">
        <v>275.842895269577</v>
      </c>
    </row>
    <row r="621">
      <c r="A621" s="4" t="n">
        <v>36546</v>
      </c>
      <c r="B621" s="3" t="n">
        <v>276.1085758814427</v>
      </c>
    </row>
    <row r="622">
      <c r="A622" s="4" t="n">
        <v>36549</v>
      </c>
      <c r="B622" s="3" t="n">
        <v>276.307836340342</v>
      </c>
    </row>
    <row r="623">
      <c r="A623" s="4" t="n">
        <v>36550</v>
      </c>
      <c r="B623" s="3" t="n">
        <v>274.5144922102484</v>
      </c>
    </row>
    <row r="624">
      <c r="A624" s="4" t="n">
        <v>36551</v>
      </c>
      <c r="B624" s="3" t="n">
        <v>273.983130986517</v>
      </c>
    </row>
    <row r="625">
      <c r="A625" s="4" t="n">
        <v>36552</v>
      </c>
      <c r="B625" s="3" t="n">
        <v>273.3189294568527</v>
      </c>
    </row>
    <row r="626">
      <c r="A626" s="4" t="n">
        <v>36553</v>
      </c>
      <c r="B626" s="3" t="n">
        <v>271.6584256326919</v>
      </c>
    </row>
    <row r="627">
      <c r="A627" s="4" t="n">
        <v>36556</v>
      </c>
      <c r="B627" s="3" t="n">
        <v>270.5292830322627</v>
      </c>
    </row>
    <row r="628">
      <c r="A628" s="4" t="n">
        <v>36557</v>
      </c>
      <c r="B628" s="3" t="n">
        <v>269.2504057258131</v>
      </c>
    </row>
    <row r="629">
      <c r="A629" s="4" t="n">
        <v>36558</v>
      </c>
      <c r="B629" s="3" t="n">
        <v>268.2575944952607</v>
      </c>
    </row>
    <row r="630">
      <c r="A630" s="4" t="n">
        <v>36559</v>
      </c>
      <c r="B630" s="3" t="n">
        <v>267.3971580954486</v>
      </c>
    </row>
    <row r="631">
      <c r="A631" s="4" t="n">
        <v>36560</v>
      </c>
      <c r="B631" s="3" t="n">
        <v>266.9338461878575</v>
      </c>
    </row>
    <row r="632">
      <c r="A632" s="4" t="n">
        <v>36563</v>
      </c>
      <c r="B632" s="3" t="n">
        <v>266.735283941747</v>
      </c>
    </row>
    <row r="633">
      <c r="A633" s="4" t="n">
        <v>36564</v>
      </c>
      <c r="B633" s="3" t="n">
        <v>265.6762852958245</v>
      </c>
    </row>
    <row r="634">
      <c r="A634" s="4" t="n">
        <v>36565</v>
      </c>
      <c r="B634" s="3" t="n">
        <v>265.0144111421228</v>
      </c>
    </row>
    <row r="635">
      <c r="A635" s="4" t="n">
        <v>36566</v>
      </c>
      <c r="B635" s="3" t="n">
        <v>266.0734097880455</v>
      </c>
    </row>
    <row r="636">
      <c r="A636" s="4" t="n">
        <v>36567</v>
      </c>
      <c r="B636" s="3" t="n">
        <v>265.5439104650841</v>
      </c>
    </row>
    <row r="637">
      <c r="A637" s="4" t="n">
        <v>36570</v>
      </c>
      <c r="B637" s="3" t="n">
        <v>265.8748475419349</v>
      </c>
    </row>
    <row r="638">
      <c r="A638" s="4" t="n">
        <v>36571</v>
      </c>
      <c r="B638" s="3" t="n">
        <v>264.7496614806422</v>
      </c>
    </row>
    <row r="639">
      <c r="A639" s="4" t="n">
        <v>36572</v>
      </c>
      <c r="B639" s="3" t="n">
        <v>262.9626012656478</v>
      </c>
    </row>
    <row r="640">
      <c r="A640" s="4" t="n">
        <v>36573</v>
      </c>
      <c r="B640" s="3" t="n">
        <v>263.2273509271285</v>
      </c>
    </row>
    <row r="641">
      <c r="A641" s="4" t="n">
        <v>36574</v>
      </c>
      <c r="B641" s="3" t="n">
        <v>261.9036026197253</v>
      </c>
    </row>
    <row r="642">
      <c r="A642" s="4" t="n">
        <v>36577</v>
      </c>
      <c r="B642" s="3" t="n">
        <v>260.3812920662116</v>
      </c>
    </row>
    <row r="643">
      <c r="A643" s="4" t="n">
        <v>36578</v>
      </c>
      <c r="B643" s="3" t="n">
        <v>255.0201114212286</v>
      </c>
    </row>
    <row r="644">
      <c r="A644" s="4" t="n">
        <v>36579</v>
      </c>
      <c r="B644" s="3" t="n">
        <v>252.5711770525326</v>
      </c>
    </row>
    <row r="645">
      <c r="A645" s="4" t="n">
        <v>36580</v>
      </c>
      <c r="B645" s="3" t="n">
        <v>250.9826790836488</v>
      </c>
    </row>
    <row r="646">
      <c r="A646" s="4" t="n">
        <v>36581</v>
      </c>
      <c r="B646" s="3" t="n">
        <v>250.5193671760577</v>
      </c>
    </row>
    <row r="647">
      <c r="A647" s="4" t="n">
        <v>36584</v>
      </c>
      <c r="B647" s="3" t="n">
        <v>245.8862481001464</v>
      </c>
    </row>
    <row r="648">
      <c r="A648" s="4" t="n">
        <v>36585</v>
      </c>
      <c r="B648" s="3" t="n">
        <v>244.6286872081134</v>
      </c>
    </row>
    <row r="649">
      <c r="A649" s="4" t="n">
        <v>36586</v>
      </c>
      <c r="B649" s="3" t="n">
        <v>240.9477773240478</v>
      </c>
    </row>
    <row r="650">
      <c r="A650" s="4" t="n">
        <v>36587</v>
      </c>
      <c r="B650" s="3" t="n">
        <v>241.1460338605185</v>
      </c>
    </row>
    <row r="651">
      <c r="A651" s="4" t="n">
        <v>36588</v>
      </c>
      <c r="B651" s="3" t="n">
        <v>240.9477773240478</v>
      </c>
    </row>
    <row r="652">
      <c r="A652" s="4" t="n">
        <v>36593</v>
      </c>
      <c r="B652" s="3" t="n">
        <v>242.8642571765978</v>
      </c>
    </row>
    <row r="653">
      <c r="A653" s="4" t="n">
        <v>36594</v>
      </c>
      <c r="B653" s="3" t="n">
        <v>244.648566004834</v>
      </c>
    </row>
    <row r="654">
      <c r="A654" s="4" t="n">
        <v>36595</v>
      </c>
      <c r="B654" s="3" t="n">
        <v>245.0450790777754</v>
      </c>
    </row>
    <row r="655">
      <c r="A655" s="4" t="n">
        <v>36598</v>
      </c>
      <c r="B655" s="3" t="n">
        <v>244.648566004834</v>
      </c>
    </row>
    <row r="656">
      <c r="A656" s="4" t="n">
        <v>36599</v>
      </c>
      <c r="B656" s="3" t="n">
        <v>246.5650458573841</v>
      </c>
    </row>
    <row r="657">
      <c r="A657" s="4" t="n">
        <v>36600</v>
      </c>
      <c r="B657" s="3" t="n">
        <v>248.2171836613065</v>
      </c>
    </row>
    <row r="658">
      <c r="A658" s="4" t="n">
        <v>36601</v>
      </c>
      <c r="B658" s="3" t="n">
        <v>250.464091074641</v>
      </c>
    </row>
    <row r="659">
      <c r="A659" s="4" t="n">
        <v>36602</v>
      </c>
      <c r="B659" s="3" t="n">
        <v>250.1336635138565</v>
      </c>
    </row>
    <row r="660">
      <c r="A660" s="4" t="n">
        <v>36605</v>
      </c>
      <c r="B660" s="3" t="n">
        <v>252.6449129758186</v>
      </c>
    </row>
    <row r="661">
      <c r="A661" s="4" t="n">
        <v>36606</v>
      </c>
      <c r="B661" s="3" t="n">
        <v>254.2970507797411</v>
      </c>
    </row>
    <row r="662">
      <c r="A662" s="4" t="n">
        <v>36607</v>
      </c>
      <c r="B662" s="3" t="n">
        <v>256.1474451201342</v>
      </c>
    </row>
    <row r="663">
      <c r="A663" s="4" t="n">
        <v>36608</v>
      </c>
      <c r="B663" s="3" t="n">
        <v>256.8743857538601</v>
      </c>
    </row>
    <row r="664">
      <c r="A664" s="4" t="n">
        <v>36609</v>
      </c>
      <c r="B664" s="3" t="n">
        <v>258.3282670213118</v>
      </c>
    </row>
    <row r="665">
      <c r="A665" s="4" t="n">
        <v>36612</v>
      </c>
      <c r="B665" s="3" t="n">
        <v>257.8656684362135</v>
      </c>
    </row>
    <row r="666">
      <c r="A666" s="4" t="n">
        <v>36613</v>
      </c>
      <c r="B666" s="3" t="n">
        <v>258.1300104848411</v>
      </c>
    </row>
    <row r="667">
      <c r="A667" s="4" t="n">
        <v>36614</v>
      </c>
      <c r="B667" s="3" t="n">
        <v>257.7995829240566</v>
      </c>
    </row>
    <row r="668">
      <c r="A668" s="4" t="n">
        <v>36615</v>
      </c>
      <c r="B668" s="3" t="n">
        <v>256.7422147295463</v>
      </c>
    </row>
    <row r="669">
      <c r="A669" s="4" t="n">
        <v>36616</v>
      </c>
      <c r="B669" s="3" t="n">
        <v>256.5439581930756</v>
      </c>
    </row>
    <row r="670">
      <c r="A670" s="4" t="n">
        <v>36619</v>
      </c>
      <c r="B670" s="3" t="n">
        <v>254.2350908139951</v>
      </c>
    </row>
    <row r="671">
      <c r="A671" s="4" t="n">
        <v>36620</v>
      </c>
      <c r="B671" s="3" t="n">
        <v>251.9274590249676</v>
      </c>
    </row>
    <row r="672">
      <c r="A672" s="4" t="n">
        <v>36621</v>
      </c>
      <c r="B672" s="3" t="n">
        <v>251.1362709830154</v>
      </c>
    </row>
    <row r="673">
      <c r="A673" s="4" t="n">
        <v>36622</v>
      </c>
      <c r="B673" s="3" t="n">
        <v>251.7296620144796</v>
      </c>
    </row>
    <row r="674">
      <c r="A674" s="4" t="n">
        <v>36623</v>
      </c>
      <c r="B674" s="3" t="n">
        <v>252.5208500564318</v>
      </c>
    </row>
    <row r="675">
      <c r="A675" s="4" t="n">
        <v>36626</v>
      </c>
      <c r="B675" s="3" t="n">
        <v>251.3340679935034</v>
      </c>
    </row>
    <row r="676">
      <c r="A676" s="4" t="n">
        <v>36627</v>
      </c>
      <c r="B676" s="3" t="n">
        <v>249.8835565832576</v>
      </c>
    </row>
    <row r="677">
      <c r="A677" s="4" t="n">
        <v>36628</v>
      </c>
      <c r="B677" s="3" t="n">
        <v>248.9605038676467</v>
      </c>
    </row>
    <row r="678">
      <c r="A678" s="4" t="n">
        <v>36629</v>
      </c>
      <c r="B678" s="3" t="n">
        <v>247.1803307732541</v>
      </c>
    </row>
    <row r="679">
      <c r="A679" s="4" t="n">
        <v>36630</v>
      </c>
      <c r="B679" s="3" t="n">
        <v>245.7957516998376</v>
      </c>
    </row>
    <row r="680">
      <c r="A680" s="4" t="n">
        <v>36633</v>
      </c>
      <c r="B680" s="3" t="n">
        <v>245.136428331544</v>
      </c>
    </row>
    <row r="681">
      <c r="A681" s="4" t="n">
        <v>36634</v>
      </c>
      <c r="B681" s="3" t="n">
        <v>246.7847367522779</v>
      </c>
    </row>
    <row r="682">
      <c r="A682" s="4" t="n">
        <v>36635</v>
      </c>
      <c r="B682" s="3" t="n">
        <v>247.7077894678889</v>
      </c>
    </row>
    <row r="683">
      <c r="A683" s="4" t="n">
        <v>36636</v>
      </c>
      <c r="B683" s="3" t="n">
        <v>247.6418571310595</v>
      </c>
    </row>
    <row r="684">
      <c r="A684" s="4" t="n">
        <v>36640</v>
      </c>
      <c r="B684" s="3" t="n">
        <v>249.4220302254521</v>
      </c>
    </row>
    <row r="685">
      <c r="A685" s="4" t="n">
        <v>36641</v>
      </c>
      <c r="B685" s="3" t="n">
        <v>249.026436204476</v>
      </c>
    </row>
    <row r="686">
      <c r="A686" s="4" t="n">
        <v>36642</v>
      </c>
      <c r="B686" s="3" t="n">
        <v>248.3011804993531</v>
      </c>
    </row>
    <row r="687">
      <c r="A687" s="4" t="n">
        <v>36643</v>
      </c>
      <c r="B687" s="3" t="n">
        <v>247.3781277837421</v>
      </c>
    </row>
    <row r="688">
      <c r="A688" s="4" t="n">
        <v>36644</v>
      </c>
      <c r="B688" s="3" t="n">
        <v>247.0484660995953</v>
      </c>
    </row>
    <row r="689">
      <c r="A689" s="4" t="n">
        <v>36648</v>
      </c>
      <c r="B689" s="3" t="n">
        <v>246.2972415458672</v>
      </c>
    </row>
    <row r="690">
      <c r="A690" s="4" t="n">
        <v>36649</v>
      </c>
      <c r="B690" s="3" t="n">
        <v>244.6539452985636</v>
      </c>
    </row>
    <row r="691">
      <c r="A691" s="4" t="n">
        <v>36650</v>
      </c>
      <c r="B691" s="3" t="n">
        <v>243.9966267996421</v>
      </c>
    </row>
    <row r="692">
      <c r="A692" s="4" t="n">
        <v>36651</v>
      </c>
      <c r="B692" s="3" t="n">
        <v>244.4567497488871</v>
      </c>
    </row>
    <row r="693">
      <c r="A693" s="4" t="n">
        <v>36654</v>
      </c>
      <c r="B693" s="3" t="n">
        <v>244.1938223493185</v>
      </c>
    </row>
    <row r="694">
      <c r="A694" s="4" t="n">
        <v>36655</v>
      </c>
      <c r="B694" s="3" t="n">
        <v>242.6819898017992</v>
      </c>
    </row>
    <row r="695">
      <c r="A695" s="4" t="n">
        <v>36656</v>
      </c>
      <c r="B695" s="3" t="n">
        <v>241.4988165037406</v>
      </c>
    </row>
    <row r="696">
      <c r="A696" s="4" t="n">
        <v>36657</v>
      </c>
      <c r="B696" s="3" t="n">
        <v>239.9212521063291</v>
      </c>
    </row>
    <row r="697">
      <c r="A697" s="4" t="n">
        <v>36658</v>
      </c>
      <c r="B697" s="3" t="n">
        <v>239.4611291570841</v>
      </c>
    </row>
    <row r="698">
      <c r="A698" s="4" t="n">
        <v>36661</v>
      </c>
      <c r="B698" s="3" t="n">
        <v>237.160514410859</v>
      </c>
    </row>
    <row r="699">
      <c r="A699" s="4" t="n">
        <v>36662</v>
      </c>
      <c r="B699" s="3" t="n">
        <v>236.5689277618297</v>
      </c>
    </row>
    <row r="700">
      <c r="A700" s="4" t="n">
        <v>36663</v>
      </c>
      <c r="B700" s="3" t="n">
        <v>235.8458774130162</v>
      </c>
    </row>
    <row r="701">
      <c r="A701" s="4" t="n">
        <v>36664</v>
      </c>
      <c r="B701" s="3" t="n">
        <v>235.6486818633397</v>
      </c>
    </row>
    <row r="702">
      <c r="A702" s="4" t="n">
        <v>36665</v>
      </c>
      <c r="B702" s="3" t="n">
        <v>234.2683130156047</v>
      </c>
    </row>
    <row r="703">
      <c r="A703" s="4" t="n">
        <v>36668</v>
      </c>
      <c r="B703" s="3" t="n">
        <v>233.085139717546</v>
      </c>
    </row>
    <row r="704">
      <c r="A704" s="4" t="n">
        <v>36669</v>
      </c>
      <c r="B704" s="3" t="n">
        <v>232.0991619691639</v>
      </c>
    </row>
    <row r="705">
      <c r="A705" s="4" t="n">
        <v>36670</v>
      </c>
      <c r="B705" s="3" t="n">
        <v>232.8879441678696</v>
      </c>
    </row>
    <row r="706">
      <c r="A706" s="4" t="n">
        <v>36671</v>
      </c>
      <c r="B706" s="3" t="n">
        <v>233.6109945166832</v>
      </c>
    </row>
    <row r="707">
      <c r="A707" s="4" t="n">
        <v>36672</v>
      </c>
      <c r="B707" s="3" t="n">
        <v>237.4234418104276</v>
      </c>
    </row>
    <row r="708">
      <c r="A708" s="4" t="n">
        <v>36675</v>
      </c>
      <c r="B708" s="3" t="n">
        <v>237.7521010598884</v>
      </c>
    </row>
    <row r="709">
      <c r="A709" s="4" t="n">
        <v>36676</v>
      </c>
      <c r="B709" s="3" t="n">
        <v>239.5268610069762</v>
      </c>
    </row>
    <row r="710">
      <c r="A710" s="4" t="n">
        <v>36677</v>
      </c>
      <c r="B710" s="3" t="n">
        <v>241.4330846538484</v>
      </c>
    </row>
    <row r="711">
      <c r="A711" s="4" t="n">
        <v>36678</v>
      </c>
      <c r="B711" s="3" t="n">
        <v>240.6920714033035</v>
      </c>
    </row>
    <row r="712">
      <c r="A712" s="4" t="n">
        <v>36679</v>
      </c>
      <c r="B712" s="3" t="n">
        <v>242.3214517946066</v>
      </c>
    </row>
    <row r="713">
      <c r="A713" s="4" t="n">
        <v>36682</v>
      </c>
      <c r="B713" s="3" t="n">
        <v>245.1239860676481</v>
      </c>
    </row>
    <row r="714">
      <c r="A714" s="4" t="n">
        <v>36683</v>
      </c>
      <c r="B714" s="3" t="n">
        <v>247.665819478081</v>
      </c>
    </row>
    <row r="715">
      <c r="A715" s="4" t="n">
        <v>36684</v>
      </c>
      <c r="B715" s="3" t="n">
        <v>249.1648494380799</v>
      </c>
    </row>
    <row r="716">
      <c r="A716" s="4" t="n">
        <v>36685</v>
      </c>
      <c r="B716" s="3" t="n">
        <v>250.8594050450352</v>
      </c>
    </row>
    <row r="717">
      <c r="A717" s="4" t="n">
        <v>36686</v>
      </c>
      <c r="B717" s="3" t="n">
        <v>251.0549306919916</v>
      </c>
    </row>
    <row r="718">
      <c r="A718" s="4" t="n">
        <v>36689</v>
      </c>
      <c r="B718" s="3" t="n">
        <v>252.8798367302511</v>
      </c>
    </row>
    <row r="719">
      <c r="A719" s="4" t="n">
        <v>36690</v>
      </c>
      <c r="B719" s="3" t="n">
        <v>253.336063239816</v>
      </c>
    </row>
    <row r="720">
      <c r="A720" s="4" t="n">
        <v>36691</v>
      </c>
      <c r="B720" s="3" t="n">
        <v>253.5967641024245</v>
      </c>
    </row>
    <row r="721">
      <c r="A721" s="4" t="n">
        <v>36692</v>
      </c>
      <c r="B721" s="3" t="n">
        <v>253.9226401806851</v>
      </c>
    </row>
    <row r="722">
      <c r="A722" s="4" t="n">
        <v>36693</v>
      </c>
      <c r="B722" s="3" t="n">
        <v>253.7271145337288</v>
      </c>
    </row>
    <row r="723">
      <c r="A723" s="4" t="n">
        <v>36696</v>
      </c>
      <c r="B723" s="3" t="n">
        <v>253.6619393180767</v>
      </c>
    </row>
    <row r="724">
      <c r="A724" s="4" t="n">
        <v>36697</v>
      </c>
      <c r="B724" s="3" t="n">
        <v>253.7271145337288</v>
      </c>
    </row>
    <row r="725">
      <c r="A725" s="4" t="n">
        <v>36698</v>
      </c>
      <c r="B725" s="3" t="n">
        <v>254.835093199815</v>
      </c>
    </row>
    <row r="726">
      <c r="A726" s="4" t="n">
        <v>36700</v>
      </c>
      <c r="B726" s="3" t="n">
        <v>255.6171957876404</v>
      </c>
    </row>
    <row r="727">
      <c r="A727" s="4" t="n">
        <v>36703</v>
      </c>
      <c r="B727" s="3" t="n">
        <v>257.3117513945957</v>
      </c>
    </row>
    <row r="728">
      <c r="A728" s="4" t="n">
        <v>36704</v>
      </c>
      <c r="B728" s="3" t="n">
        <v>258.5500804919862</v>
      </c>
    </row>
    <row r="729">
      <c r="A729" s="4" t="n">
        <v>36705</v>
      </c>
      <c r="B729" s="3" t="n">
        <v>259.462533511116</v>
      </c>
    </row>
    <row r="730">
      <c r="A730" s="4" t="n">
        <v>36706</v>
      </c>
      <c r="B730" s="3" t="n">
        <v>260.3098113145936</v>
      </c>
    </row>
    <row r="731">
      <c r="A731" s="4" t="n">
        <v>36707</v>
      </c>
      <c r="B731" s="3" t="n">
        <v>261.0267386867669</v>
      </c>
    </row>
    <row r="732">
      <c r="A732" s="4" t="n">
        <v>36710</v>
      </c>
      <c r="B732" s="3" t="n">
        <v>258.1411707405939</v>
      </c>
    </row>
    <row r="733">
      <c r="A733" s="4" t="n">
        <v>36711</v>
      </c>
      <c r="B733" s="3" t="n">
        <v>258.7186677668592</v>
      </c>
    </row>
    <row r="734">
      <c r="A734" s="4" t="n">
        <v>36712</v>
      </c>
      <c r="B734" s="3" t="n">
        <v>257.5636737143286</v>
      </c>
    </row>
    <row r="735">
      <c r="A735" s="4" t="n">
        <v>36713</v>
      </c>
      <c r="B735" s="3" t="n">
        <v>257.2428420330701</v>
      </c>
    </row>
    <row r="736">
      <c r="A736" s="4" t="n">
        <v>36714</v>
      </c>
      <c r="B736" s="3" t="n">
        <v>257.7561727230837</v>
      </c>
    </row>
    <row r="737">
      <c r="A737" s="4" t="n">
        <v>36717</v>
      </c>
      <c r="B737" s="3" t="n">
        <v>257.6278400505803</v>
      </c>
    </row>
    <row r="738">
      <c r="A738" s="4" t="n">
        <v>36718</v>
      </c>
      <c r="B738" s="3" t="n">
        <v>257.4353410418252</v>
      </c>
    </row>
    <row r="739">
      <c r="A739" s="4" t="n">
        <v>36719</v>
      </c>
      <c r="B739" s="3" t="n">
        <v>256.3445133255463</v>
      </c>
    </row>
    <row r="740">
      <c r="A740" s="4" t="n">
        <v>36720</v>
      </c>
      <c r="B740" s="3" t="n">
        <v>255.4461846180225</v>
      </c>
    </row>
    <row r="741">
      <c r="A741" s="4" t="n">
        <v>36721</v>
      </c>
      <c r="B741" s="3" t="n">
        <v>255.1895192730156</v>
      </c>
    </row>
    <row r="742">
      <c r="A742" s="4" t="n">
        <v>36724</v>
      </c>
      <c r="B742" s="3" t="n">
        <v>252.8795311679544</v>
      </c>
    </row>
    <row r="743">
      <c r="A743" s="4" t="n">
        <v>36725</v>
      </c>
      <c r="B743" s="3" t="n">
        <v>252.751198495451</v>
      </c>
    </row>
    <row r="744">
      <c r="A744" s="4" t="n">
        <v>36726</v>
      </c>
      <c r="B744" s="3" t="n">
        <v>252.751198495451</v>
      </c>
    </row>
    <row r="745">
      <c r="A745" s="4" t="n">
        <v>36727</v>
      </c>
      <c r="B745" s="3" t="n">
        <v>253.7778598754782</v>
      </c>
    </row>
    <row r="746">
      <c r="A746" s="4" t="n">
        <v>36728</v>
      </c>
      <c r="B746" s="3" t="n">
        <v>255.7028499630293</v>
      </c>
    </row>
    <row r="747">
      <c r="A747" s="4" t="n">
        <v>36731</v>
      </c>
      <c r="B747" s="3" t="n">
        <v>256.9861766880632</v>
      </c>
    </row>
    <row r="748">
      <c r="A748" s="4" t="n">
        <v>36732</v>
      </c>
      <c r="B748" s="3" t="n">
        <v>260.1303271643966</v>
      </c>
    </row>
    <row r="749">
      <c r="A749" s="4" t="n">
        <v>36733</v>
      </c>
      <c r="B749" s="3" t="n">
        <v>261.9911509156959</v>
      </c>
    </row>
    <row r="750">
      <c r="A750" s="4" t="n">
        <v>36734</v>
      </c>
      <c r="B750" s="3" t="n">
        <v>264.3011390207572</v>
      </c>
    </row>
    <row r="751">
      <c r="A751" s="4" t="n">
        <v>36735</v>
      </c>
      <c r="B751" s="3" t="n">
        <v>266.4186281170633</v>
      </c>
    </row>
    <row r="752">
      <c r="A752" s="4" t="n">
        <v>36738</v>
      </c>
      <c r="B752" s="3" t="n">
        <v>268.2794518683627</v>
      </c>
    </row>
    <row r="753">
      <c r="A753" s="4" t="n">
        <v>36739</v>
      </c>
      <c r="B753" s="3" t="n">
        <v>261.9649248771502</v>
      </c>
    </row>
    <row r="754">
      <c r="A754" s="4" t="n">
        <v>36740</v>
      </c>
      <c r="B754" s="3" t="n">
        <v>260.2728069413408</v>
      </c>
    </row>
    <row r="755">
      <c r="A755" s="4" t="n">
        <v>36741</v>
      </c>
      <c r="B755" s="3" t="n">
        <v>260.1474648720216</v>
      </c>
    </row>
    <row r="756">
      <c r="A756" s="4" t="n">
        <v>36742</v>
      </c>
      <c r="B756" s="3" t="n">
        <v>260.2101359066813</v>
      </c>
    </row>
    <row r="757">
      <c r="A757" s="4" t="n">
        <v>36745</v>
      </c>
      <c r="B757" s="3" t="n">
        <v>259.8341096987236</v>
      </c>
    </row>
    <row r="758">
      <c r="A758" s="4" t="n">
        <v>36746</v>
      </c>
      <c r="B758" s="3" t="n">
        <v>260.0221228027024</v>
      </c>
    </row>
    <row r="759">
      <c r="A759" s="4" t="n">
        <v>36747</v>
      </c>
      <c r="B759" s="3" t="n">
        <v>260.084793837362</v>
      </c>
    </row>
    <row r="760">
      <c r="A760" s="4" t="n">
        <v>36748</v>
      </c>
      <c r="B760" s="3" t="n">
        <v>260.9621883225965</v>
      </c>
    </row>
    <row r="761">
      <c r="A761" s="4" t="n">
        <v>36749</v>
      </c>
      <c r="B761" s="3" t="n">
        <v>261.0875303919157</v>
      </c>
    </row>
    <row r="762">
      <c r="A762" s="4" t="n">
        <v>36752</v>
      </c>
      <c r="B762" s="3" t="n">
        <v>260.9621883225965</v>
      </c>
    </row>
    <row r="763">
      <c r="A763" s="4" t="n">
        <v>36753</v>
      </c>
      <c r="B763" s="3" t="n">
        <v>261.0875303919157</v>
      </c>
    </row>
    <row r="764">
      <c r="A764" s="4" t="n">
        <v>36754</v>
      </c>
      <c r="B764" s="3" t="n">
        <v>261.2755434958945</v>
      </c>
    </row>
    <row r="765">
      <c r="A765" s="4" t="n">
        <v>36755</v>
      </c>
      <c r="B765" s="3" t="n">
        <v>261.3382145305541</v>
      </c>
    </row>
    <row r="766">
      <c r="A766" s="4" t="n">
        <v>36756</v>
      </c>
      <c r="B766" s="3" t="n">
        <v>261.9022538424906</v>
      </c>
    </row>
    <row r="767">
      <c r="A767" s="4" t="n">
        <v>36759</v>
      </c>
      <c r="B767" s="3" t="n">
        <v>260.9621883225965</v>
      </c>
    </row>
    <row r="768">
      <c r="A768" s="4" t="n">
        <v>36760</v>
      </c>
      <c r="B768" s="3" t="n">
        <v>260.2101359066813</v>
      </c>
    </row>
    <row r="769">
      <c r="A769" s="4" t="n">
        <v>36761</v>
      </c>
      <c r="B769" s="3" t="n">
        <v>260.5234910799792</v>
      </c>
    </row>
    <row r="770">
      <c r="A770" s="4" t="n">
        <v>36762</v>
      </c>
      <c r="B770" s="3" t="n">
        <v>260.3354779760004</v>
      </c>
    </row>
    <row r="771">
      <c r="A771" s="4" t="n">
        <v>36763</v>
      </c>
      <c r="B771" s="3" t="n">
        <v>260.8368462532773</v>
      </c>
    </row>
    <row r="772">
      <c r="A772" s="4" t="n">
        <v>36766</v>
      </c>
      <c r="B772" s="3" t="n">
        <v>261.2128724612349</v>
      </c>
    </row>
    <row r="773">
      <c r="A773" s="4" t="n">
        <v>36767</v>
      </c>
      <c r="B773" s="3" t="n">
        <v>261.3382145305541</v>
      </c>
    </row>
    <row r="774">
      <c r="A774" s="4" t="n">
        <v>36768</v>
      </c>
      <c r="B774" s="3" t="n">
        <v>259.3954124561064</v>
      </c>
    </row>
    <row r="775">
      <c r="A775" s="4" t="n">
        <v>36769</v>
      </c>
      <c r="B775" s="3" t="n">
        <v>258.2046627975739</v>
      </c>
    </row>
    <row r="776">
      <c r="A776" s="4" t="n">
        <v>36770</v>
      </c>
      <c r="B776" s="3" t="n">
        <v>255.5003796230671</v>
      </c>
    </row>
    <row r="777">
      <c r="A777" s="4" t="n">
        <v>36773</v>
      </c>
      <c r="B777" s="3" t="n">
        <v>254.0754260024728</v>
      </c>
    </row>
    <row r="778">
      <c r="A778" s="4" t="n">
        <v>36774</v>
      </c>
      <c r="B778" s="3" t="n">
        <v>253.8895624867432</v>
      </c>
    </row>
    <row r="779">
      <c r="A779" s="4" t="n">
        <v>36775</v>
      </c>
      <c r="B779" s="3" t="n">
        <v>253.1461084238244</v>
      </c>
    </row>
    <row r="780">
      <c r="A780" s="4" t="n">
        <v>36777</v>
      </c>
      <c r="B780" s="3" t="n">
        <v>251.9689728242032</v>
      </c>
    </row>
    <row r="781">
      <c r="A781" s="4" t="n">
        <v>36780</v>
      </c>
      <c r="B781" s="3" t="n">
        <v>251.0396552455548</v>
      </c>
    </row>
    <row r="782">
      <c r="A782" s="4" t="n">
        <v>36781</v>
      </c>
      <c r="B782" s="3" t="n">
        <v>249.9244741511767</v>
      </c>
    </row>
    <row r="783">
      <c r="A783" s="4" t="n">
        <v>36782</v>
      </c>
      <c r="B783" s="3" t="n">
        <v>249.1190655830147</v>
      </c>
    </row>
    <row r="784">
      <c r="A784" s="4" t="n">
        <v>36783</v>
      </c>
      <c r="B784" s="3" t="n">
        <v>249.3049290987444</v>
      </c>
    </row>
    <row r="785">
      <c r="A785" s="4" t="n">
        <v>36784</v>
      </c>
      <c r="B785" s="3" t="n">
        <v>249.738610635447</v>
      </c>
    </row>
    <row r="786">
      <c r="A786" s="4" t="n">
        <v>36787</v>
      </c>
      <c r="B786" s="3" t="n">
        <v>249.6147016249605</v>
      </c>
    </row>
    <row r="787">
      <c r="A787" s="4" t="n">
        <v>36788</v>
      </c>
      <c r="B787" s="3" t="n">
        <v>250.8537917298251</v>
      </c>
    </row>
    <row r="788">
      <c r="A788" s="4" t="n">
        <v>36789</v>
      </c>
      <c r="B788" s="3" t="n">
        <v>252.0928818346896</v>
      </c>
    </row>
    <row r="789">
      <c r="A789" s="4" t="n">
        <v>36790</v>
      </c>
      <c r="B789" s="3" t="n">
        <v>253.7036989710135</v>
      </c>
    </row>
    <row r="790">
      <c r="A790" s="4" t="n">
        <v>36791</v>
      </c>
      <c r="B790" s="3" t="n">
        <v>256.5536062122019</v>
      </c>
    </row>
    <row r="791">
      <c r="A791" s="4" t="n">
        <v>36794</v>
      </c>
      <c r="B791" s="3" t="n">
        <v>258.1644233485258</v>
      </c>
    </row>
    <row r="792">
      <c r="A792" s="4" t="n">
        <v>36795</v>
      </c>
      <c r="B792" s="3" t="n">
        <v>259.0937409271742</v>
      </c>
    </row>
    <row r="793">
      <c r="A793" s="4" t="n">
        <v>36796</v>
      </c>
      <c r="B793" s="3" t="n">
        <v>259.8991494953362</v>
      </c>
    </row>
    <row r="794">
      <c r="A794" s="4" t="n">
        <v>36797</v>
      </c>
      <c r="B794" s="3" t="n">
        <v>259.8991494953362</v>
      </c>
    </row>
    <row r="795">
      <c r="A795" s="4" t="n">
        <v>36798</v>
      </c>
      <c r="B795" s="3" t="n">
        <v>260.952376084471</v>
      </c>
    </row>
    <row r="796">
      <c r="A796" s="4" t="n">
        <v>36801</v>
      </c>
      <c r="B796" s="3" t="n">
        <v>260.076595959596</v>
      </c>
    </row>
    <row r="797">
      <c r="A797" s="4" t="n">
        <v>36802</v>
      </c>
      <c r="B797" s="3" t="n">
        <v>261.125789631004</v>
      </c>
    </row>
    <row r="798">
      <c r="A798" s="4" t="n">
        <v>36803</v>
      </c>
      <c r="B798" s="3" t="n">
        <v>261.6195278293135</v>
      </c>
    </row>
    <row r="799">
      <c r="A799" s="4" t="n">
        <v>36804</v>
      </c>
      <c r="B799" s="3" t="n">
        <v>260.2617477839621</v>
      </c>
    </row>
    <row r="800">
      <c r="A800" s="4" t="n">
        <v>36805</v>
      </c>
      <c r="B800" s="3" t="n">
        <v>260.4468996083282</v>
      </c>
    </row>
    <row r="801">
      <c r="A801" s="4" t="n">
        <v>36808</v>
      </c>
      <c r="B801" s="3" t="n">
        <v>260.7554859822717</v>
      </c>
    </row>
    <row r="802">
      <c r="A802" s="4" t="n">
        <v>36809</v>
      </c>
      <c r="B802" s="3" t="n">
        <v>260.5086168831169</v>
      </c>
    </row>
    <row r="803">
      <c r="A803" s="4" t="n">
        <v>36810</v>
      </c>
      <c r="B803" s="3" t="n">
        <v>261.0640723562152</v>
      </c>
    </row>
    <row r="804">
      <c r="A804" s="4" t="n">
        <v>36812</v>
      </c>
      <c r="B804" s="3" t="n">
        <v>261.6812451041022</v>
      </c>
    </row>
    <row r="805">
      <c r="A805" s="4" t="n">
        <v>36815</v>
      </c>
      <c r="B805" s="3" t="n">
        <v>262.6070042259328</v>
      </c>
    </row>
    <row r="806">
      <c r="A806" s="4" t="n">
        <v>36816</v>
      </c>
      <c r="B806" s="3" t="n">
        <v>262.8538733250876</v>
      </c>
    </row>
    <row r="807">
      <c r="A807" s="4" t="n">
        <v>36817</v>
      </c>
      <c r="B807" s="3" t="n">
        <v>262.7921560502989</v>
      </c>
    </row>
    <row r="808">
      <c r="A808" s="4" t="n">
        <v>36818</v>
      </c>
      <c r="B808" s="3" t="n">
        <v>263.1007424242424</v>
      </c>
    </row>
    <row r="809">
      <c r="A809" s="4" t="n">
        <v>36819</v>
      </c>
      <c r="B809" s="3" t="n">
        <v>263.7179151721294</v>
      </c>
    </row>
    <row r="810">
      <c r="A810" s="4" t="n">
        <v>36822</v>
      </c>
      <c r="B810" s="3" t="n">
        <v>265.3225643166357</v>
      </c>
    </row>
    <row r="811">
      <c r="A811" s="4" t="n">
        <v>36823</v>
      </c>
      <c r="B811" s="3" t="n">
        <v>264.7671088435374</v>
      </c>
    </row>
    <row r="812">
      <c r="A812" s="4" t="n">
        <v>36824</v>
      </c>
      <c r="B812" s="3" t="n">
        <v>264.2116533704391</v>
      </c>
    </row>
    <row r="813">
      <c r="A813" s="4" t="n">
        <v>36825</v>
      </c>
      <c r="B813" s="3" t="n">
        <v>262.7921560502989</v>
      </c>
    </row>
    <row r="814">
      <c r="A814" s="4" t="n">
        <v>36826</v>
      </c>
      <c r="B814" s="3" t="n">
        <v>261.31094145537</v>
      </c>
    </row>
    <row r="815">
      <c r="A815" s="4" t="n">
        <v>36829</v>
      </c>
      <c r="B815" s="3" t="n">
        <v>261.1875069057926</v>
      </c>
    </row>
    <row r="816">
      <c r="A816" s="4" t="n">
        <v>36830</v>
      </c>
      <c r="B816" s="3" t="n">
        <v>261.3726587301587</v>
      </c>
    </row>
    <row r="817">
      <c r="A817" s="4" t="n">
        <v>36831</v>
      </c>
      <c r="B817" s="3" t="n">
        <v>259.6987466533744</v>
      </c>
    </row>
    <row r="818">
      <c r="A818" s="4" t="n">
        <v>36833</v>
      </c>
      <c r="B818" s="3" t="n">
        <v>259.5141266912985</v>
      </c>
    </row>
    <row r="819">
      <c r="A819" s="4" t="n">
        <v>36836</v>
      </c>
      <c r="B819" s="3" t="n">
        <v>259.0218067924296</v>
      </c>
    </row>
    <row r="820">
      <c r="A820" s="4" t="n">
        <v>36837</v>
      </c>
      <c r="B820" s="3" t="n">
        <v>257.7910070452572</v>
      </c>
    </row>
    <row r="821">
      <c r="A821" s="4" t="n">
        <v>36838</v>
      </c>
      <c r="B821" s="3" t="n">
        <v>256.9294472222365</v>
      </c>
    </row>
    <row r="822">
      <c r="A822" s="4" t="n">
        <v>36839</v>
      </c>
      <c r="B822" s="3" t="n">
        <v>256.1294273865744</v>
      </c>
    </row>
    <row r="823">
      <c r="A823" s="4" t="n">
        <v>36840</v>
      </c>
      <c r="B823" s="3" t="n">
        <v>254.9601676267606</v>
      </c>
    </row>
    <row r="824">
      <c r="A824" s="4" t="n">
        <v>36843</v>
      </c>
      <c r="B824" s="3" t="n">
        <v>253.606287904871</v>
      </c>
    </row>
    <row r="825">
      <c r="A825" s="4" t="n">
        <v>36844</v>
      </c>
      <c r="B825" s="3" t="n">
        <v>253.4216679427952</v>
      </c>
    </row>
    <row r="826">
      <c r="A826" s="4" t="n">
        <v>36846</v>
      </c>
      <c r="B826" s="3" t="n">
        <v>253.1755079933607</v>
      </c>
    </row>
    <row r="827">
      <c r="A827" s="4" t="n">
        <v>36847</v>
      </c>
      <c r="B827" s="3" t="n">
        <v>253.2370479807193</v>
      </c>
    </row>
    <row r="828">
      <c r="A828" s="4" t="n">
        <v>36850</v>
      </c>
      <c r="B828" s="3" t="n">
        <v>253.3601279554366</v>
      </c>
    </row>
    <row r="829">
      <c r="A829" s="4" t="n">
        <v>36851</v>
      </c>
      <c r="B829" s="3" t="n">
        <v>254.5293877152503</v>
      </c>
    </row>
    <row r="830">
      <c r="A830" s="4" t="n">
        <v>36852</v>
      </c>
      <c r="B830" s="3" t="n">
        <v>254.8370876520434</v>
      </c>
    </row>
    <row r="831">
      <c r="A831" s="4" t="n">
        <v>36853</v>
      </c>
      <c r="B831" s="3" t="n">
        <v>255.7601874624227</v>
      </c>
    </row>
    <row r="832">
      <c r="A832" s="4" t="n">
        <v>36854</v>
      </c>
      <c r="B832" s="3" t="n">
        <v>256.6217472854434</v>
      </c>
    </row>
    <row r="833">
      <c r="A833" s="4" t="n">
        <v>36857</v>
      </c>
      <c r="B833" s="3" t="n">
        <v>255.8832674371399</v>
      </c>
    </row>
    <row r="834">
      <c r="A834" s="4" t="n">
        <v>36858</v>
      </c>
      <c r="B834" s="3" t="n">
        <v>256.683287272802</v>
      </c>
    </row>
    <row r="835">
      <c r="A835" s="4" t="n">
        <v>36859</v>
      </c>
      <c r="B835" s="3" t="n">
        <v>256.6217472854434</v>
      </c>
    </row>
    <row r="836">
      <c r="A836" s="4" t="n">
        <v>36860</v>
      </c>
      <c r="B836" s="3" t="n">
        <v>256.6217472854434</v>
      </c>
    </row>
    <row r="837">
      <c r="A837" s="4" t="n">
        <v>36861</v>
      </c>
      <c r="B837" s="3" t="n">
        <v>254.9513590056529</v>
      </c>
    </row>
    <row r="838">
      <c r="A838" s="4" t="n">
        <v>36864</v>
      </c>
      <c r="B838" s="3" t="n">
        <v>252.6275039703412</v>
      </c>
    </row>
    <row r="839">
      <c r="A839" s="4" t="n">
        <v>36865</v>
      </c>
      <c r="B839" s="3" t="n">
        <v>251.6490386923151</v>
      </c>
    </row>
    <row r="840">
      <c r="A840" s="4" t="n">
        <v>36866</v>
      </c>
      <c r="B840" s="3" t="n">
        <v>249.5697999765099</v>
      </c>
    </row>
    <row r="841">
      <c r="A841" s="4" t="n">
        <v>36867</v>
      </c>
      <c r="B841" s="3" t="n">
        <v>248.9582591777436</v>
      </c>
    </row>
    <row r="842">
      <c r="A842" s="4" t="n">
        <v>36868</v>
      </c>
      <c r="B842" s="3" t="n">
        <v>249.2028754972501</v>
      </c>
    </row>
    <row r="843">
      <c r="A843" s="4" t="n">
        <v>36871</v>
      </c>
      <c r="B843" s="3" t="n">
        <v>245.2890143851461</v>
      </c>
    </row>
    <row r="844">
      <c r="A844" s="4" t="n">
        <v>36872</v>
      </c>
      <c r="B844" s="3" t="n">
        <v>245.2278603052694</v>
      </c>
    </row>
    <row r="845">
      <c r="A845" s="4" t="n">
        <v>36873</v>
      </c>
      <c r="B845" s="3" t="n">
        <v>244.6774735863798</v>
      </c>
    </row>
    <row r="846">
      <c r="A846" s="4" t="n">
        <v>36874</v>
      </c>
      <c r="B846" s="3" t="n">
        <v>243.4543919888473</v>
      </c>
    </row>
    <row r="847">
      <c r="A847" s="4" t="n">
        <v>36875</v>
      </c>
      <c r="B847" s="3" t="n">
        <v>243.2709297492174</v>
      </c>
    </row>
    <row r="848">
      <c r="A848" s="4" t="n">
        <v>36878</v>
      </c>
      <c r="B848" s="3" t="n">
        <v>244.2493950272434</v>
      </c>
    </row>
    <row r="849">
      <c r="A849" s="4" t="n">
        <v>36879</v>
      </c>
      <c r="B849" s="3" t="n">
        <v>246.0840174235422</v>
      </c>
    </row>
    <row r="850">
      <c r="A850" s="4" t="n">
        <v>36880</v>
      </c>
      <c r="B850" s="3" t="n">
        <v>247.1236367814448</v>
      </c>
    </row>
    <row r="851">
      <c r="A851" s="4" t="n">
        <v>36881</v>
      </c>
      <c r="B851" s="3" t="n">
        <v>248.4078724588539</v>
      </c>
    </row>
    <row r="852">
      <c r="A852" s="4" t="n">
        <v>36882</v>
      </c>
      <c r="B852" s="3" t="n">
        <v>249.5086458966332</v>
      </c>
    </row>
    <row r="853">
      <c r="A853" s="4" t="n">
        <v>36886</v>
      </c>
      <c r="B853" s="3" t="n">
        <v>249.7532622161397</v>
      </c>
    </row>
    <row r="854">
      <c r="A854" s="4" t="n">
        <v>36887</v>
      </c>
      <c r="B854" s="3" t="n">
        <v>250.2424948551528</v>
      </c>
    </row>
    <row r="855">
      <c r="A855" s="4" t="n">
        <v>36888</v>
      </c>
      <c r="B855" s="3" t="n">
        <v>249.9367244557696</v>
      </c>
    </row>
    <row r="856">
      <c r="A856" s="4" t="n">
        <v>36893</v>
      </c>
      <c r="B856" s="3" t="n">
        <v>245.1098757136694</v>
      </c>
    </row>
    <row r="857">
      <c r="A857" s="4" t="n">
        <v>36894</v>
      </c>
      <c r="B857" s="3" t="n">
        <v>245.231427846431</v>
      </c>
    </row>
    <row r="858">
      <c r="A858" s="4" t="n">
        <v>36895</v>
      </c>
      <c r="B858" s="3" t="n">
        <v>243.6512501205309</v>
      </c>
    </row>
    <row r="859">
      <c r="A859" s="4" t="n">
        <v>36896</v>
      </c>
      <c r="B859" s="3" t="n">
        <v>243.7728022532924</v>
      </c>
    </row>
    <row r="860">
      <c r="A860" s="4" t="n">
        <v>36899</v>
      </c>
      <c r="B860" s="3" t="n">
        <v>243.3473697886269</v>
      </c>
    </row>
    <row r="861">
      <c r="A861" s="4" t="n">
        <v>36900</v>
      </c>
      <c r="B861" s="3" t="n">
        <v>243.2258176558654</v>
      </c>
    </row>
    <row r="862">
      <c r="A862" s="4" t="n">
        <v>36901</v>
      </c>
      <c r="B862" s="3" t="n">
        <v>242.9219373239615</v>
      </c>
    </row>
    <row r="863">
      <c r="A863" s="4" t="n">
        <v>36902</v>
      </c>
      <c r="B863" s="3" t="n">
        <v>242.9219373239615</v>
      </c>
    </row>
    <row r="864">
      <c r="A864" s="4" t="n">
        <v>36903</v>
      </c>
      <c r="B864" s="3" t="n">
        <v>243.2258176558654</v>
      </c>
    </row>
    <row r="865">
      <c r="A865" s="4" t="n">
        <v>36906</v>
      </c>
      <c r="B865" s="3" t="n">
        <v>243.2865937222462</v>
      </c>
    </row>
    <row r="866">
      <c r="A866" s="4" t="n">
        <v>36907</v>
      </c>
      <c r="B866" s="3" t="n">
        <v>242.9827133903423</v>
      </c>
    </row>
    <row r="867">
      <c r="A867" s="4" t="n">
        <v>36908</v>
      </c>
      <c r="B867" s="3" t="n">
        <v>243.3473697886269</v>
      </c>
    </row>
    <row r="868">
      <c r="A868" s="4" t="n">
        <v>36909</v>
      </c>
      <c r="B868" s="3" t="n">
        <v>243.8335783196732</v>
      </c>
    </row>
    <row r="869">
      <c r="A869" s="4" t="n">
        <v>36910</v>
      </c>
      <c r="B869" s="3" t="n">
        <v>244.2590107843386</v>
      </c>
    </row>
    <row r="870">
      <c r="A870" s="4" t="n">
        <v>36913</v>
      </c>
      <c r="B870" s="3" t="n">
        <v>243.7120261869116</v>
      </c>
    </row>
    <row r="871">
      <c r="A871" s="4" t="n">
        <v>36914</v>
      </c>
      <c r="B871" s="3" t="n">
        <v>244.137458651577</v>
      </c>
    </row>
    <row r="872">
      <c r="A872" s="4" t="n">
        <v>36915</v>
      </c>
      <c r="B872" s="3" t="n">
        <v>244.3805629171002</v>
      </c>
    </row>
    <row r="873">
      <c r="A873" s="4" t="n">
        <v>36916</v>
      </c>
      <c r="B873" s="3" t="n">
        <v>244.684443249004</v>
      </c>
    </row>
    <row r="874">
      <c r="A874" s="4" t="n">
        <v>36917</v>
      </c>
      <c r="B874" s="3" t="n">
        <v>244.5628911162425</v>
      </c>
    </row>
    <row r="875">
      <c r="A875" s="4" t="n">
        <v>36920</v>
      </c>
      <c r="B875" s="3" t="n">
        <v>244.7452193153848</v>
      </c>
    </row>
    <row r="876">
      <c r="A876" s="4" t="n">
        <v>36921</v>
      </c>
      <c r="B876" s="3" t="n">
        <v>244.684443249004</v>
      </c>
    </row>
    <row r="877">
      <c r="A877" s="4" t="n">
        <v>36922</v>
      </c>
      <c r="B877" s="3" t="n">
        <v>244.0766825851962</v>
      </c>
    </row>
    <row r="878">
      <c r="A878" s="4" t="n">
        <v>36923</v>
      </c>
      <c r="B878" s="3" t="n">
        <v>243.282921449585</v>
      </c>
    </row>
    <row r="879">
      <c r="A879" s="4" t="n">
        <v>36924</v>
      </c>
      <c r="B879" s="3" t="n">
        <v>242.6765333103787</v>
      </c>
    </row>
    <row r="880">
      <c r="A880" s="4" t="n">
        <v>36927</v>
      </c>
      <c r="B880" s="3" t="n">
        <v>238.3711775220136</v>
      </c>
    </row>
    <row r="881">
      <c r="A881" s="4" t="n">
        <v>36928</v>
      </c>
      <c r="B881" s="3" t="n">
        <v>236.7945683600771</v>
      </c>
    </row>
    <row r="882">
      <c r="A882" s="4" t="n">
        <v>36929</v>
      </c>
      <c r="B882" s="3" t="n">
        <v>236.1275414069501</v>
      </c>
    </row>
    <row r="883">
      <c r="A883" s="4" t="n">
        <v>36930</v>
      </c>
      <c r="B883" s="3" t="n">
        <v>235.8849861512676</v>
      </c>
    </row>
    <row r="884">
      <c r="A884" s="4" t="n">
        <v>36931</v>
      </c>
      <c r="B884" s="3" t="n">
        <v>235.3998756399025</v>
      </c>
    </row>
    <row r="885">
      <c r="A885" s="4" t="n">
        <v>36934</v>
      </c>
      <c r="B885" s="3" t="n">
        <v>234.005182919728</v>
      </c>
    </row>
    <row r="886">
      <c r="A886" s="4" t="n">
        <v>36935</v>
      </c>
      <c r="B886" s="3" t="n">
        <v>236.0669025930295</v>
      </c>
    </row>
    <row r="887">
      <c r="A887" s="4" t="n">
        <v>36936</v>
      </c>
      <c r="B887" s="3" t="n">
        <v>237.5828729410454</v>
      </c>
    </row>
    <row r="888">
      <c r="A888" s="4" t="n">
        <v>36937</v>
      </c>
      <c r="B888" s="3" t="n">
        <v>240.129703125712</v>
      </c>
    </row>
    <row r="889">
      <c r="A889" s="4" t="n">
        <v>36938</v>
      </c>
      <c r="B889" s="3" t="n">
        <v>242.0701451711723</v>
      </c>
    </row>
    <row r="890">
      <c r="A890" s="4" t="n">
        <v>36941</v>
      </c>
      <c r="B890" s="3" t="n">
        <v>242.9797273799819</v>
      </c>
    </row>
    <row r="891">
      <c r="A891" s="4" t="n">
        <v>36942</v>
      </c>
      <c r="B891" s="3" t="n">
        <v>243.8286707748707</v>
      </c>
    </row>
    <row r="892">
      <c r="A892" s="4" t="n">
        <v>36943</v>
      </c>
      <c r="B892" s="3" t="n">
        <v>244.1318648444739</v>
      </c>
    </row>
    <row r="893">
      <c r="A893" s="4" t="n">
        <v>36944</v>
      </c>
      <c r="B893" s="3" t="n">
        <v>243.5861155191882</v>
      </c>
    </row>
    <row r="894">
      <c r="A894" s="4" t="n">
        <v>36945</v>
      </c>
      <c r="B894" s="3" t="n">
        <v>243.4041990774263</v>
      </c>
    </row>
    <row r="895">
      <c r="A895" s="4" t="n">
        <v>36950</v>
      </c>
      <c r="B895" s="3" t="n">
        <v>243.3435602635057</v>
      </c>
    </row>
    <row r="896">
      <c r="A896" s="4" t="n">
        <v>36951</v>
      </c>
      <c r="B896" s="3" t="n">
        <v>241.7362042435778</v>
      </c>
    </row>
    <row r="897">
      <c r="A897" s="4" t="n">
        <v>36952</v>
      </c>
      <c r="B897" s="3" t="n">
        <v>241.4347123450449</v>
      </c>
    </row>
    <row r="898">
      <c r="A898" s="4" t="n">
        <v>36955</v>
      </c>
      <c r="B898" s="3" t="n">
        <v>241.4950107247515</v>
      </c>
    </row>
    <row r="899">
      <c r="A899" s="4" t="n">
        <v>36956</v>
      </c>
      <c r="B899" s="3" t="n">
        <v>240.349341510327</v>
      </c>
    </row>
    <row r="900">
      <c r="A900" s="4" t="n">
        <v>36957</v>
      </c>
      <c r="B900" s="3" t="n">
        <v>241.0729220668056</v>
      </c>
    </row>
    <row r="901">
      <c r="A901" s="4" t="n">
        <v>36958</v>
      </c>
      <c r="B901" s="3" t="n">
        <v>241.1332204465122</v>
      </c>
    </row>
    <row r="902">
      <c r="A902" s="4" t="n">
        <v>36959</v>
      </c>
      <c r="B902" s="3" t="n">
        <v>240.0478496117942</v>
      </c>
    </row>
    <row r="903">
      <c r="A903" s="4" t="n">
        <v>36962</v>
      </c>
      <c r="B903" s="3" t="n">
        <v>239.263970675609</v>
      </c>
    </row>
    <row r="904">
      <c r="A904" s="4" t="n">
        <v>36963</v>
      </c>
      <c r="B904" s="3" t="n">
        <v>238.4197933597172</v>
      </c>
    </row>
    <row r="905">
      <c r="A905" s="4" t="n">
        <v>36964</v>
      </c>
      <c r="B905" s="3" t="n">
        <v>238.5403901191303</v>
      </c>
    </row>
    <row r="906">
      <c r="A906" s="4" t="n">
        <v>36965</v>
      </c>
      <c r="B906" s="3" t="n">
        <v>239.0227771567828</v>
      </c>
    </row>
    <row r="907">
      <c r="A907" s="4" t="n">
        <v>36966</v>
      </c>
      <c r="B907" s="3" t="n">
        <v>239.0830755364893</v>
      </c>
    </row>
    <row r="908">
      <c r="A908" s="4" t="n">
        <v>36969</v>
      </c>
      <c r="B908" s="3" t="n">
        <v>237.635914423532</v>
      </c>
    </row>
    <row r="909">
      <c r="A909" s="4" t="n">
        <v>36970</v>
      </c>
      <c r="B909" s="3" t="n">
        <v>237.9374063220648</v>
      </c>
    </row>
    <row r="910">
      <c r="A910" s="4" t="n">
        <v>36971</v>
      </c>
      <c r="B910" s="3" t="n">
        <v>238.6006884988369</v>
      </c>
    </row>
    <row r="911">
      <c r="A911" s="4" t="n">
        <v>36972</v>
      </c>
      <c r="B911" s="3" t="n">
        <v>240.1684463712073</v>
      </c>
    </row>
    <row r="912">
      <c r="A912" s="4" t="n">
        <v>36973</v>
      </c>
      <c r="B912" s="3" t="n">
        <v>240.8317285479794</v>
      </c>
    </row>
    <row r="913">
      <c r="A913" s="4" t="n">
        <v>36976</v>
      </c>
      <c r="B913" s="3" t="n">
        <v>240.5905350291532</v>
      </c>
    </row>
    <row r="914">
      <c r="A914" s="4" t="n">
        <v>36977</v>
      </c>
      <c r="B914" s="3" t="n">
        <v>241.4347123450449</v>
      </c>
    </row>
    <row r="915">
      <c r="A915" s="4" t="n">
        <v>36978</v>
      </c>
      <c r="B915" s="3" t="n">
        <v>241.6759058638712</v>
      </c>
    </row>
    <row r="916">
      <c r="A916" s="4" t="n">
        <v>36979</v>
      </c>
      <c r="B916" s="3" t="n">
        <v>241.6759058638712</v>
      </c>
    </row>
    <row r="917">
      <c r="A917" s="4" t="n">
        <v>36980</v>
      </c>
      <c r="B917" s="3" t="n">
        <v>243.4848572550678</v>
      </c>
    </row>
    <row r="918">
      <c r="A918" s="4" t="n">
        <v>36983</v>
      </c>
      <c r="B918" s="3" t="n">
        <v>243.7619656913819</v>
      </c>
    </row>
    <row r="919">
      <c r="A919" s="4" t="n">
        <v>36984</v>
      </c>
      <c r="B919" s="3" t="n">
        <v>243.6425623283198</v>
      </c>
    </row>
    <row r="920">
      <c r="A920" s="4" t="n">
        <v>36985</v>
      </c>
      <c r="B920" s="3" t="n">
        <v>245.5530161373142</v>
      </c>
    </row>
    <row r="921">
      <c r="A921" s="4" t="n">
        <v>36986</v>
      </c>
      <c r="B921" s="3" t="n">
        <v>246.98585649406</v>
      </c>
    </row>
    <row r="922">
      <c r="A922" s="4" t="n">
        <v>36987</v>
      </c>
      <c r="B922" s="3" t="n">
        <v>246.7470497679357</v>
      </c>
    </row>
    <row r="923">
      <c r="A923" s="4" t="n">
        <v>36990</v>
      </c>
      <c r="B923" s="3" t="n">
        <v>247.4634699463087</v>
      </c>
    </row>
    <row r="924">
      <c r="A924" s="4" t="n">
        <v>36991</v>
      </c>
      <c r="B924" s="3" t="n">
        <v>248.2395918062126</v>
      </c>
    </row>
    <row r="925">
      <c r="A925" s="4" t="n">
        <v>36992</v>
      </c>
      <c r="B925" s="3" t="n">
        <v>249.1948187107099</v>
      </c>
    </row>
    <row r="926">
      <c r="A926" s="4" t="n">
        <v>36993</v>
      </c>
      <c r="B926" s="3" t="n">
        <v>249.6724321629584</v>
      </c>
    </row>
    <row r="927">
      <c r="A927" s="4" t="n">
        <v>36997</v>
      </c>
      <c r="B927" s="3" t="n">
        <v>251.2843775642975</v>
      </c>
    </row>
    <row r="928">
      <c r="A928" s="4" t="n">
        <v>36998</v>
      </c>
      <c r="B928" s="3" t="n">
        <v>251.4634826088907</v>
      </c>
    </row>
    <row r="929">
      <c r="A929" s="4" t="n">
        <v>36999</v>
      </c>
      <c r="B929" s="3" t="n">
        <v>252.0007977426704</v>
      </c>
    </row>
    <row r="930">
      <c r="A930" s="4" t="n">
        <v>37000</v>
      </c>
      <c r="B930" s="3" t="n">
        <v>252.1202011057325</v>
      </c>
    </row>
    <row r="931">
      <c r="A931" s="4" t="n">
        <v>37001</v>
      </c>
      <c r="B931" s="3" t="n">
        <v>251.6425876534839</v>
      </c>
    </row>
    <row r="932">
      <c r="A932" s="4" t="n">
        <v>37004</v>
      </c>
      <c r="B932" s="3" t="n">
        <v>251.7619910165461</v>
      </c>
    </row>
    <row r="933">
      <c r="A933" s="4" t="n">
        <v>37005</v>
      </c>
      <c r="B933" s="3" t="n">
        <v>251.5828859719529</v>
      </c>
    </row>
    <row r="934">
      <c r="A934" s="4" t="n">
        <v>37006</v>
      </c>
      <c r="B934" s="3" t="n">
        <v>251.2843775642975</v>
      </c>
    </row>
    <row r="935">
      <c r="A935" s="4" t="n">
        <v>37007</v>
      </c>
      <c r="B935" s="3" t="n">
        <v>249.4933271183652</v>
      </c>
    </row>
    <row r="936">
      <c r="A936" s="4" t="n">
        <v>37008</v>
      </c>
      <c r="B936" s="3" t="n">
        <v>249.1351170291787</v>
      </c>
    </row>
    <row r="937">
      <c r="A937" s="4" t="n">
        <v>37011</v>
      </c>
      <c r="B937" s="3" t="n">
        <v>248.8366086215234</v>
      </c>
    </row>
    <row r="938">
      <c r="A938" s="4" t="n">
        <v>37013</v>
      </c>
      <c r="B938" s="3" t="n">
        <v>246.4092547596923</v>
      </c>
    </row>
    <row r="939">
      <c r="A939" s="4" t="n">
        <v>37014</v>
      </c>
      <c r="B939" s="3" t="n">
        <v>245.5214001304837</v>
      </c>
    </row>
    <row r="940">
      <c r="A940" s="4" t="n">
        <v>37015</v>
      </c>
      <c r="B940" s="3" t="n">
        <v>245.2254485874142</v>
      </c>
    </row>
    <row r="941">
      <c r="A941" s="4" t="n">
        <v>37018</v>
      </c>
      <c r="B941" s="3" t="n">
        <v>244.5151648840474</v>
      </c>
    </row>
    <row r="942">
      <c r="A942" s="4" t="n">
        <v>37019</v>
      </c>
      <c r="B942" s="3" t="n">
        <v>241.555649453352</v>
      </c>
    </row>
    <row r="943">
      <c r="A943" s="4" t="n">
        <v>37020</v>
      </c>
      <c r="B943" s="3" t="n">
        <v>241.7332203791937</v>
      </c>
    </row>
    <row r="944">
      <c r="A944" s="4" t="n">
        <v>37021</v>
      </c>
      <c r="B944" s="3" t="n">
        <v>238.1818018623594</v>
      </c>
    </row>
    <row r="945">
      <c r="A945" s="4" t="n">
        <v>37022</v>
      </c>
      <c r="B945" s="3" t="n">
        <v>238.0042309365176</v>
      </c>
    </row>
    <row r="946">
      <c r="A946" s="4" t="n">
        <v>37025</v>
      </c>
      <c r="B946" s="3" t="n">
        <v>238.0634212451315</v>
      </c>
    </row>
    <row r="947">
      <c r="A947" s="4" t="n">
        <v>37026</v>
      </c>
      <c r="B947" s="3" t="n">
        <v>237.5307084676064</v>
      </c>
    </row>
    <row r="948">
      <c r="A948" s="4" t="n">
        <v>37027</v>
      </c>
      <c r="B948" s="3" t="n">
        <v>238.5369437140428</v>
      </c>
    </row>
    <row r="949">
      <c r="A949" s="4" t="n">
        <v>37028</v>
      </c>
      <c r="B949" s="3" t="n">
        <v>239.4839886518653</v>
      </c>
    </row>
    <row r="950">
      <c r="A950" s="4" t="n">
        <v>37029</v>
      </c>
      <c r="B950" s="3" t="n">
        <v>241.6148397619659</v>
      </c>
    </row>
    <row r="951">
      <c r="A951" s="4" t="n">
        <v>37032</v>
      </c>
      <c r="B951" s="3" t="n">
        <v>243.5089296376109</v>
      </c>
    </row>
    <row r="952">
      <c r="A952" s="4" t="n">
        <v>37033</v>
      </c>
      <c r="B952" s="3" t="n">
        <v>243.9824521065222</v>
      </c>
    </row>
    <row r="953">
      <c r="A953" s="4" t="n">
        <v>37034</v>
      </c>
      <c r="B953" s="3" t="n">
        <v>244.10083272375</v>
      </c>
    </row>
    <row r="954">
      <c r="A954" s="4" t="n">
        <v>37035</v>
      </c>
      <c r="B954" s="3" t="n">
        <v>244.2784036495917</v>
      </c>
    </row>
    <row r="955">
      <c r="A955" s="4" t="n">
        <v>37036</v>
      </c>
      <c r="B955" s="3" t="n">
        <v>244.1600230323639</v>
      </c>
    </row>
    <row r="956">
      <c r="A956" s="4" t="n">
        <v>37039</v>
      </c>
      <c r="B956" s="3" t="n">
        <v>243.8048811806805</v>
      </c>
    </row>
    <row r="957">
      <c r="A957" s="4" t="n">
        <v>37040</v>
      </c>
      <c r="B957" s="3" t="n">
        <v>243.449739328997</v>
      </c>
    </row>
    <row r="958">
      <c r="A958" s="4" t="n">
        <v>37041</v>
      </c>
      <c r="B958" s="3" t="n">
        <v>243.8048811806805</v>
      </c>
    </row>
    <row r="959">
      <c r="A959" s="4" t="n">
        <v>37042</v>
      </c>
      <c r="B959" s="3" t="n">
        <v>243.2721684031553</v>
      </c>
    </row>
    <row r="960">
      <c r="A960" s="4" t="n">
        <v>37043</v>
      </c>
      <c r="B960" s="3" t="n">
        <v>240.4971311242719</v>
      </c>
    </row>
    <row r="961">
      <c r="A961" s="4" t="n">
        <v>37046</v>
      </c>
      <c r="B961" s="3" t="n">
        <v>239.266217218932</v>
      </c>
    </row>
    <row r="962">
      <c r="A962" s="4" t="n">
        <v>37047</v>
      </c>
      <c r="B962" s="3" t="n">
        <v>238.6214527923254</v>
      </c>
    </row>
    <row r="963">
      <c r="A963" s="4" t="n">
        <v>37048</v>
      </c>
      <c r="B963" s="3" t="n">
        <v>238.8559125838187</v>
      </c>
    </row>
    <row r="964">
      <c r="A964" s="4" t="n">
        <v>37049</v>
      </c>
      <c r="B964" s="3" t="n">
        <v>240.7315909157653</v>
      </c>
    </row>
    <row r="965">
      <c r="A965" s="4" t="n">
        <v>37050</v>
      </c>
      <c r="B965" s="3" t="n">
        <v>240.6729759678919</v>
      </c>
    </row>
    <row r="966">
      <c r="A966" s="4" t="n">
        <v>37053</v>
      </c>
      <c r="B966" s="3" t="n">
        <v>240.9074357593852</v>
      </c>
    </row>
    <row r="967">
      <c r="A967" s="4" t="n">
        <v>37054</v>
      </c>
      <c r="B967" s="3" t="n">
        <v>240.8488208115119</v>
      </c>
    </row>
    <row r="968">
      <c r="A968" s="4" t="n">
        <v>37055</v>
      </c>
      <c r="B968" s="3" t="n">
        <v>241.4349702902452</v>
      </c>
    </row>
    <row r="969">
      <c r="A969" s="4" t="n">
        <v>37057</v>
      </c>
      <c r="B969" s="3" t="n">
        <v>241.2591254466252</v>
      </c>
    </row>
    <row r="970">
      <c r="A970" s="4" t="n">
        <v>37060</v>
      </c>
      <c r="B970" s="3" t="n">
        <v>241.2005104987519</v>
      </c>
    </row>
    <row r="971">
      <c r="A971" s="4" t="n">
        <v>37061</v>
      </c>
      <c r="B971" s="3" t="n">
        <v>241.1418955508785</v>
      </c>
    </row>
    <row r="972">
      <c r="A972" s="4" t="n">
        <v>37062</v>
      </c>
      <c r="B972" s="3" t="n">
        <v>241.0246656551319</v>
      </c>
    </row>
    <row r="973">
      <c r="A973" s="4" t="n">
        <v>37063</v>
      </c>
      <c r="B973" s="3" t="n">
        <v>239.9109816455386</v>
      </c>
    </row>
    <row r="974">
      <c r="A974" s="4" t="n">
        <v>37064</v>
      </c>
      <c r="B974" s="3" t="n">
        <v>239.5592919582986</v>
      </c>
    </row>
    <row r="975">
      <c r="A975" s="4" t="n">
        <v>37067</v>
      </c>
      <c r="B975" s="3" t="n">
        <v>239.3248321668053</v>
      </c>
    </row>
    <row r="976">
      <c r="A976" s="4" t="n">
        <v>37068</v>
      </c>
      <c r="B976" s="3" t="n">
        <v>238.4456079487054</v>
      </c>
    </row>
    <row r="977">
      <c r="A977" s="4" t="n">
        <v>37069</v>
      </c>
      <c r="B977" s="3" t="n">
        <v>238.562837844452</v>
      </c>
    </row>
    <row r="978">
      <c r="A978" s="4" t="n">
        <v>37070</v>
      </c>
      <c r="B978" s="3" t="n">
        <v>238.7972976359453</v>
      </c>
    </row>
    <row r="979">
      <c r="A979" s="4" t="n">
        <v>37071</v>
      </c>
      <c r="B979" s="3" t="n">
        <v>239.3834471146787</v>
      </c>
    </row>
    <row r="980">
      <c r="A980" s="4" t="n">
        <v>37074</v>
      </c>
      <c r="B980" s="3" t="n">
        <v>236.346101542869</v>
      </c>
    </row>
    <row r="981">
      <c r="A981" s="4" t="n">
        <v>37075</v>
      </c>
      <c r="B981" s="3" t="n">
        <v>236.8081662575178</v>
      </c>
    </row>
    <row r="982">
      <c r="A982" s="4" t="n">
        <v>37076</v>
      </c>
      <c r="B982" s="3" t="n">
        <v>236.8081662575178</v>
      </c>
    </row>
    <row r="983">
      <c r="A983" s="4" t="n">
        <v>37077</v>
      </c>
      <c r="B983" s="3" t="n">
        <v>236.6926500788556</v>
      </c>
    </row>
    <row r="984">
      <c r="A984" s="4" t="n">
        <v>37078</v>
      </c>
      <c r="B984" s="3" t="n">
        <v>237.0391986148422</v>
      </c>
    </row>
    <row r="985">
      <c r="A985" s="4" t="n">
        <v>37082</v>
      </c>
      <c r="B985" s="3" t="n">
        <v>236.7504081681867</v>
      </c>
    </row>
    <row r="986">
      <c r="A986" s="4" t="n">
        <v>37083</v>
      </c>
      <c r="B986" s="3" t="n">
        <v>236.6348919895245</v>
      </c>
    </row>
    <row r="987">
      <c r="A987" s="4" t="n">
        <v>37084</v>
      </c>
      <c r="B987" s="3" t="n">
        <v>236.8081662575178</v>
      </c>
    </row>
    <row r="988">
      <c r="A988" s="4" t="n">
        <v>37085</v>
      </c>
      <c r="B988" s="3" t="n">
        <v>236.8659243468489</v>
      </c>
    </row>
    <row r="989">
      <c r="A989" s="4" t="n">
        <v>37088</v>
      </c>
      <c r="B989" s="3" t="n">
        <v>237.4435052401599</v>
      </c>
    </row>
    <row r="990">
      <c r="A990" s="4" t="n">
        <v>37089</v>
      </c>
      <c r="B990" s="3" t="n">
        <v>237.7900537761466</v>
      </c>
    </row>
    <row r="991">
      <c r="A991" s="4" t="n">
        <v>37090</v>
      </c>
      <c r="B991" s="3" t="n">
        <v>237.9633280441398</v>
      </c>
    </row>
    <row r="992">
      <c r="A992" s="4" t="n">
        <v>37091</v>
      </c>
      <c r="B992" s="3" t="n">
        <v>239.5805545454107</v>
      </c>
    </row>
    <row r="993">
      <c r="A993" s="4" t="n">
        <v>37092</v>
      </c>
      <c r="B993" s="3" t="n">
        <v>240.1581354387217</v>
      </c>
    </row>
    <row r="994">
      <c r="A994" s="4" t="n">
        <v>37095</v>
      </c>
      <c r="B994" s="3" t="n">
        <v>241.1977810466815</v>
      </c>
    </row>
    <row r="995">
      <c r="A995" s="4" t="n">
        <v>37096</v>
      </c>
      <c r="B995" s="3" t="n">
        <v>241.6598457613303</v>
      </c>
    </row>
    <row r="996">
      <c r="A996" s="4" t="n">
        <v>37097</v>
      </c>
      <c r="B996" s="3" t="n">
        <v>242.4107009226346</v>
      </c>
    </row>
    <row r="997">
      <c r="A997" s="4" t="n">
        <v>37098</v>
      </c>
      <c r="B997" s="3" t="n">
        <v>243.9124112452433</v>
      </c>
    </row>
    <row r="998">
      <c r="A998" s="4" t="n">
        <v>37099</v>
      </c>
      <c r="B998" s="3" t="n">
        <v>244.1434436025677</v>
      </c>
    </row>
    <row r="999">
      <c r="A999" s="4" t="n">
        <v>37102</v>
      </c>
      <c r="B999" s="3" t="n">
        <v>244.6055083172165</v>
      </c>
    </row>
    <row r="1000">
      <c r="A1000" s="4" t="n">
        <v>37103</v>
      </c>
      <c r="B1000" s="3" t="n">
        <v>244.894298763872</v>
      </c>
    </row>
    <row r="1001">
      <c r="A1001" s="4" t="n">
        <v>37104</v>
      </c>
      <c r="B1001" s="3" t="n">
        <v>241.5507694649661</v>
      </c>
    </row>
    <row r="1002">
      <c r="A1002" s="4" t="n">
        <v>37105</v>
      </c>
      <c r="B1002" s="3" t="n">
        <v>241.3798609016654</v>
      </c>
    </row>
    <row r="1003">
      <c r="A1003" s="4" t="n">
        <v>37106</v>
      </c>
      <c r="B1003" s="3" t="n">
        <v>241.5507694649661</v>
      </c>
    </row>
    <row r="1004">
      <c r="A1004" s="4" t="n">
        <v>37109</v>
      </c>
      <c r="B1004" s="3" t="n">
        <v>241.4368304227657</v>
      </c>
    </row>
    <row r="1005">
      <c r="A1005" s="4" t="n">
        <v>37110</v>
      </c>
      <c r="B1005" s="3" t="n">
        <v>240.8671352117634</v>
      </c>
    </row>
    <row r="1006">
      <c r="A1006" s="4" t="n">
        <v>37111</v>
      </c>
      <c r="B1006" s="3" t="n">
        <v>241.2089523383648</v>
      </c>
    </row>
    <row r="1007">
      <c r="A1007" s="4" t="n">
        <v>37112</v>
      </c>
      <c r="B1007" s="3" t="n">
        <v>240.9810742539638</v>
      </c>
    </row>
    <row r="1008">
      <c r="A1008" s="4" t="n">
        <v>37113</v>
      </c>
      <c r="B1008" s="3" t="n">
        <v>240.8101656906632</v>
      </c>
    </row>
    <row r="1009">
      <c r="A1009" s="4" t="n">
        <v>37116</v>
      </c>
      <c r="B1009" s="3" t="n">
        <v>240.6962266484627</v>
      </c>
    </row>
    <row r="1010">
      <c r="A1010" s="4" t="n">
        <v>37117</v>
      </c>
      <c r="B1010" s="3" t="n">
        <v>240.2974400007611</v>
      </c>
    </row>
    <row r="1011">
      <c r="A1011" s="4" t="n">
        <v>37118</v>
      </c>
      <c r="B1011" s="3" t="n">
        <v>240.1265314374604</v>
      </c>
    </row>
    <row r="1012">
      <c r="A1012" s="4" t="n">
        <v>37119</v>
      </c>
      <c r="B1012" s="3" t="n">
        <v>239.9556228741597</v>
      </c>
    </row>
    <row r="1013">
      <c r="A1013" s="4" t="n">
        <v>37120</v>
      </c>
      <c r="B1013" s="3" t="n">
        <v>239.7847143108591</v>
      </c>
    </row>
    <row r="1014">
      <c r="A1014" s="4" t="n">
        <v>37123</v>
      </c>
      <c r="B1014" s="3" t="n">
        <v>240.2404704796609</v>
      </c>
    </row>
    <row r="1015">
      <c r="A1015" s="4" t="n">
        <v>37124</v>
      </c>
      <c r="B1015" s="3" t="n">
        <v>240.0695619163602</v>
      </c>
    </row>
    <row r="1016">
      <c r="A1016" s="4" t="n">
        <v>37125</v>
      </c>
      <c r="B1016" s="3" t="n">
        <v>239.7277447897588</v>
      </c>
    </row>
    <row r="1017">
      <c r="A1017" s="4" t="n">
        <v>37126</v>
      </c>
      <c r="B1017" s="3" t="n">
        <v>239.6707752686586</v>
      </c>
    </row>
    <row r="1018">
      <c r="A1018" s="4" t="n">
        <v>37127</v>
      </c>
      <c r="B1018" s="3" t="n">
        <v>239.8986533530595</v>
      </c>
    </row>
    <row r="1019">
      <c r="A1019" s="4" t="n">
        <v>37130</v>
      </c>
      <c r="B1019" s="3" t="n">
        <v>240.0695619163602</v>
      </c>
    </row>
    <row r="1020">
      <c r="A1020" s="4" t="n">
        <v>37131</v>
      </c>
      <c r="B1020" s="3" t="n">
        <v>240.01259239526</v>
      </c>
    </row>
    <row r="1021">
      <c r="A1021" s="4" t="n">
        <v>37132</v>
      </c>
      <c r="B1021" s="3" t="n">
        <v>240.2404704796609</v>
      </c>
    </row>
    <row r="1022">
      <c r="A1022" s="4" t="n">
        <v>37133</v>
      </c>
      <c r="B1022" s="3" t="n">
        <v>240.1265314374604</v>
      </c>
    </row>
    <row r="1023">
      <c r="A1023" s="4" t="n">
        <v>37134</v>
      </c>
      <c r="B1023" s="3" t="n">
        <v>240.1265314374604</v>
      </c>
    </row>
    <row r="1024">
      <c r="A1024" s="4" t="n">
        <v>37137</v>
      </c>
      <c r="B1024" s="3" t="n">
        <v>239.3386040511636</v>
      </c>
    </row>
    <row r="1025">
      <c r="A1025" s="4" t="n">
        <v>37138</v>
      </c>
      <c r="B1025" s="3" t="n">
        <v>239.1114198043186</v>
      </c>
    </row>
    <row r="1026">
      <c r="A1026" s="4" t="n">
        <v>37139</v>
      </c>
      <c r="B1026" s="3" t="n">
        <v>239.1114198043186</v>
      </c>
    </row>
    <row r="1027">
      <c r="A1027" s="4" t="n">
        <v>37140</v>
      </c>
      <c r="B1027" s="3" t="n">
        <v>239.1682158660298</v>
      </c>
    </row>
    <row r="1028">
      <c r="A1028" s="4" t="n">
        <v>37144</v>
      </c>
      <c r="B1028" s="3" t="n">
        <v>239.5657882980085</v>
      </c>
    </row>
    <row r="1029">
      <c r="A1029" s="4" t="n">
        <v>37145</v>
      </c>
      <c r="B1029" s="3" t="n">
        <v>239.5657882980085</v>
      </c>
    </row>
    <row r="1030">
      <c r="A1030" s="4" t="n">
        <v>37146</v>
      </c>
      <c r="B1030" s="3" t="n">
        <v>239.1114198043186</v>
      </c>
    </row>
    <row r="1031">
      <c r="A1031" s="4" t="n">
        <v>37147</v>
      </c>
      <c r="B1031" s="3" t="n">
        <v>239.452196174586</v>
      </c>
    </row>
    <row r="1032">
      <c r="A1032" s="4" t="n">
        <v>37148</v>
      </c>
      <c r="B1032" s="3" t="n">
        <v>239.3386040511636</v>
      </c>
    </row>
    <row r="1033">
      <c r="A1033" s="4" t="n">
        <v>37151</v>
      </c>
      <c r="B1033" s="3" t="n">
        <v>239.679380421431</v>
      </c>
    </row>
    <row r="1034">
      <c r="A1034" s="4" t="n">
        <v>37152</v>
      </c>
      <c r="B1034" s="3" t="n">
        <v>239.8497686065647</v>
      </c>
    </row>
    <row r="1035">
      <c r="A1035" s="4" t="n">
        <v>37153</v>
      </c>
      <c r="B1035" s="3" t="n">
        <v>241.2128740876345</v>
      </c>
    </row>
    <row r="1036">
      <c r="A1036" s="4" t="n">
        <v>37154</v>
      </c>
      <c r="B1036" s="3" t="n">
        <v>244.3934535434639</v>
      </c>
    </row>
    <row r="1037">
      <c r="A1037" s="4" t="n">
        <v>37155</v>
      </c>
      <c r="B1037" s="3" t="n">
        <v>245.358986592555</v>
      </c>
    </row>
    <row r="1038">
      <c r="A1038" s="4" t="n">
        <v>37158</v>
      </c>
      <c r="B1038" s="3" t="n">
        <v>249.7322833443204</v>
      </c>
    </row>
    <row r="1039">
      <c r="A1039" s="4" t="n">
        <v>37159</v>
      </c>
      <c r="B1039" s="3" t="n">
        <v>250.6978163934115</v>
      </c>
    </row>
    <row r="1040">
      <c r="A1040" s="4" t="n">
        <v>37160</v>
      </c>
      <c r="B1040" s="3" t="n">
        <v>250.6410203317003</v>
      </c>
    </row>
    <row r="1041">
      <c r="A1041" s="4" t="n">
        <v>37161</v>
      </c>
      <c r="B1041" s="3" t="n">
        <v>253.9919879726634</v>
      </c>
    </row>
    <row r="1042">
      <c r="A1042" s="4" t="n">
        <v>37162</v>
      </c>
      <c r="B1042" s="3" t="n">
        <v>256.5478107496692</v>
      </c>
    </row>
    <row r="1043">
      <c r="A1043" s="4" t="n">
        <v>37165</v>
      </c>
      <c r="B1043" s="3" t="n">
        <v>254.9616621433493</v>
      </c>
    </row>
    <row r="1044">
      <c r="A1044" s="4" t="n">
        <v>37166</v>
      </c>
      <c r="B1044" s="3" t="n">
        <v>255.0739305987184</v>
      </c>
    </row>
    <row r="1045">
      <c r="A1045" s="4" t="n">
        <v>37167</v>
      </c>
      <c r="B1045" s="3" t="n">
        <v>254.4003198665035</v>
      </c>
    </row>
    <row r="1046">
      <c r="A1046" s="4" t="n">
        <v>37168</v>
      </c>
      <c r="B1046" s="3" t="n">
        <v>255.8598097863025</v>
      </c>
    </row>
    <row r="1047">
      <c r="A1047" s="4" t="n">
        <v>37169</v>
      </c>
      <c r="B1047" s="3" t="n">
        <v>255.7475413309334</v>
      </c>
    </row>
    <row r="1048">
      <c r="A1048" s="4" t="n">
        <v>37172</v>
      </c>
      <c r="B1048" s="3" t="n">
        <v>255.8598097863025</v>
      </c>
    </row>
    <row r="1049">
      <c r="A1049" s="4" t="n">
        <v>37173</v>
      </c>
      <c r="B1049" s="3" t="n">
        <v>258.1613131213702</v>
      </c>
    </row>
    <row r="1050">
      <c r="A1050" s="4" t="n">
        <v>37174</v>
      </c>
      <c r="B1050" s="3" t="n">
        <v>258.9471923089543</v>
      </c>
    </row>
    <row r="1051">
      <c r="A1051" s="4" t="n">
        <v>37175</v>
      </c>
      <c r="B1051" s="3" t="n">
        <v>258.6103869428468</v>
      </c>
    </row>
    <row r="1052">
      <c r="A1052" s="4" t="n">
        <v>37179</v>
      </c>
      <c r="B1052" s="3" t="n">
        <v>259.5646688134846</v>
      </c>
    </row>
    <row r="1053">
      <c r="A1053" s="4" t="n">
        <v>37180</v>
      </c>
      <c r="B1053" s="3" t="n">
        <v>259.9576084072767</v>
      </c>
    </row>
    <row r="1054">
      <c r="A1054" s="4" t="n">
        <v>37181</v>
      </c>
      <c r="B1054" s="3" t="n">
        <v>261.3609640993911</v>
      </c>
    </row>
    <row r="1055">
      <c r="A1055" s="4" t="n">
        <v>37182</v>
      </c>
      <c r="B1055" s="3" t="n">
        <v>263.6624674344588</v>
      </c>
    </row>
    <row r="1056">
      <c r="A1056" s="4" t="n">
        <v>37183</v>
      </c>
      <c r="B1056" s="3" t="n">
        <v>263.8308701175125</v>
      </c>
    </row>
    <row r="1057">
      <c r="A1057" s="4" t="n">
        <v>37186</v>
      </c>
      <c r="B1057" s="3" t="n">
        <v>265.0096888988886</v>
      </c>
    </row>
    <row r="1058">
      <c r="A1058" s="4" t="n">
        <v>37187</v>
      </c>
      <c r="B1058" s="3" t="n">
        <v>265.4587627203652</v>
      </c>
    </row>
    <row r="1059">
      <c r="A1059" s="4" t="n">
        <v>37188</v>
      </c>
      <c r="B1059" s="3" t="n">
        <v>266.020104997211</v>
      </c>
    </row>
    <row r="1060">
      <c r="A1060" s="4" t="n">
        <v>37189</v>
      </c>
      <c r="B1060" s="3" t="n">
        <v>267.4234606893254</v>
      </c>
    </row>
    <row r="1061">
      <c r="A1061" s="4" t="n">
        <v>37190</v>
      </c>
      <c r="B1061" s="3" t="n">
        <v>267.5357291446945</v>
      </c>
    </row>
    <row r="1062">
      <c r="A1062" s="4" t="n">
        <v>37193</v>
      </c>
      <c r="B1062" s="3" t="n">
        <v>265.9639707695264</v>
      </c>
    </row>
    <row r="1063">
      <c r="A1063" s="4" t="n">
        <v>37194</v>
      </c>
      <c r="B1063" s="3" t="n">
        <v>264.6728835327812</v>
      </c>
    </row>
    <row r="1064">
      <c r="A1064" s="4" t="n">
        <v>37195</v>
      </c>
      <c r="B1064" s="3" t="n">
        <v>264.3922123943583</v>
      </c>
    </row>
    <row r="1065">
      <c r="A1065" s="4" t="n">
        <v>37196</v>
      </c>
      <c r="B1065" s="3" t="n">
        <v>259.2954790551035</v>
      </c>
    </row>
    <row r="1066">
      <c r="A1066" s="4" t="n">
        <v>37200</v>
      </c>
      <c r="B1066" s="3" t="n">
        <v>257.4076747108051</v>
      </c>
    </row>
    <row r="1067">
      <c r="A1067" s="4" t="n">
        <v>37201</v>
      </c>
      <c r="B1067" s="3" t="n">
        <v>257.5187220251756</v>
      </c>
    </row>
    <row r="1068">
      <c r="A1068" s="4" t="n">
        <v>37202</v>
      </c>
      <c r="B1068" s="3" t="n">
        <v>256.2416779099149</v>
      </c>
    </row>
    <row r="1069">
      <c r="A1069" s="4" t="n">
        <v>37203</v>
      </c>
      <c r="B1069" s="3" t="n">
        <v>256.0751069383591</v>
      </c>
    </row>
    <row r="1070">
      <c r="A1070" s="4" t="n">
        <v>37204</v>
      </c>
      <c r="B1070" s="3" t="n">
        <v>254.1317789368755</v>
      </c>
    </row>
    <row r="1071">
      <c r="A1071" s="4" t="n">
        <v>37207</v>
      </c>
      <c r="B1071" s="3" t="n">
        <v>252.1329272782066</v>
      </c>
    </row>
    <row r="1072">
      <c r="A1072" s="4" t="n">
        <v>37208</v>
      </c>
      <c r="B1072" s="3" t="n">
        <v>251.6332143635394</v>
      </c>
    </row>
    <row r="1073">
      <c r="A1073" s="4" t="n">
        <v>37209</v>
      </c>
      <c r="B1073" s="3" t="n">
        <v>250.6337885342049</v>
      </c>
    </row>
    <row r="1074">
      <c r="A1074" s="4" t="n">
        <v>37211</v>
      </c>
      <c r="B1074" s="3" t="n">
        <v>250.7448358485754</v>
      </c>
    </row>
    <row r="1075">
      <c r="A1075" s="4" t="n">
        <v>37214</v>
      </c>
      <c r="B1075" s="3" t="n">
        <v>250.9114068201312</v>
      </c>
    </row>
    <row r="1076">
      <c r="A1076" s="4" t="n">
        <v>37215</v>
      </c>
      <c r="B1076" s="3" t="n">
        <v>251.3555960776132</v>
      </c>
    </row>
    <row r="1077">
      <c r="A1077" s="4" t="n">
        <v>37216</v>
      </c>
      <c r="B1077" s="3" t="n">
        <v>251.5776907063542</v>
      </c>
    </row>
    <row r="1078">
      <c r="A1078" s="4" t="n">
        <v>37217</v>
      </c>
      <c r="B1078" s="3" t="n">
        <v>253.4099713934673</v>
      </c>
    </row>
    <row r="1079">
      <c r="A1079" s="4" t="n">
        <v>37218</v>
      </c>
      <c r="B1079" s="3" t="n">
        <v>256.2416779099149</v>
      </c>
    </row>
    <row r="1080">
      <c r="A1080" s="4" t="n">
        <v>37221</v>
      </c>
      <c r="B1080" s="3" t="n">
        <v>256.6858671673969</v>
      </c>
    </row>
    <row r="1081">
      <c r="A1081" s="4" t="n">
        <v>37222</v>
      </c>
      <c r="B1081" s="3" t="n">
        <v>256.5192961958412</v>
      </c>
    </row>
    <row r="1082">
      <c r="A1082" s="4" t="n">
        <v>37223</v>
      </c>
      <c r="B1082" s="3" t="n">
        <v>257.6852929967313</v>
      </c>
    </row>
    <row r="1083">
      <c r="A1083" s="4" t="n">
        <v>37224</v>
      </c>
      <c r="B1083" s="3" t="n">
        <v>258.5736715116953</v>
      </c>
    </row>
    <row r="1084">
      <c r="A1084" s="4" t="n">
        <v>37225</v>
      </c>
      <c r="B1084" s="3" t="n">
        <v>259.4620500266592</v>
      </c>
    </row>
    <row r="1085">
      <c r="A1085" s="4" t="n">
        <v>37228</v>
      </c>
      <c r="B1085" s="3" t="n">
        <v>259.9963206469192</v>
      </c>
    </row>
    <row r="1086">
      <c r="A1086" s="4" t="n">
        <v>37229</v>
      </c>
      <c r="B1086" s="3" t="n">
        <v>260.384126793207</v>
      </c>
    </row>
    <row r="1087">
      <c r="A1087" s="4" t="n">
        <v>37230</v>
      </c>
      <c r="B1087" s="3" t="n">
        <v>259.885518890837</v>
      </c>
    </row>
    <row r="1088">
      <c r="A1088" s="4" t="n">
        <v>37231</v>
      </c>
      <c r="B1088" s="3" t="n">
        <v>259.386910988467</v>
      </c>
    </row>
    <row r="1089">
      <c r="A1089" s="4" t="n">
        <v>37232</v>
      </c>
      <c r="B1089" s="3" t="n">
        <v>258.0018890374393</v>
      </c>
    </row>
    <row r="1090">
      <c r="A1090" s="4" t="n">
        <v>37235</v>
      </c>
      <c r="B1090" s="3" t="n">
        <v>256.838470598576</v>
      </c>
    </row>
    <row r="1091">
      <c r="A1091" s="4" t="n">
        <v>37236</v>
      </c>
      <c r="B1091" s="3" t="n">
        <v>255.3426468914661</v>
      </c>
    </row>
    <row r="1092">
      <c r="A1092" s="4" t="n">
        <v>37237</v>
      </c>
      <c r="B1092" s="3" t="n">
        <v>252.5172021113696</v>
      </c>
    </row>
    <row r="1093">
      <c r="A1093" s="4" t="n">
        <v>37238</v>
      </c>
      <c r="B1093" s="3" t="n">
        <v>250.3011669897253</v>
      </c>
    </row>
    <row r="1094">
      <c r="A1094" s="4" t="n">
        <v>37239</v>
      </c>
      <c r="B1094" s="3" t="n">
        <v>250.3011669897253</v>
      </c>
    </row>
    <row r="1095">
      <c r="A1095" s="4" t="n">
        <v>37242</v>
      </c>
      <c r="B1095" s="3" t="n">
        <v>251.8523915748763</v>
      </c>
    </row>
    <row r="1096">
      <c r="A1096" s="4" t="n">
        <v>37243</v>
      </c>
      <c r="B1096" s="3" t="n">
        <v>252.7388056235341</v>
      </c>
    </row>
    <row r="1097">
      <c r="A1097" s="4" t="n">
        <v>37244</v>
      </c>
      <c r="B1097" s="3" t="n">
        <v>253.7914223063151</v>
      </c>
    </row>
    <row r="1098">
      <c r="A1098" s="4" t="n">
        <v>37245</v>
      </c>
      <c r="B1098" s="3" t="n">
        <v>254.3454310867262</v>
      </c>
    </row>
    <row r="1099">
      <c r="A1099" s="4" t="n">
        <v>37246</v>
      </c>
      <c r="B1099" s="3" t="n">
        <v>255.4534486475483</v>
      </c>
    </row>
    <row r="1100">
      <c r="A1100" s="4" t="n">
        <v>37251</v>
      </c>
      <c r="B1100" s="3" t="n">
        <v>256.0074574279594</v>
      </c>
    </row>
    <row r="1101">
      <c r="A1101" s="4" t="n">
        <v>37252</v>
      </c>
      <c r="B1101" s="3" t="n">
        <v>255.785853915795</v>
      </c>
    </row>
    <row r="1102">
      <c r="A1102" s="4" t="n">
        <v>37253</v>
      </c>
      <c r="B1102" s="3" t="n">
        <v>256.1182591840416</v>
      </c>
    </row>
    <row r="1103">
      <c r="A1103" s="4" t="n">
        <v>37258</v>
      </c>
      <c r="B1103" s="3" t="n">
        <v>255.1410301275905</v>
      </c>
    </row>
    <row r="1104">
      <c r="A1104" s="4" t="n">
        <v>37259</v>
      </c>
      <c r="B1104" s="3" t="n">
        <v>254.9754258241758</v>
      </c>
    </row>
    <row r="1105">
      <c r="A1105" s="4" t="n">
        <v>37260</v>
      </c>
      <c r="B1105" s="3" t="n">
        <v>254.8650229552327</v>
      </c>
    </row>
    <row r="1106">
      <c r="A1106" s="4" t="n">
        <v>37263</v>
      </c>
      <c r="B1106" s="3" t="n">
        <v>254.9202243897043</v>
      </c>
    </row>
    <row r="1107">
      <c r="A1107" s="4" t="n">
        <v>37264</v>
      </c>
      <c r="B1107" s="3" t="n">
        <v>254.313008610517</v>
      </c>
    </row>
    <row r="1108">
      <c r="A1108" s="4" t="n">
        <v>37265</v>
      </c>
      <c r="B1108" s="3" t="n">
        <v>253.2641813555572</v>
      </c>
    </row>
    <row r="1109">
      <c r="A1109" s="4" t="n">
        <v>37266</v>
      </c>
      <c r="B1109" s="3" t="n">
        <v>252.3809584040121</v>
      </c>
    </row>
    <row r="1110">
      <c r="A1110" s="4" t="n">
        <v>37267</v>
      </c>
      <c r="B1110" s="3" t="n">
        <v>251.3321311490523</v>
      </c>
    </row>
    <row r="1111">
      <c r="A1111" s="4" t="n">
        <v>37270</v>
      </c>
      <c r="B1111" s="3" t="n">
        <v>250.6145125009219</v>
      </c>
    </row>
    <row r="1112">
      <c r="A1112" s="4" t="n">
        <v>37271</v>
      </c>
      <c r="B1112" s="3" t="n">
        <v>249.8416924183199</v>
      </c>
    </row>
    <row r="1113">
      <c r="A1113" s="4" t="n">
        <v>37272</v>
      </c>
      <c r="B1113" s="3" t="n">
        <v>249.3448795080758</v>
      </c>
    </row>
    <row r="1114">
      <c r="A1114" s="4" t="n">
        <v>37273</v>
      </c>
      <c r="B1114" s="3" t="n">
        <v>250.0624981562062</v>
      </c>
    </row>
    <row r="1115">
      <c r="A1115" s="4" t="n">
        <v>37274</v>
      </c>
      <c r="B1115" s="3" t="n">
        <v>250.7801168043366</v>
      </c>
    </row>
    <row r="1116">
      <c r="A1116" s="4" t="n">
        <v>37277</v>
      </c>
      <c r="B1116" s="3" t="n">
        <v>250.6145125009219</v>
      </c>
    </row>
    <row r="1117">
      <c r="A1117" s="4" t="n">
        <v>37278</v>
      </c>
      <c r="B1117" s="3" t="n">
        <v>251.0009225422229</v>
      </c>
    </row>
    <row r="1118">
      <c r="A1118" s="4" t="n">
        <v>37279</v>
      </c>
      <c r="B1118" s="3" t="n">
        <v>250.5593110664503</v>
      </c>
    </row>
    <row r="1119">
      <c r="A1119" s="4" t="n">
        <v>37280</v>
      </c>
      <c r="B1119" s="3" t="n">
        <v>250.6145125009219</v>
      </c>
    </row>
    <row r="1120">
      <c r="A1120" s="4" t="n">
        <v>37281</v>
      </c>
      <c r="B1120" s="3" t="n">
        <v>250.9457211077513</v>
      </c>
    </row>
    <row r="1121">
      <c r="A1121" s="4" t="n">
        <v>37284</v>
      </c>
      <c r="B1121" s="3" t="n">
        <v>250.8353182388081</v>
      </c>
    </row>
    <row r="1122">
      <c r="A1122" s="4" t="n">
        <v>37285</v>
      </c>
      <c r="B1122" s="3" t="n">
        <v>250.7801168043366</v>
      </c>
    </row>
    <row r="1123">
      <c r="A1123" s="4" t="n">
        <v>37286</v>
      </c>
      <c r="B1123" s="3" t="n">
        <v>251.4425340179954</v>
      </c>
    </row>
    <row r="1124">
      <c r="A1124" s="4" t="n">
        <v>37287</v>
      </c>
      <c r="B1124" s="3" t="n">
        <v>251.5529368869385</v>
      </c>
    </row>
    <row r="1125">
      <c r="A1125" s="4" t="n">
        <v>37288</v>
      </c>
      <c r="B1125" s="3" t="n">
        <v>250.7402678349319</v>
      </c>
    </row>
    <row r="1126">
      <c r="A1126" s="4" t="n">
        <v>37291</v>
      </c>
      <c r="B1126" s="3" t="n">
        <v>250.6299310834093</v>
      </c>
    </row>
    <row r="1127">
      <c r="A1127" s="4" t="n">
        <v>37292</v>
      </c>
      <c r="B1127" s="3" t="n">
        <v>250.7402678349319</v>
      </c>
    </row>
    <row r="1128">
      <c r="A1128" s="4" t="n">
        <v>37293</v>
      </c>
      <c r="B1128" s="3" t="n">
        <v>250.8506045864544</v>
      </c>
    </row>
    <row r="1129">
      <c r="A1129" s="4" t="n">
        <v>37294</v>
      </c>
      <c r="B1129" s="3" t="n">
        <v>251.622961847112</v>
      </c>
    </row>
    <row r="1130">
      <c r="A1130" s="4" t="n">
        <v>37295</v>
      </c>
      <c r="B1130" s="3" t="n">
        <v>251.8436353501571</v>
      </c>
    </row>
    <row r="1131">
      <c r="A1131" s="4" t="n">
        <v>37300</v>
      </c>
      <c r="B1131" s="3" t="n">
        <v>251.402288344067</v>
      </c>
    </row>
    <row r="1132">
      <c r="A1132" s="4" t="n">
        <v>37301</v>
      </c>
      <c r="B1132" s="3" t="n">
        <v>252.1194772289633</v>
      </c>
    </row>
    <row r="1133">
      <c r="A1133" s="4" t="n">
        <v>37302</v>
      </c>
      <c r="B1133" s="3" t="n">
        <v>252.0643088532021</v>
      </c>
    </row>
    <row r="1134">
      <c r="A1134" s="4" t="n">
        <v>37305</v>
      </c>
      <c r="B1134" s="3" t="n">
        <v>252.2849823562471</v>
      </c>
    </row>
    <row r="1135">
      <c r="A1135" s="4" t="n">
        <v>37306</v>
      </c>
      <c r="B1135" s="3" t="n">
        <v>252.671160986576</v>
      </c>
    </row>
    <row r="1136">
      <c r="A1136" s="4" t="n">
        <v>37307</v>
      </c>
      <c r="B1136" s="3" t="n">
        <v>252.7814977380985</v>
      </c>
    </row>
    <row r="1137">
      <c r="A1137" s="4" t="n">
        <v>37308</v>
      </c>
      <c r="B1137" s="3" t="n">
        <v>252.8366661138597</v>
      </c>
    </row>
    <row r="1138">
      <c r="A1138" s="4" t="n">
        <v>37309</v>
      </c>
      <c r="B1138" s="3" t="n">
        <v>253.3331814957111</v>
      </c>
    </row>
    <row r="1139">
      <c r="A1139" s="4" t="n">
        <v>37312</v>
      </c>
      <c r="B1139" s="3" t="n">
        <v>253.6641917502786</v>
      </c>
    </row>
    <row r="1140">
      <c r="A1140" s="4" t="n">
        <v>37313</v>
      </c>
      <c r="B1140" s="3" t="n">
        <v>253.4435182472336</v>
      </c>
    </row>
    <row r="1141">
      <c r="A1141" s="4" t="n">
        <v>37314</v>
      </c>
      <c r="B1141" s="3" t="n">
        <v>253.4435182472336</v>
      </c>
    </row>
    <row r="1142">
      <c r="A1142" s="4" t="n">
        <v>37315</v>
      </c>
      <c r="B1142" s="3" t="n">
        <v>253.4986866229949</v>
      </c>
    </row>
    <row r="1143">
      <c r="A1143" s="4" t="n">
        <v>37316</v>
      </c>
      <c r="B1143" s="3" t="n">
        <v>253.042542296434</v>
      </c>
    </row>
    <row r="1144">
      <c r="A1144" s="4" t="n">
        <v>37319</v>
      </c>
      <c r="B1144" s="3" t="n">
        <v>252.8771910381266</v>
      </c>
    </row>
    <row r="1145">
      <c r="A1145" s="4" t="n">
        <v>37320</v>
      </c>
      <c r="B1145" s="3" t="n">
        <v>252.2709030909994</v>
      </c>
    </row>
    <row r="1146">
      <c r="A1146" s="4" t="n">
        <v>37321</v>
      </c>
      <c r="B1146" s="3" t="n">
        <v>252.0504347465895</v>
      </c>
    </row>
    <row r="1147">
      <c r="A1147" s="4" t="n">
        <v>37322</v>
      </c>
      <c r="B1147" s="3" t="n">
        <v>249.2394633553637</v>
      </c>
    </row>
    <row r="1148">
      <c r="A1148" s="4" t="n">
        <v>37323</v>
      </c>
      <c r="B1148" s="3" t="n">
        <v>247.9717703750069</v>
      </c>
    </row>
    <row r="1149">
      <c r="A1149" s="4" t="n">
        <v>37326</v>
      </c>
      <c r="B1149" s="3" t="n">
        <v>247.9717703750069</v>
      </c>
    </row>
    <row r="1150">
      <c r="A1150" s="4" t="n">
        <v>37327</v>
      </c>
      <c r="B1150" s="3" t="n">
        <v>246.7591944807526</v>
      </c>
    </row>
    <row r="1151">
      <c r="A1151" s="4" t="n">
        <v>37328</v>
      </c>
      <c r="B1151" s="3" t="n">
        <v>246.7591944807526</v>
      </c>
    </row>
    <row r="1152">
      <c r="A1152" s="4" t="n">
        <v>37329</v>
      </c>
      <c r="B1152" s="3" t="n">
        <v>247.0347799112649</v>
      </c>
    </row>
    <row r="1153">
      <c r="A1153" s="4" t="n">
        <v>37330</v>
      </c>
      <c r="B1153" s="3" t="n">
        <v>247.2001311695723</v>
      </c>
    </row>
    <row r="1154">
      <c r="A1154" s="4" t="n">
        <v>37333</v>
      </c>
      <c r="B1154" s="3" t="n">
        <v>247.9717703750069</v>
      </c>
    </row>
    <row r="1155">
      <c r="A1155" s="4" t="n">
        <v>37334</v>
      </c>
      <c r="B1155" s="3" t="n">
        <v>248.1371216333143</v>
      </c>
    </row>
    <row r="1156">
      <c r="A1156" s="4" t="n">
        <v>37335</v>
      </c>
      <c r="B1156" s="3" t="n">
        <v>247.751302030597</v>
      </c>
    </row>
    <row r="1157">
      <c r="A1157" s="4" t="n">
        <v>37336</v>
      </c>
      <c r="B1157" s="3" t="n">
        <v>247.5308336861871</v>
      </c>
    </row>
    <row r="1158">
      <c r="A1158" s="4" t="n">
        <v>37337</v>
      </c>
      <c r="B1158" s="3" t="n">
        <v>245.7119698448057</v>
      </c>
    </row>
    <row r="1159">
      <c r="A1159" s="4" t="n">
        <v>37340</v>
      </c>
      <c r="B1159" s="3" t="n">
        <v>237.2790556711279</v>
      </c>
    </row>
    <row r="1160">
      <c r="A1160" s="4" t="n">
        <v>37341</v>
      </c>
      <c r="B1160" s="3" t="n">
        <v>235.2397234853366</v>
      </c>
    </row>
    <row r="1161">
      <c r="A1161" s="4" t="n">
        <v>37342</v>
      </c>
      <c r="B1161" s="3" t="n">
        <v>236.3971822934884</v>
      </c>
    </row>
    <row r="1162">
      <c r="A1162" s="4" t="n">
        <v>37343</v>
      </c>
      <c r="B1162" s="3" t="n">
        <v>238.0506948765625</v>
      </c>
    </row>
    <row r="1163">
      <c r="A1163" s="4" t="n">
        <v>37347</v>
      </c>
      <c r="B1163" s="3" t="n">
        <v>234.7043052644105</v>
      </c>
    </row>
    <row r="1164">
      <c r="A1164" s="4" t="n">
        <v>37348</v>
      </c>
      <c r="B1164" s="3" t="n">
        <v>235.4168592037934</v>
      </c>
    </row>
    <row r="1165">
      <c r="A1165" s="4" t="n">
        <v>37349</v>
      </c>
      <c r="B1165" s="3" t="n">
        <v>235.7457302527393</v>
      </c>
    </row>
    <row r="1166">
      <c r="A1166" s="4" t="n">
        <v>37350</v>
      </c>
      <c r="B1166" s="3" t="n">
        <v>238.1026394368518</v>
      </c>
    </row>
    <row r="1167">
      <c r="A1167" s="4" t="n">
        <v>37351</v>
      </c>
      <c r="B1167" s="3" t="n">
        <v>238.4863223272887</v>
      </c>
    </row>
    <row r="1168">
      <c r="A1168" s="4" t="n">
        <v>37354</v>
      </c>
      <c r="B1168" s="3" t="n">
        <v>238.4315104857977</v>
      </c>
    </row>
    <row r="1169">
      <c r="A1169" s="4" t="n">
        <v>37355</v>
      </c>
      <c r="B1169" s="3" t="n">
        <v>239.3084999496535</v>
      </c>
    </row>
    <row r="1170">
      <c r="A1170" s="4" t="n">
        <v>37356</v>
      </c>
      <c r="B1170" s="3" t="n">
        <v>239.1440644251805</v>
      </c>
    </row>
    <row r="1171">
      <c r="A1171" s="4" t="n">
        <v>37357</v>
      </c>
      <c r="B1171" s="3" t="n">
        <v>238.4315104857977</v>
      </c>
    </row>
    <row r="1172">
      <c r="A1172" s="4" t="n">
        <v>37358</v>
      </c>
      <c r="B1172" s="3" t="n">
        <v>238.4315104857977</v>
      </c>
    </row>
    <row r="1173">
      <c r="A1173" s="4" t="n">
        <v>37361</v>
      </c>
      <c r="B1173" s="3" t="n">
        <v>236.2390368261582</v>
      </c>
    </row>
    <row r="1174">
      <c r="A1174" s="4" t="n">
        <v>37362</v>
      </c>
      <c r="B1174" s="3" t="n">
        <v>235.7457302527393</v>
      </c>
    </row>
    <row r="1175">
      <c r="A1175" s="4" t="n">
        <v>37363</v>
      </c>
      <c r="B1175" s="3" t="n">
        <v>234.7043052644105</v>
      </c>
    </row>
    <row r="1176">
      <c r="A1176" s="4" t="n">
        <v>37364</v>
      </c>
      <c r="B1176" s="3" t="n">
        <v>232.7858908122259</v>
      </c>
    </row>
    <row r="1177">
      <c r="A1177" s="4" t="n">
        <v>37365</v>
      </c>
      <c r="B1177" s="3" t="n">
        <v>230.9771000430234</v>
      </c>
    </row>
    <row r="1178">
      <c r="A1178" s="4" t="n">
        <v>37368</v>
      </c>
      <c r="B1178" s="3" t="n">
        <v>230.2645461036405</v>
      </c>
    </row>
    <row r="1179">
      <c r="A1179" s="4" t="n">
        <v>37369</v>
      </c>
      <c r="B1179" s="3" t="n">
        <v>227.0854592971632</v>
      </c>
    </row>
    <row r="1180">
      <c r="A1180" s="4" t="n">
        <v>37370</v>
      </c>
      <c r="B1180" s="3" t="n">
        <v>226.1536579918164</v>
      </c>
    </row>
    <row r="1181">
      <c r="A1181" s="4" t="n">
        <v>37371</v>
      </c>
      <c r="B1181" s="3" t="n">
        <v>224.0708080151589</v>
      </c>
    </row>
    <row r="1182">
      <c r="A1182" s="4" t="n">
        <v>37372</v>
      </c>
      <c r="B1182" s="3" t="n">
        <v>221.9331461970104</v>
      </c>
    </row>
    <row r="1183">
      <c r="A1183" s="4" t="n">
        <v>37375</v>
      </c>
      <c r="B1183" s="3" t="n">
        <v>222.3168290874472</v>
      </c>
    </row>
    <row r="1184">
      <c r="A1184" s="4" t="n">
        <v>37376</v>
      </c>
      <c r="B1184" s="3" t="n">
        <v>222.8101356608661</v>
      </c>
    </row>
    <row r="1185">
      <c r="A1185" s="4" t="n">
        <v>37378</v>
      </c>
      <c r="B1185" s="3" t="n">
        <v>221.5271162820256</v>
      </c>
    </row>
    <row r="1186">
      <c r="A1186" s="4" t="n">
        <v>37379</v>
      </c>
      <c r="B1186" s="3" t="n">
        <v>222.5056409674432</v>
      </c>
    </row>
    <row r="1187">
      <c r="A1187" s="4" t="n">
        <v>37382</v>
      </c>
      <c r="B1187" s="3" t="n">
        <v>223.7016155829535</v>
      </c>
    </row>
    <row r="1188">
      <c r="A1188" s="4" t="n">
        <v>37383</v>
      </c>
      <c r="B1188" s="3" t="n">
        <v>225.2781275761262</v>
      </c>
    </row>
    <row r="1189">
      <c r="A1189" s="4" t="n">
        <v>37384</v>
      </c>
      <c r="B1189" s="3" t="n">
        <v>226.8002770867757</v>
      </c>
    </row>
    <row r="1190">
      <c r="A1190" s="4" t="n">
        <v>37385</v>
      </c>
      <c r="B1190" s="3" t="n">
        <v>226.8002770867757</v>
      </c>
    </row>
    <row r="1191">
      <c r="A1191" s="4" t="n">
        <v>37386</v>
      </c>
      <c r="B1191" s="3" t="n">
        <v>227.8331642547164</v>
      </c>
    </row>
    <row r="1192">
      <c r="A1192" s="4" t="n">
        <v>37389</v>
      </c>
      <c r="B1192" s="3" t="n">
        <v>228.3224265974252</v>
      </c>
    </row>
    <row r="1193">
      <c r="A1193" s="4" t="n">
        <v>37390</v>
      </c>
      <c r="B1193" s="3" t="n">
        <v>230.0076635556443</v>
      </c>
    </row>
    <row r="1194">
      <c r="A1194" s="4" t="n">
        <v>37391</v>
      </c>
      <c r="B1194" s="3" t="n">
        <v>230.2794759682603</v>
      </c>
    </row>
    <row r="1195">
      <c r="A1195" s="4" t="n">
        <v>37392</v>
      </c>
      <c r="B1195" s="3" t="n">
        <v>231.2036381711546</v>
      </c>
    </row>
    <row r="1196">
      <c r="A1196" s="4" t="n">
        <v>37393</v>
      </c>
      <c r="B1196" s="3" t="n">
        <v>231.4754505837706</v>
      </c>
    </row>
    <row r="1197">
      <c r="A1197" s="4" t="n">
        <v>37396</v>
      </c>
      <c r="B1197" s="3" t="n">
        <v>231.855987961433</v>
      </c>
    </row>
    <row r="1198">
      <c r="A1198" s="4" t="n">
        <v>37397</v>
      </c>
      <c r="B1198" s="3" t="n">
        <v>231.855987961433</v>
      </c>
    </row>
    <row r="1199">
      <c r="A1199" s="4" t="n">
        <v>37398</v>
      </c>
      <c r="B1199" s="3" t="n">
        <v>231.5298130662938</v>
      </c>
    </row>
    <row r="1200">
      <c r="A1200" s="4" t="n">
        <v>37399</v>
      </c>
      <c r="B1200" s="3" t="n">
        <v>232.399612786665</v>
      </c>
    </row>
    <row r="1201">
      <c r="A1201" s="4" t="n">
        <v>37400</v>
      </c>
      <c r="B1201" s="3" t="n">
        <v>232.3452503041418</v>
      </c>
    </row>
    <row r="1202">
      <c r="A1202" s="4" t="n">
        <v>37403</v>
      </c>
      <c r="B1202" s="3" t="n">
        <v>232.4539752691881</v>
      </c>
    </row>
    <row r="1203">
      <c r="A1203" s="4" t="n">
        <v>37404</v>
      </c>
      <c r="B1203" s="3" t="n">
        <v>232.2908878216186</v>
      </c>
    </row>
    <row r="1204">
      <c r="A1204" s="4" t="n">
        <v>37405</v>
      </c>
      <c r="B1204" s="3" t="n">
        <v>232.1821628565722</v>
      </c>
    </row>
    <row r="1205">
      <c r="A1205" s="4" t="n">
        <v>37407</v>
      </c>
      <c r="B1205" s="3" t="n">
        <v>232.0734378915257</v>
      </c>
    </row>
    <row r="1206">
      <c r="A1206" s="4" t="n">
        <v>37410</v>
      </c>
      <c r="B1206" s="3" t="n">
        <v>228.2824455491578</v>
      </c>
    </row>
    <row r="1207">
      <c r="A1207" s="4" t="n">
        <v>37411</v>
      </c>
      <c r="B1207" s="3" t="n">
        <v>228.7107428203569</v>
      </c>
    </row>
    <row r="1208">
      <c r="A1208" s="4" t="n">
        <v>37412</v>
      </c>
      <c r="B1208" s="3" t="n">
        <v>229.4067258860556</v>
      </c>
    </row>
    <row r="1209">
      <c r="A1209" s="4" t="n">
        <v>37413</v>
      </c>
      <c r="B1209" s="3" t="n">
        <v>228.6036685025572</v>
      </c>
    </row>
    <row r="1210">
      <c r="A1210" s="4" t="n">
        <v>37414</v>
      </c>
      <c r="B1210" s="3" t="n">
        <v>227.9076854368585</v>
      </c>
    </row>
    <row r="1211">
      <c r="A1211" s="4" t="n">
        <v>37417</v>
      </c>
      <c r="B1211" s="3" t="n">
        <v>227.5329253245592</v>
      </c>
    </row>
    <row r="1212">
      <c r="A1212" s="4" t="n">
        <v>37418</v>
      </c>
      <c r="B1212" s="3" t="n">
        <v>227.4793881656593</v>
      </c>
    </row>
    <row r="1213">
      <c r="A1213" s="4" t="n">
        <v>37419</v>
      </c>
      <c r="B1213" s="3" t="n">
        <v>227.5329253245592</v>
      </c>
    </row>
    <row r="1214">
      <c r="A1214" s="4" t="n">
        <v>37420</v>
      </c>
      <c r="B1214" s="3" t="n">
        <v>226.2480335109617</v>
      </c>
    </row>
    <row r="1215">
      <c r="A1215" s="4" t="n">
        <v>37421</v>
      </c>
      <c r="B1215" s="3" t="n">
        <v>226.2480335109617</v>
      </c>
    </row>
    <row r="1216">
      <c r="A1216" s="4" t="n">
        <v>37424</v>
      </c>
      <c r="B1216" s="3" t="n">
        <v>226.5692564643611</v>
      </c>
    </row>
    <row r="1217">
      <c r="A1217" s="4" t="n">
        <v>37425</v>
      </c>
      <c r="B1217" s="3" t="n">
        <v>226.6227936232609</v>
      </c>
    </row>
    <row r="1218">
      <c r="A1218" s="4" t="n">
        <v>37426</v>
      </c>
      <c r="B1218" s="3" t="n">
        <v>225.6591247630628</v>
      </c>
    </row>
    <row r="1219">
      <c r="A1219" s="4" t="n">
        <v>37427</v>
      </c>
      <c r="B1219" s="3" t="n">
        <v>226.4621821465613</v>
      </c>
    </row>
    <row r="1220">
      <c r="A1220" s="4" t="n">
        <v>37428</v>
      </c>
      <c r="B1220" s="3" t="n">
        <v>226.2480335109617</v>
      </c>
    </row>
    <row r="1221">
      <c r="A1221" s="4" t="n">
        <v>37431</v>
      </c>
      <c r="B1221" s="3" t="n">
        <v>226.5692564643611</v>
      </c>
    </row>
    <row r="1222">
      <c r="A1222" s="4" t="n">
        <v>37432</v>
      </c>
      <c r="B1222" s="3" t="n">
        <v>226.9440165766603</v>
      </c>
    </row>
    <row r="1223">
      <c r="A1223" s="4" t="n">
        <v>37433</v>
      </c>
      <c r="B1223" s="3" t="n">
        <v>226.9975537355602</v>
      </c>
    </row>
    <row r="1224">
      <c r="A1224" s="4" t="n">
        <v>37434</v>
      </c>
      <c r="B1224" s="3" t="n">
        <v>227.1581652122599</v>
      </c>
    </row>
    <row r="1225">
      <c r="A1225" s="4" t="n">
        <v>37435</v>
      </c>
      <c r="B1225" s="3" t="n">
        <v>227.639999642359</v>
      </c>
    </row>
    <row r="1226">
      <c r="A1226" s="4" t="n">
        <v>37438</v>
      </c>
      <c r="B1226" s="3" t="n">
        <v>223.3840113655796</v>
      </c>
    </row>
    <row r="1227">
      <c r="A1227" s="4" t="n">
        <v>37439</v>
      </c>
      <c r="B1227" s="3" t="n">
        <v>224.2241957054596</v>
      </c>
    </row>
    <row r="1228">
      <c r="A1228" s="4" t="n">
        <v>37440</v>
      </c>
      <c r="B1228" s="3" t="n">
        <v>224.6442878753996</v>
      </c>
    </row>
    <row r="1229">
      <c r="A1229" s="4" t="n">
        <v>37441</v>
      </c>
      <c r="B1229" s="3" t="n">
        <v>225.536983736522</v>
      </c>
    </row>
    <row r="1230">
      <c r="A1230" s="4" t="n">
        <v>37442</v>
      </c>
      <c r="B1230" s="3" t="n">
        <v>226.1146104701895</v>
      </c>
    </row>
    <row r="1231">
      <c r="A1231" s="4" t="n">
        <v>37445</v>
      </c>
      <c r="B1231" s="3" t="n">
        <v>226.062098948947</v>
      </c>
    </row>
    <row r="1232">
      <c r="A1232" s="4" t="n">
        <v>37447</v>
      </c>
      <c r="B1232" s="3" t="n">
        <v>226.7972602463419</v>
      </c>
    </row>
    <row r="1233">
      <c r="A1233" s="4" t="n">
        <v>37448</v>
      </c>
      <c r="B1233" s="3" t="n">
        <v>227.0073063313119</v>
      </c>
    </row>
    <row r="1234">
      <c r="A1234" s="4" t="n">
        <v>37449</v>
      </c>
      <c r="B1234" s="3" t="n">
        <v>227.3748869800094</v>
      </c>
    </row>
    <row r="1235">
      <c r="A1235" s="4" t="n">
        <v>37452</v>
      </c>
      <c r="B1235" s="3" t="n">
        <v>227.8474906711918</v>
      </c>
    </row>
    <row r="1236">
      <c r="A1236" s="4" t="n">
        <v>37453</v>
      </c>
      <c r="B1236" s="3" t="n">
        <v>229.0552556597692</v>
      </c>
    </row>
    <row r="1237">
      <c r="A1237" s="4" t="n">
        <v>37454</v>
      </c>
      <c r="B1237" s="3" t="n">
        <v>229.1602787022542</v>
      </c>
    </row>
    <row r="1238">
      <c r="A1238" s="4" t="n">
        <v>37455</v>
      </c>
      <c r="B1238" s="3" t="n">
        <v>229.6328823934367</v>
      </c>
    </row>
    <row r="1239">
      <c r="A1239" s="4" t="n">
        <v>37456</v>
      </c>
      <c r="B1239" s="3" t="n">
        <v>231.4182741156816</v>
      </c>
    </row>
    <row r="1240">
      <c r="A1240" s="4" t="n">
        <v>37459</v>
      </c>
      <c r="B1240" s="3" t="n">
        <v>232.310969976804</v>
      </c>
    </row>
    <row r="1241">
      <c r="A1241" s="4" t="n">
        <v>37460</v>
      </c>
      <c r="B1241" s="3" t="n">
        <v>232.521016061774</v>
      </c>
    </row>
    <row r="1242">
      <c r="A1242" s="4" t="n">
        <v>37461</v>
      </c>
      <c r="B1242" s="3" t="n">
        <v>233.8863156140789</v>
      </c>
    </row>
    <row r="1243">
      <c r="A1243" s="4" t="n">
        <v>37462</v>
      </c>
      <c r="B1243" s="3" t="n">
        <v>237.0370068886287</v>
      </c>
    </row>
    <row r="1244">
      <c r="A1244" s="4" t="n">
        <v>37463</v>
      </c>
      <c r="B1244" s="3" t="n">
        <v>237.7721681860237</v>
      </c>
    </row>
    <row r="1245">
      <c r="A1245" s="4" t="n">
        <v>37466</v>
      </c>
      <c r="B1245" s="3" t="n">
        <v>240.450255769391</v>
      </c>
    </row>
    <row r="1246">
      <c r="A1246" s="4" t="n">
        <v>37467</v>
      </c>
      <c r="B1246" s="3" t="n">
        <v>241.0278825030584</v>
      </c>
    </row>
    <row r="1247">
      <c r="A1247" s="4" t="n">
        <v>37468</v>
      </c>
      <c r="B1247" s="3" t="n">
        <v>243.4959240014558</v>
      </c>
    </row>
    <row r="1248">
      <c r="A1248" s="4" t="n">
        <v>37469</v>
      </c>
      <c r="B1248" s="3" t="n">
        <v>238.8472816565815</v>
      </c>
    </row>
    <row r="1249">
      <c r="A1249" s="4" t="n">
        <v>37470</v>
      </c>
      <c r="B1249" s="3" t="n">
        <v>241.1567203490066</v>
      </c>
    </row>
    <row r="1250">
      <c r="A1250" s="4" t="n">
        <v>37473</v>
      </c>
      <c r="B1250" s="3" t="n">
        <v>243.3121964619367</v>
      </c>
    </row>
    <row r="1251">
      <c r="A1251" s="4" t="n">
        <v>37474</v>
      </c>
      <c r="B1251" s="3" t="n">
        <v>244.800501397055</v>
      </c>
    </row>
    <row r="1252">
      <c r="A1252" s="4" t="n">
        <v>37475</v>
      </c>
      <c r="B1252" s="3" t="n">
        <v>246.3914480518367</v>
      </c>
    </row>
    <row r="1253">
      <c r="A1253" s="4" t="n">
        <v>37476</v>
      </c>
      <c r="B1253" s="3" t="n">
        <v>246.5454106313317</v>
      </c>
    </row>
    <row r="1254">
      <c r="A1254" s="4" t="n">
        <v>37477</v>
      </c>
      <c r="B1254" s="3" t="n">
        <v>247.10994008948</v>
      </c>
    </row>
    <row r="1255">
      <c r="A1255" s="4" t="n">
        <v>37480</v>
      </c>
      <c r="B1255" s="3" t="n">
        <v>248.6495658844301</v>
      </c>
    </row>
    <row r="1256">
      <c r="A1256" s="4" t="n">
        <v>37481</v>
      </c>
      <c r="B1256" s="3" t="n">
        <v>250.4457959785385</v>
      </c>
    </row>
    <row r="1257">
      <c r="A1257" s="4" t="n">
        <v>37482</v>
      </c>
      <c r="B1257" s="3" t="n">
        <v>251.3695714555085</v>
      </c>
    </row>
    <row r="1258">
      <c r="A1258" s="4" t="n">
        <v>37483</v>
      </c>
      <c r="B1258" s="3" t="n">
        <v>254.1408978864185</v>
      </c>
    </row>
    <row r="1259">
      <c r="A1259" s="4" t="n">
        <v>37484</v>
      </c>
      <c r="B1259" s="3" t="n">
        <v>255.7318445412002</v>
      </c>
    </row>
    <row r="1260">
      <c r="A1260" s="4" t="n">
        <v>37487</v>
      </c>
      <c r="B1260" s="3" t="n">
        <v>256.6556200181703</v>
      </c>
    </row>
    <row r="1261">
      <c r="A1261" s="4" t="n">
        <v>37488</v>
      </c>
      <c r="B1261" s="3" t="n">
        <v>257.5793954951403</v>
      </c>
    </row>
    <row r="1262">
      <c r="A1262" s="4" t="n">
        <v>37489</v>
      </c>
      <c r="B1262" s="3" t="n">
        <v>257.9386415139619</v>
      </c>
    </row>
    <row r="1263">
      <c r="A1263" s="4" t="n">
        <v>37490</v>
      </c>
      <c r="B1263" s="3" t="n">
        <v>258.7597752712687</v>
      </c>
    </row>
    <row r="1264">
      <c r="A1264" s="4" t="n">
        <v>37491</v>
      </c>
      <c r="B1264" s="3" t="n">
        <v>259.2216630097536</v>
      </c>
    </row>
    <row r="1265">
      <c r="A1265" s="4" t="n">
        <v>37494</v>
      </c>
      <c r="B1265" s="3" t="n">
        <v>260.7612888047037</v>
      </c>
    </row>
    <row r="1266">
      <c r="A1266" s="4" t="n">
        <v>37495</v>
      </c>
      <c r="B1266" s="3" t="n">
        <v>260.9152513841987</v>
      </c>
    </row>
    <row r="1267">
      <c r="A1267" s="4" t="n">
        <v>37496</v>
      </c>
      <c r="B1267" s="3" t="n">
        <v>260.1967593465553</v>
      </c>
    </row>
    <row r="1268">
      <c r="A1268" s="4" t="n">
        <v>37497</v>
      </c>
      <c r="B1268" s="3" t="n">
        <v>258.6571335516053</v>
      </c>
    </row>
    <row r="1269">
      <c r="A1269" s="4" t="n">
        <v>37498</v>
      </c>
      <c r="B1269" s="3" t="n">
        <v>257.6820372148036</v>
      </c>
    </row>
    <row r="1270">
      <c r="A1270" s="4" t="n">
        <v>37501</v>
      </c>
      <c r="B1270" s="3" t="n">
        <v>249.2425317335096</v>
      </c>
    </row>
    <row r="1271">
      <c r="A1271" s="4" t="n">
        <v>37502</v>
      </c>
      <c r="B1271" s="3" t="n">
        <v>248.4907444871789</v>
      </c>
    </row>
    <row r="1272">
      <c r="A1272" s="4" t="n">
        <v>37503</v>
      </c>
      <c r="B1272" s="3" t="n">
        <v>248.4406253374235</v>
      </c>
    </row>
    <row r="1273">
      <c r="A1273" s="4" t="n">
        <v>37504</v>
      </c>
      <c r="B1273" s="3" t="n">
        <v>247.7890763906036</v>
      </c>
    </row>
    <row r="1274">
      <c r="A1274" s="4" t="n">
        <v>37505</v>
      </c>
      <c r="B1274" s="3" t="n">
        <v>247.5384806418267</v>
      </c>
    </row>
    <row r="1275">
      <c r="A1275" s="4" t="n">
        <v>37508</v>
      </c>
      <c r="B1275" s="3" t="n">
        <v>247.7389572408482</v>
      </c>
    </row>
    <row r="1276">
      <c r="A1276" s="4" t="n">
        <v>37509</v>
      </c>
      <c r="B1276" s="3" t="n">
        <v>247.7389572408482</v>
      </c>
    </row>
    <row r="1277">
      <c r="A1277" s="4" t="n">
        <v>37510</v>
      </c>
      <c r="B1277" s="3" t="n">
        <v>247.5885997915821</v>
      </c>
    </row>
    <row r="1278">
      <c r="A1278" s="4" t="n">
        <v>37511</v>
      </c>
      <c r="B1278" s="3" t="n">
        <v>248.1399104388912</v>
      </c>
    </row>
    <row r="1279">
      <c r="A1279" s="4" t="n">
        <v>37512</v>
      </c>
      <c r="B1279" s="3" t="n">
        <v>248.5408636369343</v>
      </c>
    </row>
    <row r="1280">
      <c r="A1280" s="4" t="n">
        <v>37515</v>
      </c>
      <c r="B1280" s="3" t="n">
        <v>249.3928891827758</v>
      </c>
    </row>
    <row r="1281">
      <c r="A1281" s="4" t="n">
        <v>37516</v>
      </c>
      <c r="B1281" s="3" t="n">
        <v>250.0444381295957</v>
      </c>
    </row>
    <row r="1282">
      <c r="A1282" s="4" t="n">
        <v>37517</v>
      </c>
      <c r="B1282" s="3" t="n">
        <v>250.5957487769049</v>
      </c>
    </row>
    <row r="1283">
      <c r="A1283" s="4" t="n">
        <v>37518</v>
      </c>
      <c r="B1283" s="3" t="n">
        <v>251.6482509217679</v>
      </c>
    </row>
    <row r="1284">
      <c r="A1284" s="4" t="n">
        <v>37519</v>
      </c>
      <c r="B1284" s="3" t="n">
        <v>252.2997998685879</v>
      </c>
    </row>
    <row r="1285">
      <c r="A1285" s="4" t="n">
        <v>37522</v>
      </c>
      <c r="B1285" s="3" t="n">
        <v>252.2997998685879</v>
      </c>
    </row>
    <row r="1286">
      <c r="A1286" s="4" t="n">
        <v>37523</v>
      </c>
      <c r="B1286" s="3" t="n">
        <v>252.5002764676094</v>
      </c>
    </row>
    <row r="1287">
      <c r="A1287" s="4" t="n">
        <v>37524</v>
      </c>
      <c r="B1287" s="3" t="n">
        <v>253.7031360617385</v>
      </c>
    </row>
    <row r="1288">
      <c r="A1288" s="4" t="n">
        <v>37525</v>
      </c>
      <c r="B1288" s="3" t="n">
        <v>254.4048041583139</v>
      </c>
    </row>
    <row r="1289">
      <c r="A1289" s="4" t="n">
        <v>37526</v>
      </c>
      <c r="B1289" s="3" t="n">
        <v>254.8558765061123</v>
      </c>
    </row>
    <row r="1290">
      <c r="A1290" s="4" t="n">
        <v>37529</v>
      </c>
      <c r="B1290" s="3" t="n">
        <v>254.8057573563569</v>
      </c>
    </row>
    <row r="1291">
      <c r="A1291" s="4" t="n">
        <v>37530</v>
      </c>
      <c r="B1291" s="3" t="n">
        <v>246.5578757368079</v>
      </c>
    </row>
    <row r="1292">
      <c r="A1292" s="4" t="n">
        <v>37531</v>
      </c>
      <c r="B1292" s="3" t="n">
        <v>247.4746271338724</v>
      </c>
    </row>
    <row r="1293">
      <c r="A1293" s="4" t="n">
        <v>37532</v>
      </c>
      <c r="B1293" s="3" t="n">
        <v>248.9221293397636</v>
      </c>
    </row>
    <row r="1294">
      <c r="A1294" s="4" t="n">
        <v>37533</v>
      </c>
      <c r="B1294" s="3" t="n">
        <v>248.6808789721151</v>
      </c>
    </row>
    <row r="1295">
      <c r="A1295" s="4" t="n">
        <v>37536</v>
      </c>
      <c r="B1295" s="3" t="n">
        <v>250.5626318397737</v>
      </c>
    </row>
    <row r="1296">
      <c r="A1296" s="4" t="n">
        <v>37537</v>
      </c>
      <c r="B1296" s="3" t="n">
        <v>251.2863829427193</v>
      </c>
    </row>
    <row r="1297">
      <c r="A1297" s="4" t="n">
        <v>37538</v>
      </c>
      <c r="B1297" s="3" t="n">
        <v>251.7688836780164</v>
      </c>
    </row>
    <row r="1298">
      <c r="A1298" s="4" t="n">
        <v>37539</v>
      </c>
      <c r="B1298" s="3" t="n">
        <v>252.5408848544918</v>
      </c>
    </row>
    <row r="1299">
      <c r="A1299" s="4" t="n">
        <v>37540</v>
      </c>
      <c r="B1299" s="3" t="n">
        <v>254.7121381633286</v>
      </c>
    </row>
    <row r="1300">
      <c r="A1300" s="4" t="n">
        <v>37543</v>
      </c>
      <c r="B1300" s="3" t="n">
        <v>255.5806394868633</v>
      </c>
    </row>
    <row r="1301">
      <c r="A1301" s="4" t="n">
        <v>37544</v>
      </c>
      <c r="B1301" s="3" t="n">
        <v>256.9316415456951</v>
      </c>
    </row>
    <row r="1302">
      <c r="A1302" s="4" t="n">
        <v>37545</v>
      </c>
      <c r="B1302" s="3" t="n">
        <v>258.282643604527</v>
      </c>
    </row>
    <row r="1303">
      <c r="A1303" s="4" t="n">
        <v>37546</v>
      </c>
      <c r="B1303" s="3" t="n">
        <v>258.620394119235</v>
      </c>
    </row>
    <row r="1304">
      <c r="A1304" s="4" t="n">
        <v>37547</v>
      </c>
      <c r="B1304" s="3" t="n">
        <v>260.1161463986559</v>
      </c>
    </row>
    <row r="1305">
      <c r="A1305" s="4" t="n">
        <v>37550</v>
      </c>
      <c r="B1305" s="3" t="n">
        <v>261.3223982368986</v>
      </c>
    </row>
    <row r="1306">
      <c r="A1306" s="4" t="n">
        <v>37551</v>
      </c>
      <c r="B1306" s="3" t="n">
        <v>263.2524011780869</v>
      </c>
    </row>
    <row r="1307">
      <c r="A1307" s="4" t="n">
        <v>37552</v>
      </c>
      <c r="B1307" s="3" t="n">
        <v>264.7481534575078</v>
      </c>
    </row>
    <row r="1308">
      <c r="A1308" s="4" t="n">
        <v>37553</v>
      </c>
      <c r="B1308" s="3" t="n">
        <v>266.0509054428099</v>
      </c>
    </row>
    <row r="1309">
      <c r="A1309" s="4" t="n">
        <v>37554</v>
      </c>
      <c r="B1309" s="3" t="n">
        <v>267.2571572810526</v>
      </c>
    </row>
    <row r="1310">
      <c r="A1310" s="4" t="n">
        <v>37557</v>
      </c>
      <c r="B1310" s="3" t="n">
        <v>269.1871602222409</v>
      </c>
    </row>
    <row r="1311">
      <c r="A1311" s="4" t="n">
        <v>37558</v>
      </c>
      <c r="B1311" s="3" t="n">
        <v>271.5514138251967</v>
      </c>
    </row>
    <row r="1312">
      <c r="A1312" s="4" t="n">
        <v>37559</v>
      </c>
      <c r="B1312" s="3" t="n">
        <v>272.66116551638</v>
      </c>
    </row>
    <row r="1313">
      <c r="A1313" s="4" t="n">
        <v>37560</v>
      </c>
      <c r="B1313" s="3" t="n">
        <v>274.0121675752118</v>
      </c>
    </row>
    <row r="1314">
      <c r="A1314" s="4" t="n">
        <v>37561</v>
      </c>
      <c r="B1314" s="3" t="n">
        <v>262.006823349165</v>
      </c>
    </row>
    <row r="1315">
      <c r="A1315" s="4" t="n">
        <v>37564</v>
      </c>
      <c r="B1315" s="3" t="n">
        <v>263.1994314386395</v>
      </c>
    </row>
    <row r="1316">
      <c r="A1316" s="4" t="n">
        <v>37565</v>
      </c>
      <c r="B1316" s="3" t="n">
        <v>264.3003004443082</v>
      </c>
    </row>
    <row r="1317">
      <c r="A1317" s="4" t="n">
        <v>37566</v>
      </c>
      <c r="B1317" s="3" t="n">
        <v>264.8507349471427</v>
      </c>
    </row>
    <row r="1318">
      <c r="A1318" s="4" t="n">
        <v>37567</v>
      </c>
      <c r="B1318" s="3" t="n">
        <v>267.0524729584802</v>
      </c>
    </row>
    <row r="1319">
      <c r="A1319" s="4" t="n">
        <v>37568</v>
      </c>
      <c r="B1319" s="3" t="n">
        <v>267.4652988356059</v>
      </c>
    </row>
    <row r="1320">
      <c r="A1320" s="4" t="n">
        <v>37571</v>
      </c>
      <c r="B1320" s="3" t="n">
        <v>269.1166023441091</v>
      </c>
    </row>
    <row r="1321">
      <c r="A1321" s="4" t="n">
        <v>37572</v>
      </c>
      <c r="B1321" s="3" t="n">
        <v>269.3000805117206</v>
      </c>
    </row>
    <row r="1322">
      <c r="A1322" s="4" t="n">
        <v>37573</v>
      </c>
      <c r="B1322" s="3" t="n">
        <v>270.4009495173893</v>
      </c>
    </row>
    <row r="1323">
      <c r="A1323" s="4" t="n">
        <v>37574</v>
      </c>
      <c r="B1323" s="3" t="n">
        <v>270.9513840202237</v>
      </c>
    </row>
    <row r="1324">
      <c r="A1324" s="4" t="n">
        <v>37578</v>
      </c>
      <c r="B1324" s="3" t="n">
        <v>270.2633408916807</v>
      </c>
    </row>
    <row r="1325">
      <c r="A1325" s="4" t="n">
        <v>37579</v>
      </c>
      <c r="B1325" s="3" t="n">
        <v>268.2450810479546</v>
      </c>
    </row>
    <row r="1326">
      <c r="A1326" s="4" t="n">
        <v>37580</v>
      </c>
      <c r="B1326" s="3" t="n">
        <v>267.1442120422859</v>
      </c>
    </row>
    <row r="1327">
      <c r="A1327" s="4" t="n">
        <v>37581</v>
      </c>
      <c r="B1327" s="3" t="n">
        <v>265.8598648690057</v>
      </c>
    </row>
    <row r="1328">
      <c r="A1328" s="4" t="n">
        <v>37582</v>
      </c>
      <c r="B1328" s="3" t="n">
        <v>263.9792136509882</v>
      </c>
    </row>
    <row r="1329">
      <c r="A1329" s="4" t="n">
        <v>37585</v>
      </c>
      <c r="B1329" s="3" t="n">
        <v>262.1903015167765</v>
      </c>
    </row>
    <row r="1330">
      <c r="A1330" s="4" t="n">
        <v>37586</v>
      </c>
      <c r="B1330" s="3" t="n">
        <v>261.2729106787191</v>
      </c>
    </row>
    <row r="1331">
      <c r="A1331" s="4" t="n">
        <v>37587</v>
      </c>
      <c r="B1331" s="3" t="n">
        <v>260.1720416730504</v>
      </c>
    </row>
    <row r="1332">
      <c r="A1332" s="4" t="n">
        <v>37588</v>
      </c>
      <c r="B1332" s="3" t="n">
        <v>257.60334732649</v>
      </c>
    </row>
    <row r="1333">
      <c r="A1333" s="4" t="n">
        <v>37589</v>
      </c>
      <c r="B1333" s="3" t="n">
        <v>257.236390991267</v>
      </c>
    </row>
    <row r="1334">
      <c r="A1334" s="4" t="n">
        <v>37592</v>
      </c>
      <c r="B1334" s="3" t="n">
        <v>244.9354657451811</v>
      </c>
    </row>
    <row r="1335">
      <c r="A1335" s="4" t="n">
        <v>37593</v>
      </c>
      <c r="B1335" s="3" t="n">
        <v>245.4660118803693</v>
      </c>
    </row>
    <row r="1336">
      <c r="A1336" s="4" t="n">
        <v>37594</v>
      </c>
      <c r="B1336" s="3" t="n">
        <v>246.0849823714221</v>
      </c>
    </row>
    <row r="1337">
      <c r="A1337" s="4" t="n">
        <v>37595</v>
      </c>
      <c r="B1337" s="3" t="n">
        <v>248.8703495811597</v>
      </c>
    </row>
    <row r="1338">
      <c r="A1338" s="4" t="n">
        <v>37596</v>
      </c>
      <c r="B1338" s="3" t="n">
        <v>250.7272610543181</v>
      </c>
    </row>
    <row r="1339">
      <c r="A1339" s="4" t="n">
        <v>37599</v>
      </c>
      <c r="B1339" s="3" t="n">
        <v>252.2746872819502</v>
      </c>
    </row>
    <row r="1340">
      <c r="A1340" s="4" t="n">
        <v>37600</v>
      </c>
      <c r="B1340" s="3" t="n">
        <v>253.7336891537175</v>
      </c>
    </row>
    <row r="1341">
      <c r="A1341" s="4" t="n">
        <v>37601</v>
      </c>
      <c r="B1341" s="3" t="n">
        <v>256.0769345841317</v>
      </c>
    </row>
    <row r="1342">
      <c r="A1342" s="4" t="n">
        <v>37602</v>
      </c>
      <c r="B1342" s="3" t="n">
        <v>258.0664825910871</v>
      </c>
    </row>
    <row r="1343">
      <c r="A1343" s="4" t="n">
        <v>37603</v>
      </c>
      <c r="B1343" s="3" t="n">
        <v>258.5086043704105</v>
      </c>
    </row>
    <row r="1344">
      <c r="A1344" s="4" t="n">
        <v>37606</v>
      </c>
      <c r="B1344" s="3" t="n">
        <v>259.8791818863132</v>
      </c>
    </row>
    <row r="1345">
      <c r="A1345" s="4" t="n">
        <v>37607</v>
      </c>
      <c r="B1345" s="3" t="n">
        <v>259.9233940642455</v>
      </c>
    </row>
    <row r="1346">
      <c r="A1346" s="4" t="n">
        <v>37608</v>
      </c>
      <c r="B1346" s="3" t="n">
        <v>259.0391505055987</v>
      </c>
    </row>
    <row r="1347">
      <c r="A1347" s="4" t="n">
        <v>37609</v>
      </c>
      <c r="B1347" s="3" t="n">
        <v>258.4643921924782</v>
      </c>
    </row>
    <row r="1348">
      <c r="A1348" s="4" t="n">
        <v>37610</v>
      </c>
      <c r="B1348" s="3" t="n">
        <v>256.1653589399963</v>
      </c>
    </row>
    <row r="1349">
      <c r="A1349" s="4" t="n">
        <v>37613</v>
      </c>
      <c r="B1349" s="3" t="n">
        <v>256.4306320075904</v>
      </c>
    </row>
    <row r="1350">
      <c r="A1350" s="4" t="n">
        <v>37616</v>
      </c>
      <c r="B1350" s="3" t="n">
        <v>257.7569973455606</v>
      </c>
    </row>
    <row r="1351">
      <c r="A1351" s="4" t="n">
        <v>37617</v>
      </c>
      <c r="B1351" s="3" t="n">
        <v>257.8454217014254</v>
      </c>
    </row>
    <row r="1352">
      <c r="A1352" s="4" t="n">
        <v>37620</v>
      </c>
      <c r="B1352" s="3" t="n">
        <v>257.3148755662373</v>
      </c>
    </row>
    <row r="1353">
      <c r="A1353" s="4" t="n">
        <v>37623</v>
      </c>
      <c r="B1353" s="3" t="n">
        <v>251.2446389078301</v>
      </c>
    </row>
    <row r="1354">
      <c r="A1354" s="4" t="n">
        <v>37624</v>
      </c>
      <c r="B1354" s="3" t="n">
        <v>251.3742578101041</v>
      </c>
    </row>
    <row r="1355">
      <c r="A1355" s="4" t="n">
        <v>37627</v>
      </c>
      <c r="B1355" s="3" t="n">
        <v>251.6334956146522</v>
      </c>
    </row>
    <row r="1356">
      <c r="A1356" s="4" t="n">
        <v>37628</v>
      </c>
      <c r="B1356" s="3" t="n">
        <v>251.1150200055561</v>
      </c>
    </row>
    <row r="1357">
      <c r="A1357" s="4" t="n">
        <v>37629</v>
      </c>
      <c r="B1357" s="3" t="n">
        <v>250.5533380957019</v>
      </c>
    </row>
    <row r="1358">
      <c r="A1358" s="4" t="n">
        <v>37630</v>
      </c>
      <c r="B1358" s="3" t="n">
        <v>248.9547049676555</v>
      </c>
    </row>
    <row r="1359">
      <c r="A1359" s="4" t="n">
        <v>37631</v>
      </c>
      <c r="B1359" s="3" t="n">
        <v>247.5288970426412</v>
      </c>
    </row>
    <row r="1360">
      <c r="A1360" s="4" t="n">
        <v>37634</v>
      </c>
      <c r="B1360" s="3" t="n">
        <v>245.8870576138368</v>
      </c>
    </row>
    <row r="1361">
      <c r="A1361" s="4" t="n">
        <v>37635</v>
      </c>
      <c r="B1361" s="3" t="n">
        <v>245.2389631024666</v>
      </c>
    </row>
    <row r="1362">
      <c r="A1362" s="4" t="n">
        <v>37636</v>
      </c>
      <c r="B1362" s="3" t="n">
        <v>243.5539173729042</v>
      </c>
    </row>
    <row r="1363">
      <c r="A1363" s="4" t="n">
        <v>37637</v>
      </c>
      <c r="B1363" s="3" t="n">
        <v>243.2514732675982</v>
      </c>
    </row>
    <row r="1364">
      <c r="A1364" s="4" t="n">
        <v>37638</v>
      </c>
      <c r="B1364" s="3" t="n">
        <v>243.1650606660822</v>
      </c>
    </row>
    <row r="1365">
      <c r="A1365" s="4" t="n">
        <v>37641</v>
      </c>
      <c r="B1365" s="3" t="n">
        <v>242.473759853954</v>
      </c>
    </row>
    <row r="1366">
      <c r="A1366" s="4" t="n">
        <v>37642</v>
      </c>
      <c r="B1366" s="3" t="n">
        <v>242.1713157486479</v>
      </c>
    </row>
    <row r="1367">
      <c r="A1367" s="4" t="n">
        <v>37643</v>
      </c>
      <c r="B1367" s="3" t="n">
        <v>242.0416968463739</v>
      </c>
    </row>
    <row r="1368">
      <c r="A1368" s="4" t="n">
        <v>37644</v>
      </c>
      <c r="B1368" s="3" t="n">
        <v>242.8194102600181</v>
      </c>
    </row>
    <row r="1369">
      <c r="A1369" s="4" t="n">
        <v>37645</v>
      </c>
      <c r="B1369" s="3" t="n">
        <v>243.6403299744203</v>
      </c>
    </row>
    <row r="1370">
      <c r="A1370" s="4" t="n">
        <v>37648</v>
      </c>
      <c r="B1370" s="3" t="n">
        <v>244.2452181850324</v>
      </c>
    </row>
    <row r="1371">
      <c r="A1371" s="4" t="n">
        <v>37649</v>
      </c>
      <c r="B1371" s="3" t="n">
        <v>245.2389631024666</v>
      </c>
    </row>
    <row r="1372">
      <c r="A1372" s="4" t="n">
        <v>37650</v>
      </c>
      <c r="B1372" s="3" t="n">
        <v>246.9672151327871</v>
      </c>
    </row>
    <row r="1373">
      <c r="A1373" s="4" t="n">
        <v>37651</v>
      </c>
      <c r="B1373" s="3" t="n">
        <v>248.7386734638655</v>
      </c>
    </row>
    <row r="1374">
      <c r="A1374" s="4" t="n">
        <v>37652</v>
      </c>
      <c r="B1374" s="3" t="n">
        <v>249.0411175691716</v>
      </c>
    </row>
    <row r="1375">
      <c r="A1375" s="4" t="n">
        <v>37655</v>
      </c>
      <c r="B1375" s="3" t="n">
        <v>243.1823112738355</v>
      </c>
    </row>
    <row r="1376">
      <c r="A1376" s="4" t="n">
        <v>37656</v>
      </c>
      <c r="B1376" s="3" t="n">
        <v>242.6331762996197</v>
      </c>
    </row>
    <row r="1377">
      <c r="A1377" s="4" t="n">
        <v>37657</v>
      </c>
      <c r="B1377" s="3" t="n">
        <v>241.9573178698158</v>
      </c>
    </row>
    <row r="1378">
      <c r="A1378" s="4" t="n">
        <v>37658</v>
      </c>
      <c r="B1378" s="3" t="n">
        <v>241.8305944142276</v>
      </c>
    </row>
    <row r="1379">
      <c r="A1379" s="4" t="n">
        <v>37659</v>
      </c>
      <c r="B1379" s="3" t="n">
        <v>239.9297425804039</v>
      </c>
    </row>
    <row r="1380">
      <c r="A1380" s="4" t="n">
        <v>37662</v>
      </c>
      <c r="B1380" s="3" t="n">
        <v>240.0564660359921</v>
      </c>
    </row>
    <row r="1381">
      <c r="A1381" s="4" t="n">
        <v>37663</v>
      </c>
      <c r="B1381" s="3" t="n">
        <v>238.9581960875608</v>
      </c>
    </row>
    <row r="1382">
      <c r="A1382" s="4" t="n">
        <v>37664</v>
      </c>
      <c r="B1382" s="3" t="n">
        <v>238.6625080245215</v>
      </c>
    </row>
    <row r="1383">
      <c r="A1383" s="4" t="n">
        <v>37665</v>
      </c>
      <c r="B1383" s="3" t="n">
        <v>238.915954935698</v>
      </c>
    </row>
    <row r="1384">
      <c r="A1384" s="4" t="n">
        <v>37666</v>
      </c>
      <c r="B1384" s="3" t="n">
        <v>239.2116429987372</v>
      </c>
    </row>
    <row r="1385">
      <c r="A1385" s="4" t="n">
        <v>37669</v>
      </c>
      <c r="B1385" s="3" t="n">
        <v>240.3099129471687</v>
      </c>
    </row>
    <row r="1386">
      <c r="A1386" s="4" t="n">
        <v>37670</v>
      </c>
      <c r="B1386" s="3" t="n">
        <v>240.8590479213844</v>
      </c>
    </row>
    <row r="1387">
      <c r="A1387" s="4" t="n">
        <v>37671</v>
      </c>
      <c r="B1387" s="3" t="n">
        <v>240.5211187064824</v>
      </c>
    </row>
    <row r="1388">
      <c r="A1388" s="4" t="n">
        <v>37672</v>
      </c>
      <c r="B1388" s="3" t="n">
        <v>240.3099129471687</v>
      </c>
    </row>
    <row r="1389">
      <c r="A1389" s="4" t="n">
        <v>37673</v>
      </c>
      <c r="B1389" s="3" t="n">
        <v>240.3099129471687</v>
      </c>
    </row>
    <row r="1390">
      <c r="A1390" s="4" t="n">
        <v>37676</v>
      </c>
      <c r="B1390" s="3" t="n">
        <v>240.5211187064824</v>
      </c>
    </row>
    <row r="1391">
      <c r="A1391" s="4" t="n">
        <v>37677</v>
      </c>
      <c r="B1391" s="3" t="n">
        <v>240.3943952508941</v>
      </c>
    </row>
    <row r="1392">
      <c r="A1392" s="4" t="n">
        <v>37678</v>
      </c>
      <c r="B1392" s="3" t="n">
        <v>240.1409483397177</v>
      </c>
    </row>
    <row r="1393">
      <c r="A1393" s="4" t="n">
        <v>37679</v>
      </c>
      <c r="B1393" s="3" t="n">
        <v>239.9719837322667</v>
      </c>
    </row>
    <row r="1394">
      <c r="A1394" s="4" t="n">
        <v>37680</v>
      </c>
      <c r="B1394" s="3" t="n">
        <v>240.098707187855</v>
      </c>
    </row>
    <row r="1395">
      <c r="A1395" s="4" t="n">
        <v>37685</v>
      </c>
      <c r="B1395" s="3" t="n">
        <v>236.3880177172534</v>
      </c>
    </row>
    <row r="1396">
      <c r="A1396" s="4" t="n">
        <v>37686</v>
      </c>
      <c r="B1396" s="3" t="n">
        <v>236.4296206770769</v>
      </c>
    </row>
    <row r="1397">
      <c r="A1397" s="4" t="n">
        <v>37687</v>
      </c>
      <c r="B1397" s="3" t="n">
        <v>236.0551940386653</v>
      </c>
    </row>
    <row r="1398">
      <c r="A1398" s="4" t="n">
        <v>37690</v>
      </c>
      <c r="B1398" s="3" t="n">
        <v>236.0967969984888</v>
      </c>
    </row>
    <row r="1399">
      <c r="A1399" s="4" t="n">
        <v>37691</v>
      </c>
      <c r="B1399" s="3" t="n">
        <v>235.7223703600771</v>
      </c>
    </row>
    <row r="1400">
      <c r="A1400" s="4" t="n">
        <v>37692</v>
      </c>
      <c r="B1400" s="3" t="n">
        <v>235.8471792395476</v>
      </c>
    </row>
    <row r="1401">
      <c r="A1401" s="4" t="n">
        <v>37693</v>
      </c>
      <c r="B1401" s="3" t="n">
        <v>235.9719881190182</v>
      </c>
    </row>
    <row r="1402">
      <c r="A1402" s="4" t="n">
        <v>37694</v>
      </c>
      <c r="B1402" s="3" t="n">
        <v>235.9719881190182</v>
      </c>
    </row>
    <row r="1403">
      <c r="A1403" s="4" t="n">
        <v>37697</v>
      </c>
      <c r="B1403" s="3" t="n">
        <v>235.555958520783</v>
      </c>
    </row>
    <row r="1404">
      <c r="A1404" s="4" t="n">
        <v>37698</v>
      </c>
      <c r="B1404" s="3" t="n">
        <v>235.2647378020183</v>
      </c>
    </row>
    <row r="1405">
      <c r="A1405" s="4" t="n">
        <v>37699</v>
      </c>
      <c r="B1405" s="3" t="n">
        <v>234.7655022841361</v>
      </c>
    </row>
    <row r="1406">
      <c r="A1406" s="4" t="n">
        <v>37700</v>
      </c>
      <c r="B1406" s="3" t="n">
        <v>234.5158845251949</v>
      </c>
    </row>
    <row r="1407">
      <c r="A1407" s="4" t="n">
        <v>37701</v>
      </c>
      <c r="B1407" s="3" t="n">
        <v>233.2261927706658</v>
      </c>
    </row>
    <row r="1408">
      <c r="A1408" s="4" t="n">
        <v>37704</v>
      </c>
      <c r="B1408" s="3" t="n">
        <v>233.6006194090775</v>
      </c>
    </row>
    <row r="1409">
      <c r="A1409" s="4" t="n">
        <v>37705</v>
      </c>
      <c r="B1409" s="3" t="n">
        <v>232.3109276545483</v>
      </c>
    </row>
    <row r="1410">
      <c r="A1410" s="4" t="n">
        <v>37706</v>
      </c>
      <c r="B1410" s="3" t="n">
        <v>232.2693246947247</v>
      </c>
    </row>
    <row r="1411">
      <c r="A1411" s="4" t="n">
        <v>37707</v>
      </c>
      <c r="B1411" s="3" t="n">
        <v>232.0613098956071</v>
      </c>
    </row>
    <row r="1412">
      <c r="A1412" s="4" t="n">
        <v>37708</v>
      </c>
      <c r="B1412" s="3" t="n">
        <v>232.1029128554306</v>
      </c>
    </row>
    <row r="1413">
      <c r="A1413" s="4" t="n">
        <v>37711</v>
      </c>
      <c r="B1413" s="3" t="n">
        <v>232.3109276545483</v>
      </c>
    </row>
    <row r="1414">
      <c r="A1414" s="4" t="n">
        <v>37712</v>
      </c>
      <c r="B1414" s="3" t="n">
        <v>230.3511199537368</v>
      </c>
    </row>
    <row r="1415">
      <c r="A1415" s="4" t="n">
        <v>37713</v>
      </c>
      <c r="B1415" s="3" t="n">
        <v>230.1450076416809</v>
      </c>
    </row>
    <row r="1416">
      <c r="A1416" s="4" t="n">
        <v>37714</v>
      </c>
      <c r="B1416" s="3" t="n">
        <v>230.1862301040921</v>
      </c>
    </row>
    <row r="1417">
      <c r="A1417" s="4" t="n">
        <v>37715</v>
      </c>
      <c r="B1417" s="3" t="n">
        <v>230.1450076416809</v>
      </c>
    </row>
    <row r="1418">
      <c r="A1418" s="4" t="n">
        <v>37718</v>
      </c>
      <c r="B1418" s="3" t="n">
        <v>230.2686750289144</v>
      </c>
    </row>
    <row r="1419">
      <c r="A1419" s="4" t="n">
        <v>37719</v>
      </c>
      <c r="B1419" s="3" t="n">
        <v>229.2793359310458</v>
      </c>
    </row>
    <row r="1420">
      <c r="A1420" s="4" t="n">
        <v>37720</v>
      </c>
      <c r="B1420" s="3" t="n">
        <v>229.1968910062235</v>
      </c>
    </row>
    <row r="1421">
      <c r="A1421" s="4" t="n">
        <v>37721</v>
      </c>
      <c r="B1421" s="3" t="n">
        <v>228.0426620587101</v>
      </c>
    </row>
    <row r="1422">
      <c r="A1422" s="4" t="n">
        <v>37722</v>
      </c>
      <c r="B1422" s="3" t="n">
        <v>227.3418801977199</v>
      </c>
    </row>
    <row r="1423">
      <c r="A1423" s="4" t="n">
        <v>37725</v>
      </c>
      <c r="B1423" s="3" t="n">
        <v>227.2182128104863</v>
      </c>
    </row>
    <row r="1424">
      <c r="A1424" s="4" t="n">
        <v>37726</v>
      </c>
      <c r="B1424" s="3" t="n">
        <v>227.5479925097758</v>
      </c>
    </row>
    <row r="1425">
      <c r="A1425" s="4" t="n">
        <v>37727</v>
      </c>
      <c r="B1425" s="3" t="n">
        <v>226.8884331111967</v>
      </c>
    </row>
    <row r="1426">
      <c r="A1426" s="4" t="n">
        <v>37728</v>
      </c>
      <c r="B1426" s="3" t="n">
        <v>226.9296555736079</v>
      </c>
    </row>
    <row r="1427">
      <c r="A1427" s="4" t="n">
        <v>37733</v>
      </c>
      <c r="B1427" s="3" t="n">
        <v>226.9296555736079</v>
      </c>
    </row>
    <row r="1428">
      <c r="A1428" s="4" t="n">
        <v>37734</v>
      </c>
      <c r="B1428" s="3" t="n">
        <v>226.3113186374401</v>
      </c>
    </row>
    <row r="1429">
      <c r="A1429" s="4" t="n">
        <v>37735</v>
      </c>
      <c r="B1429" s="3" t="n">
        <v>225.8166490885058</v>
      </c>
    </row>
    <row r="1430">
      <c r="A1430" s="4" t="n">
        <v>37736</v>
      </c>
      <c r="B1430" s="3" t="n">
        <v>225.3632020019827</v>
      </c>
    </row>
    <row r="1431">
      <c r="A1431" s="4" t="n">
        <v>37739</v>
      </c>
      <c r="B1431" s="3" t="n">
        <v>222.3127397835545</v>
      </c>
    </row>
    <row r="1432">
      <c r="A1432" s="4" t="n">
        <v>37740</v>
      </c>
      <c r="B1432" s="3" t="n">
        <v>220.9936209863964</v>
      </c>
    </row>
    <row r="1433">
      <c r="A1433" s="4" t="n">
        <v>37741</v>
      </c>
      <c r="B1433" s="3" t="n">
        <v>219.7981695764719</v>
      </c>
    </row>
    <row r="1434">
      <c r="A1434" s="4" t="n">
        <v>37743</v>
      </c>
      <c r="B1434" s="3" t="n">
        <v>217.9812729036021</v>
      </c>
    </row>
    <row r="1435">
      <c r="A1435" s="4" t="n">
        <v>37746</v>
      </c>
      <c r="B1435" s="3" t="n">
        <v>214.4267811573545</v>
      </c>
    </row>
    <row r="1436">
      <c r="A1436" s="4" t="n">
        <v>37747</v>
      </c>
      <c r="B1436" s="3" t="n">
        <v>214.4267811573545</v>
      </c>
    </row>
    <row r="1437">
      <c r="A1437" s="4" t="n">
        <v>37748</v>
      </c>
      <c r="B1437" s="3" t="n">
        <v>214.3441185586045</v>
      </c>
    </row>
    <row r="1438">
      <c r="A1438" s="4" t="n">
        <v>37749</v>
      </c>
      <c r="B1438" s="3" t="n">
        <v>214.5507750554794</v>
      </c>
    </row>
    <row r="1439">
      <c r="A1439" s="4" t="n">
        <v>37750</v>
      </c>
      <c r="B1439" s="3" t="n">
        <v>214.2201246604796</v>
      </c>
    </row>
    <row r="1440">
      <c r="A1440" s="4" t="n">
        <v>37753</v>
      </c>
      <c r="B1440" s="3" t="n">
        <v>214.5094437561044</v>
      </c>
    </row>
    <row r="1441">
      <c r="A1441" s="4" t="n">
        <v>37754</v>
      </c>
      <c r="B1441" s="3" t="n">
        <v>214.6747689536043</v>
      </c>
    </row>
    <row r="1442">
      <c r="A1442" s="4" t="n">
        <v>37755</v>
      </c>
      <c r="B1442" s="3" t="n">
        <v>214.9640880492291</v>
      </c>
    </row>
    <row r="1443">
      <c r="A1443" s="4" t="n">
        <v>37756</v>
      </c>
      <c r="B1443" s="3" t="n">
        <v>214.8814254504792</v>
      </c>
    </row>
    <row r="1444">
      <c r="A1444" s="4" t="n">
        <v>37757</v>
      </c>
      <c r="B1444" s="3" t="n">
        <v>214.9640880492291</v>
      </c>
    </row>
    <row r="1445">
      <c r="A1445" s="4" t="n">
        <v>37760</v>
      </c>
      <c r="B1445" s="3" t="n">
        <v>215.4600636417288</v>
      </c>
    </row>
    <row r="1446">
      <c r="A1446" s="4" t="n">
        <v>37761</v>
      </c>
      <c r="B1446" s="3" t="n">
        <v>215.7080514379786</v>
      </c>
    </row>
    <row r="1447">
      <c r="A1447" s="4" t="n">
        <v>37762</v>
      </c>
      <c r="B1447" s="3" t="n">
        <v>215.5840575398537</v>
      </c>
    </row>
    <row r="1448">
      <c r="A1448" s="4" t="n">
        <v>37763</v>
      </c>
      <c r="B1448" s="3" t="n">
        <v>215.5013949411038</v>
      </c>
    </row>
    <row r="1449">
      <c r="A1449" s="4" t="n">
        <v>37764</v>
      </c>
      <c r="B1449" s="3" t="n">
        <v>215.170744546104</v>
      </c>
    </row>
    <row r="1450">
      <c r="A1450" s="4" t="n">
        <v>37767</v>
      </c>
      <c r="B1450" s="3" t="n">
        <v>215.088081947354</v>
      </c>
    </row>
    <row r="1451">
      <c r="A1451" s="4" t="n">
        <v>37768</v>
      </c>
      <c r="B1451" s="3" t="n">
        <v>214.5507750554794</v>
      </c>
    </row>
    <row r="1452">
      <c r="A1452" s="4" t="n">
        <v>37769</v>
      </c>
      <c r="B1452" s="3" t="n">
        <v>214.8814254504792</v>
      </c>
    </row>
    <row r="1453">
      <c r="A1453" s="4" t="n">
        <v>37770</v>
      </c>
      <c r="B1453" s="3" t="n">
        <v>214.6747689536043</v>
      </c>
    </row>
    <row r="1454">
      <c r="A1454" s="4" t="n">
        <v>37771</v>
      </c>
      <c r="B1454" s="3" t="n">
        <v>214.7574315523543</v>
      </c>
    </row>
    <row r="1455">
      <c r="A1455" s="4" t="n">
        <v>37774</v>
      </c>
      <c r="B1455" s="3" t="n">
        <v>217.1821353144403</v>
      </c>
    </row>
    <row r="1456">
      <c r="A1456" s="4" t="n">
        <v>37775</v>
      </c>
      <c r="B1456" s="3" t="n">
        <v>217.3073845274243</v>
      </c>
    </row>
    <row r="1457">
      <c r="A1457" s="4" t="n">
        <v>37776</v>
      </c>
      <c r="B1457" s="3" t="n">
        <v>217.2238850521017</v>
      </c>
    </row>
    <row r="1458">
      <c r="A1458" s="4" t="n">
        <v>37777</v>
      </c>
      <c r="B1458" s="3" t="n">
        <v>217.0986358391175</v>
      </c>
    </row>
    <row r="1459">
      <c r="A1459" s="4" t="n">
        <v>37778</v>
      </c>
      <c r="B1459" s="3" t="n">
        <v>216.7646379378266</v>
      </c>
    </row>
    <row r="1460">
      <c r="A1460" s="4" t="n">
        <v>37781</v>
      </c>
      <c r="B1460" s="3" t="n">
        <v>217.2238850521017</v>
      </c>
    </row>
    <row r="1461">
      <c r="A1461" s="4" t="n">
        <v>37782</v>
      </c>
      <c r="B1461" s="3" t="n">
        <v>217.5578829533926</v>
      </c>
    </row>
    <row r="1462">
      <c r="A1462" s="4" t="n">
        <v>37783</v>
      </c>
      <c r="B1462" s="3" t="n">
        <v>217.7666316416994</v>
      </c>
    </row>
    <row r="1463">
      <c r="A1463" s="4" t="n">
        <v>37784</v>
      </c>
      <c r="B1463" s="3" t="n">
        <v>217.9753803300063</v>
      </c>
    </row>
    <row r="1464">
      <c r="A1464" s="4" t="n">
        <v>37785</v>
      </c>
      <c r="B1464" s="3" t="n">
        <v>218.2676284936359</v>
      </c>
    </row>
    <row r="1465">
      <c r="A1465" s="4" t="n">
        <v>37788</v>
      </c>
      <c r="B1465" s="3" t="n">
        <v>218.3511279689586</v>
      </c>
    </row>
    <row r="1466">
      <c r="A1466" s="4" t="n">
        <v>37789</v>
      </c>
      <c r="B1466" s="3" t="n">
        <v>220.6473635403339</v>
      </c>
    </row>
    <row r="1467">
      <c r="A1467" s="4" t="n">
        <v>37790</v>
      </c>
      <c r="B1467" s="3" t="n">
        <v>220.6891132779952</v>
      </c>
    </row>
    <row r="1468">
      <c r="A1468" s="4" t="n">
        <v>37792</v>
      </c>
      <c r="B1468" s="3" t="n">
        <v>220.772612753318</v>
      </c>
    </row>
    <row r="1469">
      <c r="A1469" s="4" t="n">
        <v>37795</v>
      </c>
      <c r="B1469" s="3" t="n">
        <v>221.5241080312226</v>
      </c>
    </row>
    <row r="1470">
      <c r="A1470" s="4" t="n">
        <v>37796</v>
      </c>
      <c r="B1470" s="3" t="n">
        <v>222.2756033091273</v>
      </c>
    </row>
    <row r="1471">
      <c r="A1471" s="4" t="n">
        <v>37797</v>
      </c>
      <c r="B1471" s="3" t="n">
        <v>224.1960912415502</v>
      </c>
    </row>
    <row r="1472">
      <c r="A1472" s="4" t="n">
        <v>37798</v>
      </c>
      <c r="B1472" s="3" t="n">
        <v>224.9058367817935</v>
      </c>
    </row>
    <row r="1473">
      <c r="A1473" s="4" t="n">
        <v>37799</v>
      </c>
      <c r="B1473" s="3" t="n">
        <v>225.3650838960685</v>
      </c>
    </row>
    <row r="1474">
      <c r="A1474" s="4" t="n">
        <v>37802</v>
      </c>
      <c r="B1474" s="3" t="n">
        <v>226.3670775999414</v>
      </c>
    </row>
    <row r="1475">
      <c r="A1475" s="4" t="n">
        <v>37803</v>
      </c>
      <c r="B1475" s="3" t="n">
        <v>229.0741003119213</v>
      </c>
    </row>
    <row r="1476">
      <c r="A1476" s="4" t="n">
        <v>37804</v>
      </c>
      <c r="B1476" s="3" t="n">
        <v>229.2417973106855</v>
      </c>
    </row>
    <row r="1477">
      <c r="A1477" s="4" t="n">
        <v>37805</v>
      </c>
      <c r="B1477" s="3" t="n">
        <v>229.9964338051245</v>
      </c>
    </row>
    <row r="1478">
      <c r="A1478" s="4" t="n">
        <v>37806</v>
      </c>
      <c r="B1478" s="3" t="n">
        <v>230.415676302035</v>
      </c>
    </row>
    <row r="1479">
      <c r="A1479" s="4" t="n">
        <v>37809</v>
      </c>
      <c r="B1479" s="3" t="n">
        <v>230.7929945492545</v>
      </c>
    </row>
    <row r="1480">
      <c r="A1480" s="4" t="n">
        <v>37810</v>
      </c>
      <c r="B1480" s="3" t="n">
        <v>230.8349187989456</v>
      </c>
    </row>
    <row r="1481">
      <c r="A1481" s="4" t="n">
        <v>37812</v>
      </c>
      <c r="B1481" s="3" t="n">
        <v>231.0445400474008</v>
      </c>
    </row>
    <row r="1482">
      <c r="A1482" s="4" t="n">
        <v>37813</v>
      </c>
      <c r="B1482" s="3" t="n">
        <v>231.0864642970919</v>
      </c>
    </row>
    <row r="1483">
      <c r="A1483" s="4" t="n">
        <v>37816</v>
      </c>
      <c r="B1483" s="3" t="n">
        <v>231.0445400474008</v>
      </c>
    </row>
    <row r="1484">
      <c r="A1484" s="4" t="n">
        <v>37817</v>
      </c>
      <c r="B1484" s="3" t="n">
        <v>231.0864642970919</v>
      </c>
    </row>
    <row r="1485">
      <c r="A1485" s="4" t="n">
        <v>37818</v>
      </c>
      <c r="B1485" s="3" t="n">
        <v>230.3318278026529</v>
      </c>
    </row>
    <row r="1486">
      <c r="A1486" s="4" t="n">
        <v>37819</v>
      </c>
      <c r="B1486" s="3" t="n">
        <v>230.0383580548155</v>
      </c>
    </row>
    <row r="1487">
      <c r="A1487" s="4" t="n">
        <v>37820</v>
      </c>
      <c r="B1487" s="3" t="n">
        <v>229.4094943094497</v>
      </c>
    </row>
    <row r="1488">
      <c r="A1488" s="4" t="n">
        <v>37823</v>
      </c>
      <c r="B1488" s="3" t="n">
        <v>229.4933428088318</v>
      </c>
    </row>
    <row r="1489">
      <c r="A1489" s="4" t="n">
        <v>37824</v>
      </c>
      <c r="B1489" s="3" t="n">
        <v>228.6967820647018</v>
      </c>
    </row>
    <row r="1490">
      <c r="A1490" s="4" t="n">
        <v>37825</v>
      </c>
      <c r="B1490" s="3" t="n">
        <v>229.2837215603765</v>
      </c>
    </row>
    <row r="1491">
      <c r="A1491" s="4" t="n">
        <v>37826</v>
      </c>
      <c r="B1491" s="3" t="n">
        <v>228.3613880671733</v>
      </c>
    </row>
    <row r="1492">
      <c r="A1492" s="4" t="n">
        <v>37827</v>
      </c>
      <c r="B1492" s="3" t="n">
        <v>229.5771913082139</v>
      </c>
    </row>
    <row r="1493">
      <c r="A1493" s="4" t="n">
        <v>37830</v>
      </c>
      <c r="B1493" s="3" t="n">
        <v>229.8287368063602</v>
      </c>
    </row>
    <row r="1494">
      <c r="A1494" s="4" t="n">
        <v>37831</v>
      </c>
      <c r="B1494" s="3" t="n">
        <v>230.2060550535797</v>
      </c>
    </row>
    <row r="1495">
      <c r="A1495" s="4" t="n">
        <v>37832</v>
      </c>
      <c r="B1495" s="3" t="n">
        <v>230.3318278026529</v>
      </c>
    </row>
    <row r="1496">
      <c r="A1496" s="4" t="n">
        <v>37833</v>
      </c>
      <c r="B1496" s="3" t="n">
        <v>231.1283885467829</v>
      </c>
    </row>
    <row r="1497">
      <c r="A1497" s="4" t="n">
        <v>37834</v>
      </c>
      <c r="B1497" s="3" t="n">
        <v>230.2947623415348</v>
      </c>
    </row>
    <row r="1498">
      <c r="A1498" s="4" t="n">
        <v>37837</v>
      </c>
      <c r="B1498" s="3" t="n">
        <v>231.5894916909342</v>
      </c>
    </row>
    <row r="1499">
      <c r="A1499" s="4" t="n">
        <v>37838</v>
      </c>
      <c r="B1499" s="3" t="n">
        <v>231.7147880795856</v>
      </c>
    </row>
    <row r="1500">
      <c r="A1500" s="4" t="n">
        <v>37839</v>
      </c>
      <c r="B1500" s="3" t="n">
        <v>232.5500973372626</v>
      </c>
    </row>
    <row r="1501">
      <c r="A1501" s="4" t="n">
        <v>37840</v>
      </c>
      <c r="B1501" s="3" t="n">
        <v>233.4689375207072</v>
      </c>
    </row>
    <row r="1502">
      <c r="A1502" s="4" t="n">
        <v>37841</v>
      </c>
      <c r="B1502" s="3" t="n">
        <v>234.6801359443388</v>
      </c>
    </row>
    <row r="1503">
      <c r="A1503" s="4" t="n">
        <v>37844</v>
      </c>
      <c r="B1503" s="3" t="n">
        <v>234.8889632587581</v>
      </c>
    </row>
    <row r="1504">
      <c r="A1504" s="4" t="n">
        <v>37845</v>
      </c>
      <c r="B1504" s="3" t="n">
        <v>235.1395560360611</v>
      </c>
    </row>
    <row r="1505">
      <c r="A1505" s="4" t="n">
        <v>37846</v>
      </c>
      <c r="B1505" s="3" t="n">
        <v>236.3089889968089</v>
      </c>
    </row>
    <row r="1506">
      <c r="A1506" s="4" t="n">
        <v>37847</v>
      </c>
      <c r="B1506" s="3" t="n">
        <v>237.5201874204404</v>
      </c>
    </row>
    <row r="1507">
      <c r="A1507" s="4" t="n">
        <v>37848</v>
      </c>
      <c r="B1507" s="3" t="n">
        <v>238.3972621410012</v>
      </c>
    </row>
    <row r="1508">
      <c r="A1508" s="4" t="n">
        <v>37851</v>
      </c>
      <c r="B1508" s="3" t="n">
        <v>239.0655095471428</v>
      </c>
    </row>
    <row r="1509">
      <c r="A1509" s="4" t="n">
        <v>37852</v>
      </c>
      <c r="B1509" s="3" t="n">
        <v>240.1514115821228</v>
      </c>
    </row>
    <row r="1510">
      <c r="A1510" s="4" t="n">
        <v>37853</v>
      </c>
      <c r="B1510" s="3" t="n">
        <v>241.2373136171029</v>
      </c>
    </row>
    <row r="1511">
      <c r="A1511" s="4" t="n">
        <v>37854</v>
      </c>
      <c r="B1511" s="3" t="n">
        <v>242.9496975953406</v>
      </c>
    </row>
    <row r="1512">
      <c r="A1512" s="4" t="n">
        <v>37855</v>
      </c>
      <c r="B1512" s="3" t="n">
        <v>243.7850068530176</v>
      </c>
    </row>
    <row r="1513">
      <c r="A1513" s="4" t="n">
        <v>37858</v>
      </c>
      <c r="B1513" s="3" t="n">
        <v>244.5367851849268</v>
      </c>
    </row>
    <row r="1514">
      <c r="A1514" s="4" t="n">
        <v>37859</v>
      </c>
      <c r="B1514" s="3" t="n">
        <v>244.6620815735783</v>
      </c>
    </row>
    <row r="1515">
      <c r="A1515" s="4" t="n">
        <v>37860</v>
      </c>
      <c r="B1515" s="3" t="n">
        <v>244.7038470364622</v>
      </c>
    </row>
    <row r="1516">
      <c r="A1516" s="4" t="n">
        <v>37861</v>
      </c>
      <c r="B1516" s="3" t="n">
        <v>244.495019722043</v>
      </c>
    </row>
    <row r="1517">
      <c r="A1517" s="4" t="n">
        <v>37862</v>
      </c>
      <c r="B1517" s="3" t="n">
        <v>244.6620815735783</v>
      </c>
    </row>
    <row r="1518">
      <c r="A1518" s="4" t="n">
        <v>37865</v>
      </c>
      <c r="B1518" s="3" t="n">
        <v>242.2144032096288</v>
      </c>
    </row>
    <row r="1519">
      <c r="A1519" s="4" t="n">
        <v>37866</v>
      </c>
      <c r="B1519" s="3" t="n">
        <v>243.4114409896355</v>
      </c>
    </row>
    <row r="1520">
      <c r="A1520" s="4" t="n">
        <v>37867</v>
      </c>
      <c r="B1520" s="3" t="n">
        <v>244.1131527917084</v>
      </c>
    </row>
    <row r="1521">
      <c r="A1521" s="4" t="n">
        <v>37868</v>
      </c>
      <c r="B1521" s="3" t="n">
        <v>244.3608157806754</v>
      </c>
    </row>
    <row r="1522">
      <c r="A1522" s="4" t="n">
        <v>37869</v>
      </c>
      <c r="B1522" s="3" t="n">
        <v>244.5259244399866</v>
      </c>
    </row>
    <row r="1523">
      <c r="A1523" s="4" t="n">
        <v>37872</v>
      </c>
      <c r="B1523" s="3" t="n">
        <v>244.4846472751588</v>
      </c>
    </row>
    <row r="1524">
      <c r="A1524" s="4" t="n">
        <v>37873</v>
      </c>
      <c r="B1524" s="3" t="n">
        <v>244.4846472751588</v>
      </c>
    </row>
    <row r="1525">
      <c r="A1525" s="4" t="n">
        <v>37874</v>
      </c>
      <c r="B1525" s="3" t="n">
        <v>244.3195386158475</v>
      </c>
    </row>
    <row r="1526">
      <c r="A1526" s="4" t="n">
        <v>37875</v>
      </c>
      <c r="B1526" s="3" t="n">
        <v>243.9067669675694</v>
      </c>
    </row>
    <row r="1527">
      <c r="A1527" s="4" t="n">
        <v>37876</v>
      </c>
      <c r="B1527" s="3" t="n">
        <v>243.5765496489468</v>
      </c>
    </row>
    <row r="1528">
      <c r="A1528" s="4" t="n">
        <v>37879</v>
      </c>
      <c r="B1528" s="3" t="n">
        <v>243.4939953192912</v>
      </c>
    </row>
    <row r="1529">
      <c r="A1529" s="4" t="n">
        <v>37880</v>
      </c>
      <c r="B1529" s="3" t="n">
        <v>243.2876094951521</v>
      </c>
    </row>
    <row r="1530">
      <c r="A1530" s="4" t="n">
        <v>37881</v>
      </c>
      <c r="B1530" s="3" t="n">
        <v>243.1637780006686</v>
      </c>
    </row>
    <row r="1531">
      <c r="A1531" s="4" t="n">
        <v>37882</v>
      </c>
      <c r="B1531" s="3" t="n">
        <v>243.1225008358408</v>
      </c>
    </row>
    <row r="1532">
      <c r="A1532" s="4" t="n">
        <v>37883</v>
      </c>
      <c r="B1532" s="3" t="n">
        <v>243.2876094951521</v>
      </c>
    </row>
    <row r="1533">
      <c r="A1533" s="4" t="n">
        <v>37886</v>
      </c>
      <c r="B1533" s="3" t="n">
        <v>243.4114409896355</v>
      </c>
    </row>
    <row r="1534">
      <c r="A1534" s="4" t="n">
        <v>37887</v>
      </c>
      <c r="B1534" s="3" t="n">
        <v>243.5765496489468</v>
      </c>
    </row>
    <row r="1535">
      <c r="A1535" s="4" t="n">
        <v>37888</v>
      </c>
      <c r="B1535" s="3" t="n">
        <v>243.4114409896355</v>
      </c>
    </row>
    <row r="1536">
      <c r="A1536" s="4" t="n">
        <v>37889</v>
      </c>
      <c r="B1536" s="3" t="n">
        <v>243.4939953192912</v>
      </c>
    </row>
    <row r="1537">
      <c r="A1537" s="4" t="n">
        <v>37890</v>
      </c>
      <c r="B1537" s="3" t="n">
        <v>243.4114409896355</v>
      </c>
    </row>
    <row r="1538">
      <c r="A1538" s="4" t="n">
        <v>37893</v>
      </c>
      <c r="B1538" s="3" t="n">
        <v>243.4114409896355</v>
      </c>
    </row>
    <row r="1539">
      <c r="A1539" s="4" t="n">
        <v>37894</v>
      </c>
      <c r="B1539" s="3" t="n">
        <v>243.4527181544633</v>
      </c>
    </row>
    <row r="1540">
      <c r="A1540" s="4" t="n">
        <v>37895</v>
      </c>
      <c r="B1540" s="3" t="n">
        <v>242.613743823589</v>
      </c>
    </row>
    <row r="1541">
      <c r="A1541" s="4" t="n">
        <v>37896</v>
      </c>
      <c r="B1541" s="3" t="n">
        <v>242.8604696647655</v>
      </c>
    </row>
    <row r="1542">
      <c r="A1542" s="4" t="n">
        <v>37897</v>
      </c>
      <c r="B1542" s="3" t="n">
        <v>242.3670179824125</v>
      </c>
    </row>
    <row r="1543">
      <c r="A1543" s="4" t="n">
        <v>37900</v>
      </c>
      <c r="B1543" s="3" t="n">
        <v>242.5726228500596</v>
      </c>
    </row>
    <row r="1544">
      <c r="A1544" s="4" t="n">
        <v>37901</v>
      </c>
      <c r="B1544" s="3" t="n">
        <v>242.7371067441772</v>
      </c>
    </row>
    <row r="1545">
      <c r="A1545" s="4" t="n">
        <v>37902</v>
      </c>
      <c r="B1545" s="3" t="n">
        <v>242.613743823589</v>
      </c>
    </row>
    <row r="1546">
      <c r="A1546" s="4" t="n">
        <v>37903</v>
      </c>
      <c r="B1546" s="3" t="n">
        <v>242.6548647971184</v>
      </c>
    </row>
    <row r="1547">
      <c r="A1547" s="4" t="n">
        <v>37904</v>
      </c>
      <c r="B1547" s="3" t="n">
        <v>242.8193486912361</v>
      </c>
    </row>
    <row r="1548">
      <c r="A1548" s="4" t="n">
        <v>37907</v>
      </c>
      <c r="B1548" s="3" t="n">
        <v>242.9838325853538</v>
      </c>
    </row>
    <row r="1549">
      <c r="A1549" s="4" t="n">
        <v>37908</v>
      </c>
      <c r="B1549" s="3" t="n">
        <v>243.1071955059421</v>
      </c>
    </row>
    <row r="1550">
      <c r="A1550" s="4" t="n">
        <v>37909</v>
      </c>
      <c r="B1550" s="3" t="n">
        <v>242.9015906382949</v>
      </c>
    </row>
    <row r="1551">
      <c r="A1551" s="4" t="n">
        <v>37910</v>
      </c>
      <c r="B1551" s="3" t="n">
        <v>243.1071955059421</v>
      </c>
    </row>
    <row r="1552">
      <c r="A1552" s="4" t="n">
        <v>37911</v>
      </c>
      <c r="B1552" s="3" t="n">
        <v>243.1071955059421</v>
      </c>
    </row>
    <row r="1553">
      <c r="A1553" s="4" t="n">
        <v>37914</v>
      </c>
      <c r="B1553" s="3" t="n">
        <v>243.2305584265303</v>
      </c>
    </row>
    <row r="1554">
      <c r="A1554" s="4" t="n">
        <v>37915</v>
      </c>
      <c r="B1554" s="3" t="n">
        <v>243.1894374530009</v>
      </c>
    </row>
    <row r="1555">
      <c r="A1555" s="4" t="n">
        <v>37916</v>
      </c>
      <c r="B1555" s="3" t="n">
        <v>243.5595262147657</v>
      </c>
    </row>
    <row r="1556">
      <c r="A1556" s="4" t="n">
        <v>37917</v>
      </c>
      <c r="B1556" s="3" t="n">
        <v>243.9707359500599</v>
      </c>
    </row>
    <row r="1557">
      <c r="A1557" s="4" t="n">
        <v>37918</v>
      </c>
      <c r="B1557" s="3" t="n">
        <v>244.7109134735895</v>
      </c>
    </row>
    <row r="1558">
      <c r="A1558" s="4" t="n">
        <v>37921</v>
      </c>
      <c r="B1558" s="3" t="n">
        <v>244.9165183412366</v>
      </c>
    </row>
    <row r="1559">
      <c r="A1559" s="4" t="n">
        <v>37922</v>
      </c>
      <c r="B1559" s="3" t="n">
        <v>245.4922119706485</v>
      </c>
    </row>
    <row r="1560">
      <c r="A1560" s="4" t="n">
        <v>37923</v>
      </c>
      <c r="B1560" s="3" t="n">
        <v>245.6566958647662</v>
      </c>
    </row>
    <row r="1561">
      <c r="A1561" s="4" t="n">
        <v>37924</v>
      </c>
      <c r="B1561" s="3" t="n">
        <v>246.3557524147664</v>
      </c>
    </row>
    <row r="1562">
      <c r="A1562" s="4" t="n">
        <v>37925</v>
      </c>
      <c r="B1562" s="3" t="n">
        <v>246.7258411765312</v>
      </c>
    </row>
    <row r="1563">
      <c r="A1563" s="4" t="n">
        <v>37928</v>
      </c>
      <c r="B1563" s="3" t="n">
        <v>246.2176047044834</v>
      </c>
    </row>
    <row r="1564">
      <c r="A1564" s="4" t="n">
        <v>37929</v>
      </c>
      <c r="B1564" s="3" t="n">
        <v>246.7086486227905</v>
      </c>
    </row>
    <row r="1565">
      <c r="A1565" s="4" t="n">
        <v>37930</v>
      </c>
      <c r="B1565" s="3" t="n">
        <v>246.7904892758417</v>
      </c>
    </row>
    <row r="1566">
      <c r="A1566" s="4" t="n">
        <v>37931</v>
      </c>
      <c r="B1566" s="3" t="n">
        <v>247.3633738472</v>
      </c>
    </row>
    <row r="1567">
      <c r="A1567" s="4" t="n">
        <v>37932</v>
      </c>
      <c r="B1567" s="3" t="n">
        <v>247.4861348267767</v>
      </c>
    </row>
    <row r="1568">
      <c r="A1568" s="4" t="n">
        <v>37935</v>
      </c>
      <c r="B1568" s="3" t="n">
        <v>247.8134974389815</v>
      </c>
    </row>
    <row r="1569">
      <c r="A1569" s="4" t="n">
        <v>37936</v>
      </c>
      <c r="B1569" s="3" t="n">
        <v>247.6498161328791</v>
      </c>
    </row>
    <row r="1570">
      <c r="A1570" s="4" t="n">
        <v>37937</v>
      </c>
      <c r="B1570" s="3" t="n">
        <v>247.6088958063535</v>
      </c>
    </row>
    <row r="1571">
      <c r="A1571" s="4" t="n">
        <v>37938</v>
      </c>
      <c r="B1571" s="3" t="n">
        <v>247.8953380920327</v>
      </c>
    </row>
    <row r="1572">
      <c r="A1572" s="4" t="n">
        <v>37939</v>
      </c>
      <c r="B1572" s="3" t="n">
        <v>247.8134974389815</v>
      </c>
    </row>
    <row r="1573">
      <c r="A1573" s="4" t="n">
        <v>37942</v>
      </c>
      <c r="B1573" s="3" t="n">
        <v>247.2406128676232</v>
      </c>
    </row>
    <row r="1574">
      <c r="A1574" s="4" t="n">
        <v>37943</v>
      </c>
      <c r="B1574" s="3" t="n">
        <v>246.7495689493161</v>
      </c>
    </row>
    <row r="1575">
      <c r="A1575" s="4" t="n">
        <v>37944</v>
      </c>
      <c r="B1575" s="3" t="n">
        <v>246.9541705819441</v>
      </c>
    </row>
    <row r="1576">
      <c r="A1576" s="4" t="n">
        <v>37945</v>
      </c>
      <c r="B1576" s="3" t="n">
        <v>246.6677282962649</v>
      </c>
    </row>
    <row r="1577">
      <c r="A1577" s="4" t="n">
        <v>37946</v>
      </c>
      <c r="B1577" s="3" t="n">
        <v>246.4222063371113</v>
      </c>
    </row>
    <row r="1578">
      <c r="A1578" s="4" t="n">
        <v>37949</v>
      </c>
      <c r="B1578" s="3" t="n">
        <v>246.4222063371113</v>
      </c>
    </row>
    <row r="1579">
      <c r="A1579" s="4" t="n">
        <v>37950</v>
      </c>
      <c r="B1579" s="3" t="n">
        <v>245.9720827453298</v>
      </c>
    </row>
    <row r="1580">
      <c r="A1580" s="4" t="n">
        <v>37951</v>
      </c>
      <c r="B1580" s="3" t="n">
        <v>246.0948437249066</v>
      </c>
    </row>
    <row r="1581">
      <c r="A1581" s="4" t="n">
        <v>37952</v>
      </c>
      <c r="B1581" s="3" t="n">
        <v>246.053923398381</v>
      </c>
    </row>
    <row r="1582">
      <c r="A1582" s="4" t="n">
        <v>37953</v>
      </c>
      <c r="B1582" s="3" t="n">
        <v>245.9720827453298</v>
      </c>
    </row>
    <row r="1583">
      <c r="A1583" s="4" t="n">
        <v>37956</v>
      </c>
      <c r="B1583" s="3" t="n">
        <v>245.120856293831</v>
      </c>
    </row>
    <row r="1584">
      <c r="A1584" s="4" t="n">
        <v>37957</v>
      </c>
      <c r="B1584" s="3" t="n">
        <v>244.7954926219626</v>
      </c>
    </row>
    <row r="1585">
      <c r="A1585" s="4" t="n">
        <v>37958</v>
      </c>
      <c r="B1585" s="3" t="n">
        <v>244.7141517039955</v>
      </c>
    </row>
    <row r="1586">
      <c r="A1586" s="4" t="n">
        <v>37959</v>
      </c>
      <c r="B1586" s="3" t="n">
        <v>244.2667766551765</v>
      </c>
    </row>
    <row r="1587">
      <c r="A1587" s="4" t="n">
        <v>37960</v>
      </c>
      <c r="B1587" s="3" t="n">
        <v>244.1447652782259</v>
      </c>
    </row>
    <row r="1588">
      <c r="A1588" s="4" t="n">
        <v>37963</v>
      </c>
      <c r="B1588" s="3" t="n">
        <v>244.5107994090777</v>
      </c>
    </row>
    <row r="1589">
      <c r="A1589" s="4" t="n">
        <v>37964</v>
      </c>
      <c r="B1589" s="3" t="n">
        <v>244.3887880321271</v>
      </c>
    </row>
    <row r="1590">
      <c r="A1590" s="4" t="n">
        <v>37965</v>
      </c>
      <c r="B1590" s="3" t="n">
        <v>244.3074471141601</v>
      </c>
    </row>
    <row r="1591">
      <c r="A1591" s="4" t="n">
        <v>37966</v>
      </c>
      <c r="B1591" s="3" t="n">
        <v>244.1854357372094</v>
      </c>
    </row>
    <row r="1592">
      <c r="A1592" s="4" t="n">
        <v>37967</v>
      </c>
      <c r="B1592" s="3" t="n">
        <v>243.9007425243246</v>
      </c>
    </row>
    <row r="1593">
      <c r="A1593" s="4" t="n">
        <v>37970</v>
      </c>
      <c r="B1593" s="3" t="n">
        <v>243.9414129833081</v>
      </c>
    </row>
    <row r="1594">
      <c r="A1594" s="4" t="n">
        <v>37971</v>
      </c>
      <c r="B1594" s="3" t="n">
        <v>244.1854357372094</v>
      </c>
    </row>
    <row r="1595">
      <c r="A1595" s="4" t="n">
        <v>37972</v>
      </c>
      <c r="B1595" s="3" t="n">
        <v>244.2667766551765</v>
      </c>
    </row>
    <row r="1596">
      <c r="A1596" s="4" t="n">
        <v>37973</v>
      </c>
      <c r="B1596" s="3" t="n">
        <v>243.9414129833081</v>
      </c>
    </row>
    <row r="1597">
      <c r="A1597" s="4" t="n">
        <v>37974</v>
      </c>
      <c r="B1597" s="3" t="n">
        <v>244.2667766551765</v>
      </c>
    </row>
    <row r="1598">
      <c r="A1598" s="4" t="n">
        <v>37977</v>
      </c>
      <c r="B1598" s="3" t="n">
        <v>244.2261061961929</v>
      </c>
    </row>
    <row r="1599">
      <c r="A1599" s="4" t="n">
        <v>37978</v>
      </c>
      <c r="B1599" s="3" t="n">
        <v>244.3887880321271</v>
      </c>
    </row>
    <row r="1600">
      <c r="A1600" s="4" t="n">
        <v>37981</v>
      </c>
      <c r="B1600" s="3" t="n">
        <v>244.5921403270449</v>
      </c>
    </row>
    <row r="1601">
      <c r="A1601" s="4" t="n">
        <v>37984</v>
      </c>
      <c r="B1601" s="3" t="n">
        <v>245.2428676707816</v>
      </c>
    </row>
    <row r="1602">
      <c r="A1602" s="4" t="n">
        <v>37985</v>
      </c>
      <c r="B1602" s="3" t="n">
        <v>245.5275608836664</v>
      </c>
    </row>
    <row r="1603">
      <c r="A1603" s="4" t="n">
        <v>37988</v>
      </c>
      <c r="B1603" s="3" t="n">
        <v>243.7948354929824</v>
      </c>
    </row>
    <row r="1604">
      <c r="A1604" s="4" t="n">
        <v>37991</v>
      </c>
      <c r="B1604" s="3" t="n">
        <v>244.0367354455139</v>
      </c>
    </row>
    <row r="1605">
      <c r="A1605" s="4" t="n">
        <v>37992</v>
      </c>
      <c r="B1605" s="3" t="n">
        <v>244.6414853268426</v>
      </c>
    </row>
    <row r="1606">
      <c r="A1606" s="4" t="n">
        <v>37993</v>
      </c>
      <c r="B1606" s="3" t="n">
        <v>244.8833852793741</v>
      </c>
    </row>
    <row r="1607">
      <c r="A1607" s="4" t="n">
        <v>37994</v>
      </c>
      <c r="B1607" s="3" t="n">
        <v>245.1656018906608</v>
      </c>
    </row>
    <row r="1608">
      <c r="A1608" s="4" t="n">
        <v>37995</v>
      </c>
      <c r="B1608" s="3" t="n">
        <v>245.8509850895</v>
      </c>
    </row>
    <row r="1609">
      <c r="A1609" s="4" t="n">
        <v>37998</v>
      </c>
      <c r="B1609" s="3" t="n">
        <v>245.8509850895</v>
      </c>
    </row>
    <row r="1610">
      <c r="A1610" s="4" t="n">
        <v>37999</v>
      </c>
      <c r="B1610" s="3" t="n">
        <v>245.689718454479</v>
      </c>
    </row>
    <row r="1611">
      <c r="A1611" s="4" t="n">
        <v>38000</v>
      </c>
      <c r="B1611" s="3" t="n">
        <v>245.6090851369686</v>
      </c>
    </row>
    <row r="1612">
      <c r="A1612" s="4" t="n">
        <v>38001</v>
      </c>
      <c r="B1612" s="3" t="n">
        <v>245.0043352556398</v>
      </c>
    </row>
    <row r="1613">
      <c r="A1613" s="4" t="n">
        <v>38002</v>
      </c>
      <c r="B1613" s="3" t="n">
        <v>244.5205353505769</v>
      </c>
    </row>
    <row r="1614">
      <c r="A1614" s="4" t="n">
        <v>38005</v>
      </c>
      <c r="B1614" s="3" t="n">
        <v>243.9157854692481</v>
      </c>
    </row>
    <row r="1615">
      <c r="A1615" s="4" t="n">
        <v>38006</v>
      </c>
      <c r="B1615" s="3" t="n">
        <v>242.746602365346</v>
      </c>
    </row>
    <row r="1616">
      <c r="A1616" s="4" t="n">
        <v>38007</v>
      </c>
      <c r="B1616" s="3" t="n">
        <v>241.6580525789543</v>
      </c>
    </row>
    <row r="1617">
      <c r="A1617" s="4" t="n">
        <v>38008</v>
      </c>
      <c r="B1617" s="3" t="n">
        <v>240.1260195462549</v>
      </c>
    </row>
    <row r="1618">
      <c r="A1618" s="4" t="n">
        <v>38009</v>
      </c>
      <c r="B1618" s="3" t="n">
        <v>239.5615863236814</v>
      </c>
    </row>
    <row r="1619">
      <c r="A1619" s="4" t="n">
        <v>38012</v>
      </c>
      <c r="B1619" s="3" t="n">
        <v>238.7149364898212</v>
      </c>
    </row>
    <row r="1620">
      <c r="A1620" s="4" t="n">
        <v>38013</v>
      </c>
      <c r="B1620" s="3" t="n">
        <v>238.2311365847582</v>
      </c>
    </row>
    <row r="1621">
      <c r="A1621" s="4" t="n">
        <v>38014</v>
      </c>
      <c r="B1621" s="3" t="n">
        <v>238.1505032672477</v>
      </c>
    </row>
    <row r="1622">
      <c r="A1622" s="4" t="n">
        <v>38015</v>
      </c>
      <c r="B1622" s="3" t="n">
        <v>238.2311365847582</v>
      </c>
    </row>
    <row r="1623">
      <c r="A1623" s="4" t="n">
        <v>38016</v>
      </c>
      <c r="B1623" s="3" t="n">
        <v>238.3117699022687</v>
      </c>
    </row>
    <row r="1624">
      <c r="A1624" s="4" t="n">
        <v>38019</v>
      </c>
      <c r="B1624" s="3" t="n">
        <v>237.1524865177518</v>
      </c>
    </row>
    <row r="1625">
      <c r="A1625" s="4" t="n">
        <v>38020</v>
      </c>
      <c r="B1625" s="3" t="n">
        <v>236.3116622366657</v>
      </c>
    </row>
    <row r="1626">
      <c r="A1626" s="4" t="n">
        <v>38021</v>
      </c>
      <c r="B1626" s="3" t="n">
        <v>235.7911519674219</v>
      </c>
    </row>
    <row r="1627">
      <c r="A1627" s="4" t="n">
        <v>38022</v>
      </c>
      <c r="B1627" s="3" t="n">
        <v>235.5108772070599</v>
      </c>
    </row>
    <row r="1628">
      <c r="A1628" s="4" t="n">
        <v>38023</v>
      </c>
      <c r="B1628" s="3" t="n">
        <v>235.5108772070599</v>
      </c>
    </row>
    <row r="1629">
      <c r="A1629" s="4" t="n">
        <v>38026</v>
      </c>
      <c r="B1629" s="3" t="n">
        <v>235.3907594526191</v>
      </c>
    </row>
    <row r="1630">
      <c r="A1630" s="4" t="n">
        <v>38027</v>
      </c>
      <c r="B1630" s="3" t="n">
        <v>235.1505239437373</v>
      </c>
    </row>
    <row r="1631">
      <c r="A1631" s="4" t="n">
        <v>38028</v>
      </c>
      <c r="B1631" s="3" t="n">
        <v>234.8702491833753</v>
      </c>
    </row>
    <row r="1632">
      <c r="A1632" s="4" t="n">
        <v>38029</v>
      </c>
      <c r="B1632" s="3" t="n">
        <v>234.6300136744936</v>
      </c>
    </row>
    <row r="1633">
      <c r="A1633" s="4" t="n">
        <v>38030</v>
      </c>
      <c r="B1633" s="3" t="n">
        <v>234.3897781656118</v>
      </c>
    </row>
    <row r="1634">
      <c r="A1634" s="4" t="n">
        <v>38033</v>
      </c>
      <c r="B1634" s="3" t="n">
        <v>234.1495426567301</v>
      </c>
    </row>
    <row r="1635">
      <c r="A1635" s="4" t="n">
        <v>38034</v>
      </c>
      <c r="B1635" s="3" t="n">
        <v>233.8292286448878</v>
      </c>
    </row>
    <row r="1636">
      <c r="A1636" s="4" t="n">
        <v>38035</v>
      </c>
      <c r="B1636" s="3" t="n">
        <v>233.5889931360061</v>
      </c>
    </row>
    <row r="1637">
      <c r="A1637" s="4" t="n">
        <v>38036</v>
      </c>
      <c r="B1637" s="3" t="n">
        <v>233.1886006212032</v>
      </c>
    </row>
    <row r="1638">
      <c r="A1638" s="4" t="n">
        <v>38037</v>
      </c>
      <c r="B1638" s="3" t="n">
        <v>233.2286398726835</v>
      </c>
    </row>
    <row r="1639">
      <c r="A1639" s="4" t="n">
        <v>38042</v>
      </c>
      <c r="B1639" s="3" t="n">
        <v>233.2286398726835</v>
      </c>
    </row>
    <row r="1640">
      <c r="A1640" s="4" t="n">
        <v>38043</v>
      </c>
      <c r="B1640" s="3" t="n">
        <v>233.3487576271243</v>
      </c>
    </row>
    <row r="1641">
      <c r="A1641" s="4" t="n">
        <v>38044</v>
      </c>
      <c r="B1641" s="3" t="n">
        <v>233.4288361300848</v>
      </c>
    </row>
    <row r="1642">
      <c r="A1642" s="4" t="n">
        <v>38047</v>
      </c>
      <c r="B1642" s="3" t="n">
        <v>230.8942484230571</v>
      </c>
    </row>
    <row r="1643">
      <c r="A1643" s="4" t="n">
        <v>38048</v>
      </c>
      <c r="B1643" s="3" t="n">
        <v>230.8546575025456</v>
      </c>
    </row>
    <row r="1644">
      <c r="A1644" s="4" t="n">
        <v>38049</v>
      </c>
      <c r="B1644" s="3" t="n">
        <v>230.8942484230571</v>
      </c>
    </row>
    <row r="1645">
      <c r="A1645" s="4" t="n">
        <v>38050</v>
      </c>
      <c r="B1645" s="3" t="n">
        <v>230.7754756615226</v>
      </c>
    </row>
    <row r="1646">
      <c r="A1646" s="4" t="n">
        <v>38051</v>
      </c>
      <c r="B1646" s="3" t="n">
        <v>230.6567028999881</v>
      </c>
    </row>
    <row r="1647">
      <c r="A1647" s="4" t="n">
        <v>38054</v>
      </c>
      <c r="B1647" s="3" t="n">
        <v>230.4587482974306</v>
      </c>
    </row>
    <row r="1648">
      <c r="A1648" s="4" t="n">
        <v>38055</v>
      </c>
      <c r="B1648" s="3" t="n">
        <v>230.3399755358961</v>
      </c>
    </row>
    <row r="1649">
      <c r="A1649" s="4" t="n">
        <v>38056</v>
      </c>
      <c r="B1649" s="3" t="n">
        <v>230.1024300128271</v>
      </c>
    </row>
    <row r="1650">
      <c r="A1650" s="4" t="n">
        <v>38057</v>
      </c>
      <c r="B1650" s="3" t="n">
        <v>229.9044754102696</v>
      </c>
    </row>
    <row r="1651">
      <c r="A1651" s="4" t="n">
        <v>38058</v>
      </c>
      <c r="B1651" s="3" t="n">
        <v>229.7065208077122</v>
      </c>
    </row>
    <row r="1652">
      <c r="A1652" s="4" t="n">
        <v>38061</v>
      </c>
      <c r="B1652" s="3" t="n">
        <v>229.7065208077122</v>
      </c>
    </row>
    <row r="1653">
      <c r="A1653" s="4" t="n">
        <v>38062</v>
      </c>
      <c r="B1653" s="3" t="n">
        <v>229.3502025231087</v>
      </c>
    </row>
    <row r="1654">
      <c r="A1654" s="4" t="n">
        <v>38063</v>
      </c>
      <c r="B1654" s="3" t="n">
        <v>228.7959296359477</v>
      </c>
    </row>
    <row r="1655">
      <c r="A1655" s="4" t="n">
        <v>38064</v>
      </c>
      <c r="B1655" s="3" t="n">
        <v>228.6375659539017</v>
      </c>
    </row>
    <row r="1656">
      <c r="A1656" s="4" t="n">
        <v>38065</v>
      </c>
      <c r="B1656" s="3" t="n">
        <v>228.7167477949247</v>
      </c>
    </row>
    <row r="1657">
      <c r="A1657" s="4" t="n">
        <v>38068</v>
      </c>
      <c r="B1657" s="3" t="n">
        <v>229.1918388410627</v>
      </c>
    </row>
    <row r="1658">
      <c r="A1658" s="4" t="n">
        <v>38069</v>
      </c>
      <c r="B1658" s="3" t="n">
        <v>228.9542933179937</v>
      </c>
    </row>
    <row r="1659">
      <c r="A1659" s="4" t="n">
        <v>38070</v>
      </c>
      <c r="B1659" s="3" t="n">
        <v>229.3106116025972</v>
      </c>
    </row>
    <row r="1660">
      <c r="A1660" s="4" t="n">
        <v>38071</v>
      </c>
      <c r="B1660" s="3" t="n">
        <v>229.1126570000397</v>
      </c>
    </row>
    <row r="1661">
      <c r="A1661" s="4" t="n">
        <v>38072</v>
      </c>
      <c r="B1661" s="3" t="n">
        <v>229.1918388410627</v>
      </c>
    </row>
    <row r="1662">
      <c r="A1662" s="4" t="n">
        <v>38075</v>
      </c>
      <c r="B1662" s="3" t="n">
        <v>229.4293843641317</v>
      </c>
    </row>
    <row r="1663">
      <c r="A1663" s="4" t="n">
        <v>38076</v>
      </c>
      <c r="B1663" s="3" t="n">
        <v>229.2710206820856</v>
      </c>
    </row>
    <row r="1664">
      <c r="A1664" s="4" t="n">
        <v>38077</v>
      </c>
      <c r="B1664" s="3" t="n">
        <v>229.0334751590167</v>
      </c>
    </row>
    <row r="1665">
      <c r="A1665" s="4" t="n">
        <v>38078</v>
      </c>
      <c r="B1665" s="3" t="n">
        <v>226.4075196879971</v>
      </c>
    </row>
    <row r="1666">
      <c r="A1666" s="4" t="n">
        <v>38079</v>
      </c>
      <c r="B1666" s="3" t="n">
        <v>226.2510528464712</v>
      </c>
    </row>
    <row r="1667">
      <c r="A1667" s="4" t="n">
        <v>38082</v>
      </c>
      <c r="B1667" s="3" t="n">
        <v>226.4075196879971</v>
      </c>
    </row>
    <row r="1668">
      <c r="A1668" s="4" t="n">
        <v>38083</v>
      </c>
      <c r="B1668" s="3" t="n">
        <v>226.2901695568526</v>
      </c>
    </row>
    <row r="1669">
      <c r="A1669" s="4" t="n">
        <v>38084</v>
      </c>
      <c r="B1669" s="3" t="n">
        <v>226.2510528464712</v>
      </c>
    </row>
    <row r="1670">
      <c r="A1670" s="4" t="n">
        <v>38085</v>
      </c>
      <c r="B1670" s="3" t="n">
        <v>226.1337027153267</v>
      </c>
    </row>
    <row r="1671">
      <c r="A1671" s="4" t="n">
        <v>38089</v>
      </c>
      <c r="B1671" s="3" t="n">
        <v>226.48575310876</v>
      </c>
    </row>
    <row r="1672">
      <c r="A1672" s="4" t="n">
        <v>38090</v>
      </c>
      <c r="B1672" s="3" t="n">
        <v>226.6813366606675</v>
      </c>
    </row>
    <row r="1673">
      <c r="A1673" s="4" t="n">
        <v>38091</v>
      </c>
      <c r="B1673" s="3" t="n">
        <v>226.7986867918119</v>
      </c>
    </row>
    <row r="1674">
      <c r="A1674" s="4" t="n">
        <v>38092</v>
      </c>
      <c r="B1674" s="3" t="n">
        <v>226.7204533710489</v>
      </c>
    </row>
    <row r="1675">
      <c r="A1675" s="4" t="n">
        <v>38093</v>
      </c>
      <c r="B1675" s="3" t="n">
        <v>226.8378035021933</v>
      </c>
    </row>
    <row r="1676">
      <c r="A1676" s="4" t="n">
        <v>38096</v>
      </c>
      <c r="B1676" s="3" t="n">
        <v>227.2289706060081</v>
      </c>
    </row>
    <row r="1677">
      <c r="A1677" s="4" t="n">
        <v>38097</v>
      </c>
      <c r="B1677" s="3" t="n">
        <v>227.2680873163896</v>
      </c>
    </row>
    <row r="1678">
      <c r="A1678" s="4" t="n">
        <v>38099</v>
      </c>
      <c r="B1678" s="3" t="n">
        <v>227.5027875786785</v>
      </c>
    </row>
    <row r="1679">
      <c r="A1679" s="4" t="n">
        <v>38100</v>
      </c>
      <c r="B1679" s="3" t="n">
        <v>227.6592544202044</v>
      </c>
    </row>
    <row r="1680">
      <c r="A1680" s="4" t="n">
        <v>38103</v>
      </c>
      <c r="B1680" s="3" t="n">
        <v>228.2068883655451</v>
      </c>
    </row>
    <row r="1681">
      <c r="A1681" s="4" t="n">
        <v>38104</v>
      </c>
      <c r="B1681" s="3" t="n">
        <v>228.4024719174525</v>
      </c>
    </row>
    <row r="1682">
      <c r="A1682" s="4" t="n">
        <v>38105</v>
      </c>
      <c r="B1682" s="3" t="n">
        <v>229.3021562562265</v>
      </c>
    </row>
    <row r="1683">
      <c r="A1683" s="4" t="n">
        <v>38106</v>
      </c>
      <c r="B1683" s="3" t="n">
        <v>229.6150899392783</v>
      </c>
    </row>
    <row r="1684">
      <c r="A1684" s="4" t="n">
        <v>38107</v>
      </c>
      <c r="B1684" s="3" t="n">
        <v>229.4977398081339</v>
      </c>
    </row>
    <row r="1685">
      <c r="A1685" s="4" t="n">
        <v>38110</v>
      </c>
      <c r="B1685" s="3" t="n">
        <v>226.7688625577136</v>
      </c>
    </row>
    <row r="1686">
      <c r="A1686" s="4" t="n">
        <v>38111</v>
      </c>
      <c r="B1686" s="3" t="n">
        <v>227.0777593567025</v>
      </c>
    </row>
    <row r="1687">
      <c r="A1687" s="4" t="n">
        <v>38112</v>
      </c>
      <c r="B1687" s="3" t="n">
        <v>227.0005351569553</v>
      </c>
    </row>
    <row r="1688">
      <c r="A1688" s="4" t="n">
        <v>38113</v>
      </c>
      <c r="B1688" s="3" t="n">
        <v>227.2708198560705</v>
      </c>
    </row>
    <row r="1689">
      <c r="A1689" s="4" t="n">
        <v>38114</v>
      </c>
      <c r="B1689" s="3" t="n">
        <v>227.3866561556914</v>
      </c>
    </row>
    <row r="1690">
      <c r="A1690" s="4" t="n">
        <v>38117</v>
      </c>
      <c r="B1690" s="3" t="n">
        <v>227.6183287549331</v>
      </c>
    </row>
    <row r="1691">
      <c r="A1691" s="4" t="n">
        <v>38118</v>
      </c>
      <c r="B1691" s="3" t="n">
        <v>228.0430618535428</v>
      </c>
    </row>
    <row r="1692">
      <c r="A1692" s="4" t="n">
        <v>38119</v>
      </c>
      <c r="B1692" s="3" t="n">
        <v>228.6994675513942</v>
      </c>
    </row>
    <row r="1693">
      <c r="A1693" s="4" t="n">
        <v>38120</v>
      </c>
      <c r="B1693" s="3" t="n">
        <v>229.4330974489927</v>
      </c>
    </row>
    <row r="1694">
      <c r="A1694" s="4" t="n">
        <v>38121</v>
      </c>
      <c r="B1694" s="3" t="n">
        <v>229.6647700482344</v>
      </c>
    </row>
    <row r="1695">
      <c r="A1695" s="4" t="n">
        <v>38124</v>
      </c>
      <c r="B1695" s="3" t="n">
        <v>229.8578305476024</v>
      </c>
    </row>
    <row r="1696">
      <c r="A1696" s="4" t="n">
        <v>38125</v>
      </c>
      <c r="B1696" s="3" t="n">
        <v>230.1667273465914</v>
      </c>
    </row>
    <row r="1697">
      <c r="A1697" s="4" t="n">
        <v>38126</v>
      </c>
      <c r="B1697" s="3" t="n">
        <v>230.7072967448219</v>
      </c>
    </row>
    <row r="1698">
      <c r="A1698" s="4" t="n">
        <v>38127</v>
      </c>
      <c r="B1698" s="3" t="n">
        <v>230.591460445201</v>
      </c>
    </row>
    <row r="1699">
      <c r="A1699" s="4" t="n">
        <v>38128</v>
      </c>
      <c r="B1699" s="3" t="n">
        <v>230.7459088446955</v>
      </c>
    </row>
    <row r="1700">
      <c r="A1700" s="4" t="n">
        <v>38131</v>
      </c>
      <c r="B1700" s="3" t="n">
        <v>230.7459088446955</v>
      </c>
    </row>
    <row r="1701">
      <c r="A1701" s="4" t="n">
        <v>38132</v>
      </c>
      <c r="B1701" s="3" t="n">
        <v>230.7072967448219</v>
      </c>
    </row>
    <row r="1702">
      <c r="A1702" s="4" t="n">
        <v>38133</v>
      </c>
      <c r="B1702" s="3" t="n">
        <v>230.9389693440635</v>
      </c>
    </row>
    <row r="1703">
      <c r="A1703" s="4" t="n">
        <v>38134</v>
      </c>
      <c r="B1703" s="3" t="n">
        <v>231.093417743558</v>
      </c>
    </row>
    <row r="1704">
      <c r="A1704" s="4" t="n">
        <v>38135</v>
      </c>
      <c r="B1704" s="3" t="n">
        <v>231.8656597410302</v>
      </c>
    </row>
    <row r="1705">
      <c r="A1705" s="4" t="n">
        <v>38138</v>
      </c>
      <c r="B1705" s="3" t="n">
        <v>232.2517807397663</v>
      </c>
    </row>
    <row r="1706">
      <c r="A1706" s="4" t="n">
        <v>38139</v>
      </c>
      <c r="B1706" s="3" t="n">
        <v>229.9378152719778</v>
      </c>
    </row>
    <row r="1707">
      <c r="A1707" s="4" t="n">
        <v>38140</v>
      </c>
      <c r="B1707" s="3" t="n">
        <v>230.2806081057442</v>
      </c>
    </row>
    <row r="1708">
      <c r="A1708" s="4" t="n">
        <v>38141</v>
      </c>
      <c r="B1708" s="3" t="n">
        <v>230.9281056806363</v>
      </c>
    </row>
    <row r="1709">
      <c r="A1709" s="4" t="n">
        <v>38142</v>
      </c>
      <c r="B1709" s="3" t="n">
        <v>231.0423699585585</v>
      </c>
    </row>
    <row r="1710">
      <c r="A1710" s="4" t="n">
        <v>38145</v>
      </c>
      <c r="B1710" s="3" t="n">
        <v>231.3089866070434</v>
      </c>
    </row>
    <row r="1711">
      <c r="A1711" s="4" t="n">
        <v>38146</v>
      </c>
      <c r="B1711" s="3" t="n">
        <v>231.232810421762</v>
      </c>
    </row>
    <row r="1712">
      <c r="A1712" s="4" t="n">
        <v>38147</v>
      </c>
      <c r="B1712" s="3" t="n">
        <v>231.1947223291213</v>
      </c>
    </row>
    <row r="1713">
      <c r="A1713" s="4" t="n">
        <v>38149</v>
      </c>
      <c r="B1713" s="3" t="n">
        <v>231.1185461438399</v>
      </c>
    </row>
    <row r="1714">
      <c r="A1714" s="4" t="n">
        <v>38152</v>
      </c>
      <c r="B1714" s="3" t="n">
        <v>231.4613389776063</v>
      </c>
    </row>
    <row r="1715">
      <c r="A1715" s="4" t="n">
        <v>38153</v>
      </c>
      <c r="B1715" s="3" t="n">
        <v>231.1947223291213</v>
      </c>
    </row>
    <row r="1716">
      <c r="A1716" s="4" t="n">
        <v>38154</v>
      </c>
      <c r="B1716" s="3" t="n">
        <v>231.0042818659178</v>
      </c>
    </row>
    <row r="1717">
      <c r="A1717" s="4" t="n">
        <v>38155</v>
      </c>
      <c r="B1717" s="3" t="n">
        <v>231.3089866070434</v>
      </c>
    </row>
    <row r="1718">
      <c r="A1718" s="4" t="n">
        <v>38156</v>
      </c>
      <c r="B1718" s="3" t="n">
        <v>230.6614890321514</v>
      </c>
    </row>
    <row r="1719">
      <c r="A1719" s="4" t="n">
        <v>38159</v>
      </c>
      <c r="B1719" s="3" t="n">
        <v>230.5853128468699</v>
      </c>
    </row>
    <row r="1720">
      <c r="A1720" s="4" t="n">
        <v>38160</v>
      </c>
      <c r="B1720" s="3" t="n">
        <v>230.5853128468699</v>
      </c>
    </row>
    <row r="1721">
      <c r="A1721" s="4" t="n">
        <v>38161</v>
      </c>
      <c r="B1721" s="3" t="n">
        <v>230.5091366615885</v>
      </c>
    </row>
    <row r="1722">
      <c r="A1722" s="4" t="n">
        <v>38162</v>
      </c>
      <c r="B1722" s="3" t="n">
        <v>229.785462901415</v>
      </c>
    </row>
    <row r="1723">
      <c r="A1723" s="4" t="n">
        <v>38163</v>
      </c>
      <c r="B1723" s="3" t="n">
        <v>229.252229604445</v>
      </c>
    </row>
    <row r="1724">
      <c r="A1724" s="4" t="n">
        <v>38166</v>
      </c>
      <c r="B1724" s="3" t="n">
        <v>228.6428201221936</v>
      </c>
    </row>
    <row r="1725">
      <c r="A1725" s="4" t="n">
        <v>38167</v>
      </c>
      <c r="B1725" s="3" t="n">
        <v>228.1095868252237</v>
      </c>
    </row>
    <row r="1726">
      <c r="A1726" s="4" t="n">
        <v>38168</v>
      </c>
      <c r="B1726" s="3" t="n">
        <v>228.1095868252237</v>
      </c>
    </row>
    <row r="1727">
      <c r="A1727" s="4" t="n">
        <v>38169</v>
      </c>
      <c r="B1727" s="3" t="n">
        <v>225.3521350445167</v>
      </c>
    </row>
    <row r="1728">
      <c r="A1728" s="4" t="n">
        <v>38170</v>
      </c>
      <c r="B1728" s="3" t="n">
        <v>225.991271897329</v>
      </c>
    </row>
    <row r="1729">
      <c r="A1729" s="4" t="n">
        <v>38173</v>
      </c>
      <c r="B1729" s="3" t="n">
        <v>225.9160793264099</v>
      </c>
    </row>
    <row r="1730">
      <c r="A1730" s="4" t="n">
        <v>38174</v>
      </c>
      <c r="B1730" s="3" t="n">
        <v>225.6153090427335</v>
      </c>
    </row>
    <row r="1731">
      <c r="A1731" s="4" t="n">
        <v>38175</v>
      </c>
      <c r="B1731" s="3" t="n">
        <v>225.3897313299763</v>
      </c>
    </row>
    <row r="1732">
      <c r="A1732" s="4" t="n">
        <v>38176</v>
      </c>
      <c r="B1732" s="3" t="n">
        <v>225.3521350445167</v>
      </c>
    </row>
    <row r="1733">
      <c r="A1733" s="4" t="n">
        <v>38180</v>
      </c>
      <c r="B1733" s="3" t="n">
        <v>225.4649239008953</v>
      </c>
    </row>
    <row r="1734">
      <c r="A1734" s="4" t="n">
        <v>38181</v>
      </c>
      <c r="B1734" s="3" t="n">
        <v>225.4649239008953</v>
      </c>
    </row>
    <row r="1735">
      <c r="A1735" s="4" t="n">
        <v>38182</v>
      </c>
      <c r="B1735" s="3" t="n">
        <v>225.8032904700313</v>
      </c>
    </row>
    <row r="1736">
      <c r="A1736" s="4" t="n">
        <v>38183</v>
      </c>
      <c r="B1736" s="3" t="n">
        <v>225.8032904700313</v>
      </c>
    </row>
    <row r="1737">
      <c r="A1737" s="4" t="n">
        <v>38184</v>
      </c>
      <c r="B1737" s="3" t="n">
        <v>226.2920421810054</v>
      </c>
    </row>
    <row r="1738">
      <c r="A1738" s="4" t="n">
        <v>38187</v>
      </c>
      <c r="B1738" s="3" t="n">
        <v>226.4800236083031</v>
      </c>
    </row>
    <row r="1739">
      <c r="A1739" s="4" t="n">
        <v>38188</v>
      </c>
      <c r="B1739" s="3" t="n">
        <v>226.5928124646817</v>
      </c>
    </row>
    <row r="1740">
      <c r="A1740" s="4" t="n">
        <v>38189</v>
      </c>
      <c r="B1740" s="3" t="n">
        <v>226.7056013210604</v>
      </c>
    </row>
    <row r="1741">
      <c r="A1741" s="4" t="n">
        <v>38190</v>
      </c>
      <c r="B1741" s="3" t="n">
        <v>227.0815641756558</v>
      </c>
    </row>
    <row r="1742">
      <c r="A1742" s="4" t="n">
        <v>38191</v>
      </c>
      <c r="B1742" s="3" t="n">
        <v>227.231949317494</v>
      </c>
    </row>
    <row r="1743">
      <c r="A1743" s="4" t="n">
        <v>38194</v>
      </c>
      <c r="B1743" s="3" t="n">
        <v>228.0966638830635</v>
      </c>
    </row>
    <row r="1744">
      <c r="A1744" s="4" t="n">
        <v>38195</v>
      </c>
      <c r="B1744" s="3" t="n">
        <v>228.8109933067949</v>
      </c>
    </row>
    <row r="1745">
      <c r="A1745" s="4" t="n">
        <v>38196</v>
      </c>
      <c r="B1745" s="3" t="n">
        <v>229.3749375886881</v>
      </c>
    </row>
    <row r="1746">
      <c r="A1746" s="4" t="n">
        <v>38197</v>
      </c>
      <c r="B1746" s="3" t="n">
        <v>230.126863297879</v>
      </c>
    </row>
    <row r="1747">
      <c r="A1747" s="4" t="n">
        <v>38198</v>
      </c>
      <c r="B1747" s="3" t="n">
        <v>230.540422437934</v>
      </c>
    </row>
    <row r="1748">
      <c r="A1748" s="4" t="n">
        <v>38201</v>
      </c>
      <c r="B1748" s="3" t="n">
        <v>227.9517509894172</v>
      </c>
    </row>
    <row r="1749">
      <c r="A1749" s="4" t="n">
        <v>38202</v>
      </c>
      <c r="B1749" s="3" t="n">
        <v>228.8432031686166</v>
      </c>
    </row>
    <row r="1750">
      <c r="A1750" s="4" t="n">
        <v>38203</v>
      </c>
      <c r="B1750" s="3" t="n">
        <v>229.0289223726164</v>
      </c>
    </row>
    <row r="1751">
      <c r="A1751" s="4" t="n">
        <v>38204</v>
      </c>
      <c r="B1751" s="3" t="n">
        <v>229.3260730990162</v>
      </c>
    </row>
    <row r="1752">
      <c r="A1752" s="4" t="n">
        <v>38205</v>
      </c>
      <c r="B1752" s="3" t="n">
        <v>229.3632169398161</v>
      </c>
    </row>
    <row r="1753">
      <c r="A1753" s="4" t="n">
        <v>38208</v>
      </c>
      <c r="B1753" s="3" t="n">
        <v>229.548936143816</v>
      </c>
    </row>
    <row r="1754">
      <c r="A1754" s="4" t="n">
        <v>38209</v>
      </c>
      <c r="B1754" s="3" t="n">
        <v>229.548936143816</v>
      </c>
    </row>
    <row r="1755">
      <c r="A1755" s="4" t="n">
        <v>38210</v>
      </c>
      <c r="B1755" s="3" t="n">
        <v>229.548936143816</v>
      </c>
    </row>
    <row r="1756">
      <c r="A1756" s="4" t="n">
        <v>38211</v>
      </c>
      <c r="B1756" s="3" t="n">
        <v>229.511792303016</v>
      </c>
    </row>
    <row r="1757">
      <c r="A1757" s="4" t="n">
        <v>38212</v>
      </c>
      <c r="B1757" s="3" t="n">
        <v>229.3632169398161</v>
      </c>
    </row>
    <row r="1758">
      <c r="A1758" s="4" t="n">
        <v>38215</v>
      </c>
      <c r="B1758" s="3" t="n">
        <v>229.2146415766163</v>
      </c>
    </row>
    <row r="1759">
      <c r="A1759" s="4" t="n">
        <v>38216</v>
      </c>
      <c r="B1759" s="3" t="n">
        <v>229.1403538950163</v>
      </c>
    </row>
    <row r="1760">
      <c r="A1760" s="4" t="n">
        <v>38217</v>
      </c>
      <c r="B1760" s="3" t="n">
        <v>229.0660662134164</v>
      </c>
    </row>
    <row r="1761">
      <c r="A1761" s="4" t="n">
        <v>38218</v>
      </c>
      <c r="B1761" s="3" t="n">
        <v>228.9917785318164</v>
      </c>
    </row>
    <row r="1762">
      <c r="A1762" s="4" t="n">
        <v>38219</v>
      </c>
      <c r="B1762" s="3" t="n">
        <v>228.8803470094165</v>
      </c>
    </row>
    <row r="1763">
      <c r="A1763" s="4" t="n">
        <v>38222</v>
      </c>
      <c r="B1763" s="3" t="n">
        <v>228.6574839646167</v>
      </c>
    </row>
    <row r="1764">
      <c r="A1764" s="4" t="n">
        <v>38223</v>
      </c>
      <c r="B1764" s="3" t="n">
        <v>228.3603332382169</v>
      </c>
    </row>
    <row r="1765">
      <c r="A1765" s="4" t="n">
        <v>38224</v>
      </c>
      <c r="B1765" s="3" t="n">
        <v>227.8403194670173</v>
      </c>
    </row>
    <row r="1766">
      <c r="A1766" s="4" t="n">
        <v>38225</v>
      </c>
      <c r="B1766" s="3" t="n">
        <v>227.6917441038175</v>
      </c>
    </row>
    <row r="1767">
      <c r="A1767" s="4" t="n">
        <v>38226</v>
      </c>
      <c r="B1767" s="3" t="n">
        <v>227.5431687406176</v>
      </c>
    </row>
    <row r="1768">
      <c r="A1768" s="4" t="n">
        <v>38229</v>
      </c>
      <c r="B1768" s="3" t="n">
        <v>227.4688810590177</v>
      </c>
    </row>
    <row r="1769">
      <c r="A1769" s="4" t="n">
        <v>38230</v>
      </c>
      <c r="B1769" s="3" t="n">
        <v>227.4317372182177</v>
      </c>
    </row>
    <row r="1770">
      <c r="A1770" s="4" t="n">
        <v>38231</v>
      </c>
      <c r="B1770" s="3" t="n">
        <v>225.8263354802542</v>
      </c>
    </row>
    <row r="1771">
      <c r="A1771" s="4" t="n">
        <v>38232</v>
      </c>
      <c r="B1771" s="3" t="n">
        <v>225.4205710747849</v>
      </c>
    </row>
    <row r="1772">
      <c r="A1772" s="4" t="n">
        <v>38233</v>
      </c>
      <c r="B1772" s="3" t="n">
        <v>225.273020381887</v>
      </c>
    </row>
    <row r="1773">
      <c r="A1773" s="4" t="n">
        <v>38236</v>
      </c>
      <c r="B1773" s="3" t="n">
        <v>225.0885820157646</v>
      </c>
    </row>
    <row r="1774">
      <c r="A1774" s="4" t="n">
        <v>38238</v>
      </c>
      <c r="B1774" s="3" t="n">
        <v>225.0148066693156</v>
      </c>
    </row>
    <row r="1775">
      <c r="A1775" s="4" t="n">
        <v>38239</v>
      </c>
      <c r="B1775" s="3" t="n">
        <v>224.6090422638464</v>
      </c>
    </row>
    <row r="1776">
      <c r="A1776" s="4" t="n">
        <v>38240</v>
      </c>
      <c r="B1776" s="3" t="n">
        <v>224.350828551275</v>
      </c>
    </row>
    <row r="1777">
      <c r="A1777" s="4" t="n">
        <v>38243</v>
      </c>
      <c r="B1777" s="3" t="n">
        <v>224.0188394922547</v>
      </c>
    </row>
    <row r="1778">
      <c r="A1778" s="4" t="n">
        <v>38244</v>
      </c>
      <c r="B1778" s="3" t="n">
        <v>222.8015462758469</v>
      </c>
    </row>
    <row r="1779">
      <c r="A1779" s="4" t="n">
        <v>38245</v>
      </c>
      <c r="B1779" s="3" t="n">
        <v>221.953129791684</v>
      </c>
    </row>
    <row r="1780">
      <c r="A1780" s="4" t="n">
        <v>38246</v>
      </c>
      <c r="B1780" s="3" t="n">
        <v>221.1416009807455</v>
      </c>
    </row>
    <row r="1781">
      <c r="A1781" s="4" t="n">
        <v>38247</v>
      </c>
      <c r="B1781" s="3" t="n">
        <v>220.9202749413986</v>
      </c>
    </row>
    <row r="1782">
      <c r="A1782" s="4" t="n">
        <v>38250</v>
      </c>
      <c r="B1782" s="3" t="n">
        <v>220.0718584572356</v>
      </c>
    </row>
    <row r="1783">
      <c r="A1783" s="4" t="n">
        <v>38251</v>
      </c>
      <c r="B1783" s="3" t="n">
        <v>219.2972173195216</v>
      </c>
    </row>
    <row r="1784">
      <c r="A1784" s="4" t="n">
        <v>38252</v>
      </c>
      <c r="B1784" s="3" t="n">
        <v>218.7439022211544</v>
      </c>
    </row>
    <row r="1785">
      <c r="A1785" s="4" t="n">
        <v>38253</v>
      </c>
      <c r="B1785" s="3" t="n">
        <v>218.1536994495627</v>
      </c>
    </row>
    <row r="1786">
      <c r="A1786" s="4" t="n">
        <v>38254</v>
      </c>
      <c r="B1786" s="3" t="n">
        <v>217.3790583118487</v>
      </c>
    </row>
    <row r="1787">
      <c r="A1787" s="4" t="n">
        <v>38257</v>
      </c>
      <c r="B1787" s="3" t="n">
        <v>217.2315076189508</v>
      </c>
    </row>
    <row r="1788">
      <c r="A1788" s="4" t="n">
        <v>38258</v>
      </c>
      <c r="B1788" s="3" t="n">
        <v>216.9732939063795</v>
      </c>
    </row>
    <row r="1789">
      <c r="A1789" s="4" t="n">
        <v>38259</v>
      </c>
      <c r="B1789" s="3" t="n">
        <v>216.7888555402571</v>
      </c>
    </row>
    <row r="1790">
      <c r="A1790" s="4" t="n">
        <v>38260</v>
      </c>
      <c r="B1790" s="3" t="n">
        <v>216.7888555402571</v>
      </c>
    </row>
    <row r="1791">
      <c r="A1791" s="4" t="n">
        <v>38261</v>
      </c>
      <c r="B1791" s="3" t="n">
        <v>216.0149420265398</v>
      </c>
    </row>
    <row r="1792">
      <c r="A1792" s="4" t="n">
        <v>38264</v>
      </c>
      <c r="B1792" s="3" t="n">
        <v>216.0516855104702</v>
      </c>
    </row>
    <row r="1793">
      <c r="A1793" s="4" t="n">
        <v>38265</v>
      </c>
      <c r="B1793" s="3" t="n">
        <v>216.455863833704</v>
      </c>
    </row>
    <row r="1794">
      <c r="A1794" s="4" t="n">
        <v>38266</v>
      </c>
      <c r="B1794" s="3" t="n">
        <v>216.6028377694255</v>
      </c>
    </row>
    <row r="1795">
      <c r="A1795" s="4" t="n">
        <v>38267</v>
      </c>
      <c r="B1795" s="3" t="n">
        <v>216.7498117051469</v>
      </c>
    </row>
    <row r="1796">
      <c r="A1796" s="4" t="n">
        <v>38268</v>
      </c>
      <c r="B1796" s="3" t="n">
        <v>217.0437595765897</v>
      </c>
    </row>
    <row r="1797">
      <c r="A1797" s="4" t="n">
        <v>38271</v>
      </c>
      <c r="B1797" s="3" t="n">
        <v>217.2274769962414</v>
      </c>
    </row>
    <row r="1798">
      <c r="A1798" s="4" t="n">
        <v>38273</v>
      </c>
      <c r="B1798" s="3" t="n">
        <v>217.4479378998236</v>
      </c>
    </row>
    <row r="1799">
      <c r="A1799" s="4" t="n">
        <v>38274</v>
      </c>
      <c r="B1799" s="3" t="n">
        <v>218.9911642248984</v>
      </c>
    </row>
    <row r="1800">
      <c r="A1800" s="4" t="n">
        <v>38275</v>
      </c>
      <c r="B1800" s="3" t="n">
        <v>219.1748816445501</v>
      </c>
    </row>
    <row r="1801">
      <c r="A1801" s="4" t="n">
        <v>38278</v>
      </c>
      <c r="B1801" s="3" t="n">
        <v>219.2851120963412</v>
      </c>
    </row>
    <row r="1802">
      <c r="A1802" s="4" t="n">
        <v>38279</v>
      </c>
      <c r="B1802" s="3" t="n">
        <v>219.3585990642019</v>
      </c>
    </row>
    <row r="1803">
      <c r="A1803" s="4" t="n">
        <v>38280</v>
      </c>
      <c r="B1803" s="3" t="n">
        <v>220.1302122267392</v>
      </c>
    </row>
    <row r="1804">
      <c r="A1804" s="4" t="n">
        <v>38281</v>
      </c>
      <c r="B1804" s="3" t="n">
        <v>220.4241600981821</v>
      </c>
    </row>
    <row r="1805">
      <c r="A1805" s="4" t="n">
        <v>38282</v>
      </c>
      <c r="B1805" s="3" t="n">
        <v>220.8283384214159</v>
      </c>
    </row>
    <row r="1806">
      <c r="A1806" s="4" t="n">
        <v>38285</v>
      </c>
      <c r="B1806" s="3" t="n">
        <v>220.9018253892766</v>
      </c>
    </row>
    <row r="1807">
      <c r="A1807" s="4" t="n">
        <v>38286</v>
      </c>
      <c r="B1807" s="3" t="n">
        <v>221.5264646160927</v>
      </c>
    </row>
    <row r="1808">
      <c r="A1808" s="4" t="n">
        <v>38287</v>
      </c>
      <c r="B1808" s="3" t="n">
        <v>222.1511038429086</v>
      </c>
    </row>
    <row r="1809">
      <c r="A1809" s="4" t="n">
        <v>38288</v>
      </c>
      <c r="B1809" s="3" t="n">
        <v>222.9594604893763</v>
      </c>
    </row>
    <row r="1810">
      <c r="A1810" s="4" t="n">
        <v>38289</v>
      </c>
      <c r="B1810" s="3" t="n">
        <v>223.1431779090281</v>
      </c>
    </row>
    <row r="1811">
      <c r="A1811" s="4" t="n">
        <v>38292</v>
      </c>
      <c r="B1811" s="3" t="n">
        <v>221.4076335715242</v>
      </c>
    </row>
    <row r="1812">
      <c r="A1812" s="4" t="n">
        <v>38294</v>
      </c>
      <c r="B1812" s="3" t="n">
        <v>222.0636561895139</v>
      </c>
    </row>
    <row r="1813">
      <c r="A1813" s="4" t="n">
        <v>38295</v>
      </c>
      <c r="B1813" s="3" t="n">
        <v>222.245884694511</v>
      </c>
    </row>
    <row r="1814">
      <c r="A1814" s="4" t="n">
        <v>38296</v>
      </c>
      <c r="B1814" s="3" t="n">
        <v>222.7196788075036</v>
      </c>
    </row>
    <row r="1815">
      <c r="A1815" s="4" t="n">
        <v>38299</v>
      </c>
      <c r="B1815" s="3" t="n">
        <v>222.8654616115013</v>
      </c>
    </row>
    <row r="1816">
      <c r="A1816" s="4" t="n">
        <v>38300</v>
      </c>
      <c r="B1816" s="3" t="n">
        <v>223.4850385284916</v>
      </c>
    </row>
    <row r="1817">
      <c r="A1817" s="4" t="n">
        <v>38301</v>
      </c>
      <c r="B1817" s="3" t="n">
        <v>223.8130498374864</v>
      </c>
    </row>
    <row r="1818">
      <c r="A1818" s="4" t="n">
        <v>38302</v>
      </c>
      <c r="B1818" s="3" t="n">
        <v>224.0681697444824</v>
      </c>
    </row>
    <row r="1819">
      <c r="A1819" s="4" t="n">
        <v>38303</v>
      </c>
      <c r="B1819" s="3" t="n">
        <v>224.541963857475</v>
      </c>
    </row>
    <row r="1820">
      <c r="A1820" s="4" t="n">
        <v>38307</v>
      </c>
      <c r="B1820" s="3" t="n">
        <v>224.7241923624721</v>
      </c>
    </row>
    <row r="1821">
      <c r="A1821" s="4" t="n">
        <v>38308</v>
      </c>
      <c r="B1821" s="3" t="n">
        <v>225.3437692794624</v>
      </c>
    </row>
    <row r="1822">
      <c r="A1822" s="4" t="n">
        <v>38309</v>
      </c>
      <c r="B1822" s="3" t="n">
        <v>225.3802149804618</v>
      </c>
    </row>
    <row r="1823">
      <c r="A1823" s="4" t="n">
        <v>38310</v>
      </c>
      <c r="B1823" s="3" t="n">
        <v>226.2549118044481</v>
      </c>
    </row>
    <row r="1824">
      <c r="A1824" s="4" t="n">
        <v>38313</v>
      </c>
      <c r="B1824" s="3" t="n">
        <v>226.2913575054475</v>
      </c>
    </row>
    <row r="1825">
      <c r="A1825" s="4" t="n">
        <v>38314</v>
      </c>
      <c r="B1825" s="3" t="n">
        <v>226.2913575054475</v>
      </c>
    </row>
    <row r="1826">
      <c r="A1826" s="4" t="n">
        <v>38315</v>
      </c>
      <c r="B1826" s="3" t="n">
        <v>226.7651516184401</v>
      </c>
    </row>
    <row r="1827">
      <c r="A1827" s="4" t="n">
        <v>38316</v>
      </c>
      <c r="B1827" s="3" t="n">
        <v>227.4211742364298</v>
      </c>
    </row>
    <row r="1828">
      <c r="A1828" s="4" t="n">
        <v>38317</v>
      </c>
      <c r="B1828" s="3" t="n">
        <v>227.8220769474235</v>
      </c>
    </row>
    <row r="1829">
      <c r="A1829" s="4" t="n">
        <v>38320</v>
      </c>
      <c r="B1829" s="3" t="n">
        <v>228.1136425554189</v>
      </c>
    </row>
    <row r="1830">
      <c r="A1830" s="4" t="n">
        <v>38321</v>
      </c>
      <c r="B1830" s="3" t="n">
        <v>228.4052081634144</v>
      </c>
    </row>
    <row r="1831">
      <c r="A1831" s="4" t="n">
        <v>38322</v>
      </c>
      <c r="B1831" s="3" t="n">
        <v>227.0630084741922</v>
      </c>
    </row>
    <row r="1832">
      <c r="A1832" s="4" t="n">
        <v>38323</v>
      </c>
      <c r="B1832" s="3" t="n">
        <v>226.7735718795789</v>
      </c>
    </row>
    <row r="1833">
      <c r="A1833" s="4" t="n">
        <v>38324</v>
      </c>
      <c r="B1833" s="3" t="n">
        <v>226.5926740079455</v>
      </c>
    </row>
    <row r="1834">
      <c r="A1834" s="4" t="n">
        <v>38327</v>
      </c>
      <c r="B1834" s="3" t="n">
        <v>224.6751565686319</v>
      </c>
    </row>
    <row r="1835">
      <c r="A1835" s="4" t="n">
        <v>38328</v>
      </c>
      <c r="B1835" s="3" t="n">
        <v>224.0962833794052</v>
      </c>
    </row>
    <row r="1836">
      <c r="A1836" s="4" t="n">
        <v>38329</v>
      </c>
      <c r="B1836" s="3" t="n">
        <v>223.1556144469117</v>
      </c>
    </row>
    <row r="1837">
      <c r="A1837" s="4" t="n">
        <v>38330</v>
      </c>
      <c r="B1837" s="3" t="n">
        <v>222.9747165752783</v>
      </c>
    </row>
    <row r="1838">
      <c r="A1838" s="4" t="n">
        <v>38331</v>
      </c>
      <c r="B1838" s="3" t="n">
        <v>222.1425863657649</v>
      </c>
    </row>
    <row r="1839">
      <c r="A1839" s="4" t="n">
        <v>38334</v>
      </c>
      <c r="B1839" s="3" t="n">
        <v>221.2019174332714</v>
      </c>
    </row>
    <row r="1840">
      <c r="A1840" s="4" t="n">
        <v>38335</v>
      </c>
      <c r="B1840" s="3" t="n">
        <v>220.1888893521246</v>
      </c>
    </row>
    <row r="1841">
      <c r="A1841" s="4" t="n">
        <v>38336</v>
      </c>
      <c r="B1841" s="3" t="n">
        <v>220.0079914804912</v>
      </c>
    </row>
    <row r="1842">
      <c r="A1842" s="4" t="n">
        <v>38337</v>
      </c>
      <c r="B1842" s="3" t="n">
        <v>219.8270936088579</v>
      </c>
    </row>
    <row r="1843">
      <c r="A1843" s="4" t="n">
        <v>38338</v>
      </c>
      <c r="B1843" s="3" t="n">
        <v>219.2482204196311</v>
      </c>
    </row>
    <row r="1844">
      <c r="A1844" s="4" t="n">
        <v>38341</v>
      </c>
      <c r="B1844" s="3" t="n">
        <v>219.2120408453044</v>
      </c>
    </row>
    <row r="1845">
      <c r="A1845" s="4" t="n">
        <v>38342</v>
      </c>
      <c r="B1845" s="3" t="n">
        <v>218.5608085074243</v>
      </c>
    </row>
    <row r="1846">
      <c r="A1846" s="4" t="n">
        <v>38343</v>
      </c>
      <c r="B1846" s="3" t="n">
        <v>218.5608085074243</v>
      </c>
    </row>
    <row r="1847">
      <c r="A1847" s="4" t="n">
        <v>38344</v>
      </c>
      <c r="B1847" s="3" t="n">
        <v>218.5608085074243</v>
      </c>
    </row>
    <row r="1848">
      <c r="A1848" s="4" t="n">
        <v>38348</v>
      </c>
      <c r="B1848" s="3" t="n">
        <v>218.5608085074243</v>
      </c>
    </row>
    <row r="1849">
      <c r="A1849" s="4" t="n">
        <v>38349</v>
      </c>
      <c r="B1849" s="3" t="n">
        <v>218.9226042506911</v>
      </c>
    </row>
    <row r="1850">
      <c r="A1850" s="4" t="n">
        <v>38350</v>
      </c>
      <c r="B1850" s="3" t="n">
        <v>219.1035021223244</v>
      </c>
    </row>
    <row r="1851">
      <c r="A1851" s="4" t="n">
        <v>38351</v>
      </c>
      <c r="B1851" s="3" t="n">
        <v>219.1396816966511</v>
      </c>
    </row>
    <row r="1852">
      <c r="A1852" s="4" t="n">
        <v>38355</v>
      </c>
      <c r="B1852" s="3" t="n">
        <v>218.2869904122203</v>
      </c>
    </row>
    <row r="1853">
      <c r="A1853" s="4" t="n">
        <v>38356</v>
      </c>
      <c r="B1853" s="3" t="n">
        <v>218.3951068017261</v>
      </c>
    </row>
    <row r="1854">
      <c r="A1854" s="4" t="n">
        <v>38357</v>
      </c>
      <c r="B1854" s="3" t="n">
        <v>218.3951068017261</v>
      </c>
    </row>
    <row r="1855">
      <c r="A1855" s="4" t="n">
        <v>38358</v>
      </c>
      <c r="B1855" s="3" t="n">
        <v>218.5392619877339</v>
      </c>
    </row>
    <row r="1856">
      <c r="A1856" s="4" t="n">
        <v>38359</v>
      </c>
      <c r="B1856" s="3" t="n">
        <v>218.6113395807377</v>
      </c>
    </row>
    <row r="1857">
      <c r="A1857" s="4" t="n">
        <v>38362</v>
      </c>
      <c r="B1857" s="3" t="n">
        <v>218.3590680052242</v>
      </c>
    </row>
    <row r="1858">
      <c r="A1858" s="4" t="n">
        <v>38363</v>
      </c>
      <c r="B1858" s="3" t="n">
        <v>217.926602447201</v>
      </c>
    </row>
    <row r="1859">
      <c r="A1859" s="4" t="n">
        <v>38364</v>
      </c>
      <c r="B1859" s="3" t="n">
        <v>217.1697877206603</v>
      </c>
    </row>
    <row r="1860">
      <c r="A1860" s="4" t="n">
        <v>38365</v>
      </c>
      <c r="B1860" s="3" t="n">
        <v>216.5210893836255</v>
      </c>
    </row>
    <row r="1861">
      <c r="A1861" s="4" t="n">
        <v>38366</v>
      </c>
      <c r="B1861" s="3" t="n">
        <v>216.0525850291004</v>
      </c>
    </row>
    <row r="1862">
      <c r="A1862" s="4" t="n">
        <v>38369</v>
      </c>
      <c r="B1862" s="3" t="n">
        <v>215.0434987270462</v>
      </c>
    </row>
    <row r="1863">
      <c r="A1863" s="4" t="n">
        <v>38370</v>
      </c>
      <c r="B1863" s="3" t="n">
        <v>214.3948003900114</v>
      </c>
    </row>
    <row r="1864">
      <c r="A1864" s="4" t="n">
        <v>38371</v>
      </c>
      <c r="B1864" s="3" t="n">
        <v>214.1064900179959</v>
      </c>
    </row>
    <row r="1865">
      <c r="A1865" s="4" t="n">
        <v>38372</v>
      </c>
      <c r="B1865" s="3" t="n">
        <v>212.7370157509223</v>
      </c>
    </row>
    <row r="1866">
      <c r="A1866" s="4" t="n">
        <v>38373</v>
      </c>
      <c r="B1866" s="3" t="n">
        <v>212.0883174138875</v>
      </c>
    </row>
    <row r="1867">
      <c r="A1867" s="4" t="n">
        <v>38376</v>
      </c>
      <c r="B1867" s="3" t="n">
        <v>210.5746879608062</v>
      </c>
    </row>
    <row r="1868">
      <c r="A1868" s="4" t="n">
        <v>38377</v>
      </c>
      <c r="B1868" s="3" t="n">
        <v>210.178261199285</v>
      </c>
    </row>
    <row r="1869">
      <c r="A1869" s="4" t="n">
        <v>38378</v>
      </c>
      <c r="B1869" s="3" t="n">
        <v>210.142222402783</v>
      </c>
    </row>
    <row r="1870">
      <c r="A1870" s="4" t="n">
        <v>38379</v>
      </c>
      <c r="B1870" s="3" t="n">
        <v>210.142222402783</v>
      </c>
    </row>
    <row r="1871">
      <c r="A1871" s="4" t="n">
        <v>38380</v>
      </c>
      <c r="B1871" s="3" t="n">
        <v>210.1061836062811</v>
      </c>
    </row>
    <row r="1872">
      <c r="A1872" s="4" t="n">
        <v>38383</v>
      </c>
      <c r="B1872" s="3" t="n">
        <v>210.1061836062811</v>
      </c>
    </row>
    <row r="1873">
      <c r="A1873" s="4" t="n">
        <v>38384</v>
      </c>
      <c r="B1873" s="3" t="n">
        <v>209.3742881231847</v>
      </c>
    </row>
    <row r="1874">
      <c r="A1874" s="4" t="n">
        <v>38385</v>
      </c>
      <c r="B1874" s="3" t="n">
        <v>208.9431071625741</v>
      </c>
    </row>
    <row r="1875">
      <c r="A1875" s="4" t="n">
        <v>38386</v>
      </c>
      <c r="B1875" s="3" t="n">
        <v>208.6915849355512</v>
      </c>
    </row>
    <row r="1876">
      <c r="A1876" s="4" t="n">
        <v>38387</v>
      </c>
      <c r="B1876" s="3" t="n">
        <v>208.5119262019635</v>
      </c>
    </row>
    <row r="1877">
      <c r="A1877" s="4" t="n">
        <v>38392</v>
      </c>
      <c r="B1877" s="3" t="n">
        <v>208.547857948681</v>
      </c>
    </row>
    <row r="1878">
      <c r="A1878" s="4" t="n">
        <v>38393</v>
      </c>
      <c r="B1878" s="3" t="n">
        <v>208.547857948681</v>
      </c>
    </row>
    <row r="1879">
      <c r="A1879" s="4" t="n">
        <v>38394</v>
      </c>
      <c r="B1879" s="3" t="n">
        <v>208.6556531888337</v>
      </c>
    </row>
    <row r="1880">
      <c r="A1880" s="4" t="n">
        <v>38397</v>
      </c>
      <c r="B1880" s="3" t="n">
        <v>208.7275166822688</v>
      </c>
    </row>
    <row r="1881">
      <c r="A1881" s="4" t="n">
        <v>38398</v>
      </c>
      <c r="B1881" s="3" t="n">
        <v>208.9071754158566</v>
      </c>
    </row>
    <row r="1882">
      <c r="A1882" s="4" t="n">
        <v>38399</v>
      </c>
      <c r="B1882" s="3" t="n">
        <v>209.0149706560092</v>
      </c>
    </row>
    <row r="1883">
      <c r="A1883" s="4" t="n">
        <v>38400</v>
      </c>
      <c r="B1883" s="3" t="n">
        <v>209.2664928830321</v>
      </c>
    </row>
    <row r="1884">
      <c r="A1884" s="4" t="n">
        <v>38401</v>
      </c>
      <c r="B1884" s="3" t="n">
        <v>209.3024246297496</v>
      </c>
    </row>
    <row r="1885">
      <c r="A1885" s="4" t="n">
        <v>38404</v>
      </c>
      <c r="B1885" s="3" t="n">
        <v>209.7695373370778</v>
      </c>
    </row>
    <row r="1886">
      <c r="A1886" s="4" t="n">
        <v>38405</v>
      </c>
      <c r="B1886" s="3" t="n">
        <v>209.8414008305129</v>
      </c>
    </row>
    <row r="1887">
      <c r="A1887" s="4" t="n">
        <v>38406</v>
      </c>
      <c r="B1887" s="3" t="n">
        <v>210.0929230575358</v>
      </c>
    </row>
    <row r="1888">
      <c r="A1888" s="4" t="n">
        <v>38407</v>
      </c>
      <c r="B1888" s="3" t="n">
        <v>210.0210595641007</v>
      </c>
    </row>
    <row r="1889">
      <c r="A1889" s="4" t="n">
        <v>38408</v>
      </c>
      <c r="B1889" s="3" t="n">
        <v>209.9491960706656</v>
      </c>
    </row>
    <row r="1890">
      <c r="A1890" s="4" t="n">
        <v>38411</v>
      </c>
      <c r="B1890" s="3" t="n">
        <v>209.7336055903603</v>
      </c>
    </row>
    <row r="1891">
      <c r="A1891" s="4" t="n">
        <v>38412</v>
      </c>
      <c r="B1891" s="3" t="n">
        <v>207.109537460989</v>
      </c>
    </row>
    <row r="1892">
      <c r="A1892" s="4" t="n">
        <v>38413</v>
      </c>
      <c r="B1892" s="3" t="n">
        <v>206.0050482710198</v>
      </c>
    </row>
    <row r="1893">
      <c r="A1893" s="4" t="n">
        <v>38414</v>
      </c>
      <c r="B1893" s="3" t="n">
        <v>205.6843901190933</v>
      </c>
    </row>
    <row r="1894">
      <c r="A1894" s="4" t="n">
        <v>38415</v>
      </c>
      <c r="B1894" s="3" t="n">
        <v>205.6131327519985</v>
      </c>
    </row>
    <row r="1895">
      <c r="A1895" s="4" t="n">
        <v>38418</v>
      </c>
      <c r="B1895" s="3" t="n">
        <v>205.6131327519985</v>
      </c>
    </row>
    <row r="1896">
      <c r="A1896" s="4" t="n">
        <v>38419</v>
      </c>
      <c r="B1896" s="3" t="n">
        <v>205.470618017809</v>
      </c>
    </row>
    <row r="1897">
      <c r="A1897" s="4" t="n">
        <v>38420</v>
      </c>
      <c r="B1897" s="3" t="n">
        <v>205.2568459165246</v>
      </c>
    </row>
    <row r="1898">
      <c r="A1898" s="4" t="n">
        <v>38421</v>
      </c>
      <c r="B1898" s="3" t="n">
        <v>205.0787024987877</v>
      </c>
    </row>
    <row r="1899">
      <c r="A1899" s="4" t="n">
        <v>38422</v>
      </c>
      <c r="B1899" s="3" t="n">
        <v>204.7936730304085</v>
      </c>
    </row>
    <row r="1900">
      <c r="A1900" s="4" t="n">
        <v>38425</v>
      </c>
      <c r="B1900" s="3" t="n">
        <v>204.3305001442924</v>
      </c>
    </row>
    <row r="1901">
      <c r="A1901" s="4" t="n">
        <v>38426</v>
      </c>
      <c r="B1901" s="3" t="n">
        <v>204.2592427771976</v>
      </c>
    </row>
    <row r="1902">
      <c r="A1902" s="4" t="n">
        <v>38427</v>
      </c>
      <c r="B1902" s="3" t="n">
        <v>203.9385846252711</v>
      </c>
    </row>
    <row r="1903">
      <c r="A1903" s="4" t="n">
        <v>38428</v>
      </c>
      <c r="B1903" s="3" t="n">
        <v>203.5822977897972</v>
      </c>
    </row>
    <row r="1904">
      <c r="A1904" s="4" t="n">
        <v>38429</v>
      </c>
      <c r="B1904" s="3" t="n">
        <v>203.3328970049654</v>
      </c>
    </row>
    <row r="1905">
      <c r="A1905" s="4" t="n">
        <v>38432</v>
      </c>
      <c r="B1905" s="3" t="n">
        <v>203.0122388530389</v>
      </c>
    </row>
    <row r="1906">
      <c r="A1906" s="4" t="n">
        <v>38433</v>
      </c>
      <c r="B1906" s="3" t="n">
        <v>201.7652349288802</v>
      </c>
    </row>
    <row r="1907">
      <c r="A1907" s="4" t="n">
        <v>38434</v>
      </c>
      <c r="B1907" s="3" t="n">
        <v>201.658348878238</v>
      </c>
    </row>
    <row r="1908">
      <c r="A1908" s="4" t="n">
        <v>38435</v>
      </c>
      <c r="B1908" s="3" t="n">
        <v>201.480205460501</v>
      </c>
    </row>
    <row r="1909">
      <c r="A1909" s="4" t="n">
        <v>38439</v>
      </c>
      <c r="B1909" s="3" t="n">
        <v>201.0526612579324</v>
      </c>
    </row>
    <row r="1910">
      <c r="A1910" s="4" t="n">
        <v>38440</v>
      </c>
      <c r="B1910" s="3" t="n">
        <v>201.0882899414798</v>
      </c>
    </row>
    <row r="1911">
      <c r="A1911" s="4" t="n">
        <v>38441</v>
      </c>
      <c r="B1911" s="3" t="n">
        <v>200.9814038908376</v>
      </c>
    </row>
    <row r="1912">
      <c r="A1912" s="4" t="n">
        <v>38442</v>
      </c>
      <c r="B1912" s="3" t="n">
        <v>201.017032574385</v>
      </c>
    </row>
    <row r="1913">
      <c r="A1913" s="4" t="n">
        <v>38443</v>
      </c>
      <c r="B1913" s="3" t="n">
        <v>199.2580963926496</v>
      </c>
    </row>
    <row r="1914">
      <c r="A1914" s="4" t="n">
        <v>38446</v>
      </c>
      <c r="B1914" s="3" t="n">
        <v>199.4347123263428</v>
      </c>
    </row>
    <row r="1915">
      <c r="A1915" s="4" t="n">
        <v>38447</v>
      </c>
      <c r="B1915" s="3" t="n">
        <v>199.7526210069905</v>
      </c>
    </row>
    <row r="1916">
      <c r="A1916" s="4" t="n">
        <v>38448</v>
      </c>
      <c r="B1916" s="3" t="n">
        <v>199.611328260036</v>
      </c>
    </row>
    <row r="1917">
      <c r="A1917" s="4" t="n">
        <v>38449</v>
      </c>
      <c r="B1917" s="3" t="n">
        <v>199.5053586998201</v>
      </c>
    </row>
    <row r="1918">
      <c r="A1918" s="4" t="n">
        <v>38450</v>
      </c>
      <c r="B1918" s="3" t="n">
        <v>199.4347123263428</v>
      </c>
    </row>
    <row r="1919">
      <c r="A1919" s="4" t="n">
        <v>38453</v>
      </c>
      <c r="B1919" s="3" t="n">
        <v>198.9401877120019</v>
      </c>
    </row>
    <row r="1920">
      <c r="A1920" s="4" t="n">
        <v>38454</v>
      </c>
      <c r="B1920" s="3" t="n">
        <v>198.445663097661</v>
      </c>
    </row>
    <row r="1921">
      <c r="A1921" s="4" t="n">
        <v>38455</v>
      </c>
      <c r="B1921" s="3" t="n">
        <v>196.6441805739905</v>
      </c>
    </row>
    <row r="1922">
      <c r="A1922" s="4" t="n">
        <v>38456</v>
      </c>
      <c r="B1922" s="3" t="n">
        <v>195.2665762911837</v>
      </c>
    </row>
    <row r="1923">
      <c r="A1923" s="4" t="n">
        <v>38457</v>
      </c>
      <c r="B1923" s="3" t="n">
        <v>195.231253104445</v>
      </c>
    </row>
    <row r="1924">
      <c r="A1924" s="4" t="n">
        <v>38460</v>
      </c>
      <c r="B1924" s="3" t="n">
        <v>194.8073748635814</v>
      </c>
    </row>
    <row r="1925">
      <c r="A1925" s="4" t="n">
        <v>38461</v>
      </c>
      <c r="B1925" s="3" t="n">
        <v>193.28847783382</v>
      </c>
    </row>
    <row r="1926">
      <c r="A1926" s="4" t="n">
        <v>38462</v>
      </c>
      <c r="B1926" s="3" t="n">
        <v>192.7939532194791</v>
      </c>
    </row>
    <row r="1927">
      <c r="A1927" s="4" t="n">
        <v>38464</v>
      </c>
      <c r="B1927" s="3" t="n">
        <v>192.51136772557</v>
      </c>
    </row>
    <row r="1928">
      <c r="A1928" s="4" t="n">
        <v>38467</v>
      </c>
      <c r="B1928" s="3" t="n">
        <v>191.9461967377518</v>
      </c>
    </row>
    <row r="1929">
      <c r="A1929" s="4" t="n">
        <v>38468</v>
      </c>
      <c r="B1929" s="3" t="n">
        <v>191.8402271775359</v>
      </c>
    </row>
    <row r="1930">
      <c r="A1930" s="4" t="n">
        <v>38469</v>
      </c>
      <c r="B1930" s="3" t="n">
        <v>191.5576416836268</v>
      </c>
    </row>
    <row r="1931">
      <c r="A1931" s="4" t="n">
        <v>38470</v>
      </c>
      <c r="B1931" s="3" t="n">
        <v>191.5576416836268</v>
      </c>
    </row>
    <row r="1932">
      <c r="A1932" s="4" t="n">
        <v>38471</v>
      </c>
      <c r="B1932" s="3" t="n">
        <v>191.6282880571041</v>
      </c>
    </row>
    <row r="1933">
      <c r="A1933" s="4" t="n">
        <v>38474</v>
      </c>
      <c r="B1933" s="3" t="n">
        <v>192.0777599697309</v>
      </c>
    </row>
    <row r="1934">
      <c r="A1934" s="4" t="n">
        <v>38475</v>
      </c>
      <c r="B1934" s="3" t="n">
        <v>192.1131594831791</v>
      </c>
    </row>
    <row r="1935">
      <c r="A1935" s="4" t="n">
        <v>38476</v>
      </c>
      <c r="B1935" s="3" t="n">
        <v>192.1485589966273</v>
      </c>
    </row>
    <row r="1936">
      <c r="A1936" s="4" t="n">
        <v>38477</v>
      </c>
      <c r="B1936" s="3" t="n">
        <v>192.2193580235236</v>
      </c>
    </row>
    <row r="1937">
      <c r="A1937" s="4" t="n">
        <v>38478</v>
      </c>
      <c r="B1937" s="3" t="n">
        <v>192.1839585100754</v>
      </c>
    </row>
    <row r="1938">
      <c r="A1938" s="4" t="n">
        <v>38481</v>
      </c>
      <c r="B1938" s="3" t="n">
        <v>192.2193580235236</v>
      </c>
    </row>
    <row r="1939">
      <c r="A1939" s="4" t="n">
        <v>38482</v>
      </c>
      <c r="B1939" s="3" t="n">
        <v>192.325556563868</v>
      </c>
    </row>
    <row r="1940">
      <c r="A1940" s="4" t="n">
        <v>38483</v>
      </c>
      <c r="B1940" s="3" t="n">
        <v>192.4317551042125</v>
      </c>
    </row>
    <row r="1941">
      <c r="A1941" s="4" t="n">
        <v>38484</v>
      </c>
      <c r="B1941" s="3" t="n">
        <v>192.7149512117979</v>
      </c>
    </row>
    <row r="1942">
      <c r="A1942" s="4" t="n">
        <v>38485</v>
      </c>
      <c r="B1942" s="3" t="n">
        <v>192.7857502386942</v>
      </c>
    </row>
    <row r="1943">
      <c r="A1943" s="4" t="n">
        <v>38488</v>
      </c>
      <c r="B1943" s="3" t="n">
        <v>192.9273482924868</v>
      </c>
    </row>
    <row r="1944">
      <c r="A1944" s="4" t="n">
        <v>38489</v>
      </c>
      <c r="B1944" s="3" t="n">
        <v>192.9981473193832</v>
      </c>
    </row>
    <row r="1945">
      <c r="A1945" s="4" t="n">
        <v>38490</v>
      </c>
      <c r="B1945" s="3" t="n">
        <v>192.8565492655905</v>
      </c>
    </row>
    <row r="1946">
      <c r="A1946" s="4" t="n">
        <v>38491</v>
      </c>
      <c r="B1946" s="3" t="n">
        <v>192.5733531580052</v>
      </c>
    </row>
    <row r="1947">
      <c r="A1947" s="4" t="n">
        <v>38492</v>
      </c>
      <c r="B1947" s="3" t="n">
        <v>192.2193580235236</v>
      </c>
    </row>
    <row r="1948">
      <c r="A1948" s="4" t="n">
        <v>38495</v>
      </c>
      <c r="B1948" s="3" t="n">
        <v>191.1927721335269</v>
      </c>
    </row>
    <row r="1949">
      <c r="A1949" s="4" t="n">
        <v>38496</v>
      </c>
      <c r="B1949" s="3" t="n">
        <v>190.8387769990452</v>
      </c>
    </row>
    <row r="1950">
      <c r="A1950" s="4" t="n">
        <v>38497</v>
      </c>
      <c r="B1950" s="3" t="n">
        <v>190.6971789452525</v>
      </c>
    </row>
    <row r="1951">
      <c r="A1951" s="4" t="n">
        <v>38499</v>
      </c>
      <c r="B1951" s="3" t="n">
        <v>190.7325784587007</v>
      </c>
    </row>
    <row r="1952">
      <c r="A1952" s="4" t="n">
        <v>38502</v>
      </c>
      <c r="B1952" s="3" t="n">
        <v>190.6263799183562</v>
      </c>
    </row>
    <row r="1953">
      <c r="A1953" s="4" t="n">
        <v>38503</v>
      </c>
      <c r="B1953" s="3" t="n">
        <v>190.6263799183562</v>
      </c>
    </row>
    <row r="1954">
      <c r="A1954" s="4" t="n">
        <v>38504</v>
      </c>
      <c r="B1954" s="3" t="n">
        <v>191.4742346370705</v>
      </c>
    </row>
    <row r="1955">
      <c r="A1955" s="4" t="n">
        <v>38505</v>
      </c>
      <c r="B1955" s="3" t="n">
        <v>191.5809055198767</v>
      </c>
    </row>
    <row r="1956">
      <c r="A1956" s="4" t="n">
        <v>38506</v>
      </c>
      <c r="B1956" s="3" t="n">
        <v>191.6520194417475</v>
      </c>
    </row>
    <row r="1957">
      <c r="A1957" s="4" t="n">
        <v>38509</v>
      </c>
      <c r="B1957" s="3" t="n">
        <v>191.6520194417475</v>
      </c>
    </row>
    <row r="1958">
      <c r="A1958" s="4" t="n">
        <v>38510</v>
      </c>
      <c r="B1958" s="3" t="n">
        <v>191.6164624808121</v>
      </c>
    </row>
    <row r="1959">
      <c r="A1959" s="4" t="n">
        <v>38511</v>
      </c>
      <c r="B1959" s="3" t="n">
        <v>191.6164624808121</v>
      </c>
    </row>
    <row r="1960">
      <c r="A1960" s="4" t="n">
        <v>38512</v>
      </c>
      <c r="B1960" s="3" t="n">
        <v>191.6875764026829</v>
      </c>
    </row>
    <row r="1961">
      <c r="A1961" s="4" t="n">
        <v>38513</v>
      </c>
      <c r="B1961" s="3" t="n">
        <v>191.7586903245537</v>
      </c>
    </row>
    <row r="1962">
      <c r="A1962" s="4" t="n">
        <v>38516</v>
      </c>
      <c r="B1962" s="3" t="n">
        <v>191.794247285489</v>
      </c>
    </row>
    <row r="1963">
      <c r="A1963" s="4" t="n">
        <v>38517</v>
      </c>
      <c r="B1963" s="3" t="n">
        <v>191.8298042464244</v>
      </c>
    </row>
    <row r="1964">
      <c r="A1964" s="4" t="n">
        <v>38518</v>
      </c>
      <c r="B1964" s="3" t="n">
        <v>191.7586903245537</v>
      </c>
    </row>
    <row r="1965">
      <c r="A1965" s="4" t="n">
        <v>38519</v>
      </c>
      <c r="B1965" s="3" t="n">
        <v>191.7231333636183</v>
      </c>
    </row>
    <row r="1966">
      <c r="A1966" s="4" t="n">
        <v>38520</v>
      </c>
      <c r="B1966" s="3" t="n">
        <v>191.5453485589413</v>
      </c>
    </row>
    <row r="1967">
      <c r="A1967" s="4" t="n">
        <v>38523</v>
      </c>
      <c r="B1967" s="3" t="n">
        <v>191.4031207151997</v>
      </c>
    </row>
    <row r="1968">
      <c r="A1968" s="4" t="n">
        <v>38524</v>
      </c>
      <c r="B1968" s="3" t="n">
        <v>191.0475511058459</v>
      </c>
    </row>
    <row r="1969">
      <c r="A1969" s="4" t="n">
        <v>38525</v>
      </c>
      <c r="B1969" s="3" t="n">
        <v>190.7630954183628</v>
      </c>
    </row>
    <row r="1970">
      <c r="A1970" s="4" t="n">
        <v>38526</v>
      </c>
      <c r="B1970" s="3" t="n">
        <v>190.6564245355566</v>
      </c>
    </row>
    <row r="1971">
      <c r="A1971" s="4" t="n">
        <v>38527</v>
      </c>
      <c r="B1971" s="3" t="n">
        <v>190.4786397308796</v>
      </c>
    </row>
    <row r="1972">
      <c r="A1972" s="4" t="n">
        <v>38530</v>
      </c>
      <c r="B1972" s="3" t="n">
        <v>190.4430827699443</v>
      </c>
    </row>
    <row r="1973">
      <c r="A1973" s="4" t="n">
        <v>38531</v>
      </c>
      <c r="B1973" s="3" t="n">
        <v>190.2652979652673</v>
      </c>
    </row>
    <row r="1974">
      <c r="A1974" s="4" t="n">
        <v>38532</v>
      </c>
      <c r="B1974" s="3" t="n">
        <v>190.1586270824612</v>
      </c>
    </row>
    <row r="1975">
      <c r="A1975" s="4" t="n">
        <v>38533</v>
      </c>
      <c r="B1975" s="3" t="n">
        <v>190.051956199655</v>
      </c>
    </row>
    <row r="1976">
      <c r="A1976" s="4" t="n">
        <v>38534</v>
      </c>
      <c r="B1976" s="3" t="n">
        <v>190.589257797255</v>
      </c>
    </row>
    <row r="1977">
      <c r="A1977" s="4" t="n">
        <v>38537</v>
      </c>
      <c r="B1977" s="3" t="n">
        <v>190.3038377181876</v>
      </c>
    </row>
    <row r="1978">
      <c r="A1978" s="4" t="n">
        <v>38538</v>
      </c>
      <c r="B1978" s="3" t="n">
        <v>190.089772658887</v>
      </c>
    </row>
    <row r="1979">
      <c r="A1979" s="4" t="n">
        <v>38539</v>
      </c>
      <c r="B1979" s="3" t="n">
        <v>189.840030089703</v>
      </c>
    </row>
    <row r="1980">
      <c r="A1980" s="4" t="n">
        <v>38540</v>
      </c>
      <c r="B1980" s="3" t="n">
        <v>189.4475774809854</v>
      </c>
    </row>
    <row r="1981">
      <c r="A1981" s="4" t="n">
        <v>38541</v>
      </c>
      <c r="B1981" s="3" t="n">
        <v>189.1978349118014</v>
      </c>
    </row>
    <row r="1982">
      <c r="A1982" s="4" t="n">
        <v>38544</v>
      </c>
      <c r="B1982" s="3" t="n">
        <v>188.5556397338998</v>
      </c>
    </row>
    <row r="1983">
      <c r="A1983" s="4" t="n">
        <v>38545</v>
      </c>
      <c r="B1983" s="3" t="n">
        <v>188.3058971647158</v>
      </c>
    </row>
    <row r="1984">
      <c r="A1984" s="4" t="n">
        <v>38546</v>
      </c>
      <c r="B1984" s="3" t="n">
        <v>187.8420895362313</v>
      </c>
    </row>
    <row r="1985">
      <c r="A1985" s="4" t="n">
        <v>38547</v>
      </c>
      <c r="B1985" s="3" t="n">
        <v>187.6280244769307</v>
      </c>
    </row>
    <row r="1986">
      <c r="A1986" s="4" t="n">
        <v>38548</v>
      </c>
      <c r="B1986" s="3" t="n">
        <v>187.485314437397</v>
      </c>
    </row>
    <row r="1987">
      <c r="A1987" s="4" t="n">
        <v>38551</v>
      </c>
      <c r="B1987" s="3" t="n">
        <v>187.4496369275136</v>
      </c>
    </row>
    <row r="1988">
      <c r="A1988" s="4" t="n">
        <v>38552</v>
      </c>
      <c r="B1988" s="3" t="n">
        <v>187.1642168484462</v>
      </c>
    </row>
    <row r="1989">
      <c r="A1989" s="4" t="n">
        <v>38553</v>
      </c>
      <c r="B1989" s="3" t="n">
        <v>186.7717642397285</v>
      </c>
    </row>
    <row r="1990">
      <c r="A1990" s="4" t="n">
        <v>38554</v>
      </c>
      <c r="B1990" s="3" t="n">
        <v>186.1295690618269</v>
      </c>
    </row>
    <row r="1991">
      <c r="A1991" s="4" t="n">
        <v>38555</v>
      </c>
      <c r="B1991" s="3" t="n">
        <v>186.05821404206</v>
      </c>
    </row>
    <row r="1992">
      <c r="A1992" s="4" t="n">
        <v>38558</v>
      </c>
      <c r="B1992" s="3" t="n">
        <v>185.7371164531092</v>
      </c>
    </row>
    <row r="1993">
      <c r="A1993" s="4" t="n">
        <v>38559</v>
      </c>
      <c r="B1993" s="3" t="n">
        <v>185.6657614333423</v>
      </c>
    </row>
    <row r="1994">
      <c r="A1994" s="4" t="n">
        <v>38560</v>
      </c>
      <c r="B1994" s="3" t="n">
        <v>185.6657614333423</v>
      </c>
    </row>
    <row r="1995">
      <c r="A1995" s="4" t="n">
        <v>38561</v>
      </c>
      <c r="B1995" s="3" t="n">
        <v>185.7014389432258</v>
      </c>
    </row>
    <row r="1996">
      <c r="A1996" s="4" t="n">
        <v>38562</v>
      </c>
      <c r="B1996" s="3" t="n">
        <v>185.7371164531092</v>
      </c>
    </row>
    <row r="1997">
      <c r="A1997" s="4" t="n">
        <v>38565</v>
      </c>
      <c r="B1997" s="3" t="n">
        <v>187.0999844065804</v>
      </c>
    </row>
    <row r="1998">
      <c r="A1998" s="4" t="n">
        <v>38566</v>
      </c>
      <c r="B1998" s="3" t="n">
        <v>187.3154546381427</v>
      </c>
    </row>
    <row r="1999">
      <c r="A1999" s="4" t="n">
        <v>38567</v>
      </c>
      <c r="B1999" s="3" t="n">
        <v>187.6386599854861</v>
      </c>
    </row>
    <row r="2000">
      <c r="A2000" s="4" t="n">
        <v>38568</v>
      </c>
      <c r="B2000" s="3" t="n">
        <v>187.4591014591842</v>
      </c>
    </row>
    <row r="2001">
      <c r="A2001" s="4" t="n">
        <v>38569</v>
      </c>
      <c r="B2001" s="3" t="n">
        <v>187.3154546381427</v>
      </c>
    </row>
    <row r="2002">
      <c r="A2002" s="4" t="n">
        <v>38572</v>
      </c>
      <c r="B2002" s="3" t="n">
        <v>187.2077195223616</v>
      </c>
    </row>
    <row r="2003">
      <c r="A2003" s="4" t="n">
        <v>38573</v>
      </c>
      <c r="B2003" s="3" t="n">
        <v>186.776779059237</v>
      </c>
    </row>
    <row r="2004">
      <c r="A2004" s="4" t="n">
        <v>38574</v>
      </c>
      <c r="B2004" s="3" t="n">
        <v>186.7408673539766</v>
      </c>
    </row>
    <row r="2005">
      <c r="A2005" s="4" t="n">
        <v>38575</v>
      </c>
      <c r="B2005" s="3" t="n">
        <v>186.4176620066332</v>
      </c>
    </row>
    <row r="2006">
      <c r="A2006" s="4" t="n">
        <v>38576</v>
      </c>
      <c r="B2006" s="3" t="n">
        <v>186.3817503013728</v>
      </c>
    </row>
    <row r="2007">
      <c r="A2007" s="4" t="n">
        <v>38579</v>
      </c>
      <c r="B2007" s="3" t="n">
        <v>186.3099268908521</v>
      </c>
    </row>
    <row r="2008">
      <c r="A2008" s="4" t="n">
        <v>38580</v>
      </c>
      <c r="B2008" s="3" t="n">
        <v>185.9508098382482</v>
      </c>
    </row>
    <row r="2009">
      <c r="A2009" s="4" t="n">
        <v>38581</v>
      </c>
      <c r="B2009" s="3" t="n">
        <v>185.3043991435614</v>
      </c>
    </row>
    <row r="2010">
      <c r="A2010" s="4" t="n">
        <v>38582</v>
      </c>
      <c r="B2010" s="3" t="n">
        <v>183.8320192278858</v>
      </c>
    </row>
    <row r="2011">
      <c r="A2011" s="4" t="n">
        <v>38583</v>
      </c>
      <c r="B2011" s="3" t="n">
        <v>182.7905797753348</v>
      </c>
    </row>
    <row r="2012">
      <c r="A2012" s="4" t="n">
        <v>38586</v>
      </c>
      <c r="B2012" s="3" t="n">
        <v>182.5032861332517</v>
      </c>
    </row>
    <row r="2013">
      <c r="A2013" s="4" t="n">
        <v>38587</v>
      </c>
      <c r="B2013" s="3" t="n">
        <v>182.1082573753876</v>
      </c>
    </row>
    <row r="2014">
      <c r="A2014" s="4" t="n">
        <v>38588</v>
      </c>
      <c r="B2014" s="3" t="n">
        <v>181.6054935017423</v>
      </c>
    </row>
    <row r="2015">
      <c r="A2015" s="4" t="n">
        <v>38589</v>
      </c>
      <c r="B2015" s="3" t="n">
        <v>180.5999657544516</v>
      </c>
    </row>
    <row r="2016">
      <c r="A2016" s="4" t="n">
        <v>38590</v>
      </c>
      <c r="B2016" s="3" t="n">
        <v>180.2049369965874</v>
      </c>
    </row>
    <row r="2017">
      <c r="A2017" s="4" t="n">
        <v>38593</v>
      </c>
      <c r="B2017" s="3" t="n">
        <v>179.0557624282553</v>
      </c>
    </row>
    <row r="2018">
      <c r="A2018" s="4" t="n">
        <v>38594</v>
      </c>
      <c r="B2018" s="3" t="n">
        <v>178.6966453756515</v>
      </c>
    </row>
    <row r="2019">
      <c r="A2019" s="4" t="n">
        <v>38595</v>
      </c>
      <c r="B2019" s="3" t="n">
        <v>177.5115591020589</v>
      </c>
    </row>
    <row r="2020">
      <c r="A2020" s="4" t="n">
        <v>38596</v>
      </c>
      <c r="B2020" s="3" t="n">
        <v>178.2135738792246</v>
      </c>
    </row>
    <row r="2021">
      <c r="A2021" s="4" t="n">
        <v>38597</v>
      </c>
      <c r="B2021" s="3" t="n">
        <v>178.1774690222798</v>
      </c>
    </row>
    <row r="2022">
      <c r="A2022" s="4" t="n">
        <v>38600</v>
      </c>
      <c r="B2022" s="3" t="n">
        <v>178.0330495945009</v>
      </c>
    </row>
    <row r="2023">
      <c r="A2023" s="4" t="n">
        <v>38601</v>
      </c>
      <c r="B2023" s="3" t="n">
        <v>177.9608398806114</v>
      </c>
    </row>
    <row r="2024">
      <c r="A2024" s="4" t="n">
        <v>38603</v>
      </c>
      <c r="B2024" s="3" t="n">
        <v>177.744210738943</v>
      </c>
    </row>
    <row r="2025">
      <c r="A2025" s="4" t="n">
        <v>38604</v>
      </c>
      <c r="B2025" s="3" t="n">
        <v>177.2387427417167</v>
      </c>
    </row>
    <row r="2026">
      <c r="A2026" s="4" t="n">
        <v>38607</v>
      </c>
      <c r="B2026" s="3" t="n">
        <v>177.1665330278272</v>
      </c>
    </row>
    <row r="2027">
      <c r="A2027" s="4" t="n">
        <v>38608</v>
      </c>
      <c r="B2027" s="3" t="n">
        <v>177.2748475986614</v>
      </c>
    </row>
    <row r="2028">
      <c r="A2028" s="4" t="n">
        <v>38609</v>
      </c>
      <c r="B2028" s="3" t="n">
        <v>177.4553718833851</v>
      </c>
    </row>
    <row r="2029">
      <c r="A2029" s="4" t="n">
        <v>38610</v>
      </c>
      <c r="B2029" s="3" t="n">
        <v>177.8525253097772</v>
      </c>
    </row>
    <row r="2030">
      <c r="A2030" s="4" t="n">
        <v>38611</v>
      </c>
      <c r="B2030" s="3" t="n">
        <v>178.430203020893</v>
      </c>
    </row>
    <row r="2031">
      <c r="A2031" s="4" t="n">
        <v>38614</v>
      </c>
      <c r="B2031" s="3" t="n">
        <v>178.6468321625614</v>
      </c>
    </row>
    <row r="2032">
      <c r="A2032" s="4" t="n">
        <v>38615</v>
      </c>
      <c r="B2032" s="3" t="n">
        <v>179.116195302843</v>
      </c>
    </row>
    <row r="2033">
      <c r="A2033" s="4" t="n">
        <v>38616</v>
      </c>
      <c r="B2033" s="3" t="n">
        <v>179.6938730139588</v>
      </c>
    </row>
    <row r="2034">
      <c r="A2034" s="4" t="n">
        <v>38617</v>
      </c>
      <c r="B2034" s="3" t="n">
        <v>181.0658575778588</v>
      </c>
    </row>
    <row r="2035">
      <c r="A2035" s="4" t="n">
        <v>38618</v>
      </c>
      <c r="B2035" s="3" t="n">
        <v>182.4378421417589</v>
      </c>
    </row>
    <row r="2036">
      <c r="A2036" s="4" t="n">
        <v>38621</v>
      </c>
      <c r="B2036" s="3" t="n">
        <v>183.5931975639905</v>
      </c>
    </row>
    <row r="2037">
      <c r="A2037" s="4" t="n">
        <v>38622</v>
      </c>
      <c r="B2037" s="3" t="n">
        <v>185.0734966987247</v>
      </c>
    </row>
    <row r="2038">
      <c r="A2038" s="4" t="n">
        <v>38623</v>
      </c>
      <c r="B2038" s="3" t="n">
        <v>187.2397881154089</v>
      </c>
    </row>
    <row r="2039">
      <c r="A2039" s="4" t="n">
        <v>38624</v>
      </c>
      <c r="B2039" s="3" t="n">
        <v>189.3338698182037</v>
      </c>
    </row>
    <row r="2040">
      <c r="A2040" s="4" t="n">
        <v>38625</v>
      </c>
      <c r="B2040" s="3" t="n">
        <v>191.1391126654406</v>
      </c>
    </row>
    <row r="2041">
      <c r="A2041" s="4" t="n">
        <v>38628</v>
      </c>
      <c r="B2041" s="3" t="n">
        <v>193.0058207819139</v>
      </c>
    </row>
    <row r="2042">
      <c r="A2042" s="4" t="n">
        <v>38629</v>
      </c>
      <c r="B2042" s="3" t="n">
        <v>196.1639673473302</v>
      </c>
    </row>
    <row r="2043">
      <c r="A2043" s="4" t="n">
        <v>38630</v>
      </c>
      <c r="B2043" s="3" t="n">
        <v>199.0708977086792</v>
      </c>
    </row>
    <row r="2044">
      <c r="A2044" s="4" t="n">
        <v>38631</v>
      </c>
      <c r="B2044" s="3" t="n">
        <v>202.4084844198577</v>
      </c>
    </row>
    <row r="2045">
      <c r="A2045" s="4" t="n">
        <v>38632</v>
      </c>
      <c r="B2045" s="3" t="n">
        <v>206.6432718598476</v>
      </c>
    </row>
    <row r="2046">
      <c r="A2046" s="4" t="n">
        <v>38635</v>
      </c>
      <c r="B2046" s="3" t="n">
        <v>209.5860902503491</v>
      </c>
    </row>
    <row r="2047">
      <c r="A2047" s="4" t="n">
        <v>38636</v>
      </c>
      <c r="B2047" s="3" t="n">
        <v>209.6937543378065</v>
      </c>
    </row>
    <row r="2048">
      <c r="A2048" s="4" t="n">
        <v>38638</v>
      </c>
      <c r="B2048" s="3" t="n">
        <v>207.5763606178115</v>
      </c>
    </row>
    <row r="2049">
      <c r="A2049" s="4" t="n">
        <v>38639</v>
      </c>
      <c r="B2049" s="3" t="n">
        <v>204.238773906633</v>
      </c>
    </row>
    <row r="2050">
      <c r="A2050" s="4" t="n">
        <v>38642</v>
      </c>
      <c r="B2050" s="3" t="n">
        <v>202.4802604781626</v>
      </c>
    </row>
    <row r="2051">
      <c r="A2051" s="4" t="n">
        <v>38643</v>
      </c>
      <c r="B2051" s="3" t="n">
        <v>201.9419400408757</v>
      </c>
    </row>
    <row r="2052">
      <c r="A2052" s="4" t="n">
        <v>38644</v>
      </c>
      <c r="B2052" s="3" t="n">
        <v>201.6189477785036</v>
      </c>
    </row>
    <row r="2053">
      <c r="A2053" s="4" t="n">
        <v>38645</v>
      </c>
      <c r="B2053" s="3" t="n">
        <v>199.8245463208808</v>
      </c>
    </row>
    <row r="2054">
      <c r="A2054" s="4" t="n">
        <v>38646</v>
      </c>
      <c r="B2054" s="3" t="n">
        <v>198.8914575629169</v>
      </c>
    </row>
    <row r="2055">
      <c r="A2055" s="4" t="n">
        <v>38649</v>
      </c>
      <c r="B2055" s="3" t="n">
        <v>191.9291799073402</v>
      </c>
    </row>
    <row r="2056">
      <c r="A2056" s="4" t="n">
        <v>38650</v>
      </c>
      <c r="B2056" s="3" t="n">
        <v>188.5915931961617</v>
      </c>
    </row>
    <row r="2057">
      <c r="A2057" s="4" t="n">
        <v>38651</v>
      </c>
      <c r="B2057" s="3" t="n">
        <v>188.0532727588749</v>
      </c>
    </row>
    <row r="2058">
      <c r="A2058" s="4" t="n">
        <v>38652</v>
      </c>
      <c r="B2058" s="3" t="n">
        <v>191.3190834117485</v>
      </c>
    </row>
    <row r="2059">
      <c r="A2059" s="4" t="n">
        <v>38653</v>
      </c>
      <c r="B2059" s="3" t="n">
        <v>193.6876933358106</v>
      </c>
    </row>
    <row r="2060">
      <c r="A2060" s="4" t="n">
        <v>38656</v>
      </c>
      <c r="B2060" s="3" t="n">
        <v>194.9437743561466</v>
      </c>
    </row>
    <row r="2061">
      <c r="A2061" s="4" t="n">
        <v>38657</v>
      </c>
      <c r="B2061" s="3" t="n">
        <v>194.6293377070318</v>
      </c>
    </row>
    <row r="2062">
      <c r="A2062" s="4" t="n">
        <v>38659</v>
      </c>
      <c r="B2062" s="3" t="n">
        <v>196.8812473995099</v>
      </c>
    </row>
    <row r="2063">
      <c r="A2063" s="4" t="n">
        <v>38660</v>
      </c>
      <c r="B2063" s="3" t="n">
        <v>199.1689016902812</v>
      </c>
    </row>
    <row r="2064">
      <c r="A2064" s="4" t="n">
        <v>38663</v>
      </c>
      <c r="B2064" s="3" t="n">
        <v>201.6352789725191</v>
      </c>
    </row>
    <row r="2065">
      <c r="A2065" s="4" t="n">
        <v>38664</v>
      </c>
      <c r="B2065" s="3" t="n">
        <v>203.9586778615838</v>
      </c>
    </row>
    <row r="2066">
      <c r="A2066" s="4" t="n">
        <v>38665</v>
      </c>
      <c r="B2066" s="3" t="n">
        <v>207.0684579131011</v>
      </c>
    </row>
    <row r="2067">
      <c r="A2067" s="4" t="n">
        <v>38666</v>
      </c>
      <c r="B2067" s="3" t="n">
        <v>208.2480296567801</v>
      </c>
    </row>
    <row r="2068">
      <c r="A2068" s="4" t="n">
        <v>38667</v>
      </c>
      <c r="B2068" s="3" t="n">
        <v>208.4267526482466</v>
      </c>
    </row>
    <row r="2069">
      <c r="A2069" s="4" t="n">
        <v>38670</v>
      </c>
      <c r="B2069" s="3" t="n">
        <v>207.4259038960341</v>
      </c>
    </row>
    <row r="2070">
      <c r="A2070" s="4" t="n">
        <v>38672</v>
      </c>
      <c r="B2070" s="3" t="n">
        <v>206.6752673318747</v>
      </c>
    </row>
    <row r="2071">
      <c r="A2071" s="4" t="n">
        <v>38673</v>
      </c>
      <c r="B2071" s="3" t="n">
        <v>204.9237820155029</v>
      </c>
    </row>
    <row r="2072">
      <c r="A2072" s="4" t="n">
        <v>38674</v>
      </c>
      <c r="B2072" s="3" t="n">
        <v>202.0642141520387</v>
      </c>
    </row>
    <row r="2073">
      <c r="A2073" s="4" t="n">
        <v>38677</v>
      </c>
      <c r="B2073" s="3" t="n">
        <v>199.2761354851611</v>
      </c>
    </row>
    <row r="2074">
      <c r="A2074" s="4" t="n">
        <v>38678</v>
      </c>
      <c r="B2074" s="3" t="n">
        <v>198.9186895022281</v>
      </c>
    </row>
    <row r="2075">
      <c r="A2075" s="4" t="n">
        <v>38679</v>
      </c>
      <c r="B2075" s="3" t="n">
        <v>196.7025244080434</v>
      </c>
    </row>
    <row r="2076">
      <c r="A2076" s="4" t="n">
        <v>38680</v>
      </c>
      <c r="B2076" s="3" t="n">
        <v>196.0591216387639</v>
      </c>
    </row>
    <row r="2077">
      <c r="A2077" s="4" t="n">
        <v>38681</v>
      </c>
      <c r="B2077" s="3" t="n">
        <v>194.6293377070318</v>
      </c>
    </row>
    <row r="2078">
      <c r="A2078" s="4" t="n">
        <v>38684</v>
      </c>
      <c r="B2078" s="3" t="n">
        <v>193.4497659633528</v>
      </c>
    </row>
    <row r="2079">
      <c r="A2079" s="4" t="n">
        <v>38685</v>
      </c>
      <c r="B2079" s="3" t="n">
        <v>192.6276402026069</v>
      </c>
    </row>
    <row r="2080">
      <c r="A2080" s="4" t="n">
        <v>38686</v>
      </c>
      <c r="B2080" s="3" t="n">
        <v>191.5910468521011</v>
      </c>
    </row>
    <row r="2081">
      <c r="A2081" s="4" t="n">
        <v>38687</v>
      </c>
      <c r="B2081" s="3" t="n">
        <v>191.5349932837024</v>
      </c>
    </row>
    <row r="2082">
      <c r="A2082" s="4" t="n">
        <v>38688</v>
      </c>
      <c r="B2082" s="3" t="n">
        <v>191.570740762852</v>
      </c>
    </row>
    <row r="2083">
      <c r="A2083" s="4" t="n">
        <v>38691</v>
      </c>
      <c r="B2083" s="3" t="n">
        <v>191.3920033671039</v>
      </c>
    </row>
    <row r="2084">
      <c r="A2084" s="4" t="n">
        <v>38692</v>
      </c>
      <c r="B2084" s="3" t="n">
        <v>188.7824373891811</v>
      </c>
    </row>
    <row r="2085">
      <c r="A2085" s="4" t="n">
        <v>38693</v>
      </c>
      <c r="B2085" s="3" t="n">
        <v>187.352538223196</v>
      </c>
    </row>
    <row r="2086">
      <c r="A2086" s="4" t="n">
        <v>38694</v>
      </c>
      <c r="B2086" s="3" t="n">
        <v>185.4936693074154</v>
      </c>
    </row>
    <row r="2087">
      <c r="A2087" s="4" t="n">
        <v>38695</v>
      </c>
      <c r="B2087" s="3" t="n">
        <v>182.0261638299015</v>
      </c>
    </row>
    <row r="2088">
      <c r="A2088" s="4" t="n">
        <v>38698</v>
      </c>
      <c r="B2088" s="3" t="n">
        <v>181.6329415592556</v>
      </c>
    </row>
    <row r="2089">
      <c r="A2089" s="4" t="n">
        <v>38699</v>
      </c>
      <c r="B2089" s="3" t="n">
        <v>180.9179919762631</v>
      </c>
    </row>
    <row r="2090">
      <c r="A2090" s="4" t="n">
        <v>38700</v>
      </c>
      <c r="B2090" s="3" t="n">
        <v>180.8464970179639</v>
      </c>
    </row>
    <row r="2091">
      <c r="A2091" s="4" t="n">
        <v>38701</v>
      </c>
      <c r="B2091" s="3" t="n">
        <v>180.5247697056172</v>
      </c>
    </row>
    <row r="2092">
      <c r="A2092" s="4" t="n">
        <v>38702</v>
      </c>
      <c r="B2092" s="3" t="n">
        <v>180.8822444971135</v>
      </c>
    </row>
    <row r="2093">
      <c r="A2093" s="4" t="n">
        <v>38705</v>
      </c>
      <c r="B2093" s="3" t="n">
        <v>182.1334062673504</v>
      </c>
    </row>
    <row r="2094">
      <c r="A2094" s="4" t="n">
        <v>38706</v>
      </c>
      <c r="B2094" s="3" t="n">
        <v>182.3836386213978</v>
      </c>
    </row>
    <row r="2095">
      <c r="A2095" s="4" t="n">
        <v>38707</v>
      </c>
      <c r="B2095" s="3" t="n">
        <v>183.7420428290837</v>
      </c>
    </row>
    <row r="2096">
      <c r="A2096" s="4" t="n">
        <v>38708</v>
      </c>
      <c r="B2096" s="3" t="n">
        <v>184.3854974537769</v>
      </c>
    </row>
    <row r="2097">
      <c r="A2097" s="4" t="n">
        <v>38709</v>
      </c>
      <c r="B2097" s="3" t="n">
        <v>185.1719419950687</v>
      </c>
    </row>
    <row r="2098">
      <c r="A2098" s="4" t="n">
        <v>38712</v>
      </c>
      <c r="B2098" s="3" t="n">
        <v>185.6009117448643</v>
      </c>
    </row>
    <row r="2099">
      <c r="A2099" s="4" t="n">
        <v>38713</v>
      </c>
      <c r="B2099" s="3" t="n">
        <v>185.8511440989117</v>
      </c>
    </row>
    <row r="2100">
      <c r="A2100" s="4" t="n">
        <v>38714</v>
      </c>
      <c r="B2100" s="3" t="n">
        <v>185.8511440989117</v>
      </c>
    </row>
    <row r="2101">
      <c r="A2101" s="4" t="n">
        <v>38715</v>
      </c>
      <c r="B2101" s="3" t="n">
        <v>185.7796491406124</v>
      </c>
    </row>
    <row r="2102">
      <c r="A2102" s="4" t="n">
        <v>38719</v>
      </c>
      <c r="B2102" s="3" t="n">
        <v>182.0697485528701</v>
      </c>
    </row>
    <row r="2103">
      <c r="A2103" s="4" t="n">
        <v>38720</v>
      </c>
      <c r="B2103" s="3" t="n">
        <v>182.0697485528701</v>
      </c>
    </row>
    <row r="2104">
      <c r="A2104" s="4" t="n">
        <v>38721</v>
      </c>
      <c r="B2104" s="3" t="n">
        <v>181.7155272521836</v>
      </c>
    </row>
    <row r="2105">
      <c r="A2105" s="4" t="n">
        <v>38722</v>
      </c>
      <c r="B2105" s="3" t="n">
        <v>181.573838731909</v>
      </c>
    </row>
    <row r="2106">
      <c r="A2106" s="4" t="n">
        <v>38723</v>
      </c>
      <c r="B2106" s="3" t="n">
        <v>180.0152650088883</v>
      </c>
    </row>
    <row r="2107">
      <c r="A2107" s="4" t="n">
        <v>38726</v>
      </c>
      <c r="B2107" s="3" t="n">
        <v>178.421269155799</v>
      </c>
    </row>
    <row r="2108">
      <c r="A2108" s="4" t="n">
        <v>38727</v>
      </c>
      <c r="B2108" s="3" t="n">
        <v>177.2169167334648</v>
      </c>
    </row>
    <row r="2109">
      <c r="A2109" s="4" t="n">
        <v>38728</v>
      </c>
      <c r="B2109" s="3" t="n">
        <v>176.5084741320918</v>
      </c>
    </row>
    <row r="2110">
      <c r="A2110" s="4" t="n">
        <v>38729</v>
      </c>
      <c r="B2110" s="3" t="n">
        <v>176.1188307013366</v>
      </c>
    </row>
    <row r="2111">
      <c r="A2111" s="4" t="n">
        <v>38730</v>
      </c>
      <c r="B2111" s="3" t="n">
        <v>175.9417200509934</v>
      </c>
    </row>
    <row r="2112">
      <c r="A2112" s="4" t="n">
        <v>38733</v>
      </c>
      <c r="B2112" s="3" t="n">
        <v>175.4458102300322</v>
      </c>
    </row>
    <row r="2113">
      <c r="A2113" s="4" t="n">
        <v>38734</v>
      </c>
      <c r="B2113" s="3" t="n">
        <v>175.1978553195517</v>
      </c>
    </row>
    <row r="2114">
      <c r="A2114" s="4" t="n">
        <v>38735</v>
      </c>
      <c r="B2114" s="3" t="n">
        <v>173.6747037265997</v>
      </c>
    </row>
    <row r="2115">
      <c r="A2115" s="4" t="n">
        <v>38736</v>
      </c>
      <c r="B2115" s="3" t="n">
        <v>172.4349291741968</v>
      </c>
    </row>
    <row r="2116">
      <c r="A2116" s="4" t="n">
        <v>38737</v>
      </c>
      <c r="B2116" s="3" t="n">
        <v>172.1869742637163</v>
      </c>
    </row>
    <row r="2117">
      <c r="A2117" s="4" t="n">
        <v>38740</v>
      </c>
      <c r="B2117" s="3" t="n">
        <v>171.4785316623432</v>
      </c>
    </row>
    <row r="2118">
      <c r="A2118" s="4" t="n">
        <v>38741</v>
      </c>
      <c r="B2118" s="3" t="n">
        <v>171.5493759224806</v>
      </c>
    </row>
    <row r="2119">
      <c r="A2119" s="4" t="n">
        <v>38742</v>
      </c>
      <c r="B2119" s="3" t="n">
        <v>171.6202201826179</v>
      </c>
    </row>
    <row r="2120">
      <c r="A2120" s="4" t="n">
        <v>38743</v>
      </c>
      <c r="B2120" s="3" t="n">
        <v>172.0807078735103</v>
      </c>
    </row>
    <row r="2121">
      <c r="A2121" s="4" t="n">
        <v>38744</v>
      </c>
      <c r="B2121" s="3" t="n">
        <v>173.0016832552953</v>
      </c>
    </row>
    <row r="2122">
      <c r="A2122" s="4" t="n">
        <v>38747</v>
      </c>
      <c r="B2122" s="3" t="n">
        <v>173.1787939056385</v>
      </c>
    </row>
    <row r="2123">
      <c r="A2123" s="4" t="n">
        <v>38748</v>
      </c>
      <c r="B2123" s="3" t="n">
        <v>175.0207446692084</v>
      </c>
    </row>
    <row r="2124">
      <c r="A2124" s="4" t="n">
        <v>38749</v>
      </c>
      <c r="B2124" s="3" t="n">
        <v>176.343313715516</v>
      </c>
    </row>
    <row r="2125">
      <c r="A2125" s="4" t="n">
        <v>38750</v>
      </c>
      <c r="B2125" s="3" t="n">
        <v>177.6183406875503</v>
      </c>
    </row>
    <row r="2126">
      <c r="A2126" s="4" t="n">
        <v>38751</v>
      </c>
      <c r="B2126" s="3" t="n">
        <v>178.6454457483557</v>
      </c>
    </row>
    <row r="2127">
      <c r="A2127" s="4" t="n">
        <v>38754</v>
      </c>
      <c r="B2127" s="3" t="n">
        <v>180.1683946316188</v>
      </c>
    </row>
    <row r="2128">
      <c r="A2128" s="4" t="n">
        <v>38755</v>
      </c>
      <c r="B2128" s="3" t="n">
        <v>181.6913435148819</v>
      </c>
    </row>
    <row r="2129">
      <c r="A2129" s="4" t="n">
        <v>38756</v>
      </c>
      <c r="B2129" s="3" t="n">
        <v>181.3725867718734</v>
      </c>
    </row>
    <row r="2130">
      <c r="A2130" s="4" t="n">
        <v>38757</v>
      </c>
      <c r="B2130" s="3" t="n">
        <v>180.4163165428477</v>
      </c>
    </row>
    <row r="2131">
      <c r="A2131" s="4" t="n">
        <v>38758</v>
      </c>
      <c r="B2131" s="3" t="n">
        <v>180.0621423839493</v>
      </c>
    </row>
    <row r="2132">
      <c r="A2132" s="4" t="n">
        <v>38761</v>
      </c>
      <c r="B2132" s="3" t="n">
        <v>180.0975597998391</v>
      </c>
    </row>
    <row r="2133">
      <c r="A2133" s="4" t="n">
        <v>38762</v>
      </c>
      <c r="B2133" s="3" t="n">
        <v>179.8142204727204</v>
      </c>
    </row>
    <row r="2134">
      <c r="A2134" s="4" t="n">
        <v>38763</v>
      </c>
      <c r="B2134" s="3" t="n">
        <v>178.5391935006861</v>
      </c>
    </row>
    <row r="2135">
      <c r="A2135" s="4" t="n">
        <v>38764</v>
      </c>
      <c r="B2135" s="3" t="n">
        <v>179.0704547390337</v>
      </c>
    </row>
    <row r="2136">
      <c r="A2136" s="4" t="n">
        <v>38765</v>
      </c>
      <c r="B2136" s="3" t="n">
        <v>178.9287850754744</v>
      </c>
    </row>
    <row r="2137">
      <c r="A2137" s="4" t="n">
        <v>38768</v>
      </c>
      <c r="B2137" s="3" t="n">
        <v>178.114184510008</v>
      </c>
    </row>
    <row r="2138">
      <c r="A2138" s="4" t="n">
        <v>38769</v>
      </c>
      <c r="B2138" s="3" t="n">
        <v>177.9725148464487</v>
      </c>
    </row>
    <row r="2139">
      <c r="A2139" s="4" t="n">
        <v>38770</v>
      </c>
      <c r="B2139" s="3" t="n">
        <v>177.5120884398807</v>
      </c>
    </row>
    <row r="2140">
      <c r="A2140" s="4" t="n">
        <v>38771</v>
      </c>
      <c r="B2140" s="3" t="n">
        <v>177.5475058557706</v>
      </c>
    </row>
    <row r="2141">
      <c r="A2141" s="4" t="n">
        <v>38772</v>
      </c>
      <c r="B2141" s="3" t="n">
        <v>177.5475058557706</v>
      </c>
    </row>
    <row r="2142">
      <c r="A2142" s="4" t="n">
        <v>38777</v>
      </c>
      <c r="B2142" s="3" t="n">
        <v>178.0692713264698</v>
      </c>
    </row>
    <row r="2143">
      <c r="A2143" s="4" t="n">
        <v>38778</v>
      </c>
      <c r="B2143" s="3" t="n">
        <v>177.9272703126528</v>
      </c>
    </row>
    <row r="2144">
      <c r="A2144" s="4" t="n">
        <v>38779</v>
      </c>
      <c r="B2144" s="3" t="n">
        <v>177.9627705661071</v>
      </c>
    </row>
    <row r="2145">
      <c r="A2145" s="4" t="n">
        <v>38782</v>
      </c>
      <c r="B2145" s="3" t="n">
        <v>177.8562698057443</v>
      </c>
    </row>
    <row r="2146">
      <c r="A2146" s="4" t="n">
        <v>38783</v>
      </c>
      <c r="B2146" s="3" t="n">
        <v>177.8562698057443</v>
      </c>
    </row>
    <row r="2147">
      <c r="A2147" s="4" t="n">
        <v>38784</v>
      </c>
      <c r="B2147" s="3" t="n">
        <v>177.9982708195613</v>
      </c>
    </row>
    <row r="2148">
      <c r="A2148" s="4" t="n">
        <v>38785</v>
      </c>
      <c r="B2148" s="3" t="n">
        <v>178.0337710730156</v>
      </c>
    </row>
    <row r="2149">
      <c r="A2149" s="4" t="n">
        <v>38786</v>
      </c>
      <c r="B2149" s="3" t="n">
        <v>178.0337710730156</v>
      </c>
    </row>
    <row r="2150">
      <c r="A2150" s="4" t="n">
        <v>38789</v>
      </c>
      <c r="B2150" s="3" t="n">
        <v>177.9627705661071</v>
      </c>
    </row>
    <row r="2151">
      <c r="A2151" s="4" t="n">
        <v>38790</v>
      </c>
      <c r="B2151" s="3" t="n">
        <v>177.217265243568</v>
      </c>
    </row>
    <row r="2152">
      <c r="A2152" s="4" t="n">
        <v>38791</v>
      </c>
      <c r="B2152" s="3" t="n">
        <v>176.7557619486629</v>
      </c>
    </row>
    <row r="2153">
      <c r="A2153" s="4" t="n">
        <v>38792</v>
      </c>
      <c r="B2153" s="3" t="n">
        <v>176.0812571330324</v>
      </c>
    </row>
    <row r="2154">
      <c r="A2154" s="4" t="n">
        <v>38793</v>
      </c>
      <c r="B2154" s="3" t="n">
        <v>175.9392561192154</v>
      </c>
    </row>
    <row r="2155">
      <c r="A2155" s="4" t="n">
        <v>38796</v>
      </c>
      <c r="B2155" s="3" t="n">
        <v>175.9747563726696</v>
      </c>
    </row>
    <row r="2156">
      <c r="A2156" s="4" t="n">
        <v>38797</v>
      </c>
      <c r="B2156" s="3" t="n">
        <v>175.6907543450357</v>
      </c>
    </row>
    <row r="2157">
      <c r="A2157" s="4" t="n">
        <v>38798</v>
      </c>
      <c r="B2157" s="3" t="n">
        <v>174.7677477552254</v>
      </c>
    </row>
    <row r="2158">
      <c r="A2158" s="4" t="n">
        <v>38799</v>
      </c>
      <c r="B2158" s="3" t="n">
        <v>173.9512419257779</v>
      </c>
    </row>
    <row r="2159">
      <c r="A2159" s="4" t="n">
        <v>38800</v>
      </c>
      <c r="B2159" s="3" t="n">
        <v>173.7382404050525</v>
      </c>
    </row>
    <row r="2160">
      <c r="A2160" s="4" t="n">
        <v>38803</v>
      </c>
      <c r="B2160" s="3" t="n">
        <v>173.2767371101474</v>
      </c>
    </row>
    <row r="2161">
      <c r="A2161" s="4" t="n">
        <v>38804</v>
      </c>
      <c r="B2161" s="3" t="n">
        <v>173.3832378705101</v>
      </c>
    </row>
    <row r="2162">
      <c r="A2162" s="4" t="n">
        <v>38805</v>
      </c>
      <c r="B2162" s="3" t="n">
        <v>173.4897386308728</v>
      </c>
    </row>
    <row r="2163">
      <c r="A2163" s="4" t="n">
        <v>38806</v>
      </c>
      <c r="B2163" s="3" t="n">
        <v>173.7382404050525</v>
      </c>
    </row>
    <row r="2164">
      <c r="A2164" s="4" t="n">
        <v>38807</v>
      </c>
      <c r="B2164" s="3" t="n">
        <v>173.809240911961</v>
      </c>
    </row>
    <row r="2165">
      <c r="A2165" s="4" t="n">
        <v>38810</v>
      </c>
      <c r="B2165" s="3" t="n">
        <v>176.4323855311219</v>
      </c>
    </row>
    <row r="2166">
      <c r="A2166" s="4" t="n">
        <v>38811</v>
      </c>
      <c r="B2166" s="3" t="n">
        <v>176.6106360721717</v>
      </c>
    </row>
    <row r="2167">
      <c r="A2167" s="4" t="n">
        <v>38812</v>
      </c>
      <c r="B2167" s="3" t="n">
        <v>176.8245367214315</v>
      </c>
    </row>
    <row r="2168">
      <c r="A2168" s="4" t="n">
        <v>38813</v>
      </c>
      <c r="B2168" s="3" t="n">
        <v>177.7870896431006</v>
      </c>
    </row>
    <row r="2169">
      <c r="A2169" s="4" t="n">
        <v>38814</v>
      </c>
      <c r="B2169" s="3" t="n">
        <v>178.2505410498301</v>
      </c>
    </row>
    <row r="2170">
      <c r="A2170" s="4" t="n">
        <v>38817</v>
      </c>
      <c r="B2170" s="3" t="n">
        <v>179.1061436468694</v>
      </c>
    </row>
    <row r="2171">
      <c r="A2171" s="4" t="n">
        <v>38818</v>
      </c>
      <c r="B2171" s="3" t="n">
        <v>179.2130939714993</v>
      </c>
    </row>
    <row r="2172">
      <c r="A2172" s="4" t="n">
        <v>38819</v>
      </c>
      <c r="B2172" s="3" t="n">
        <v>179.8191458110687</v>
      </c>
    </row>
    <row r="2173">
      <c r="A2173" s="4" t="n">
        <v>38820</v>
      </c>
      <c r="B2173" s="3" t="n">
        <v>180.7460486245278</v>
      </c>
    </row>
    <row r="2174">
      <c r="A2174" s="4" t="n">
        <v>38824</v>
      </c>
      <c r="B2174" s="3" t="n">
        <v>181.1738499230474</v>
      </c>
    </row>
    <row r="2175">
      <c r="A2175" s="4" t="n">
        <v>38825</v>
      </c>
      <c r="B2175" s="3" t="n">
        <v>181.494700896937</v>
      </c>
    </row>
    <row r="2176">
      <c r="A2176" s="4" t="n">
        <v>38826</v>
      </c>
      <c r="B2176" s="3" t="n">
        <v>181.1738499230474</v>
      </c>
    </row>
    <row r="2177">
      <c r="A2177" s="4" t="n">
        <v>38827</v>
      </c>
      <c r="B2177" s="3" t="n">
        <v>180.9242991655776</v>
      </c>
    </row>
    <row r="2178">
      <c r="A2178" s="4" t="n">
        <v>38831</v>
      </c>
      <c r="B2178" s="3" t="n">
        <v>180.6034481916879</v>
      </c>
    </row>
    <row r="2179">
      <c r="A2179" s="4" t="n">
        <v>38832</v>
      </c>
      <c r="B2179" s="3" t="n">
        <v>179.6765453782288</v>
      </c>
    </row>
    <row r="2180">
      <c r="A2180" s="4" t="n">
        <v>38833</v>
      </c>
      <c r="B2180" s="3" t="n">
        <v>178.8209427811896</v>
      </c>
    </row>
    <row r="2181">
      <c r="A2181" s="4" t="n">
        <v>38834</v>
      </c>
      <c r="B2181" s="3" t="n">
        <v>178.2505410498301</v>
      </c>
    </row>
    <row r="2182">
      <c r="A2182" s="4" t="n">
        <v>38835</v>
      </c>
      <c r="B2182" s="3" t="n">
        <v>178.1435907252003</v>
      </c>
    </row>
    <row r="2183">
      <c r="A2183" s="4" t="n">
        <v>38839</v>
      </c>
      <c r="B2183" s="3" t="n">
        <v>176.8720067618666</v>
      </c>
    </row>
    <row r="2184">
      <c r="A2184" s="4" t="n">
        <v>38840</v>
      </c>
      <c r="B2184" s="3" t="n">
        <v>176.5878750240965</v>
      </c>
    </row>
    <row r="2185">
      <c r="A2185" s="4" t="n">
        <v>38841</v>
      </c>
      <c r="B2185" s="3" t="n">
        <v>176.0906444829989</v>
      </c>
    </row>
    <row r="2186">
      <c r="A2186" s="4" t="n">
        <v>38842</v>
      </c>
      <c r="B2186" s="3" t="n">
        <v>175.9130621468926</v>
      </c>
    </row>
    <row r="2187">
      <c r="A2187" s="4" t="n">
        <v>38845</v>
      </c>
      <c r="B2187" s="3" t="n">
        <v>175.3803151385738</v>
      </c>
    </row>
    <row r="2188">
      <c r="A2188" s="4" t="n">
        <v>38846</v>
      </c>
      <c r="B2188" s="3" t="n">
        <v>174.8120516630336</v>
      </c>
    </row>
    <row r="2189">
      <c r="A2189" s="4" t="n">
        <v>38847</v>
      </c>
      <c r="B2189" s="3" t="n">
        <v>174.5634363924848</v>
      </c>
    </row>
    <row r="2190">
      <c r="A2190" s="4" t="n">
        <v>38848</v>
      </c>
      <c r="B2190" s="3" t="n">
        <v>174.2793046547148</v>
      </c>
    </row>
    <row r="2191">
      <c r="A2191" s="4" t="n">
        <v>38849</v>
      </c>
      <c r="B2191" s="3" t="n">
        <v>173.7110411791746</v>
      </c>
    </row>
    <row r="2192">
      <c r="A2192" s="4" t="n">
        <v>38852</v>
      </c>
      <c r="B2192" s="3" t="n">
        <v>173.6044917775108</v>
      </c>
    </row>
    <row r="2193">
      <c r="A2193" s="4" t="n">
        <v>38853</v>
      </c>
      <c r="B2193" s="3" t="n">
        <v>173.355876506962</v>
      </c>
    </row>
    <row r="2194">
      <c r="A2194" s="4" t="n">
        <v>38854</v>
      </c>
      <c r="B2194" s="3" t="n">
        <v>172.0417672197755</v>
      </c>
    </row>
    <row r="2195">
      <c r="A2195" s="4" t="n">
        <v>38855</v>
      </c>
      <c r="B2195" s="3" t="n">
        <v>171.7576354820054</v>
      </c>
    </row>
    <row r="2196">
      <c r="A2196" s="4" t="n">
        <v>38856</v>
      </c>
      <c r="B2196" s="3" t="n">
        <v>171.7931519492267</v>
      </c>
    </row>
    <row r="2197">
      <c r="A2197" s="4" t="n">
        <v>38859</v>
      </c>
      <c r="B2197" s="3" t="n">
        <v>171.6155696131204</v>
      </c>
    </row>
    <row r="2198">
      <c r="A2198" s="4" t="n">
        <v>38860</v>
      </c>
      <c r="B2198" s="3" t="n">
        <v>171.4024708097928</v>
      </c>
    </row>
    <row r="2199">
      <c r="A2199" s="4" t="n">
        <v>38861</v>
      </c>
      <c r="B2199" s="3" t="n">
        <v>171.3669543425716</v>
      </c>
    </row>
    <row r="2200">
      <c r="A2200" s="4" t="n">
        <v>38862</v>
      </c>
      <c r="B2200" s="3" t="n">
        <v>171.4024708097928</v>
      </c>
    </row>
    <row r="2201">
      <c r="A2201" s="4" t="n">
        <v>38863</v>
      </c>
      <c r="B2201" s="3" t="n">
        <v>171.8997013508904</v>
      </c>
    </row>
    <row r="2202">
      <c r="A2202" s="4" t="n">
        <v>38866</v>
      </c>
      <c r="B2202" s="3" t="n">
        <v>172.3614154247668</v>
      </c>
    </row>
    <row r="2203">
      <c r="A2203" s="4" t="n">
        <v>38867</v>
      </c>
      <c r="B2203" s="3" t="n">
        <v>172.9651953675282</v>
      </c>
    </row>
    <row r="2204">
      <c r="A2204" s="4" t="n">
        <v>38868</v>
      </c>
      <c r="B2204" s="3" t="n">
        <v>173.213810638077</v>
      </c>
    </row>
    <row r="2205">
      <c r="A2205" s="4" t="n">
        <v>38869</v>
      </c>
      <c r="B2205" s="3" t="n">
        <v>172.3836125894875</v>
      </c>
    </row>
    <row r="2206">
      <c r="A2206" s="4" t="n">
        <v>38870</v>
      </c>
      <c r="B2206" s="3" t="n">
        <v>172.841892132159</v>
      </c>
    </row>
    <row r="2207">
      <c r="A2207" s="4" t="n">
        <v>38873</v>
      </c>
      <c r="B2207" s="3" t="n">
        <v>173.0886580397513</v>
      </c>
    </row>
    <row r="2208">
      <c r="A2208" s="4" t="n">
        <v>38874</v>
      </c>
      <c r="B2208" s="3" t="n">
        <v>172.9829012222118</v>
      </c>
    </row>
    <row r="2209">
      <c r="A2209" s="4" t="n">
        <v>38875</v>
      </c>
      <c r="B2209" s="3" t="n">
        <v>172.7361353146194</v>
      </c>
    </row>
    <row r="2210">
      <c r="A2210" s="4" t="n">
        <v>38876</v>
      </c>
      <c r="B2210" s="3" t="n">
        <v>172.101594409382</v>
      </c>
    </row>
    <row r="2211">
      <c r="A2211" s="4" t="n">
        <v>38877</v>
      </c>
      <c r="B2211" s="3" t="n">
        <v>171.8548285017897</v>
      </c>
    </row>
    <row r="2212">
      <c r="A2212" s="4" t="n">
        <v>38880</v>
      </c>
      <c r="B2212" s="3" t="n">
        <v>171.8195762292765</v>
      </c>
    </row>
    <row r="2213">
      <c r="A2213" s="4" t="n">
        <v>38881</v>
      </c>
      <c r="B2213" s="3" t="n">
        <v>171.8548285017897</v>
      </c>
    </row>
    <row r="2214">
      <c r="A2214" s="4" t="n">
        <v>38882</v>
      </c>
      <c r="B2214" s="3" t="n">
        <v>171.8548285017897</v>
      </c>
    </row>
    <row r="2215">
      <c r="A2215" s="4" t="n">
        <v>38884</v>
      </c>
      <c r="B2215" s="3" t="n">
        <v>171.9253330468161</v>
      </c>
    </row>
    <row r="2216">
      <c r="A2216" s="4" t="n">
        <v>38887</v>
      </c>
      <c r="B2216" s="3" t="n">
        <v>172.0310898643557</v>
      </c>
    </row>
    <row r="2217">
      <c r="A2217" s="4" t="n">
        <v>38888</v>
      </c>
      <c r="B2217" s="3" t="n">
        <v>171.9605853193293</v>
      </c>
    </row>
    <row r="2218">
      <c r="A2218" s="4" t="n">
        <v>38889</v>
      </c>
      <c r="B2218" s="3" t="n">
        <v>171.9605853193293</v>
      </c>
    </row>
    <row r="2219">
      <c r="A2219" s="4" t="n">
        <v>38890</v>
      </c>
      <c r="B2219" s="3" t="n">
        <v>171.9253330468161</v>
      </c>
    </row>
    <row r="2220">
      <c r="A2220" s="4" t="n">
        <v>38891</v>
      </c>
      <c r="B2220" s="3" t="n">
        <v>171.9253330468161</v>
      </c>
    </row>
    <row r="2221">
      <c r="A2221" s="4" t="n">
        <v>38894</v>
      </c>
      <c r="B2221" s="3" t="n">
        <v>171.8548285017897</v>
      </c>
    </row>
    <row r="2222">
      <c r="A2222" s="4" t="n">
        <v>38895</v>
      </c>
      <c r="B2222" s="3" t="n">
        <v>171.8900807743029</v>
      </c>
    </row>
    <row r="2223">
      <c r="A2223" s="4" t="n">
        <v>38896</v>
      </c>
      <c r="B2223" s="3" t="n">
        <v>171.9253330468161</v>
      </c>
    </row>
    <row r="2224">
      <c r="A2224" s="4" t="n">
        <v>38897</v>
      </c>
      <c r="B2224" s="3" t="n">
        <v>171.9253330468161</v>
      </c>
    </row>
    <row r="2225">
      <c r="A2225" s="4" t="n">
        <v>38898</v>
      </c>
      <c r="B2225" s="3" t="n">
        <v>171.9605853193293</v>
      </c>
    </row>
    <row r="2226">
      <c r="A2226" s="4" t="n">
        <v>38901</v>
      </c>
      <c r="B2226" s="3" t="n">
        <v>171.6222135569712</v>
      </c>
    </row>
    <row r="2227">
      <c r="A2227" s="4" t="n">
        <v>38902</v>
      </c>
      <c r="B2227" s="3" t="n">
        <v>171.6222135569712</v>
      </c>
    </row>
    <row r="2228">
      <c r="A2228" s="4" t="n">
        <v>38903</v>
      </c>
      <c r="B2228" s="3" t="n">
        <v>171.9389246338654</v>
      </c>
    </row>
    <row r="2229">
      <c r="A2229" s="4" t="n">
        <v>38904</v>
      </c>
      <c r="B2229" s="3" t="n">
        <v>171.9037345142105</v>
      </c>
    </row>
    <row r="2230">
      <c r="A2230" s="4" t="n">
        <v>38905</v>
      </c>
      <c r="B2230" s="3" t="n">
        <v>172.0444949928301</v>
      </c>
    </row>
    <row r="2231">
      <c r="A2231" s="4" t="n">
        <v>38908</v>
      </c>
      <c r="B2231" s="3" t="n">
        <v>172.7131072662733</v>
      </c>
    </row>
    <row r="2232">
      <c r="A2232" s="4" t="n">
        <v>38909</v>
      </c>
      <c r="B2232" s="3" t="n">
        <v>172.8538677448929</v>
      </c>
    </row>
    <row r="2233">
      <c r="A2233" s="4" t="n">
        <v>38910</v>
      </c>
      <c r="B2233" s="3" t="n">
        <v>173.1001985824772</v>
      </c>
    </row>
    <row r="2234">
      <c r="A2234" s="4" t="n">
        <v>38911</v>
      </c>
      <c r="B2234" s="3" t="n">
        <v>173.4872898986812</v>
      </c>
    </row>
    <row r="2235">
      <c r="A2235" s="4" t="n">
        <v>38912</v>
      </c>
      <c r="B2235" s="3" t="n">
        <v>174.6485638472931</v>
      </c>
    </row>
    <row r="2236">
      <c r="A2236" s="4" t="n">
        <v>38915</v>
      </c>
      <c r="B2236" s="3" t="n">
        <v>175.9857883941795</v>
      </c>
    </row>
    <row r="2237">
      <c r="A2237" s="4" t="n">
        <v>38916</v>
      </c>
      <c r="B2237" s="3" t="n">
        <v>176.9359216248619</v>
      </c>
    </row>
    <row r="2238">
      <c r="A2238" s="4" t="n">
        <v>38917</v>
      </c>
      <c r="B2238" s="3" t="n">
        <v>177.6749141376149</v>
      </c>
    </row>
    <row r="2239">
      <c r="A2239" s="4" t="n">
        <v>38918</v>
      </c>
      <c r="B2239" s="3" t="n">
        <v>177.9564350948541</v>
      </c>
    </row>
    <row r="2240">
      <c r="A2240" s="4" t="n">
        <v>38919</v>
      </c>
      <c r="B2240" s="3" t="n">
        <v>180.3493632313877</v>
      </c>
    </row>
    <row r="2241">
      <c r="A2241" s="4" t="n">
        <v>38922</v>
      </c>
      <c r="B2241" s="3" t="n">
        <v>180.6308841886269</v>
      </c>
    </row>
    <row r="2242">
      <c r="A2242" s="4" t="n">
        <v>38923</v>
      </c>
      <c r="B2242" s="3" t="n">
        <v>181.6162075389642</v>
      </c>
    </row>
    <row r="2243">
      <c r="A2243" s="4" t="n">
        <v>38924</v>
      </c>
      <c r="B2243" s="3" t="n">
        <v>182.5663407696467</v>
      </c>
    </row>
    <row r="2244">
      <c r="A2244" s="4" t="n">
        <v>38925</v>
      </c>
      <c r="B2244" s="3" t="n">
        <v>186.0501626154822</v>
      </c>
    </row>
    <row r="2245">
      <c r="A2245" s="4" t="n">
        <v>38926</v>
      </c>
      <c r="B2245" s="3" t="n">
        <v>188.724611709255</v>
      </c>
    </row>
    <row r="2246">
      <c r="A2246" s="4" t="n">
        <v>38929</v>
      </c>
      <c r="B2246" s="3" t="n">
        <v>190.8008287688944</v>
      </c>
    </row>
    <row r="2247">
      <c r="A2247" s="4" t="n">
        <v>38930</v>
      </c>
      <c r="B2247" s="3" t="n">
        <v>193.2512938338398</v>
      </c>
    </row>
    <row r="2248">
      <c r="A2248" s="4" t="n">
        <v>38931</v>
      </c>
      <c r="B2248" s="3" t="n">
        <v>193.4265943543712</v>
      </c>
    </row>
    <row r="2249">
      <c r="A2249" s="4" t="n">
        <v>38932</v>
      </c>
      <c r="B2249" s="3" t="n">
        <v>193.8122554995403</v>
      </c>
    </row>
    <row r="2250">
      <c r="A2250" s="4" t="n">
        <v>38933</v>
      </c>
      <c r="B2250" s="3" t="n">
        <v>196.5118835157242</v>
      </c>
    </row>
    <row r="2251">
      <c r="A2251" s="4" t="n">
        <v>38936</v>
      </c>
      <c r="B2251" s="3" t="n">
        <v>197.0377850773185</v>
      </c>
    </row>
    <row r="2252">
      <c r="A2252" s="4" t="n">
        <v>38937</v>
      </c>
      <c r="B2252" s="3" t="n">
        <v>197.2130855978499</v>
      </c>
    </row>
    <row r="2253">
      <c r="A2253" s="4" t="n">
        <v>38938</v>
      </c>
      <c r="B2253" s="3" t="n">
        <v>196.5469436198305</v>
      </c>
    </row>
    <row r="2254">
      <c r="A2254" s="4" t="n">
        <v>38939</v>
      </c>
      <c r="B2254" s="3" t="n">
        <v>196.5469436198305</v>
      </c>
    </row>
    <row r="2255">
      <c r="A2255" s="4" t="n">
        <v>38940</v>
      </c>
      <c r="B2255" s="3" t="n">
        <v>196.7222441403619</v>
      </c>
    </row>
    <row r="2256">
      <c r="A2256" s="4" t="n">
        <v>38943</v>
      </c>
      <c r="B2256" s="3" t="n">
        <v>196.5469436198305</v>
      </c>
    </row>
    <row r="2257">
      <c r="A2257" s="4" t="n">
        <v>38944</v>
      </c>
      <c r="B2257" s="3" t="n">
        <v>196.4067032034054</v>
      </c>
    </row>
    <row r="2258">
      <c r="A2258" s="4" t="n">
        <v>38945</v>
      </c>
      <c r="B2258" s="3" t="n">
        <v>195.98598195413</v>
      </c>
    </row>
    <row r="2259">
      <c r="A2259" s="4" t="n">
        <v>38946</v>
      </c>
      <c r="B2259" s="3" t="n">
        <v>195.4600803925357</v>
      </c>
    </row>
    <row r="2260">
      <c r="A2260" s="4" t="n">
        <v>38947</v>
      </c>
      <c r="B2260" s="3" t="n">
        <v>195.1445394555791</v>
      </c>
    </row>
    <row r="2261">
      <c r="A2261" s="4" t="n">
        <v>38950</v>
      </c>
      <c r="B2261" s="3" t="n">
        <v>195.1445394555791</v>
      </c>
    </row>
    <row r="2262">
      <c r="A2262" s="4" t="n">
        <v>38951</v>
      </c>
      <c r="B2262" s="3" t="n">
        <v>195.1094793514729</v>
      </c>
    </row>
    <row r="2263">
      <c r="A2263" s="4" t="n">
        <v>38952</v>
      </c>
      <c r="B2263" s="3" t="n">
        <v>195.1795995596854</v>
      </c>
    </row>
    <row r="2264">
      <c r="A2264" s="4" t="n">
        <v>38953</v>
      </c>
      <c r="B2264" s="3" t="n">
        <v>195.3198399761106</v>
      </c>
    </row>
    <row r="2265">
      <c r="A2265" s="4" t="n">
        <v>38954</v>
      </c>
      <c r="B2265" s="3" t="n">
        <v>195.7756213294923</v>
      </c>
    </row>
    <row r="2266">
      <c r="A2266" s="4" t="n">
        <v>38957</v>
      </c>
      <c r="B2266" s="3" t="n">
        <v>196.1963425787677</v>
      </c>
    </row>
    <row r="2267">
      <c r="A2267" s="4" t="n">
        <v>38958</v>
      </c>
      <c r="B2267" s="3" t="n">
        <v>197.1429653896374</v>
      </c>
    </row>
    <row r="2268">
      <c r="A2268" s="4" t="n">
        <v>38959</v>
      </c>
      <c r="B2268" s="3" t="n">
        <v>198.0194679922945</v>
      </c>
    </row>
    <row r="2269">
      <c r="A2269" s="4" t="n">
        <v>38960</v>
      </c>
      <c r="B2269" s="3" t="n">
        <v>198.9310306990579</v>
      </c>
    </row>
    <row r="2270">
      <c r="A2270" s="4" t="n">
        <v>38961</v>
      </c>
      <c r="B2270" s="3" t="n">
        <v>198.3578629207645</v>
      </c>
    </row>
    <row r="2271">
      <c r="A2271" s="4" t="n">
        <v>38964</v>
      </c>
      <c r="B2271" s="3" t="n">
        <v>198.3578629207645</v>
      </c>
    </row>
    <row r="2272">
      <c r="A2272" s="4" t="n">
        <v>38965</v>
      </c>
      <c r="B2272" s="3" t="n">
        <v>198.5326583586573</v>
      </c>
    </row>
    <row r="2273">
      <c r="A2273" s="4" t="n">
        <v>38966</v>
      </c>
      <c r="B2273" s="3" t="n">
        <v>198.7424128841287</v>
      </c>
    </row>
    <row r="2274">
      <c r="A2274" s="4" t="n">
        <v>38968</v>
      </c>
      <c r="B2274" s="3" t="n">
        <v>199.0570446723357</v>
      </c>
    </row>
    <row r="2275">
      <c r="A2275" s="4" t="n">
        <v>38971</v>
      </c>
      <c r="B2275" s="3" t="n">
        <v>200.315571825164</v>
      </c>
    </row>
    <row r="2276">
      <c r="A2276" s="4" t="n">
        <v>38972</v>
      </c>
      <c r="B2276" s="3" t="n">
        <v>203.5667669699703</v>
      </c>
    </row>
    <row r="2277">
      <c r="A2277" s="4" t="n">
        <v>38973</v>
      </c>
      <c r="B2277" s="3" t="n">
        <v>205.0700077358485</v>
      </c>
    </row>
    <row r="2278">
      <c r="A2278" s="4" t="n">
        <v>38974</v>
      </c>
      <c r="B2278" s="3" t="n">
        <v>205.349680436477</v>
      </c>
    </row>
    <row r="2279">
      <c r="A2279" s="4" t="n">
        <v>38975</v>
      </c>
      <c r="B2279" s="3" t="n">
        <v>206.7480439396195</v>
      </c>
    </row>
    <row r="2280">
      <c r="A2280" s="4" t="n">
        <v>38978</v>
      </c>
      <c r="B2280" s="3" t="n">
        <v>207.3073893408765</v>
      </c>
    </row>
    <row r="2281">
      <c r="A2281" s="4" t="n">
        <v>38979</v>
      </c>
      <c r="B2281" s="3" t="n">
        <v>207.6220211290836</v>
      </c>
    </row>
    <row r="2282">
      <c r="A2282" s="4" t="n">
        <v>38980</v>
      </c>
      <c r="B2282" s="3" t="n">
        <v>208.7756710191761</v>
      </c>
    </row>
    <row r="2283">
      <c r="A2283" s="4" t="n">
        <v>38981</v>
      </c>
      <c r="B2283" s="3" t="n">
        <v>210.7683390111542</v>
      </c>
    </row>
    <row r="2284">
      <c r="A2284" s="4" t="n">
        <v>38982</v>
      </c>
      <c r="B2284" s="3" t="n">
        <v>211.3626434999898</v>
      </c>
    </row>
    <row r="2285">
      <c r="A2285" s="4" t="n">
        <v>38985</v>
      </c>
      <c r="B2285" s="3" t="n">
        <v>211.8171116385111</v>
      </c>
    </row>
    <row r="2286">
      <c r="A2286" s="4" t="n">
        <v>38986</v>
      </c>
      <c r="B2286" s="3" t="n">
        <v>212.306538864611</v>
      </c>
    </row>
    <row r="2287">
      <c r="A2287" s="4" t="n">
        <v>38987</v>
      </c>
      <c r="B2287" s="3" t="n">
        <v>213.0756387913393</v>
      </c>
    </row>
    <row r="2288">
      <c r="A2288" s="4" t="n">
        <v>38988</v>
      </c>
      <c r="B2288" s="3" t="n">
        <v>213.7049023677535</v>
      </c>
    </row>
    <row r="2289">
      <c r="A2289" s="4" t="n">
        <v>38989</v>
      </c>
      <c r="B2289" s="3" t="n">
        <v>215.3479794839459</v>
      </c>
    </row>
    <row r="2290">
      <c r="A2290" s="4" t="n">
        <v>38992</v>
      </c>
      <c r="B2290" s="3" t="n">
        <v>215.0813070273569</v>
      </c>
    </row>
    <row r="2291">
      <c r="A2291" s="4" t="n">
        <v>38993</v>
      </c>
      <c r="B2291" s="3" t="n">
        <v>217.1691372201479</v>
      </c>
    </row>
    <row r="2292">
      <c r="A2292" s="4" t="n">
        <v>38994</v>
      </c>
      <c r="B2292" s="3" t="n">
        <v>218.8046042045009</v>
      </c>
    </row>
    <row r="2293">
      <c r="A2293" s="4" t="n">
        <v>38995</v>
      </c>
      <c r="B2293" s="3" t="n">
        <v>219.2569674129389</v>
      </c>
    </row>
    <row r="2294">
      <c r="A2294" s="4" t="n">
        <v>38996</v>
      </c>
      <c r="B2294" s="3" t="n">
        <v>219.2569674129389</v>
      </c>
    </row>
    <row r="2295">
      <c r="A2295" s="4" t="n">
        <v>38999</v>
      </c>
      <c r="B2295" s="3" t="n">
        <v>219.3265617526986</v>
      </c>
    </row>
    <row r="2296">
      <c r="A2296" s="4" t="n">
        <v>39000</v>
      </c>
      <c r="B2296" s="3" t="n">
        <v>219.3961560924583</v>
      </c>
    </row>
    <row r="2297">
      <c r="A2297" s="4" t="n">
        <v>39001</v>
      </c>
      <c r="B2297" s="3" t="n">
        <v>219.4309532623382</v>
      </c>
    </row>
    <row r="2298">
      <c r="A2298" s="4" t="n">
        <v>39003</v>
      </c>
      <c r="B2298" s="3" t="n">
        <v>219.5701419418576</v>
      </c>
    </row>
    <row r="2299">
      <c r="A2299" s="4" t="n">
        <v>39006</v>
      </c>
      <c r="B2299" s="3" t="n">
        <v>219.7441277912569</v>
      </c>
    </row>
    <row r="2300">
      <c r="A2300" s="4" t="n">
        <v>39007</v>
      </c>
      <c r="B2300" s="3" t="n">
        <v>219.465750432218</v>
      </c>
    </row>
    <row r="2301">
      <c r="A2301" s="4" t="n">
        <v>39008</v>
      </c>
      <c r="B2301" s="3" t="n">
        <v>216.4035994827912</v>
      </c>
    </row>
    <row r="2302">
      <c r="A2302" s="4" t="n">
        <v>39009</v>
      </c>
      <c r="B2302" s="3" t="n">
        <v>215.3944815562755</v>
      </c>
    </row>
    <row r="2303">
      <c r="A2303" s="4" t="n">
        <v>39010</v>
      </c>
      <c r="B2303" s="3" t="n">
        <v>214.1417834406009</v>
      </c>
    </row>
    <row r="2304">
      <c r="A2304" s="4" t="n">
        <v>39013</v>
      </c>
      <c r="B2304" s="3" t="n">
        <v>210.4880806032166</v>
      </c>
    </row>
    <row r="2305">
      <c r="A2305" s="4" t="n">
        <v>39014</v>
      </c>
      <c r="B2305" s="3" t="n">
        <v>207.599915503189</v>
      </c>
    </row>
    <row r="2306">
      <c r="A2306" s="4" t="n">
        <v>39015</v>
      </c>
      <c r="B2306" s="3" t="n">
        <v>207.0083636152315</v>
      </c>
    </row>
    <row r="2307">
      <c r="A2307" s="4" t="n">
        <v>39016</v>
      </c>
      <c r="B2307" s="3" t="n">
        <v>206.5212032369136</v>
      </c>
    </row>
    <row r="2308">
      <c r="A2308" s="4" t="n">
        <v>39017</v>
      </c>
      <c r="B2308" s="3" t="n">
        <v>206.1384343682352</v>
      </c>
    </row>
    <row r="2309">
      <c r="A2309" s="4" t="n">
        <v>39020</v>
      </c>
      <c r="B2309" s="3" t="n">
        <v>204.8857362525606</v>
      </c>
    </row>
    <row r="2310">
      <c r="A2310" s="4" t="n">
        <v>39021</v>
      </c>
      <c r="B2310" s="3" t="n">
        <v>202.8675003995293</v>
      </c>
    </row>
    <row r="2311">
      <c r="A2311" s="4" t="n">
        <v>39022</v>
      </c>
      <c r="B2311" s="3" t="n">
        <v>199.5902129512669</v>
      </c>
    </row>
    <row r="2312">
      <c r="A2312" s="4" t="n">
        <v>39024</v>
      </c>
      <c r="B2312" s="3" t="n">
        <v>199.2448414112924</v>
      </c>
    </row>
    <row r="2313">
      <c r="A2313" s="4" t="n">
        <v>39027</v>
      </c>
      <c r="B2313" s="3" t="n">
        <v>196.6890920154811</v>
      </c>
    </row>
    <row r="2314">
      <c r="A2314" s="4" t="n">
        <v>39028</v>
      </c>
      <c r="B2314" s="3" t="n">
        <v>195.4802916255703</v>
      </c>
    </row>
    <row r="2315">
      <c r="A2315" s="4" t="n">
        <v>39029</v>
      </c>
      <c r="B2315" s="3" t="n">
        <v>194.9622343156085</v>
      </c>
    </row>
    <row r="2316">
      <c r="A2316" s="4" t="n">
        <v>39030</v>
      </c>
      <c r="B2316" s="3" t="n">
        <v>193.3735252317258</v>
      </c>
    </row>
    <row r="2317">
      <c r="A2317" s="4" t="n">
        <v>39031</v>
      </c>
      <c r="B2317" s="3" t="n">
        <v>192.6482449977793</v>
      </c>
    </row>
    <row r="2318">
      <c r="A2318" s="4" t="n">
        <v>39034</v>
      </c>
      <c r="B2318" s="3" t="n">
        <v>192.0265762258252</v>
      </c>
    </row>
    <row r="2319">
      <c r="A2319" s="4" t="n">
        <v>39035</v>
      </c>
      <c r="B2319" s="3" t="n">
        <v>191.8884276098354</v>
      </c>
    </row>
    <row r="2320">
      <c r="A2320" s="4" t="n">
        <v>39037</v>
      </c>
      <c r="B2320" s="3" t="n">
        <v>190.9559244519043</v>
      </c>
    </row>
    <row r="2321">
      <c r="A2321" s="4" t="n">
        <v>39038</v>
      </c>
      <c r="B2321" s="3" t="n">
        <v>190.8523129899119</v>
      </c>
    </row>
    <row r="2322">
      <c r="A2322" s="4" t="n">
        <v>39041</v>
      </c>
      <c r="B2322" s="3" t="n">
        <v>190.4033299879451</v>
      </c>
    </row>
    <row r="2323">
      <c r="A2323" s="4" t="n">
        <v>39042</v>
      </c>
      <c r="B2323" s="3" t="n">
        <v>190.1615699099629</v>
      </c>
    </row>
    <row r="2324">
      <c r="A2324" s="4" t="n">
        <v>39043</v>
      </c>
      <c r="B2324" s="3" t="n">
        <v>189.6435126000011</v>
      </c>
    </row>
    <row r="2325">
      <c r="A2325" s="4" t="n">
        <v>39044</v>
      </c>
      <c r="B2325" s="3" t="n">
        <v>185.4645169663096</v>
      </c>
    </row>
    <row r="2326">
      <c r="A2326" s="4" t="n">
        <v>39045</v>
      </c>
      <c r="B2326" s="3" t="n">
        <v>184.0139564984167</v>
      </c>
    </row>
    <row r="2327">
      <c r="A2327" s="4" t="n">
        <v>39048</v>
      </c>
      <c r="B2327" s="3" t="n">
        <v>181.6654300265901</v>
      </c>
    </row>
    <row r="2328">
      <c r="A2328" s="4" t="n">
        <v>39049</v>
      </c>
      <c r="B2328" s="3" t="n">
        <v>180.8020011766538</v>
      </c>
    </row>
    <row r="2329">
      <c r="A2329" s="4" t="n">
        <v>39050</v>
      </c>
      <c r="B2329" s="3" t="n">
        <v>181.2855213326181</v>
      </c>
    </row>
    <row r="2330">
      <c r="A2330" s="4" t="n">
        <v>39051</v>
      </c>
      <c r="B2330" s="3" t="n">
        <v>181.6308928725926</v>
      </c>
    </row>
    <row r="2331">
      <c r="A2331" s="4" t="n">
        <v>39052</v>
      </c>
      <c r="B2331" s="3" t="n">
        <v>182.0225934188511</v>
      </c>
    </row>
    <row r="2332">
      <c r="A2332" s="4" t="n">
        <v>39055</v>
      </c>
      <c r="B2332" s="3" t="n">
        <v>183.8817233686559</v>
      </c>
    </row>
    <row r="2333">
      <c r="A2333" s="4" t="n">
        <v>39056</v>
      </c>
      <c r="B2333" s="3" t="n">
        <v>185.7064249860569</v>
      </c>
    </row>
    <row r="2334">
      <c r="A2334" s="4" t="n">
        <v>39057</v>
      </c>
      <c r="B2334" s="3" t="n">
        <v>187.0491299498048</v>
      </c>
    </row>
    <row r="2335">
      <c r="A2335" s="4" t="n">
        <v>39058</v>
      </c>
      <c r="B2335" s="3" t="n">
        <v>188.7705465699944</v>
      </c>
    </row>
    <row r="2336">
      <c r="A2336" s="4" t="n">
        <v>39059</v>
      </c>
      <c r="B2336" s="3" t="n">
        <v>189.18368655884</v>
      </c>
    </row>
    <row r="2337">
      <c r="A2337" s="4" t="n">
        <v>39062</v>
      </c>
      <c r="B2337" s="3" t="n">
        <v>189.2525432236475</v>
      </c>
    </row>
    <row r="2338">
      <c r="A2338" s="4" t="n">
        <v>39063</v>
      </c>
      <c r="B2338" s="3" t="n">
        <v>186.9802732849972</v>
      </c>
    </row>
    <row r="2339">
      <c r="A2339" s="4" t="n">
        <v>39064</v>
      </c>
      <c r="B2339" s="3" t="n">
        <v>185.9129949804797</v>
      </c>
    </row>
    <row r="2340">
      <c r="A2340" s="4" t="n">
        <v>39065</v>
      </c>
      <c r="B2340" s="3" t="n">
        <v>185.2244283324038</v>
      </c>
    </row>
    <row r="2341">
      <c r="A2341" s="4" t="n">
        <v>39066</v>
      </c>
      <c r="B2341" s="3" t="n">
        <v>183.7095817066369</v>
      </c>
    </row>
    <row r="2342">
      <c r="A2342" s="4" t="n">
        <v>39069</v>
      </c>
      <c r="B2342" s="3" t="n">
        <v>182.1603067484662</v>
      </c>
    </row>
    <row r="2343">
      <c r="A2343" s="4" t="n">
        <v>39070</v>
      </c>
      <c r="B2343" s="3" t="n">
        <v>181.3340267707752</v>
      </c>
    </row>
    <row r="2344">
      <c r="A2344" s="4" t="n">
        <v>39071</v>
      </c>
      <c r="B2344" s="3" t="n">
        <v>180.8176017847184</v>
      </c>
    </row>
    <row r="2345">
      <c r="A2345" s="4" t="n">
        <v>39072</v>
      </c>
      <c r="B2345" s="3" t="n">
        <v>180.8176017847184</v>
      </c>
    </row>
    <row r="2346">
      <c r="A2346" s="4" t="n">
        <v>39073</v>
      </c>
      <c r="B2346" s="3" t="n">
        <v>181.0586001115449</v>
      </c>
    </row>
    <row r="2347">
      <c r="A2347" s="4" t="n">
        <v>39077</v>
      </c>
      <c r="B2347" s="3" t="n">
        <v>181.4028834355828</v>
      </c>
    </row>
    <row r="2348">
      <c r="A2348" s="4" t="n">
        <v>39078</v>
      </c>
      <c r="B2348" s="3" t="n">
        <v>181.4717401003904</v>
      </c>
    </row>
    <row r="2349">
      <c r="A2349" s="4" t="n">
        <v>39079</v>
      </c>
      <c r="B2349" s="3" t="n">
        <v>181.7471667596207</v>
      </c>
    </row>
    <row r="2350">
      <c r="A2350" s="4" t="n">
        <v>39084</v>
      </c>
      <c r="B2350" s="3" t="n">
        <v>181.6589944878759</v>
      </c>
    </row>
    <row r="2351">
      <c r="A2351" s="4" t="n">
        <v>39085</v>
      </c>
      <c r="B2351" s="3" t="n">
        <v>181.8645298389842</v>
      </c>
    </row>
    <row r="2352">
      <c r="A2352" s="4" t="n">
        <v>39086</v>
      </c>
      <c r="B2352" s="3" t="n">
        <v>182.0700651900924</v>
      </c>
    </row>
    <row r="2353">
      <c r="A2353" s="4" t="n">
        <v>39087</v>
      </c>
      <c r="B2353" s="3" t="n">
        <v>182.3783682167549</v>
      </c>
    </row>
    <row r="2354">
      <c r="A2354" s="4" t="n">
        <v>39090</v>
      </c>
      <c r="B2354" s="3" t="n">
        <v>182.5153917841604</v>
      </c>
    </row>
    <row r="2355">
      <c r="A2355" s="4" t="n">
        <v>39091</v>
      </c>
      <c r="B2355" s="3" t="n">
        <v>182.6866712434173</v>
      </c>
    </row>
    <row r="2356">
      <c r="A2356" s="4" t="n">
        <v>39092</v>
      </c>
      <c r="B2356" s="3" t="n">
        <v>182.6181594597146</v>
      </c>
    </row>
    <row r="2357">
      <c r="A2357" s="4" t="n">
        <v>39093</v>
      </c>
      <c r="B2357" s="3" t="n">
        <v>182.8922065945256</v>
      </c>
    </row>
    <row r="2358">
      <c r="A2358" s="4" t="n">
        <v>39094</v>
      </c>
      <c r="B2358" s="3" t="n">
        <v>182.9607183782284</v>
      </c>
    </row>
    <row r="2359">
      <c r="A2359" s="4" t="n">
        <v>39097</v>
      </c>
      <c r="B2359" s="3" t="n">
        <v>183.4745567559991</v>
      </c>
    </row>
    <row r="2360">
      <c r="A2360" s="4" t="n">
        <v>39098</v>
      </c>
      <c r="B2360" s="3" t="n">
        <v>183.5430685397018</v>
      </c>
    </row>
    <row r="2361">
      <c r="A2361" s="4" t="n">
        <v>39099</v>
      </c>
      <c r="B2361" s="3" t="n">
        <v>183.6800921071074</v>
      </c>
    </row>
    <row r="2362">
      <c r="A2362" s="4" t="n">
        <v>39100</v>
      </c>
      <c r="B2362" s="3" t="n">
        <v>184.0226510256212</v>
      </c>
    </row>
    <row r="2363">
      <c r="A2363" s="4" t="n">
        <v>39101</v>
      </c>
      <c r="B2363" s="3" t="n">
        <v>184.1254187011753</v>
      </c>
    </row>
    <row r="2364">
      <c r="A2364" s="4" t="n">
        <v>39104</v>
      </c>
      <c r="B2364" s="3" t="n">
        <v>184.1939304848781</v>
      </c>
    </row>
    <row r="2365">
      <c r="A2365" s="4" t="n">
        <v>39105</v>
      </c>
      <c r="B2365" s="3" t="n">
        <v>184.2624422685809</v>
      </c>
    </row>
    <row r="2366">
      <c r="A2366" s="4" t="n">
        <v>39106</v>
      </c>
      <c r="B2366" s="3" t="n">
        <v>184.2966981604322</v>
      </c>
    </row>
    <row r="2367">
      <c r="A2367" s="4" t="n">
        <v>39107</v>
      </c>
      <c r="B2367" s="3" t="n">
        <v>184.3994658359864</v>
      </c>
    </row>
    <row r="2368">
      <c r="A2368" s="4" t="n">
        <v>39108</v>
      </c>
      <c r="B2368" s="3" t="n">
        <v>184.5364894033919</v>
      </c>
    </row>
    <row r="2369">
      <c r="A2369" s="4" t="n">
        <v>39111</v>
      </c>
      <c r="B2369" s="3" t="n">
        <v>184.8447924300544</v>
      </c>
    </row>
    <row r="2370">
      <c r="A2370" s="4" t="n">
        <v>39112</v>
      </c>
      <c r="B2370" s="3" t="n">
        <v>184.8790483219057</v>
      </c>
    </row>
    <row r="2371">
      <c r="A2371" s="4" t="n">
        <v>39113</v>
      </c>
      <c r="B2371" s="3" t="n">
        <v>185.1188395648654</v>
      </c>
    </row>
    <row r="2372">
      <c r="A2372" s="4" t="n">
        <v>39114</v>
      </c>
      <c r="B2372" s="3" t="n">
        <v>184.934643733382</v>
      </c>
    </row>
    <row r="2373">
      <c r="A2373" s="4" t="n">
        <v>39115</v>
      </c>
      <c r="B2373" s="3" t="n">
        <v>185.1054682703609</v>
      </c>
    </row>
    <row r="2374">
      <c r="A2374" s="4" t="n">
        <v>39118</v>
      </c>
      <c r="B2374" s="3" t="n">
        <v>185.5837769739019</v>
      </c>
    </row>
    <row r="2375">
      <c r="A2375" s="4" t="n">
        <v>39119</v>
      </c>
      <c r="B2375" s="3" t="n">
        <v>187.0187030845249</v>
      </c>
    </row>
    <row r="2376">
      <c r="A2376" s="4" t="n">
        <v>39120</v>
      </c>
      <c r="B2376" s="3" t="n">
        <v>187.3603521584827</v>
      </c>
    </row>
    <row r="2377">
      <c r="A2377" s="4" t="n">
        <v>39121</v>
      </c>
      <c r="B2377" s="3" t="n">
        <v>187.4628468806701</v>
      </c>
    </row>
    <row r="2378">
      <c r="A2378" s="4" t="n">
        <v>39122</v>
      </c>
      <c r="B2378" s="3" t="n">
        <v>187.633671417649</v>
      </c>
    </row>
    <row r="2379">
      <c r="A2379" s="4" t="n">
        <v>39125</v>
      </c>
      <c r="B2379" s="3" t="n">
        <v>188.0436503063984</v>
      </c>
    </row>
    <row r="2380">
      <c r="A2380" s="4" t="n">
        <v>39126</v>
      </c>
      <c r="B2380" s="3" t="n">
        <v>188.419464287752</v>
      </c>
    </row>
    <row r="2381">
      <c r="A2381" s="4" t="n">
        <v>39127</v>
      </c>
      <c r="B2381" s="3" t="n">
        <v>188.4877941025436</v>
      </c>
    </row>
    <row r="2382">
      <c r="A2382" s="4" t="n">
        <v>39128</v>
      </c>
      <c r="B2382" s="3" t="n">
        <v>188.6927835469183</v>
      </c>
    </row>
    <row r="2383">
      <c r="A2383" s="4" t="n">
        <v>39129</v>
      </c>
      <c r="B2383" s="3" t="n">
        <v>188.9661028060846</v>
      </c>
    </row>
    <row r="2384">
      <c r="A2384" s="4" t="n">
        <v>39134</v>
      </c>
      <c r="B2384" s="3" t="n">
        <v>189.068597528272</v>
      </c>
    </row>
    <row r="2385">
      <c r="A2385" s="4" t="n">
        <v>39135</v>
      </c>
      <c r="B2385" s="3" t="n">
        <v>190.0593798427497</v>
      </c>
    </row>
    <row r="2386">
      <c r="A2386" s="4" t="n">
        <v>39136</v>
      </c>
      <c r="B2386" s="3" t="n">
        <v>190.2985341945202</v>
      </c>
    </row>
    <row r="2387">
      <c r="A2387" s="4" t="n">
        <v>39139</v>
      </c>
      <c r="B2387" s="3" t="n">
        <v>190.8793376202485</v>
      </c>
    </row>
    <row r="2388">
      <c r="A2388" s="4" t="n">
        <v>39140</v>
      </c>
      <c r="B2388" s="3" t="n">
        <v>191.2209866942063</v>
      </c>
    </row>
    <row r="2389">
      <c r="A2389" s="4" t="n">
        <v>39141</v>
      </c>
      <c r="B2389" s="3" t="n">
        <v>191.4259761385811</v>
      </c>
    </row>
    <row r="2390">
      <c r="A2390" s="4" t="n">
        <v>39142</v>
      </c>
      <c r="B2390" s="3" t="n">
        <v>190.810721346992</v>
      </c>
    </row>
    <row r="2391">
      <c r="A2391" s="4" t="n">
        <v>39143</v>
      </c>
      <c r="B2391" s="3" t="n">
        <v>191.3555057048707</v>
      </c>
    </row>
    <row r="2392">
      <c r="A2392" s="4" t="n">
        <v>39146</v>
      </c>
      <c r="B2392" s="3" t="n">
        <v>191.4576527719729</v>
      </c>
    </row>
    <row r="2393">
      <c r="A2393" s="4" t="n">
        <v>39147</v>
      </c>
      <c r="B2393" s="3" t="n">
        <v>191.7640939732797</v>
      </c>
    </row>
    <row r="2394">
      <c r="A2394" s="4" t="n">
        <v>39148</v>
      </c>
      <c r="B2394" s="3" t="n">
        <v>191.8662410403819</v>
      </c>
    </row>
    <row r="2395">
      <c r="A2395" s="4" t="n">
        <v>39149</v>
      </c>
      <c r="B2395" s="3" t="n">
        <v>192.036486152219</v>
      </c>
    </row>
    <row r="2396">
      <c r="A2396" s="4" t="n">
        <v>39150</v>
      </c>
      <c r="B2396" s="3" t="n">
        <v>192.036486152219</v>
      </c>
    </row>
    <row r="2397">
      <c r="A2397" s="4" t="n">
        <v>39153</v>
      </c>
      <c r="B2397" s="3" t="n">
        <v>192.1726822416886</v>
      </c>
    </row>
    <row r="2398">
      <c r="A2398" s="4" t="n">
        <v>39154</v>
      </c>
      <c r="B2398" s="3" t="n">
        <v>191.9343390851167</v>
      </c>
    </row>
    <row r="2399">
      <c r="A2399" s="4" t="n">
        <v>39155</v>
      </c>
      <c r="B2399" s="3" t="n">
        <v>191.4576527719729</v>
      </c>
    </row>
    <row r="2400">
      <c r="A2400" s="4" t="n">
        <v>39156</v>
      </c>
      <c r="B2400" s="3" t="n">
        <v>190.640476235155</v>
      </c>
    </row>
    <row r="2401">
      <c r="A2401" s="4" t="n">
        <v>39157</v>
      </c>
      <c r="B2401" s="3" t="n">
        <v>189.7552016536022</v>
      </c>
    </row>
    <row r="2402">
      <c r="A2402" s="4" t="n">
        <v>39160</v>
      </c>
      <c r="B2402" s="3" t="n">
        <v>188.835878049682</v>
      </c>
    </row>
    <row r="2403">
      <c r="A2403" s="4" t="n">
        <v>39161</v>
      </c>
      <c r="B2403" s="3" t="n">
        <v>188.5634858707427</v>
      </c>
    </row>
    <row r="2404">
      <c r="A2404" s="4" t="n">
        <v>39162</v>
      </c>
      <c r="B2404" s="3" t="n">
        <v>188.5294368483752</v>
      </c>
    </row>
    <row r="2405">
      <c r="A2405" s="4" t="n">
        <v>39163</v>
      </c>
      <c r="B2405" s="3" t="n">
        <v>188.5294368483752</v>
      </c>
    </row>
    <row r="2406">
      <c r="A2406" s="4" t="n">
        <v>39164</v>
      </c>
      <c r="B2406" s="3" t="n">
        <v>188.5975348931101</v>
      </c>
    </row>
    <row r="2407">
      <c r="A2407" s="4" t="n">
        <v>39167</v>
      </c>
      <c r="B2407" s="3" t="n">
        <v>188.7337309825797</v>
      </c>
    </row>
    <row r="2408">
      <c r="A2408" s="4" t="n">
        <v>39168</v>
      </c>
      <c r="B2408" s="3" t="n">
        <v>189.5509075193977</v>
      </c>
    </row>
    <row r="2409">
      <c r="A2409" s="4" t="n">
        <v>39169</v>
      </c>
      <c r="B2409" s="3" t="n">
        <v>189.9254467654392</v>
      </c>
    </row>
    <row r="2410">
      <c r="A2410" s="4" t="n">
        <v>39170</v>
      </c>
      <c r="B2410" s="3" t="n">
        <v>190.1978389443786</v>
      </c>
    </row>
    <row r="2411">
      <c r="A2411" s="4" t="n">
        <v>39171</v>
      </c>
      <c r="B2411" s="3" t="n">
        <v>190.5383291680527</v>
      </c>
    </row>
    <row r="2412">
      <c r="A2412" s="4" t="n">
        <v>39174</v>
      </c>
      <c r="B2412" s="3" t="n">
        <v>190.5581235630305</v>
      </c>
    </row>
    <row r="2413">
      <c r="A2413" s="4" t="n">
        <v>39175</v>
      </c>
      <c r="B2413" s="3" t="n">
        <v>190.5240892491239</v>
      </c>
    </row>
    <row r="2414">
      <c r="A2414" s="4" t="n">
        <v>39176</v>
      </c>
      <c r="B2414" s="3" t="n">
        <v>190.8644323881899</v>
      </c>
    </row>
    <row r="2415">
      <c r="A2415" s="4" t="n">
        <v>39177</v>
      </c>
      <c r="B2415" s="3" t="n">
        <v>190.8644323881899</v>
      </c>
    </row>
    <row r="2416">
      <c r="A2416" s="4" t="n">
        <v>39181</v>
      </c>
      <c r="B2416" s="3" t="n">
        <v>191.0686382716295</v>
      </c>
    </row>
    <row r="2417">
      <c r="A2417" s="4" t="n">
        <v>39182</v>
      </c>
      <c r="B2417" s="3" t="n">
        <v>191.2388098411624</v>
      </c>
    </row>
    <row r="2418">
      <c r="A2418" s="4" t="n">
        <v>39183</v>
      </c>
      <c r="B2418" s="3" t="n">
        <v>191.5451186663218</v>
      </c>
    </row>
    <row r="2419">
      <c r="A2419" s="4" t="n">
        <v>39184</v>
      </c>
      <c r="B2419" s="3" t="n">
        <v>191.5451186663218</v>
      </c>
    </row>
    <row r="2420">
      <c r="A2420" s="4" t="n">
        <v>39185</v>
      </c>
      <c r="B2420" s="3" t="n">
        <v>191.5110843524152</v>
      </c>
    </row>
    <row r="2421">
      <c r="A2421" s="4" t="n">
        <v>39188</v>
      </c>
      <c r="B2421" s="3" t="n">
        <v>191.613187294135</v>
      </c>
    </row>
    <row r="2422">
      <c r="A2422" s="4" t="n">
        <v>39189</v>
      </c>
      <c r="B2422" s="3" t="n">
        <v>191.1367068994427</v>
      </c>
    </row>
    <row r="2423">
      <c r="A2423" s="4" t="n">
        <v>39190</v>
      </c>
      <c r="B2423" s="3" t="n">
        <v>190.6261921908437</v>
      </c>
    </row>
    <row r="2424">
      <c r="A2424" s="4" t="n">
        <v>39191</v>
      </c>
      <c r="B2424" s="3" t="n">
        <v>189.2648196345799</v>
      </c>
    </row>
    <row r="2425">
      <c r="A2425" s="4" t="n">
        <v>39192</v>
      </c>
      <c r="B2425" s="3" t="n">
        <v>188.8904421816073</v>
      </c>
    </row>
    <row r="2426">
      <c r="A2426" s="4" t="n">
        <v>39195</v>
      </c>
      <c r="B2426" s="3" t="n">
        <v>188.7883392398876</v>
      </c>
    </row>
    <row r="2427">
      <c r="A2427" s="4" t="n">
        <v>39196</v>
      </c>
      <c r="B2427" s="3" t="n">
        <v>188.1076529617556</v>
      </c>
    </row>
    <row r="2428">
      <c r="A2428" s="4" t="n">
        <v>39197</v>
      </c>
      <c r="B2428" s="3" t="n">
        <v>187.7673098226897</v>
      </c>
    </row>
    <row r="2429">
      <c r="A2429" s="4" t="n">
        <v>39198</v>
      </c>
      <c r="B2429" s="3" t="n">
        <v>187.7673098226897</v>
      </c>
    </row>
    <row r="2430">
      <c r="A2430" s="4" t="n">
        <v>39199</v>
      </c>
      <c r="B2430" s="3" t="n">
        <v>187.8013441365963</v>
      </c>
    </row>
    <row r="2431">
      <c r="A2431" s="4" t="n">
        <v>39202</v>
      </c>
      <c r="B2431" s="3" t="n">
        <v>187.903447078316</v>
      </c>
    </row>
    <row r="2432">
      <c r="A2432" s="4" t="n">
        <v>39204</v>
      </c>
      <c r="B2432" s="3" t="n">
        <v>188.2991213567411</v>
      </c>
    </row>
    <row r="2433">
      <c r="A2433" s="4" t="n">
        <v>39205</v>
      </c>
      <c r="B2433" s="3" t="n">
        <v>188.6733382194194</v>
      </c>
    </row>
    <row r="2434">
      <c r="A2434" s="4" t="n">
        <v>39206</v>
      </c>
      <c r="B2434" s="3" t="n">
        <v>188.9114762229419</v>
      </c>
    </row>
    <row r="2435">
      <c r="A2435" s="4" t="n">
        <v>39209</v>
      </c>
      <c r="B2435" s="3" t="n">
        <v>189.0475550820976</v>
      </c>
    </row>
    <row r="2436">
      <c r="A2436" s="4" t="n">
        <v>39210</v>
      </c>
      <c r="B2436" s="3" t="n">
        <v>189.1155945116755</v>
      </c>
    </row>
    <row r="2437">
      <c r="A2437" s="4" t="n">
        <v>39211</v>
      </c>
      <c r="B2437" s="3" t="n">
        <v>189.0815747968865</v>
      </c>
    </row>
    <row r="2438">
      <c r="A2438" s="4" t="n">
        <v>39212</v>
      </c>
      <c r="B2438" s="3" t="n">
        <v>189.0815747968865</v>
      </c>
    </row>
    <row r="2439">
      <c r="A2439" s="4" t="n">
        <v>39213</v>
      </c>
      <c r="B2439" s="3" t="n">
        <v>189.0135353673087</v>
      </c>
    </row>
    <row r="2440">
      <c r="A2440" s="4" t="n">
        <v>39216</v>
      </c>
      <c r="B2440" s="3" t="n">
        <v>188.9795156525197</v>
      </c>
    </row>
    <row r="2441">
      <c r="A2441" s="4" t="n">
        <v>39217</v>
      </c>
      <c r="B2441" s="3" t="n">
        <v>188.9795156525197</v>
      </c>
    </row>
    <row r="2442">
      <c r="A2442" s="4" t="n">
        <v>39218</v>
      </c>
      <c r="B2442" s="3" t="n">
        <v>189.3197128004091</v>
      </c>
    </row>
    <row r="2443">
      <c r="A2443" s="4" t="n">
        <v>39219</v>
      </c>
      <c r="B2443" s="3" t="n">
        <v>189.5238310891426</v>
      </c>
    </row>
    <row r="2444">
      <c r="A2444" s="4" t="n">
        <v>39220</v>
      </c>
      <c r="B2444" s="3" t="n">
        <v>189.4217719447759</v>
      </c>
    </row>
    <row r="2445">
      <c r="A2445" s="4" t="n">
        <v>39223</v>
      </c>
      <c r="B2445" s="3" t="n">
        <v>189.4898113743537</v>
      </c>
    </row>
    <row r="2446">
      <c r="A2446" s="4" t="n">
        <v>39224</v>
      </c>
      <c r="B2446" s="3" t="n">
        <v>189.2516733708312</v>
      </c>
    </row>
    <row r="2447">
      <c r="A2447" s="4" t="n">
        <v>39225</v>
      </c>
      <c r="B2447" s="3" t="n">
        <v>189.1496142264644</v>
      </c>
    </row>
    <row r="2448">
      <c r="A2448" s="4" t="n">
        <v>39226</v>
      </c>
      <c r="B2448" s="3" t="n">
        <v>188.8094170785751</v>
      </c>
    </row>
    <row r="2449">
      <c r="A2449" s="4" t="n">
        <v>39227</v>
      </c>
      <c r="B2449" s="3" t="n">
        <v>188.7413776489972</v>
      </c>
    </row>
    <row r="2450">
      <c r="A2450" s="4" t="n">
        <v>39230</v>
      </c>
      <c r="B2450" s="3" t="n">
        <v>188.6393185046304</v>
      </c>
    </row>
    <row r="2451">
      <c r="A2451" s="4" t="n">
        <v>39231</v>
      </c>
      <c r="B2451" s="3" t="n">
        <v>188.6733382194194</v>
      </c>
    </row>
    <row r="2452">
      <c r="A2452" s="4" t="n">
        <v>39232</v>
      </c>
      <c r="B2452" s="3" t="n">
        <v>188.6052987898415</v>
      </c>
    </row>
    <row r="2453">
      <c r="A2453" s="4" t="n">
        <v>39233</v>
      </c>
      <c r="B2453" s="3" t="n">
        <v>188.6733382194194</v>
      </c>
    </row>
    <row r="2454">
      <c r="A2454" s="4" t="n">
        <v>39234</v>
      </c>
      <c r="B2454" s="3" t="n">
        <v>188.4551122016456</v>
      </c>
    </row>
    <row r="2455">
      <c r="A2455" s="4" t="n">
        <v>39237</v>
      </c>
      <c r="B2455" s="3" t="n">
        <v>188.7604949905932</v>
      </c>
    </row>
    <row r="2456">
      <c r="A2456" s="4" t="n">
        <v>39238</v>
      </c>
      <c r="B2456" s="3" t="n">
        <v>189.4730548314708</v>
      </c>
    </row>
    <row r="2457">
      <c r="A2457" s="4" t="n">
        <v>39239</v>
      </c>
      <c r="B2457" s="3" t="n">
        <v>190.1177518303602</v>
      </c>
    </row>
    <row r="2458">
      <c r="A2458" s="4" t="n">
        <v>39241</v>
      </c>
      <c r="B2458" s="3" t="n">
        <v>190.3213403563252</v>
      </c>
    </row>
    <row r="2459">
      <c r="A2459" s="4" t="n">
        <v>39244</v>
      </c>
      <c r="B2459" s="3" t="n">
        <v>190.6267231452728</v>
      </c>
    </row>
    <row r="2460">
      <c r="A2460" s="4" t="n">
        <v>39245</v>
      </c>
      <c r="B2460" s="3" t="n">
        <v>192.1197056690165</v>
      </c>
    </row>
    <row r="2461">
      <c r="A2461" s="4" t="n">
        <v>39246</v>
      </c>
      <c r="B2461" s="3" t="n">
        <v>193.0697854568534</v>
      </c>
    </row>
    <row r="2462">
      <c r="A2462" s="4" t="n">
        <v>39247</v>
      </c>
      <c r="B2462" s="3" t="n">
        <v>193.5108939297776</v>
      </c>
    </row>
    <row r="2463">
      <c r="A2463" s="4" t="n">
        <v>39248</v>
      </c>
      <c r="B2463" s="3" t="n">
        <v>193.8841395607135</v>
      </c>
    </row>
    <row r="2464">
      <c r="A2464" s="4" t="n">
        <v>39251</v>
      </c>
      <c r="B2464" s="3" t="n">
        <v>194.1555909286669</v>
      </c>
    </row>
    <row r="2465">
      <c r="A2465" s="4" t="n">
        <v>39252</v>
      </c>
      <c r="B2465" s="3" t="n">
        <v>194.7324250855679</v>
      </c>
    </row>
    <row r="2466">
      <c r="A2466" s="4" t="n">
        <v>39253</v>
      </c>
      <c r="B2466" s="3" t="n">
        <v>195.3431906634631</v>
      </c>
    </row>
    <row r="2467">
      <c r="A2467" s="4" t="n">
        <v>39254</v>
      </c>
      <c r="B2467" s="3" t="n">
        <v>195.8182305573815</v>
      </c>
    </row>
    <row r="2468">
      <c r="A2468" s="4" t="n">
        <v>39255</v>
      </c>
      <c r="B2468" s="3" t="n">
        <v>196.5307903982592</v>
      </c>
    </row>
    <row r="2469">
      <c r="A2469" s="4" t="n">
        <v>39258</v>
      </c>
      <c r="B2469" s="3" t="n">
        <v>197.7523215540494</v>
      </c>
    </row>
    <row r="2470">
      <c r="A2470" s="4" t="n">
        <v>39259</v>
      </c>
      <c r="B2470" s="3" t="n">
        <v>199.2792354987873</v>
      </c>
    </row>
    <row r="2471">
      <c r="A2471" s="4" t="n">
        <v>39260</v>
      </c>
      <c r="B2471" s="3" t="n">
        <v>201.9258863363329</v>
      </c>
    </row>
    <row r="2472">
      <c r="A2472" s="4" t="n">
        <v>39261</v>
      </c>
      <c r="B2472" s="3" t="n">
        <v>204.5386057528844</v>
      </c>
    </row>
    <row r="2473">
      <c r="A2473" s="4" t="n">
        <v>39262</v>
      </c>
      <c r="B2473" s="3" t="n">
        <v>205.1493713307795</v>
      </c>
    </row>
    <row r="2474">
      <c r="A2474" s="4" t="n">
        <v>39265</v>
      </c>
      <c r="B2474" s="3" t="n">
        <v>205.0188787861663</v>
      </c>
    </row>
    <row r="2475">
      <c r="A2475" s="4" t="n">
        <v>39266</v>
      </c>
      <c r="B2475" s="3" t="n">
        <v>205.0527158679927</v>
      </c>
    </row>
    <row r="2476">
      <c r="A2476" s="4" t="n">
        <v>39267</v>
      </c>
      <c r="B2476" s="3" t="n">
        <v>205.6279462590416</v>
      </c>
    </row>
    <row r="2477">
      <c r="A2477" s="4" t="n">
        <v>39268</v>
      </c>
      <c r="B2477" s="3" t="n">
        <v>205.7632945863472</v>
      </c>
    </row>
    <row r="2478">
      <c r="A2478" s="4" t="n">
        <v>39269</v>
      </c>
      <c r="B2478" s="3" t="n">
        <v>205.7971316681736</v>
      </c>
    </row>
    <row r="2479">
      <c r="A2479" s="4" t="n">
        <v>39273</v>
      </c>
      <c r="B2479" s="3" t="n">
        <v>205.9663170773056</v>
      </c>
    </row>
    <row r="2480">
      <c r="A2480" s="4" t="n">
        <v>39274</v>
      </c>
      <c r="B2480" s="3" t="n">
        <v>205.9663170773056</v>
      </c>
    </row>
    <row r="2481">
      <c r="A2481" s="4" t="n">
        <v>39275</v>
      </c>
      <c r="B2481" s="3" t="n">
        <v>206.7445699593128</v>
      </c>
    </row>
    <row r="2482">
      <c r="A2482" s="4" t="n">
        <v>39276</v>
      </c>
      <c r="B2482" s="3" t="n">
        <v>207.2521261867089</v>
      </c>
    </row>
    <row r="2483">
      <c r="A2483" s="4" t="n">
        <v>39279</v>
      </c>
      <c r="B2483" s="3" t="n">
        <v>207.2521261867089</v>
      </c>
    </row>
    <row r="2484">
      <c r="A2484" s="4" t="n">
        <v>39280</v>
      </c>
      <c r="B2484" s="3" t="n">
        <v>207.5904970049728</v>
      </c>
    </row>
    <row r="2485">
      <c r="A2485" s="4" t="n">
        <v>39281</v>
      </c>
      <c r="B2485" s="3" t="n">
        <v>207.9965419868896</v>
      </c>
    </row>
    <row r="2486">
      <c r="A2486" s="4" t="n">
        <v>39282</v>
      </c>
      <c r="B2486" s="3" t="n">
        <v>208.5040982142857</v>
      </c>
    </row>
    <row r="2487">
      <c r="A2487" s="4" t="n">
        <v>39283</v>
      </c>
      <c r="B2487" s="3" t="n">
        <v>208.6394465415913</v>
      </c>
    </row>
    <row r="2488">
      <c r="A2488" s="4" t="n">
        <v>39286</v>
      </c>
      <c r="B2488" s="3" t="n">
        <v>208.6394465415913</v>
      </c>
    </row>
    <row r="2489">
      <c r="A2489" s="4" t="n">
        <v>39287</v>
      </c>
      <c r="B2489" s="3" t="n">
        <v>209.1131656871609</v>
      </c>
    </row>
    <row r="2490">
      <c r="A2490" s="4" t="n">
        <v>39288</v>
      </c>
      <c r="B2490" s="3" t="n">
        <v>209.8575814873417</v>
      </c>
    </row>
    <row r="2491">
      <c r="A2491" s="4" t="n">
        <v>39289</v>
      </c>
      <c r="B2491" s="3" t="n">
        <v>211.1095535149186</v>
      </c>
    </row>
    <row r="2492">
      <c r="A2492" s="4" t="n">
        <v>39290</v>
      </c>
      <c r="B2492" s="3" t="n">
        <v>211.650946824141</v>
      </c>
    </row>
    <row r="2493">
      <c r="A2493" s="4" t="n">
        <v>39293</v>
      </c>
      <c r="B2493" s="3" t="n">
        <v>212.2600142970162</v>
      </c>
    </row>
    <row r="2494">
      <c r="A2494" s="4" t="n">
        <v>39294</v>
      </c>
      <c r="B2494" s="3" t="n">
        <v>212.9705930153707</v>
      </c>
    </row>
    <row r="2495">
      <c r="A2495" s="4" t="n">
        <v>39295</v>
      </c>
      <c r="B2495" s="3" t="n">
        <v>212.1343080099831</v>
      </c>
    </row>
    <row r="2496">
      <c r="A2496" s="4" t="n">
        <v>39296</v>
      </c>
      <c r="B2496" s="3" t="n">
        <v>212.5699020716052</v>
      </c>
    </row>
    <row r="2497">
      <c r="A2497" s="4" t="n">
        <v>39297</v>
      </c>
      <c r="B2497" s="3" t="n">
        <v>213.5751191368871</v>
      </c>
    </row>
    <row r="2498">
      <c r="A2498" s="4" t="n">
        <v>39300</v>
      </c>
      <c r="B2498" s="3" t="n">
        <v>214.1782493760562</v>
      </c>
    </row>
    <row r="2499">
      <c r="A2499" s="4" t="n">
        <v>39301</v>
      </c>
      <c r="B2499" s="3" t="n">
        <v>215.5855532674508</v>
      </c>
    </row>
    <row r="2500">
      <c r="A2500" s="4" t="n">
        <v>39302</v>
      </c>
      <c r="B2500" s="3" t="n">
        <v>216.2892052131481</v>
      </c>
    </row>
    <row r="2501">
      <c r="A2501" s="4" t="n">
        <v>39303</v>
      </c>
      <c r="B2501" s="3" t="n">
        <v>217.0598716298642</v>
      </c>
    </row>
    <row r="2502">
      <c r="A2502" s="4" t="n">
        <v>39304</v>
      </c>
      <c r="B2502" s="3" t="n">
        <v>217.1939005719018</v>
      </c>
    </row>
    <row r="2503">
      <c r="A2503" s="4" t="n">
        <v>39307</v>
      </c>
      <c r="B2503" s="3" t="n">
        <v>217.29442227843</v>
      </c>
    </row>
    <row r="2504">
      <c r="A2504" s="4" t="n">
        <v>39308</v>
      </c>
      <c r="B2504" s="3" t="n">
        <v>217.5624801625052</v>
      </c>
    </row>
    <row r="2505">
      <c r="A2505" s="4" t="n">
        <v>39309</v>
      </c>
      <c r="B2505" s="3" t="n">
        <v>217.5624801625052</v>
      </c>
    </row>
    <row r="2506">
      <c r="A2506" s="4" t="n">
        <v>39310</v>
      </c>
      <c r="B2506" s="3" t="n">
        <v>217.29442227843</v>
      </c>
    </row>
    <row r="2507">
      <c r="A2507" s="4" t="n">
        <v>39311</v>
      </c>
      <c r="B2507" s="3" t="n">
        <v>216.959349923336</v>
      </c>
    </row>
    <row r="2508">
      <c r="A2508" s="4" t="n">
        <v>39314</v>
      </c>
      <c r="B2508" s="3" t="n">
        <v>216.9258426878266</v>
      </c>
    </row>
    <row r="2509">
      <c r="A2509" s="4" t="n">
        <v>39315</v>
      </c>
      <c r="B2509" s="3" t="n">
        <v>216.5237558617139</v>
      </c>
    </row>
    <row r="2510">
      <c r="A2510" s="4" t="n">
        <v>39316</v>
      </c>
      <c r="B2510" s="3" t="n">
        <v>216.3227124486575</v>
      </c>
    </row>
    <row r="2511">
      <c r="A2511" s="4" t="n">
        <v>39317</v>
      </c>
      <c r="B2511" s="3" t="n">
        <v>216.2892052131481</v>
      </c>
    </row>
    <row r="2512">
      <c r="A2512" s="4" t="n">
        <v>39318</v>
      </c>
      <c r="B2512" s="3" t="n">
        <v>216.021147329073</v>
      </c>
    </row>
    <row r="2513">
      <c r="A2513" s="4" t="n">
        <v>39321</v>
      </c>
      <c r="B2513" s="3" t="n">
        <v>216.021147329073</v>
      </c>
    </row>
    <row r="2514">
      <c r="A2514" s="4" t="n">
        <v>39322</v>
      </c>
      <c r="B2514" s="3" t="n">
        <v>215.351002618885</v>
      </c>
    </row>
    <row r="2515">
      <c r="A2515" s="4" t="n">
        <v>39323</v>
      </c>
      <c r="B2515" s="3" t="n">
        <v>214.3457855536032</v>
      </c>
    </row>
    <row r="2516">
      <c r="A2516" s="4" t="n">
        <v>39324</v>
      </c>
      <c r="B2516" s="3" t="n">
        <v>213.5751191368871</v>
      </c>
    </row>
    <row r="2517">
      <c r="A2517" s="4" t="n">
        <v>39325</v>
      </c>
      <c r="B2517" s="3" t="n">
        <v>212.7709454846616</v>
      </c>
    </row>
    <row r="2518">
      <c r="A2518" s="4" t="n">
        <v>39328</v>
      </c>
      <c r="B2518" s="3" t="n">
        <v>209.4758405180153</v>
      </c>
    </row>
    <row r="2519">
      <c r="A2519" s="4" t="n">
        <v>39329</v>
      </c>
      <c r="B2519" s="3" t="n">
        <v>208.8803627654373</v>
      </c>
    </row>
    <row r="2520">
      <c r="A2520" s="4" t="n">
        <v>39330</v>
      </c>
      <c r="B2520" s="3" t="n">
        <v>208.7811164733409</v>
      </c>
    </row>
    <row r="2521">
      <c r="A2521" s="4" t="n">
        <v>39331</v>
      </c>
      <c r="B2521" s="3" t="n">
        <v>207.8548177471084</v>
      </c>
    </row>
    <row r="2522">
      <c r="A2522" s="4" t="n">
        <v>39335</v>
      </c>
      <c r="B2522" s="3" t="n">
        <v>207.2924220918958</v>
      </c>
    </row>
    <row r="2523">
      <c r="A2523" s="4" t="n">
        <v>39336</v>
      </c>
      <c r="B2523" s="3" t="n">
        <v>205.7706456130852</v>
      </c>
    </row>
    <row r="2524">
      <c r="A2524" s="4" t="n">
        <v>39337</v>
      </c>
      <c r="B2524" s="3" t="n">
        <v>204.3481154263709</v>
      </c>
    </row>
    <row r="2525">
      <c r="A2525" s="4" t="n">
        <v>39338</v>
      </c>
      <c r="B2525" s="3" t="n">
        <v>203.6203092843311</v>
      </c>
    </row>
    <row r="2526">
      <c r="A2526" s="4" t="n">
        <v>39339</v>
      </c>
      <c r="B2526" s="3" t="n">
        <v>203.1902420185802</v>
      </c>
    </row>
    <row r="2527">
      <c r="A2527" s="4" t="n">
        <v>39342</v>
      </c>
      <c r="B2527" s="3" t="n">
        <v>201.0399056898261</v>
      </c>
    </row>
    <row r="2528">
      <c r="A2528" s="4" t="n">
        <v>39343</v>
      </c>
      <c r="B2528" s="3" t="n">
        <v>198.7241588742448</v>
      </c>
    </row>
    <row r="2529">
      <c r="A2529" s="4" t="n">
        <v>39344</v>
      </c>
      <c r="B2529" s="3" t="n">
        <v>198.4925841926867</v>
      </c>
    </row>
    <row r="2530">
      <c r="A2530" s="4" t="n">
        <v>39345</v>
      </c>
      <c r="B2530" s="3" t="n">
        <v>198.4925841926867</v>
      </c>
    </row>
    <row r="2531">
      <c r="A2531" s="4" t="n">
        <v>39346</v>
      </c>
      <c r="B2531" s="3" t="n">
        <v>198.5587483874176</v>
      </c>
    </row>
    <row r="2532">
      <c r="A2532" s="4" t="n">
        <v>39349</v>
      </c>
      <c r="B2532" s="3" t="n">
        <v>199.4188829189192</v>
      </c>
    </row>
    <row r="2533">
      <c r="A2533" s="4" t="n">
        <v>39350</v>
      </c>
      <c r="B2533" s="3" t="n">
        <v>199.7166217952082</v>
      </c>
    </row>
    <row r="2534">
      <c r="A2534" s="4" t="n">
        <v>39351</v>
      </c>
      <c r="B2534" s="3" t="n">
        <v>200.9737414950953</v>
      </c>
    </row>
    <row r="2535">
      <c r="A2535" s="4" t="n">
        <v>39352</v>
      </c>
      <c r="B2535" s="3" t="n">
        <v>202.363189584444</v>
      </c>
    </row>
    <row r="2536">
      <c r="A2536" s="4" t="n">
        <v>39353</v>
      </c>
      <c r="B2536" s="3" t="n">
        <v>202.6609284607331</v>
      </c>
    </row>
    <row r="2537">
      <c r="A2537" s="4" t="n">
        <v>39356</v>
      </c>
      <c r="B2537" s="3" t="n">
        <v>201.1465723330618</v>
      </c>
    </row>
    <row r="2538">
      <c r="A2538" s="4" t="n">
        <v>39357</v>
      </c>
      <c r="B2538" s="3" t="n">
        <v>202.4561203300218</v>
      </c>
    </row>
    <row r="2539">
      <c r="A2539" s="4" t="n">
        <v>39358</v>
      </c>
      <c r="B2539" s="3" t="n">
        <v>204.4204423254618</v>
      </c>
    </row>
    <row r="2540">
      <c r="A2540" s="4" t="n">
        <v>39359</v>
      </c>
      <c r="B2540" s="3" t="n">
        <v>205.0097389240939</v>
      </c>
    </row>
    <row r="2541">
      <c r="A2541" s="4" t="n">
        <v>39360</v>
      </c>
      <c r="B2541" s="3" t="n">
        <v>206.1555934214339</v>
      </c>
    </row>
    <row r="2542">
      <c r="A2542" s="4" t="n">
        <v>39363</v>
      </c>
      <c r="B2542" s="3" t="n">
        <v>206.4502417207499</v>
      </c>
    </row>
    <row r="2543">
      <c r="A2543" s="4" t="n">
        <v>39364</v>
      </c>
      <c r="B2543" s="3" t="n">
        <v>206.4175030208259</v>
      </c>
    </row>
    <row r="2544">
      <c r="A2544" s="4" t="n">
        <v>39365</v>
      </c>
      <c r="B2544" s="3" t="n">
        <v>206.4829804206739</v>
      </c>
    </row>
    <row r="2545">
      <c r="A2545" s="4" t="n">
        <v>39366</v>
      </c>
      <c r="B2545" s="3" t="n">
        <v>206.5484578205219</v>
      </c>
    </row>
    <row r="2546">
      <c r="A2546" s="4" t="n">
        <v>39370</v>
      </c>
      <c r="B2546" s="3" t="n">
        <v>206.6139352203699</v>
      </c>
    </row>
    <row r="2547">
      <c r="A2547" s="4" t="n">
        <v>39371</v>
      </c>
      <c r="B2547" s="3" t="n">
        <v>207.10501571923</v>
      </c>
    </row>
    <row r="2548">
      <c r="A2548" s="4" t="n">
        <v>39372</v>
      </c>
      <c r="B2548" s="3" t="n">
        <v>207.5960962180899</v>
      </c>
    </row>
    <row r="2549">
      <c r="A2549" s="4" t="n">
        <v>39373</v>
      </c>
      <c r="B2549" s="3" t="n">
        <v>209.167553814442</v>
      </c>
    </row>
    <row r="2550">
      <c r="A2550" s="4" t="n">
        <v>39374</v>
      </c>
      <c r="B2550" s="3" t="n">
        <v>209.331247314062</v>
      </c>
    </row>
    <row r="2551">
      <c r="A2551" s="4" t="n">
        <v>39377</v>
      </c>
      <c r="B2551" s="3" t="n">
        <v>209.331247314062</v>
      </c>
    </row>
    <row r="2552">
      <c r="A2552" s="4" t="n">
        <v>39378</v>
      </c>
      <c r="B2552" s="3" t="n">
        <v>210.608056611098</v>
      </c>
    </row>
    <row r="2553">
      <c r="A2553" s="4" t="n">
        <v>39379</v>
      </c>
      <c r="B2553" s="3" t="n">
        <v>211.9830820079061</v>
      </c>
    </row>
    <row r="2554">
      <c r="A2554" s="4" t="n">
        <v>39380</v>
      </c>
      <c r="B2554" s="3" t="n">
        <v>213.2926300048661</v>
      </c>
    </row>
    <row r="2555">
      <c r="A2555" s="4" t="n">
        <v>39381</v>
      </c>
      <c r="B2555" s="3" t="n">
        <v>214.7331328015221</v>
      </c>
    </row>
    <row r="2556">
      <c r="A2556" s="4" t="n">
        <v>39384</v>
      </c>
      <c r="B2556" s="3" t="n">
        <v>216.2391129980262</v>
      </c>
    </row>
    <row r="2557">
      <c r="A2557" s="4" t="n">
        <v>39385</v>
      </c>
      <c r="B2557" s="3" t="n">
        <v>217.1230578959742</v>
      </c>
    </row>
    <row r="2558">
      <c r="A2558" s="4" t="n">
        <v>39386</v>
      </c>
      <c r="B2558" s="3" t="n">
        <v>218.4653445928583</v>
      </c>
    </row>
    <row r="2559">
      <c r="A2559" s="4" t="n">
        <v>39387</v>
      </c>
      <c r="B2559" s="3" t="n">
        <v>218.3243694581548</v>
      </c>
    </row>
    <row r="2560">
      <c r="A2560" s="4" t="n">
        <v>39391</v>
      </c>
      <c r="B2560" s="3" t="n">
        <v>220.2101197825886</v>
      </c>
    </row>
    <row r="2561">
      <c r="A2561" s="4" t="n">
        <v>39392</v>
      </c>
      <c r="B2561" s="3" t="n">
        <v>222.1934089169069</v>
      </c>
    </row>
    <row r="2562">
      <c r="A2562" s="4" t="n">
        <v>39393</v>
      </c>
      <c r="B2562" s="3" t="n">
        <v>225.0545473401858</v>
      </c>
    </row>
    <row r="2563">
      <c r="A2563" s="4" t="n">
        <v>39394</v>
      </c>
      <c r="B2563" s="3" t="n">
        <v>226.2575259954281</v>
      </c>
    </row>
    <row r="2564">
      <c r="A2564" s="4" t="n">
        <v>39395</v>
      </c>
      <c r="B2564" s="3" t="n">
        <v>228.4358927495154</v>
      </c>
    </row>
    <row r="2565">
      <c r="A2565" s="4" t="n">
        <v>39398</v>
      </c>
      <c r="B2565" s="3" t="n">
        <v>230.4191818838337</v>
      </c>
    </row>
    <row r="2566">
      <c r="A2566" s="4" t="n">
        <v>39399</v>
      </c>
      <c r="B2566" s="3" t="n">
        <v>231.5571346658196</v>
      </c>
    </row>
    <row r="2567">
      <c r="A2567" s="4" t="n">
        <v>39400</v>
      </c>
      <c r="B2567" s="3" t="n">
        <v>233.4428849902534</v>
      </c>
    </row>
    <row r="2568">
      <c r="A2568" s="4" t="n">
        <v>39402</v>
      </c>
      <c r="B2568" s="3" t="n">
        <v>235.3611482513154</v>
      </c>
    </row>
    <row r="2569">
      <c r="A2569" s="4" t="n">
        <v>39405</v>
      </c>
      <c r="B2569" s="3" t="n">
        <v>236.3690492867886</v>
      </c>
    </row>
    <row r="2570">
      <c r="A2570" s="4" t="n">
        <v>39406</v>
      </c>
      <c r="B2570" s="3" t="n">
        <v>237.2794115123774</v>
      </c>
    </row>
    <row r="2571">
      <c r="A2571" s="4" t="n">
        <v>39407</v>
      </c>
      <c r="B2571" s="3" t="n">
        <v>239.1976747734393</v>
      </c>
    </row>
    <row r="2572">
      <c r="A2572" s="4" t="n">
        <v>39408</v>
      </c>
      <c r="B2572" s="3" t="n">
        <v>242.5790201827689</v>
      </c>
    </row>
    <row r="2573">
      <c r="A2573" s="4" t="n">
        <v>39409</v>
      </c>
      <c r="B2573" s="3" t="n">
        <v>245.4076456694196</v>
      </c>
    </row>
    <row r="2574">
      <c r="A2574" s="4" t="n">
        <v>39412</v>
      </c>
      <c r="B2574" s="3" t="n">
        <v>246.3180078950083</v>
      </c>
    </row>
    <row r="2575">
      <c r="A2575" s="4" t="n">
        <v>39413</v>
      </c>
      <c r="B2575" s="3" t="n">
        <v>248.5288875857238</v>
      </c>
    </row>
    <row r="2576">
      <c r="A2576" s="4" t="n">
        <v>39414</v>
      </c>
      <c r="B2576" s="3" t="n">
        <v>249.7643791775942</v>
      </c>
    </row>
    <row r="2577">
      <c r="A2577" s="4" t="n">
        <v>39415</v>
      </c>
      <c r="B2577" s="3" t="n">
        <v>249.9919697339914</v>
      </c>
    </row>
    <row r="2578">
      <c r="A2578" s="4" t="n">
        <v>39416</v>
      </c>
      <c r="B2578" s="3" t="n">
        <v>250.2195602903886</v>
      </c>
    </row>
    <row r="2579">
      <c r="A2579" s="4" t="n">
        <v>39419</v>
      </c>
      <c r="B2579" s="3" t="n">
        <v>246.1485705748169</v>
      </c>
    </row>
    <row r="2580">
      <c r="A2580" s="4" t="n">
        <v>39420</v>
      </c>
      <c r="B2580" s="3" t="n">
        <v>246.6917333084321</v>
      </c>
    </row>
    <row r="2581">
      <c r="A2581" s="4" t="n">
        <v>39421</v>
      </c>
      <c r="B2581" s="3" t="n">
        <v>246.9473393007217</v>
      </c>
    </row>
    <row r="2582">
      <c r="A2582" s="4" t="n">
        <v>39422</v>
      </c>
      <c r="B2582" s="3" t="n">
        <v>246.9153885516855</v>
      </c>
    </row>
    <row r="2583">
      <c r="A2583" s="4" t="n">
        <v>39423</v>
      </c>
      <c r="B2583" s="3" t="n">
        <v>245.4456540960207</v>
      </c>
    </row>
    <row r="2584">
      <c r="A2584" s="4" t="n">
        <v>39426</v>
      </c>
      <c r="B2584" s="3" t="n">
        <v>245.1261466056588</v>
      </c>
    </row>
    <row r="2585">
      <c r="A2585" s="4" t="n">
        <v>39427</v>
      </c>
      <c r="B2585" s="3" t="n">
        <v>241.5157119645692</v>
      </c>
    </row>
    <row r="2586">
      <c r="A2586" s="4" t="n">
        <v>39428</v>
      </c>
      <c r="B2586" s="3" t="n">
        <v>238.8957505436015</v>
      </c>
    </row>
    <row r="2587">
      <c r="A2587" s="4" t="n">
        <v>39429</v>
      </c>
      <c r="B2587" s="3" t="n">
        <v>235.5728726438376</v>
      </c>
    </row>
    <row r="2588">
      <c r="A2588" s="4" t="n">
        <v>39430</v>
      </c>
      <c r="B2588" s="3" t="n">
        <v>234.135088937209</v>
      </c>
    </row>
    <row r="2589">
      <c r="A2589" s="4" t="n">
        <v>39433</v>
      </c>
      <c r="B2589" s="3" t="n">
        <v>234.0711874391367</v>
      </c>
    </row>
    <row r="2590">
      <c r="A2590" s="4" t="n">
        <v>39434</v>
      </c>
      <c r="B2590" s="3" t="n">
        <v>232.5056007363632</v>
      </c>
    </row>
    <row r="2591">
      <c r="A2591" s="4" t="n">
        <v>39435</v>
      </c>
      <c r="B2591" s="3" t="n">
        <v>230.4288020490108</v>
      </c>
    </row>
    <row r="2592">
      <c r="A2592" s="4" t="n">
        <v>39436</v>
      </c>
      <c r="B2592" s="3" t="n">
        <v>228.6395601029841</v>
      </c>
    </row>
    <row r="2593">
      <c r="A2593" s="4" t="n">
        <v>39437</v>
      </c>
      <c r="B2593" s="3" t="n">
        <v>228.3200526126222</v>
      </c>
    </row>
    <row r="2594">
      <c r="A2594" s="4" t="n">
        <v>39442</v>
      </c>
      <c r="B2594" s="3" t="n">
        <v>228.3839541106946</v>
      </c>
    </row>
    <row r="2595">
      <c r="A2595" s="4" t="n">
        <v>39443</v>
      </c>
      <c r="B2595" s="3" t="n">
        <v>229.1827228365994</v>
      </c>
    </row>
    <row r="2596">
      <c r="A2596" s="4" t="n">
        <v>39444</v>
      </c>
      <c r="B2596" s="3" t="n">
        <v>229.2146735856356</v>
      </c>
    </row>
    <row r="2597">
      <c r="A2597" s="4" t="n">
        <v>39449</v>
      </c>
      <c r="B2597" s="3" t="n">
        <v>226.7434623383478</v>
      </c>
    </row>
    <row r="2598">
      <c r="A2598" s="4" t="n">
        <v>39450</v>
      </c>
      <c r="B2598" s="3" t="n">
        <v>229.1455397202428</v>
      </c>
    </row>
    <row r="2599">
      <c r="A2599" s="4" t="n">
        <v>39451</v>
      </c>
      <c r="B2599" s="3" t="n">
        <v>230.5362160992346</v>
      </c>
    </row>
    <row r="2600">
      <c r="A2600" s="4" t="n">
        <v>39454</v>
      </c>
      <c r="B2600" s="3" t="n">
        <v>231.863679915545</v>
      </c>
    </row>
    <row r="2601">
      <c r="A2601" s="4" t="n">
        <v>39455</v>
      </c>
      <c r="B2601" s="3" t="n">
        <v>234.2973635787806</v>
      </c>
    </row>
    <row r="2602">
      <c r="A2602" s="4" t="n">
        <v>39456</v>
      </c>
      <c r="B2602" s="3" t="n">
        <v>235.055914330958</v>
      </c>
    </row>
    <row r="2603">
      <c r="A2603" s="4" t="n">
        <v>39457</v>
      </c>
      <c r="B2603" s="3" t="n">
        <v>235.7196462391132</v>
      </c>
    </row>
    <row r="2604">
      <c r="A2604" s="4" t="n">
        <v>39458</v>
      </c>
      <c r="B2604" s="3" t="n">
        <v>236.4149844286091</v>
      </c>
    </row>
    <row r="2605">
      <c r="A2605" s="4" t="n">
        <v>39461</v>
      </c>
      <c r="B2605" s="3" t="n">
        <v>237.0155037740828</v>
      </c>
    </row>
    <row r="2606">
      <c r="A2606" s="4" t="n">
        <v>39462</v>
      </c>
      <c r="B2606" s="3" t="n">
        <v>237.9004796516231</v>
      </c>
    </row>
    <row r="2607">
      <c r="A2607" s="4" t="n">
        <v>39463</v>
      </c>
      <c r="B2607" s="3" t="n">
        <v>238.0585110583267</v>
      </c>
    </row>
    <row r="2608">
      <c r="A2608" s="4" t="n">
        <v>39464</v>
      </c>
      <c r="B2608" s="3" t="n">
        <v>238.2797550277118</v>
      </c>
    </row>
    <row r="2609">
      <c r="A2609" s="4" t="n">
        <v>39465</v>
      </c>
      <c r="B2609" s="3" t="n">
        <v>238.4061801530747</v>
      </c>
    </row>
    <row r="2610">
      <c r="A2610" s="4" t="n">
        <v>39468</v>
      </c>
      <c r="B2610" s="3" t="n">
        <v>238.5009989970968</v>
      </c>
    </row>
    <row r="2611">
      <c r="A2611" s="4" t="n">
        <v>39469</v>
      </c>
      <c r="B2611" s="3" t="n">
        <v>238.5009989970968</v>
      </c>
    </row>
    <row r="2612">
      <c r="A2612" s="4" t="n">
        <v>39470</v>
      </c>
      <c r="B2612" s="3" t="n">
        <v>238.4061801530747</v>
      </c>
    </row>
    <row r="2613">
      <c r="A2613" s="4" t="n">
        <v>39471</v>
      </c>
      <c r="B2613" s="3" t="n">
        <v>238.1849361836896</v>
      </c>
    </row>
    <row r="2614">
      <c r="A2614" s="4" t="n">
        <v>39472</v>
      </c>
      <c r="B2614" s="3" t="n">
        <v>237.8056608076009</v>
      </c>
    </row>
    <row r="2615">
      <c r="A2615" s="4" t="n">
        <v>39475</v>
      </c>
      <c r="B2615" s="3" t="n">
        <v>237.6792356822381</v>
      </c>
    </row>
    <row r="2616">
      <c r="A2616" s="4" t="n">
        <v>39476</v>
      </c>
      <c r="B2616" s="3" t="n">
        <v>237.4895979941937</v>
      </c>
    </row>
    <row r="2617">
      <c r="A2617" s="4" t="n">
        <v>39477</v>
      </c>
      <c r="B2617" s="3" t="n">
        <v>236.4781969912905</v>
      </c>
    </row>
    <row r="2618">
      <c r="A2618" s="4" t="n">
        <v>39478</v>
      </c>
      <c r="B2618" s="3" t="n">
        <v>235.1507331749802</v>
      </c>
    </row>
    <row r="2619">
      <c r="A2619" s="4" t="n">
        <v>39479</v>
      </c>
      <c r="B2619" s="3" t="n">
        <v>231.7744289667267</v>
      </c>
    </row>
    <row r="2620">
      <c r="A2620" s="4" t="n">
        <v>39484</v>
      </c>
      <c r="B2620" s="3" t="n">
        <v>231.805868797026</v>
      </c>
    </row>
    <row r="2621">
      <c r="A2621" s="4" t="n">
        <v>39485</v>
      </c>
      <c r="B2621" s="3" t="n">
        <v>232.1831467606181</v>
      </c>
    </row>
    <row r="2622">
      <c r="A2622" s="4" t="n">
        <v>39486</v>
      </c>
      <c r="B2622" s="3" t="n">
        <v>232.9691425181016</v>
      </c>
    </row>
    <row r="2623">
      <c r="A2623" s="4" t="n">
        <v>39489</v>
      </c>
      <c r="B2623" s="3" t="n">
        <v>233.9752170876804</v>
      </c>
    </row>
    <row r="2624">
      <c r="A2624" s="4" t="n">
        <v>39490</v>
      </c>
      <c r="B2624" s="3" t="n">
        <v>234.8555323360619</v>
      </c>
    </row>
    <row r="2625">
      <c r="A2625" s="4" t="n">
        <v>39491</v>
      </c>
      <c r="B2625" s="3" t="n">
        <v>235.1070509784566</v>
      </c>
    </row>
    <row r="2626">
      <c r="A2626" s="4" t="n">
        <v>39492</v>
      </c>
      <c r="B2626" s="3" t="n">
        <v>235.610088263246</v>
      </c>
    </row>
    <row r="2627">
      <c r="A2627" s="4" t="n">
        <v>39493</v>
      </c>
      <c r="B2627" s="3" t="n">
        <v>236.2388848692328</v>
      </c>
    </row>
    <row r="2628">
      <c r="A2628" s="4" t="n">
        <v>39496</v>
      </c>
      <c r="B2628" s="3" t="n">
        <v>236.3332043601308</v>
      </c>
    </row>
    <row r="2629">
      <c r="A2629" s="4" t="n">
        <v>39497</v>
      </c>
      <c r="B2629" s="3" t="n">
        <v>236.5532831722262</v>
      </c>
    </row>
    <row r="2630">
      <c r="A2630" s="4" t="n">
        <v>39498</v>
      </c>
      <c r="B2630" s="3" t="n">
        <v>236.5218433419269</v>
      </c>
    </row>
    <row r="2631">
      <c r="A2631" s="4" t="n">
        <v>39499</v>
      </c>
      <c r="B2631" s="3" t="n">
        <v>236.4904035116275</v>
      </c>
    </row>
    <row r="2632">
      <c r="A2632" s="4" t="n">
        <v>39500</v>
      </c>
      <c r="B2632" s="3" t="n">
        <v>236.4904035116275</v>
      </c>
    </row>
    <row r="2633">
      <c r="A2633" s="4" t="n">
        <v>39503</v>
      </c>
      <c r="B2633" s="3" t="n">
        <v>236.5532831722262</v>
      </c>
    </row>
    <row r="2634">
      <c r="A2634" s="4" t="n">
        <v>39504</v>
      </c>
      <c r="B2634" s="3" t="n">
        <v>236.5532831722262</v>
      </c>
    </row>
    <row r="2635">
      <c r="A2635" s="4" t="n">
        <v>39505</v>
      </c>
      <c r="B2635" s="3" t="n">
        <v>236.8676814752196</v>
      </c>
    </row>
    <row r="2636">
      <c r="A2636" s="4" t="n">
        <v>39506</v>
      </c>
      <c r="B2636" s="3" t="n">
        <v>237.0563204570156</v>
      </c>
    </row>
    <row r="2637">
      <c r="A2637" s="4" t="n">
        <v>39507</v>
      </c>
      <c r="B2637" s="3" t="n">
        <v>237.3078390994104</v>
      </c>
    </row>
    <row r="2638">
      <c r="A2638" s="4" t="n">
        <v>39510</v>
      </c>
      <c r="B2638" s="3" t="n">
        <v>235.8728795953415</v>
      </c>
    </row>
    <row r="2639">
      <c r="A2639" s="4" t="n">
        <v>39511</v>
      </c>
      <c r="B2639" s="3" t="n">
        <v>237.1836312416771</v>
      </c>
    </row>
    <row r="2640">
      <c r="A2640" s="4" t="n">
        <v>39512</v>
      </c>
      <c r="B2640" s="3" t="n">
        <v>237.2460479867407</v>
      </c>
    </row>
    <row r="2641">
      <c r="A2641" s="4" t="n">
        <v>39513</v>
      </c>
      <c r="B2641" s="3" t="n">
        <v>237.3084647318043</v>
      </c>
    </row>
    <row r="2642">
      <c r="A2642" s="4" t="n">
        <v>39514</v>
      </c>
      <c r="B2642" s="3" t="n">
        <v>237.3084647318043</v>
      </c>
    </row>
    <row r="2643">
      <c r="A2643" s="4" t="n">
        <v>39517</v>
      </c>
      <c r="B2643" s="3" t="n">
        <v>237.3708814768679</v>
      </c>
    </row>
    <row r="2644">
      <c r="A2644" s="4" t="n">
        <v>39518</v>
      </c>
      <c r="B2644" s="3" t="n">
        <v>237.3708814768679</v>
      </c>
    </row>
    <row r="2645">
      <c r="A2645" s="4" t="n">
        <v>39519</v>
      </c>
      <c r="B2645" s="3" t="n">
        <v>237.4957149669951</v>
      </c>
    </row>
    <row r="2646">
      <c r="A2646" s="4" t="n">
        <v>39520</v>
      </c>
      <c r="B2646" s="3" t="n">
        <v>237.5581317120587</v>
      </c>
    </row>
    <row r="2647">
      <c r="A2647" s="4" t="n">
        <v>39521</v>
      </c>
      <c r="B2647" s="3" t="n">
        <v>237.5269233395269</v>
      </c>
    </row>
    <row r="2648">
      <c r="A2648" s="4" t="n">
        <v>39524</v>
      </c>
      <c r="B2648" s="3" t="n">
        <v>237.6205484571223</v>
      </c>
    </row>
    <row r="2649">
      <c r="A2649" s="4" t="n">
        <v>39525</v>
      </c>
      <c r="B2649" s="3" t="n">
        <v>237.6205484571223</v>
      </c>
    </row>
    <row r="2650">
      <c r="A2650" s="4" t="n">
        <v>39526</v>
      </c>
      <c r="B2650" s="3" t="n">
        <v>237.6829652021859</v>
      </c>
    </row>
    <row r="2651">
      <c r="A2651" s="4" t="n">
        <v>39527</v>
      </c>
      <c r="B2651" s="3" t="n">
        <v>237.7765903197813</v>
      </c>
    </row>
    <row r="2652">
      <c r="A2652" s="4" t="n">
        <v>39531</v>
      </c>
      <c r="B2652" s="3" t="n">
        <v>237.9950489275039</v>
      </c>
    </row>
    <row r="2653">
      <c r="A2653" s="4" t="n">
        <v>39532</v>
      </c>
      <c r="B2653" s="3" t="n">
        <v>238.3071326528219</v>
      </c>
    </row>
    <row r="2654">
      <c r="A2654" s="4" t="n">
        <v>39533</v>
      </c>
      <c r="B2654" s="3" t="n">
        <v>238.4943828880127</v>
      </c>
    </row>
    <row r="2655">
      <c r="A2655" s="4" t="n">
        <v>39534</v>
      </c>
      <c r="B2655" s="3" t="n">
        <v>238.8064666133307</v>
      </c>
    </row>
    <row r="2656">
      <c r="A2656" s="4" t="n">
        <v>39535</v>
      </c>
      <c r="B2656" s="3" t="n">
        <v>239.3058005738395</v>
      </c>
    </row>
    <row r="2657">
      <c r="A2657" s="4" t="n">
        <v>39538</v>
      </c>
      <c r="B2657" s="3" t="n">
        <v>239.83634290688</v>
      </c>
    </row>
    <row r="2658">
      <c r="A2658" s="4" t="n">
        <v>39539</v>
      </c>
      <c r="B2658" s="3" t="n">
        <v>238.6569542937005</v>
      </c>
    </row>
    <row r="2659">
      <c r="A2659" s="4" t="n">
        <v>39540</v>
      </c>
      <c r="B2659" s="3" t="n">
        <v>239.1218704384285</v>
      </c>
    </row>
    <row r="2660">
      <c r="A2660" s="4" t="n">
        <v>39541</v>
      </c>
      <c r="B2660" s="3" t="n">
        <v>239.4318145349138</v>
      </c>
    </row>
    <row r="2661">
      <c r="A2661" s="4" t="n">
        <v>39542</v>
      </c>
      <c r="B2661" s="3" t="n">
        <v>239.4628089445623</v>
      </c>
    </row>
    <row r="2662">
      <c r="A2662" s="4" t="n">
        <v>39545</v>
      </c>
      <c r="B2662" s="3" t="n">
        <v>239.5867865831565</v>
      </c>
    </row>
    <row r="2663">
      <c r="A2663" s="4" t="n">
        <v>39546</v>
      </c>
      <c r="B2663" s="3" t="n">
        <v>239.7417586313991</v>
      </c>
    </row>
    <row r="2664">
      <c r="A2664" s="4" t="n">
        <v>39547</v>
      </c>
      <c r="B2664" s="3" t="n">
        <v>239.7727530410477</v>
      </c>
    </row>
    <row r="2665">
      <c r="A2665" s="4" t="n">
        <v>39548</v>
      </c>
      <c r="B2665" s="3" t="n">
        <v>239.9897139085874</v>
      </c>
    </row>
    <row r="2666">
      <c r="A2666" s="4" t="n">
        <v>39549</v>
      </c>
      <c r="B2666" s="3" t="n">
        <v>239.5867865831565</v>
      </c>
    </row>
    <row r="2667">
      <c r="A2667" s="4" t="n">
        <v>39552</v>
      </c>
      <c r="B2667" s="3" t="n">
        <v>239.2458480770226</v>
      </c>
    </row>
    <row r="2668">
      <c r="A2668" s="4" t="n">
        <v>39553</v>
      </c>
      <c r="B2668" s="3" t="n">
        <v>239.0288872094829</v>
      </c>
    </row>
    <row r="2669">
      <c r="A2669" s="4" t="n">
        <v>39554</v>
      </c>
      <c r="B2669" s="3" t="n">
        <v>238.9978927998343</v>
      </c>
    </row>
    <row r="2670">
      <c r="A2670" s="4" t="n">
        <v>39555</v>
      </c>
      <c r="B2670" s="3" t="n">
        <v>239.0288872094829</v>
      </c>
    </row>
    <row r="2671">
      <c r="A2671" s="4" t="n">
        <v>39556</v>
      </c>
      <c r="B2671" s="3" t="n">
        <v>239.1218704384285</v>
      </c>
    </row>
    <row r="2672">
      <c r="A2672" s="4" t="n">
        <v>39560</v>
      </c>
      <c r="B2672" s="3" t="n">
        <v>239.152864848077</v>
      </c>
    </row>
    <row r="2673">
      <c r="A2673" s="4" t="n">
        <v>39561</v>
      </c>
      <c r="B2673" s="3" t="n">
        <v>239.152864848077</v>
      </c>
    </row>
    <row r="2674">
      <c r="A2674" s="4" t="n">
        <v>39562</v>
      </c>
      <c r="B2674" s="3" t="n">
        <v>239.1838592577255</v>
      </c>
    </row>
    <row r="2675">
      <c r="A2675" s="4" t="n">
        <v>39563</v>
      </c>
      <c r="B2675" s="3" t="n">
        <v>239.2148536673741</v>
      </c>
    </row>
    <row r="2676">
      <c r="A2676" s="4" t="n">
        <v>39566</v>
      </c>
      <c r="B2676" s="3" t="n">
        <v>239.3698257156168</v>
      </c>
    </row>
    <row r="2677">
      <c r="A2677" s="4" t="n">
        <v>39567</v>
      </c>
      <c r="B2677" s="3" t="n">
        <v>240.0517027278844</v>
      </c>
    </row>
    <row r="2678">
      <c r="A2678" s="4" t="n">
        <v>39568</v>
      </c>
      <c r="B2678" s="3" t="n">
        <v>240.3616468243698</v>
      </c>
    </row>
    <row r="2679">
      <c r="A2679" s="4" t="n">
        <v>39570</v>
      </c>
      <c r="B2679" s="3" t="n">
        <v>236.7719220972409</v>
      </c>
    </row>
    <row r="2680">
      <c r="A2680" s="4" t="n">
        <v>39573</v>
      </c>
      <c r="B2680" s="3" t="n">
        <v>237.5345216917309</v>
      </c>
    </row>
    <row r="2681">
      <c r="A2681" s="4" t="n">
        <v>39574</v>
      </c>
      <c r="B2681" s="3" t="n">
        <v>237.9920814484248</v>
      </c>
    </row>
    <row r="2682">
      <c r="A2682" s="4" t="n">
        <v>39575</v>
      </c>
      <c r="B2682" s="3" t="n">
        <v>238.9072009618127</v>
      </c>
    </row>
    <row r="2683">
      <c r="A2683" s="4" t="n">
        <v>39576</v>
      </c>
      <c r="B2683" s="3" t="n">
        <v>239.5172806374047</v>
      </c>
    </row>
    <row r="2684">
      <c r="A2684" s="4" t="n">
        <v>39577</v>
      </c>
      <c r="B2684" s="3" t="n">
        <v>239.5172806374047</v>
      </c>
    </row>
    <row r="2685">
      <c r="A2685" s="4" t="n">
        <v>39580</v>
      </c>
      <c r="B2685" s="3" t="n">
        <v>240.0968563292171</v>
      </c>
    </row>
    <row r="2686">
      <c r="A2686" s="4" t="n">
        <v>39581</v>
      </c>
      <c r="B2686" s="3" t="n">
        <v>241.2865116966214</v>
      </c>
    </row>
    <row r="2687">
      <c r="A2687" s="4" t="n">
        <v>39582</v>
      </c>
      <c r="B2687" s="3" t="n">
        <v>242.2321351937889</v>
      </c>
    </row>
    <row r="2688">
      <c r="A2688" s="4" t="n">
        <v>39583</v>
      </c>
      <c r="B2688" s="3" t="n">
        <v>243.4217905611933</v>
      </c>
    </row>
    <row r="2689">
      <c r="A2689" s="4" t="n">
        <v>39584</v>
      </c>
      <c r="B2689" s="3" t="n">
        <v>245.8316052797816</v>
      </c>
    </row>
    <row r="2690">
      <c r="A2690" s="4" t="n">
        <v>39587</v>
      </c>
      <c r="B2690" s="3" t="n">
        <v>246.6857168256103</v>
      </c>
    </row>
    <row r="2691">
      <c r="A2691" s="4" t="n">
        <v>39588</v>
      </c>
      <c r="B2691" s="3" t="n">
        <v>247.6618443065574</v>
      </c>
    </row>
    <row r="2692">
      <c r="A2692" s="4" t="n">
        <v>39589</v>
      </c>
      <c r="B2692" s="3" t="n">
        <v>248.7904917064026</v>
      </c>
    </row>
    <row r="2693">
      <c r="A2693" s="4" t="n">
        <v>39591</v>
      </c>
      <c r="B2693" s="3" t="n">
        <v>249.4920833333333</v>
      </c>
    </row>
    <row r="2694">
      <c r="A2694" s="4" t="n">
        <v>39594</v>
      </c>
      <c r="B2694" s="3" t="n">
        <v>250.9867785385336</v>
      </c>
    </row>
    <row r="2695">
      <c r="A2695" s="4" t="n">
        <v>39595</v>
      </c>
      <c r="B2695" s="3" t="n">
        <v>253.5491131760199</v>
      </c>
    </row>
    <row r="2696">
      <c r="A2696" s="4" t="n">
        <v>39596</v>
      </c>
      <c r="B2696" s="3" t="n">
        <v>255.4098561865754</v>
      </c>
    </row>
    <row r="2697">
      <c r="A2697" s="4" t="n">
        <v>39597</v>
      </c>
      <c r="B2697" s="3" t="n">
        <v>257.8196709051636</v>
      </c>
    </row>
    <row r="2698">
      <c r="A2698" s="4" t="n">
        <v>39598</v>
      </c>
      <c r="B2698" s="3" t="n">
        <v>258.5822704996536</v>
      </c>
    </row>
    <row r="2699">
      <c r="A2699" s="4" t="n">
        <v>39601</v>
      </c>
      <c r="B2699" s="3" t="n">
        <v>254.5681419744144</v>
      </c>
    </row>
    <row r="2700">
      <c r="A2700" s="4" t="n">
        <v>39602</v>
      </c>
      <c r="B2700" s="3" t="n">
        <v>256.6319654729733</v>
      </c>
    </row>
    <row r="2701">
      <c r="A2701" s="4" t="n">
        <v>39603</v>
      </c>
      <c r="B2701" s="3" t="n">
        <v>260.6100600426592</v>
      </c>
    </row>
    <row r="2702">
      <c r="A2702" s="4" t="n">
        <v>39604</v>
      </c>
      <c r="B2702" s="3" t="n">
        <v>264.2591392719952</v>
      </c>
    </row>
    <row r="2703">
      <c r="A2703" s="4" t="n">
        <v>39605</v>
      </c>
      <c r="B2703" s="3" t="n">
        <v>264.8274384962361</v>
      </c>
    </row>
    <row r="2704">
      <c r="A2704" s="4" t="n">
        <v>39608</v>
      </c>
      <c r="B2704" s="3" t="n">
        <v>267.1903668496585</v>
      </c>
    </row>
    <row r="2705">
      <c r="A2705" s="4" t="n">
        <v>39609</v>
      </c>
      <c r="B2705" s="3" t="n">
        <v>269.463563746622</v>
      </c>
    </row>
    <row r="2706">
      <c r="A2706" s="4" t="n">
        <v>39610</v>
      </c>
      <c r="B2706" s="3" t="n">
        <v>271.0189089919127</v>
      </c>
    </row>
    <row r="2707">
      <c r="A2707" s="4" t="n">
        <v>39611</v>
      </c>
      <c r="B2707" s="3" t="n">
        <v>273.4416583163079</v>
      </c>
    </row>
    <row r="2708">
      <c r="A2708" s="4" t="n">
        <v>39612</v>
      </c>
      <c r="B2708" s="3" t="n">
        <v>275.2362874454896</v>
      </c>
    </row>
    <row r="2709">
      <c r="A2709" s="4" t="n">
        <v>39615</v>
      </c>
      <c r="B2709" s="3" t="n">
        <v>277.2402899730757</v>
      </c>
    </row>
    <row r="2710">
      <c r="A2710" s="4" t="n">
        <v>39616</v>
      </c>
      <c r="B2710" s="3" t="n">
        <v>279.9023231813617</v>
      </c>
    </row>
    <row r="2711">
      <c r="A2711" s="4" t="n">
        <v>39617</v>
      </c>
      <c r="B2711" s="3" t="n">
        <v>280.6500853185208</v>
      </c>
    </row>
    <row r="2712">
      <c r="A2712" s="4" t="n">
        <v>39618</v>
      </c>
      <c r="B2712" s="3" t="n">
        <v>281.667041825057</v>
      </c>
    </row>
    <row r="2713">
      <c r="A2713" s="4" t="n">
        <v>39619</v>
      </c>
      <c r="B2713" s="3" t="n">
        <v>281.9063257089479</v>
      </c>
    </row>
    <row r="2714">
      <c r="A2714" s="4" t="n">
        <v>39622</v>
      </c>
      <c r="B2714" s="3" t="n">
        <v>282.3848934767297</v>
      </c>
    </row>
    <row r="2715">
      <c r="A2715" s="4" t="n">
        <v>39623</v>
      </c>
      <c r="B2715" s="3" t="n">
        <v>282.2951620202706</v>
      </c>
    </row>
    <row r="2716">
      <c r="A2716" s="4" t="n">
        <v>39624</v>
      </c>
      <c r="B2716" s="3" t="n">
        <v>281.9362361944343</v>
      </c>
    </row>
    <row r="2717">
      <c r="A2717" s="4" t="n">
        <v>39625</v>
      </c>
      <c r="B2717" s="3" t="n">
        <v>281.6371313395707</v>
      </c>
    </row>
    <row r="2718">
      <c r="A2718" s="4" t="n">
        <v>39626</v>
      </c>
      <c r="B2718" s="3" t="n">
        <v>281.1585635717889</v>
      </c>
    </row>
    <row r="2719">
      <c r="A2719" s="4" t="n">
        <v>39629</v>
      </c>
      <c r="B2719" s="3" t="n">
        <v>281.0090111443571</v>
      </c>
    </row>
    <row r="2720">
      <c r="A2720" s="4" t="n">
        <v>39630</v>
      </c>
      <c r="B2720" s="3" t="n">
        <v>276.1958667897095</v>
      </c>
    </row>
    <row r="2721">
      <c r="A2721" s="4" t="n">
        <v>39631</v>
      </c>
      <c r="B2721" s="3" t="n">
        <v>276.6367455810094</v>
      </c>
    </row>
    <row r="2722">
      <c r="A2722" s="4" t="n">
        <v>39632</v>
      </c>
      <c r="B2722" s="3" t="n">
        <v>276.6661375004294</v>
      </c>
    </row>
    <row r="2723">
      <c r="A2723" s="4" t="n">
        <v>39633</v>
      </c>
      <c r="B2723" s="3" t="n">
        <v>276.9894486140494</v>
      </c>
    </row>
    <row r="2724">
      <c r="A2724" s="4" t="n">
        <v>39636</v>
      </c>
      <c r="B2724" s="3" t="n">
        <v>277.0482324528895</v>
      </c>
    </row>
    <row r="2725">
      <c r="A2725" s="4" t="n">
        <v>39637</v>
      </c>
      <c r="B2725" s="3" t="n">
        <v>277.2245839694094</v>
      </c>
    </row>
    <row r="2726">
      <c r="A2726" s="4" t="n">
        <v>39639</v>
      </c>
      <c r="B2726" s="3" t="n">
        <v>276.9894486140494</v>
      </c>
    </row>
    <row r="2727">
      <c r="A2727" s="4" t="n">
        <v>39640</v>
      </c>
      <c r="B2727" s="3" t="n">
        <v>276.7837051781095</v>
      </c>
    </row>
    <row r="2728">
      <c r="A2728" s="4" t="n">
        <v>39643</v>
      </c>
      <c r="B2728" s="3" t="n">
        <v>275.9313395149295</v>
      </c>
    </row>
    <row r="2729">
      <c r="A2729" s="4" t="n">
        <v>39644</v>
      </c>
      <c r="B2729" s="3" t="n">
        <v>274.9320142546497</v>
      </c>
    </row>
    <row r="2730">
      <c r="A2730" s="4" t="n">
        <v>39645</v>
      </c>
      <c r="B2730" s="3" t="n">
        <v>272.8157960564099</v>
      </c>
    </row>
    <row r="2731">
      <c r="A2731" s="4" t="n">
        <v>39646</v>
      </c>
      <c r="B2731" s="3" t="n">
        <v>269.7884283561502</v>
      </c>
    </row>
    <row r="2732">
      <c r="A2732" s="4" t="n">
        <v>39647</v>
      </c>
      <c r="B2732" s="3" t="n">
        <v>267.7897778355904</v>
      </c>
    </row>
    <row r="2733">
      <c r="A2733" s="4" t="n">
        <v>39650</v>
      </c>
      <c r="B2733" s="3" t="n">
        <v>266.7904525753105</v>
      </c>
    </row>
    <row r="2734">
      <c r="A2734" s="4" t="n">
        <v>39651</v>
      </c>
      <c r="B2734" s="3" t="n">
        <v>265.9086949927107</v>
      </c>
    </row>
    <row r="2735">
      <c r="A2735" s="4" t="n">
        <v>39652</v>
      </c>
      <c r="B2735" s="3" t="n">
        <v>265.9086949927107</v>
      </c>
    </row>
    <row r="2736">
      <c r="A2736" s="4" t="n">
        <v>39653</v>
      </c>
      <c r="B2736" s="3" t="n">
        <v>266.0850465092307</v>
      </c>
    </row>
    <row r="2737">
      <c r="A2737" s="4" t="n">
        <v>39654</v>
      </c>
      <c r="B2737" s="3" t="n">
        <v>267.5840343996505</v>
      </c>
    </row>
    <row r="2738">
      <c r="A2738" s="4" t="n">
        <v>39657</v>
      </c>
      <c r="B2738" s="3" t="n">
        <v>270.1411313891902</v>
      </c>
    </row>
    <row r="2739">
      <c r="A2739" s="4" t="n">
        <v>39658</v>
      </c>
      <c r="B2739" s="3" t="n">
        <v>272.9627556535099</v>
      </c>
    </row>
    <row r="2740">
      <c r="A2740" s="4" t="n">
        <v>39659</v>
      </c>
      <c r="B2740" s="3" t="n">
        <v>273.9620809137897</v>
      </c>
    </row>
    <row r="2741">
      <c r="A2741" s="4" t="n">
        <v>39660</v>
      </c>
      <c r="B2741" s="3" t="n">
        <v>275.0201900129097</v>
      </c>
    </row>
    <row r="2742">
      <c r="A2742" s="4" t="n">
        <v>39661</v>
      </c>
      <c r="B2742" s="3" t="n">
        <v>276.267236061626</v>
      </c>
    </row>
    <row r="2743">
      <c r="A2743" s="4" t="n">
        <v>39664</v>
      </c>
      <c r="B2743" s="3" t="n">
        <v>276.3556981929298</v>
      </c>
    </row>
    <row r="2744">
      <c r="A2744" s="4" t="n">
        <v>39665</v>
      </c>
      <c r="B2744" s="3" t="n">
        <v>276.4441603242335</v>
      </c>
    </row>
    <row r="2745">
      <c r="A2745" s="4" t="n">
        <v>39666</v>
      </c>
      <c r="B2745" s="3" t="n">
        <v>274.3505565500446</v>
      </c>
    </row>
    <row r="2746">
      <c r="A2746" s="4" t="n">
        <v>39667</v>
      </c>
      <c r="B2746" s="3" t="n">
        <v>272.9646498262858</v>
      </c>
    </row>
    <row r="2747">
      <c r="A2747" s="4" t="n">
        <v>39668</v>
      </c>
      <c r="B2747" s="3" t="n">
        <v>271.224894577312</v>
      </c>
    </row>
    <row r="2748">
      <c r="A2748" s="4" t="n">
        <v>39671</v>
      </c>
      <c r="B2748" s="3" t="n">
        <v>270.4287353955782</v>
      </c>
    </row>
    <row r="2749">
      <c r="A2749" s="4" t="n">
        <v>39672</v>
      </c>
      <c r="B2749" s="3" t="n">
        <v>268.0992326045794</v>
      </c>
    </row>
    <row r="2750">
      <c r="A2750" s="4" t="n">
        <v>39673</v>
      </c>
      <c r="B2750" s="3" t="n">
        <v>267.8633335877693</v>
      </c>
    </row>
    <row r="2751">
      <c r="A2751" s="4" t="n">
        <v>39674</v>
      </c>
      <c r="B2751" s="3" t="n">
        <v>267.8633335877693</v>
      </c>
    </row>
    <row r="2752">
      <c r="A2752" s="4" t="n">
        <v>39675</v>
      </c>
      <c r="B2752" s="3" t="n">
        <v>269.0723160489206</v>
      </c>
    </row>
    <row r="2753">
      <c r="A2753" s="4" t="n">
        <v>39678</v>
      </c>
      <c r="B2753" s="3" t="n">
        <v>270.4287353955782</v>
      </c>
    </row>
    <row r="2754">
      <c r="A2754" s="4" t="n">
        <v>39679</v>
      </c>
      <c r="B2754" s="3" t="n">
        <v>271.932591627742</v>
      </c>
    </row>
    <row r="2755">
      <c r="A2755" s="4" t="n">
        <v>39680</v>
      </c>
      <c r="B2755" s="3" t="n">
        <v>271.9915663819445</v>
      </c>
    </row>
    <row r="2756">
      <c r="A2756" s="4" t="n">
        <v>39681</v>
      </c>
      <c r="B2756" s="3" t="n">
        <v>273.2595235972984</v>
      </c>
    </row>
    <row r="2757">
      <c r="A2757" s="4" t="n">
        <v>39682</v>
      </c>
      <c r="B2757" s="3" t="n">
        <v>273.1710614659946</v>
      </c>
    </row>
    <row r="2758">
      <c r="A2758" s="4" t="n">
        <v>39685</v>
      </c>
      <c r="B2758" s="3" t="n">
        <v>272.2274653987545</v>
      </c>
    </row>
    <row r="2759">
      <c r="A2759" s="4" t="n">
        <v>39686</v>
      </c>
      <c r="B2759" s="3" t="n">
        <v>271.8736168735395</v>
      </c>
    </row>
    <row r="2760">
      <c r="A2760" s="4" t="n">
        <v>39687</v>
      </c>
      <c r="B2760" s="3" t="n">
        <v>270.1633490016669</v>
      </c>
    </row>
    <row r="2761">
      <c r="A2761" s="4" t="n">
        <v>39688</v>
      </c>
      <c r="B2761" s="3" t="n">
        <v>267.4505103083518</v>
      </c>
    </row>
    <row r="2762">
      <c r="A2762" s="4" t="n">
        <v>39689</v>
      </c>
      <c r="B2762" s="3" t="n">
        <v>266.4479394869093</v>
      </c>
    </row>
    <row r="2763">
      <c r="A2763" s="4" t="n">
        <v>39692</v>
      </c>
      <c r="B2763" s="3" t="n">
        <v>264.398756189169</v>
      </c>
    </row>
    <row r="2764">
      <c r="A2764" s="4" t="n">
        <v>39693</v>
      </c>
      <c r="B2764" s="3" t="n">
        <v>264.0158257267738</v>
      </c>
    </row>
    <row r="2765">
      <c r="A2765" s="4" t="n">
        <v>39694</v>
      </c>
      <c r="B2765" s="3" t="n">
        <v>263.8685447796988</v>
      </c>
    </row>
    <row r="2766">
      <c r="A2766" s="4" t="n">
        <v>39695</v>
      </c>
      <c r="B2766" s="3" t="n">
        <v>263.6918076432086</v>
      </c>
    </row>
    <row r="2767">
      <c r="A2767" s="4" t="n">
        <v>39696</v>
      </c>
      <c r="B2767" s="3" t="n">
        <v>263.0143152866634</v>
      </c>
    </row>
    <row r="2768">
      <c r="A2768" s="4" t="n">
        <v>39699</v>
      </c>
      <c r="B2768" s="3" t="n">
        <v>262.2189981724579</v>
      </c>
    </row>
    <row r="2769">
      <c r="A2769" s="4" t="n">
        <v>39700</v>
      </c>
      <c r="B2769" s="3" t="n">
        <v>261.5120496264976</v>
      </c>
    </row>
    <row r="2770">
      <c r="A2770" s="4" t="n">
        <v>39701</v>
      </c>
      <c r="B2770" s="3" t="n">
        <v>260.7167325122922</v>
      </c>
    </row>
    <row r="2771">
      <c r="A2771" s="4" t="n">
        <v>39702</v>
      </c>
      <c r="B2771" s="3" t="n">
        <v>260.5694515652172</v>
      </c>
    </row>
    <row r="2772">
      <c r="A2772" s="4" t="n">
        <v>39703</v>
      </c>
      <c r="B2772" s="3" t="n">
        <v>259.6268535039367</v>
      </c>
    </row>
    <row r="2773">
      <c r="A2773" s="4" t="n">
        <v>39706</v>
      </c>
      <c r="B2773" s="3" t="n">
        <v>258.7431678214862</v>
      </c>
    </row>
    <row r="2774">
      <c r="A2774" s="4" t="n">
        <v>39707</v>
      </c>
      <c r="B2774" s="3" t="n">
        <v>257.8005697602057</v>
      </c>
    </row>
    <row r="2775">
      <c r="A2775" s="4" t="n">
        <v>39708</v>
      </c>
      <c r="B2775" s="3" t="n">
        <v>257.5943764343007</v>
      </c>
    </row>
    <row r="2776">
      <c r="A2776" s="4" t="n">
        <v>39709</v>
      </c>
      <c r="B2776" s="3" t="n">
        <v>257.5060078660557</v>
      </c>
    </row>
    <row r="2777">
      <c r="A2777" s="4" t="n">
        <v>39710</v>
      </c>
      <c r="B2777" s="3" t="n">
        <v>257.8594821390358</v>
      </c>
    </row>
    <row r="2778">
      <c r="A2778" s="4" t="n">
        <v>39713</v>
      </c>
      <c r="B2778" s="3" t="n">
        <v>258.3602373590911</v>
      </c>
    </row>
    <row r="2779">
      <c r="A2779" s="4" t="n">
        <v>39714</v>
      </c>
      <c r="B2779" s="3" t="n">
        <v>259.6563096933517</v>
      </c>
    </row>
    <row r="2780">
      <c r="A2780" s="4" t="n">
        <v>39715</v>
      </c>
      <c r="B2780" s="3" t="n">
        <v>261.4531372476676</v>
      </c>
    </row>
    <row r="2781">
      <c r="A2781" s="4" t="n">
        <v>39716</v>
      </c>
      <c r="B2781" s="3" t="n">
        <v>264.1925628632639</v>
      </c>
    </row>
    <row r="2782">
      <c r="A2782" s="4" t="n">
        <v>39717</v>
      </c>
      <c r="B2782" s="3" t="n">
        <v>265.2235294927894</v>
      </c>
    </row>
    <row r="2783">
      <c r="A2783" s="4" t="n">
        <v>39720</v>
      </c>
      <c r="B2783" s="3" t="n">
        <v>266.1661275540699</v>
      </c>
    </row>
    <row r="2784">
      <c r="A2784" s="4" t="n">
        <v>39721</v>
      </c>
      <c r="B2784" s="3" t="n">
        <v>267.4916560777455</v>
      </c>
    </row>
    <row r="2785">
      <c r="A2785" s="4" t="n">
        <v>39722</v>
      </c>
      <c r="B2785" s="3" t="n">
        <v>265.0526724868704</v>
      </c>
    </row>
    <row r="2786">
      <c r="A2786" s="4" t="n">
        <v>39723</v>
      </c>
      <c r="B2786" s="3" t="n">
        <v>265.4902456860013</v>
      </c>
    </row>
    <row r="2787">
      <c r="A2787" s="4" t="n">
        <v>39724</v>
      </c>
      <c r="B2787" s="3" t="n">
        <v>265.8986473385235</v>
      </c>
    </row>
    <row r="2788">
      <c r="A2788" s="4" t="n">
        <v>39727</v>
      </c>
      <c r="B2788" s="3" t="n">
        <v>265.9569904317409</v>
      </c>
    </row>
    <row r="2789">
      <c r="A2789" s="4" t="n">
        <v>39728</v>
      </c>
      <c r="B2789" s="3" t="n">
        <v>266.4237351774805</v>
      </c>
    </row>
    <row r="2790">
      <c r="A2790" s="4" t="n">
        <v>39729</v>
      </c>
      <c r="B2790" s="3" t="n">
        <v>267.1238522960898</v>
      </c>
    </row>
    <row r="2791">
      <c r="A2791" s="4" t="n">
        <v>39730</v>
      </c>
      <c r="B2791" s="3" t="n">
        <v>267.1821953893073</v>
      </c>
    </row>
    <row r="2792">
      <c r="A2792" s="4" t="n">
        <v>39731</v>
      </c>
      <c r="B2792" s="3" t="n">
        <v>267.3280531223509</v>
      </c>
    </row>
    <row r="2793">
      <c r="A2793" s="4" t="n">
        <v>39734</v>
      </c>
      <c r="B2793" s="3" t="n">
        <v>267.4447393087858</v>
      </c>
    </row>
    <row r="2794">
      <c r="A2794" s="4" t="n">
        <v>39735</v>
      </c>
      <c r="B2794" s="3" t="n">
        <v>267.7072832282643</v>
      </c>
    </row>
    <row r="2795">
      <c r="A2795" s="4" t="n">
        <v>39736</v>
      </c>
      <c r="B2795" s="3" t="n">
        <v>267.7656263214818</v>
      </c>
    </row>
    <row r="2796">
      <c r="A2796" s="4" t="n">
        <v>39737</v>
      </c>
      <c r="B2796" s="3" t="n">
        <v>267.8239694146992</v>
      </c>
    </row>
    <row r="2797">
      <c r="A2797" s="4" t="n">
        <v>39738</v>
      </c>
      <c r="B2797" s="3" t="n">
        <v>267.8239694146992</v>
      </c>
    </row>
    <row r="2798">
      <c r="A2798" s="4" t="n">
        <v>39741</v>
      </c>
      <c r="B2798" s="3" t="n">
        <v>267.9114840545254</v>
      </c>
    </row>
    <row r="2799">
      <c r="A2799" s="4" t="n">
        <v>39742</v>
      </c>
      <c r="B2799" s="3" t="n">
        <v>267.6781116816557</v>
      </c>
    </row>
    <row r="2800">
      <c r="A2800" s="4" t="n">
        <v>39743</v>
      </c>
      <c r="B2800" s="3" t="n">
        <v>266.8029652833939</v>
      </c>
    </row>
    <row r="2801">
      <c r="A2801" s="4" t="n">
        <v>39744</v>
      </c>
      <c r="B2801" s="3" t="n">
        <v>264.9359863004355</v>
      </c>
    </row>
    <row r="2802">
      <c r="A2802" s="4" t="n">
        <v>39745</v>
      </c>
      <c r="B2802" s="3" t="n">
        <v>264.2358691818261</v>
      </c>
    </row>
    <row r="2803">
      <c r="A2803" s="4" t="n">
        <v>39748</v>
      </c>
      <c r="B2803" s="3" t="n">
        <v>262.3105471056503</v>
      </c>
    </row>
    <row r="2804">
      <c r="A2804" s="4" t="n">
        <v>39749</v>
      </c>
      <c r="B2804" s="3" t="n">
        <v>258.8974761524295</v>
      </c>
    </row>
    <row r="2805">
      <c r="A2805" s="4" t="n">
        <v>39750</v>
      </c>
      <c r="B2805" s="3" t="n">
        <v>257.3222126355584</v>
      </c>
    </row>
    <row r="2806">
      <c r="A2806" s="4" t="n">
        <v>39751</v>
      </c>
      <c r="B2806" s="3" t="n">
        <v>256.4762377839054</v>
      </c>
    </row>
    <row r="2807">
      <c r="A2807" s="4" t="n">
        <v>39752</v>
      </c>
      <c r="B2807" s="3" t="n">
        <v>256.1261792246007</v>
      </c>
    </row>
    <row r="2808">
      <c r="A2808" s="4" t="n">
        <v>39755</v>
      </c>
      <c r="B2808" s="3" t="n">
        <v>255.0279568264322</v>
      </c>
    </row>
    <row r="2809">
      <c r="A2809" s="4" t="n">
        <v>39756</v>
      </c>
      <c r="B2809" s="3" t="n">
        <v>254.7083000892978</v>
      </c>
    </row>
    <row r="2810">
      <c r="A2810" s="4" t="n">
        <v>39757</v>
      </c>
      <c r="B2810" s="3" t="n">
        <v>254.9117180129288</v>
      </c>
    </row>
    <row r="2811">
      <c r="A2811" s="4" t="n">
        <v>39758</v>
      </c>
      <c r="B2811" s="3" t="n">
        <v>255.2023150466872</v>
      </c>
    </row>
    <row r="2812">
      <c r="A2812" s="4" t="n">
        <v>39759</v>
      </c>
      <c r="B2812" s="3" t="n">
        <v>255.434792673694</v>
      </c>
    </row>
    <row r="2813">
      <c r="A2813" s="4" t="n">
        <v>39762</v>
      </c>
      <c r="B2813" s="3" t="n">
        <v>256.2775240715936</v>
      </c>
    </row>
    <row r="2814">
      <c r="A2814" s="4" t="n">
        <v>39763</v>
      </c>
      <c r="B2814" s="3" t="n">
        <v>257.2364942829965</v>
      </c>
    </row>
    <row r="2815">
      <c r="A2815" s="4" t="n">
        <v>39764</v>
      </c>
      <c r="B2815" s="3" t="n">
        <v>258.5732406382855</v>
      </c>
    </row>
    <row r="2816">
      <c r="A2816" s="4" t="n">
        <v>39765</v>
      </c>
      <c r="B2816" s="3" t="n">
        <v>259.3578526294334</v>
      </c>
    </row>
    <row r="2817">
      <c r="A2817" s="4" t="n">
        <v>39766</v>
      </c>
      <c r="B2817" s="3" t="n">
        <v>259.7646884766952</v>
      </c>
    </row>
    <row r="2818">
      <c r="A2818" s="4" t="n">
        <v>39769</v>
      </c>
      <c r="B2818" s="3" t="n">
        <v>259.7646884766952</v>
      </c>
    </row>
    <row r="2819">
      <c r="A2819" s="4" t="n">
        <v>39770</v>
      </c>
      <c r="B2819" s="3" t="n">
        <v>259.8228078834469</v>
      </c>
    </row>
    <row r="2820">
      <c r="A2820" s="4" t="n">
        <v>39771</v>
      </c>
      <c r="B2820" s="3" t="n">
        <v>259.24161381593</v>
      </c>
    </row>
    <row r="2821">
      <c r="A2821" s="4" t="n">
        <v>39772</v>
      </c>
      <c r="B2821" s="3" t="n">
        <v>259.1253750024266</v>
      </c>
    </row>
    <row r="2822">
      <c r="A2822" s="4" t="n">
        <v>39773</v>
      </c>
      <c r="B2822" s="3" t="n">
        <v>259.0091361889232</v>
      </c>
    </row>
    <row r="2823">
      <c r="A2823" s="4" t="n">
        <v>39776</v>
      </c>
      <c r="B2823" s="3" t="n">
        <v>256.8877778424864</v>
      </c>
    </row>
    <row r="2824">
      <c r="A2824" s="4" t="n">
        <v>39777</v>
      </c>
      <c r="B2824" s="3" t="n">
        <v>255.2313747500631</v>
      </c>
    </row>
    <row r="2825">
      <c r="A2825" s="4" t="n">
        <v>39778</v>
      </c>
      <c r="B2825" s="3" t="n">
        <v>254.5339418690428</v>
      </c>
    </row>
    <row r="2826">
      <c r="A2826" s="4" t="n">
        <v>39779</v>
      </c>
      <c r="B2826" s="3" t="n">
        <v>253.8655686913983</v>
      </c>
    </row>
    <row r="2827">
      <c r="A2827" s="4" t="n">
        <v>39780</v>
      </c>
      <c r="B2827" s="3" t="n">
        <v>253.168135810378</v>
      </c>
    </row>
    <row r="2828">
      <c r="A2828" s="4" t="n">
        <v>39783</v>
      </c>
      <c r="B2828" s="3" t="n">
        <v>252.7661080969446</v>
      </c>
    </row>
    <row r="2829">
      <c r="A2829" s="4" t="n">
        <v>39784</v>
      </c>
      <c r="B2829" s="3" t="n">
        <v>250.5838290469538</v>
      </c>
    </row>
    <row r="2830">
      <c r="A2830" s="4" t="n">
        <v>39785</v>
      </c>
      <c r="B2830" s="3" t="n">
        <v>249.7109174269574</v>
      </c>
    </row>
    <row r="2831">
      <c r="A2831" s="4" t="n">
        <v>39786</v>
      </c>
      <c r="B2831" s="3" t="n">
        <v>248.4306470509627</v>
      </c>
    </row>
    <row r="2832">
      <c r="A2832" s="4" t="n">
        <v>39787</v>
      </c>
      <c r="B2832" s="3" t="n">
        <v>246.2483680009719</v>
      </c>
    </row>
    <row r="2833">
      <c r="A2833" s="4" t="n">
        <v>39790</v>
      </c>
      <c r="B2833" s="3" t="n">
        <v>243.1349832229849</v>
      </c>
    </row>
    <row r="2834">
      <c r="A2834" s="4" t="n">
        <v>39791</v>
      </c>
      <c r="B2834" s="3" t="n">
        <v>239.4396573650003</v>
      </c>
    </row>
    <row r="2835">
      <c r="A2835" s="4" t="n">
        <v>39792</v>
      </c>
      <c r="B2835" s="3" t="n">
        <v>234.2021876450221</v>
      </c>
    </row>
    <row r="2836">
      <c r="A2836" s="4" t="n">
        <v>39793</v>
      </c>
      <c r="B2836" s="3" t="n">
        <v>232.3690732430298</v>
      </c>
    </row>
    <row r="2837">
      <c r="A2837" s="4" t="n">
        <v>39794</v>
      </c>
      <c r="B2837" s="3" t="n">
        <v>230.4486676790378</v>
      </c>
    </row>
    <row r="2838">
      <c r="A2838" s="4" t="n">
        <v>39797</v>
      </c>
      <c r="B2838" s="3" t="n">
        <v>229.0520090870436</v>
      </c>
    </row>
    <row r="2839">
      <c r="A2839" s="4" t="n">
        <v>39798</v>
      </c>
      <c r="B2839" s="3" t="n">
        <v>228.9938149790439</v>
      </c>
    </row>
    <row r="2840">
      <c r="A2840" s="4" t="n">
        <v>39799</v>
      </c>
      <c r="B2840" s="3" t="n">
        <v>229.4011737350422</v>
      </c>
    </row>
    <row r="2841">
      <c r="A2841" s="4" t="n">
        <v>39800</v>
      </c>
      <c r="B2841" s="3" t="n">
        <v>230.7105411650367</v>
      </c>
    </row>
    <row r="2842">
      <c r="A2842" s="4" t="n">
        <v>39801</v>
      </c>
      <c r="B2842" s="3" t="n">
        <v>232.4563644050294</v>
      </c>
    </row>
    <row r="2843">
      <c r="A2843" s="4" t="n">
        <v>39804</v>
      </c>
      <c r="B2843" s="3" t="n">
        <v>233.4456642410253</v>
      </c>
    </row>
    <row r="2844">
      <c r="A2844" s="4" t="n">
        <v>39805</v>
      </c>
      <c r="B2844" s="3" t="n">
        <v>236.8500195590111</v>
      </c>
    </row>
    <row r="2845">
      <c r="A2845" s="4" t="n">
        <v>39808</v>
      </c>
      <c r="B2845" s="3" t="n">
        <v>239.6142396889995</v>
      </c>
    </row>
    <row r="2846">
      <c r="A2846" s="4" t="n">
        <v>39811</v>
      </c>
      <c r="B2846" s="3" t="n">
        <v>246.5684355949705</v>
      </c>
    </row>
    <row r="2847">
      <c r="A2847" s="4" t="n">
        <v>39812</v>
      </c>
      <c r="B2847" s="3" t="n">
        <v>249.07078223896</v>
      </c>
    </row>
    <row r="2848">
      <c r="A2848" s="4" t="n">
        <v>39815</v>
      </c>
      <c r="B2848" s="3" t="n">
        <v>250.4820588019971</v>
      </c>
    </row>
    <row r="2849">
      <c r="A2849" s="4" t="n">
        <v>39818</v>
      </c>
      <c r="B2849" s="3" t="n">
        <v>250.9204243231767</v>
      </c>
    </row>
    <row r="2850">
      <c r="A2850" s="4" t="n">
        <v>39819</v>
      </c>
      <c r="B2850" s="3" t="n">
        <v>250.9788730593339</v>
      </c>
    </row>
    <row r="2851">
      <c r="A2851" s="4" t="n">
        <v>39820</v>
      </c>
      <c r="B2851" s="3" t="n">
        <v>250.1605907531321</v>
      </c>
    </row>
    <row r="2852">
      <c r="A2852" s="4" t="n">
        <v>39821</v>
      </c>
      <c r="B2852" s="3" t="n">
        <v>247.676519466448</v>
      </c>
    </row>
    <row r="2853">
      <c r="A2853" s="4" t="n">
        <v>39822</v>
      </c>
      <c r="B2853" s="3" t="n">
        <v>245.9522817498084</v>
      </c>
    </row>
    <row r="2854">
      <c r="A2854" s="4" t="n">
        <v>39825</v>
      </c>
      <c r="B2854" s="3" t="n">
        <v>245.3093456520784</v>
      </c>
    </row>
    <row r="2855">
      <c r="A2855" s="4" t="n">
        <v>39826</v>
      </c>
      <c r="B2855" s="3" t="n">
        <v>244.3449415054834</v>
      </c>
    </row>
    <row r="2856">
      <c r="A2856" s="4" t="n">
        <v>39827</v>
      </c>
      <c r="B2856" s="3" t="n">
        <v>244.1111465608543</v>
      </c>
    </row>
    <row r="2857">
      <c r="A2857" s="4" t="n">
        <v>39828</v>
      </c>
      <c r="B2857" s="3" t="n">
        <v>243.818902880068</v>
      </c>
    </row>
    <row r="2858">
      <c r="A2858" s="4" t="n">
        <v>39829</v>
      </c>
      <c r="B2858" s="3" t="n">
        <v>243.7896785119893</v>
      </c>
    </row>
    <row r="2859">
      <c r="A2859" s="4" t="n">
        <v>39832</v>
      </c>
      <c r="B2859" s="3" t="n">
        <v>243.7896785119893</v>
      </c>
    </row>
    <row r="2860">
      <c r="A2860" s="4" t="n">
        <v>39833</v>
      </c>
      <c r="B2860" s="3" t="n">
        <v>243.7020054077534</v>
      </c>
    </row>
    <row r="2861">
      <c r="A2861" s="4" t="n">
        <v>39834</v>
      </c>
      <c r="B2861" s="3" t="n">
        <v>243.1759667823379</v>
      </c>
    </row>
    <row r="2862">
      <c r="A2862" s="4" t="n">
        <v>39835</v>
      </c>
      <c r="B2862" s="3" t="n">
        <v>243.1175180461806</v>
      </c>
    </row>
    <row r="2863">
      <c r="A2863" s="4" t="n">
        <v>39836</v>
      </c>
      <c r="B2863" s="3" t="n">
        <v>242.8252743653943</v>
      </c>
    </row>
    <row r="2864">
      <c r="A2864" s="4" t="n">
        <v>39839</v>
      </c>
      <c r="B2864" s="3" t="n">
        <v>242.8837231015516</v>
      </c>
    </row>
    <row r="2865">
      <c r="A2865" s="4" t="n">
        <v>39840</v>
      </c>
      <c r="B2865" s="3" t="n">
        <v>243.7604541439107</v>
      </c>
    </row>
    <row r="2866">
      <c r="A2866" s="4" t="n">
        <v>39841</v>
      </c>
      <c r="B2866" s="3" t="n">
        <v>244.695633922427</v>
      </c>
    </row>
    <row r="2867">
      <c r="A2867" s="4" t="n">
        <v>39842</v>
      </c>
      <c r="B2867" s="3" t="n">
        <v>245.0755507074493</v>
      </c>
    </row>
    <row r="2868">
      <c r="A2868" s="4" t="n">
        <v>39843</v>
      </c>
      <c r="B2868" s="3" t="n">
        <v>245.1924481797639</v>
      </c>
    </row>
    <row r="2869">
      <c r="A2869" s="4" t="n">
        <v>39846</v>
      </c>
      <c r="B2869" s="3" t="n">
        <v>244.5265199136422</v>
      </c>
    </row>
    <row r="2870">
      <c r="A2870" s="4" t="n">
        <v>39847</v>
      </c>
      <c r="B2870" s="3" t="n">
        <v>244.1475897957644</v>
      </c>
    </row>
    <row r="2871">
      <c r="A2871" s="4" t="n">
        <v>39848</v>
      </c>
      <c r="B2871" s="3" t="n">
        <v>243.2148387363727</v>
      </c>
    </row>
    <row r="2872">
      <c r="A2872" s="4" t="n">
        <v>39849</v>
      </c>
      <c r="B2872" s="3" t="n">
        <v>242.2529392063751</v>
      </c>
    </row>
    <row r="2873">
      <c r="A2873" s="4" t="n">
        <v>39850</v>
      </c>
      <c r="B2873" s="3" t="n">
        <v>241.5825243824373</v>
      </c>
    </row>
    <row r="2874">
      <c r="A2874" s="4" t="n">
        <v>39853</v>
      </c>
      <c r="B2874" s="3" t="n">
        <v>239.1632013221402</v>
      </c>
    </row>
    <row r="2875">
      <c r="A2875" s="4" t="n">
        <v>39854</v>
      </c>
      <c r="B2875" s="3" t="n">
        <v>237.4725900269929</v>
      </c>
    </row>
    <row r="2876">
      <c r="A2876" s="4" t="n">
        <v>39855</v>
      </c>
      <c r="B2876" s="3" t="n">
        <v>235.5779394376036</v>
      </c>
    </row>
    <row r="2877">
      <c r="A2877" s="4" t="n">
        <v>39856</v>
      </c>
      <c r="B2877" s="3" t="n">
        <v>235.3739001433617</v>
      </c>
    </row>
    <row r="2878">
      <c r="A2878" s="4" t="n">
        <v>39857</v>
      </c>
      <c r="B2878" s="3" t="n">
        <v>235.5779394376036</v>
      </c>
    </row>
    <row r="2879">
      <c r="A2879" s="4" t="n">
        <v>39860</v>
      </c>
      <c r="B2879" s="3" t="n">
        <v>235.7819787318455</v>
      </c>
    </row>
    <row r="2880">
      <c r="A2880" s="4" t="n">
        <v>39861</v>
      </c>
      <c r="B2880" s="3" t="n">
        <v>235.5779394376036</v>
      </c>
    </row>
    <row r="2881">
      <c r="A2881" s="4" t="n">
        <v>39862</v>
      </c>
      <c r="B2881" s="3" t="n">
        <v>235.8694241436635</v>
      </c>
    </row>
    <row r="2882">
      <c r="A2882" s="4" t="n">
        <v>39863</v>
      </c>
      <c r="B2882" s="3" t="n">
        <v>235.8111272024515</v>
      </c>
    </row>
    <row r="2883">
      <c r="A2883" s="4" t="n">
        <v>39864</v>
      </c>
      <c r="B2883" s="3" t="n">
        <v>234.6743368488179</v>
      </c>
    </row>
    <row r="2884">
      <c r="A2884" s="4" t="n">
        <v>39869</v>
      </c>
      <c r="B2884" s="3" t="n">
        <v>234.586891437</v>
      </c>
    </row>
    <row r="2885">
      <c r="A2885" s="4" t="n">
        <v>39870</v>
      </c>
      <c r="B2885" s="3" t="n">
        <v>234.0330704954862</v>
      </c>
    </row>
    <row r="2886">
      <c r="A2886" s="4" t="n">
        <v>39871</v>
      </c>
      <c r="B2886" s="3" t="n">
        <v>232.8671316712466</v>
      </c>
    </row>
    <row r="2887">
      <c r="A2887" s="4" t="n">
        <v>39874</v>
      </c>
      <c r="B2887" s="3" t="n">
        <v>233.0178532544727</v>
      </c>
    </row>
    <row r="2888">
      <c r="A2888" s="4" t="n">
        <v>39875</v>
      </c>
      <c r="B2888" s="3" t="n">
        <v>232.1075125549278</v>
      </c>
    </row>
    <row r="2889">
      <c r="A2889" s="4" t="n">
        <v>39876</v>
      </c>
      <c r="B2889" s="3" t="n">
        <v>231.402732658506</v>
      </c>
    </row>
    <row r="2890">
      <c r="A2890" s="4" t="n">
        <v>39877</v>
      </c>
      <c r="B2890" s="3" t="n">
        <v>230.6098552750314</v>
      </c>
    </row>
    <row r="2891">
      <c r="A2891" s="4" t="n">
        <v>39878</v>
      </c>
      <c r="B2891" s="3" t="n">
        <v>229.3764904562931</v>
      </c>
    </row>
    <row r="2892">
      <c r="A2892" s="4" t="n">
        <v>39881</v>
      </c>
      <c r="B2892" s="3" t="n">
        <v>229.317758798258</v>
      </c>
    </row>
    <row r="2893">
      <c r="A2893" s="4" t="n">
        <v>39882</v>
      </c>
      <c r="B2893" s="3" t="n">
        <v>227.6732723732737</v>
      </c>
    </row>
    <row r="2894">
      <c r="A2894" s="4" t="n">
        <v>39883</v>
      </c>
      <c r="B2894" s="3" t="n">
        <v>226.5573708706058</v>
      </c>
    </row>
    <row r="2895">
      <c r="A2895" s="4" t="n">
        <v>39884</v>
      </c>
      <c r="B2895" s="3" t="n">
        <v>225.0597135907094</v>
      </c>
    </row>
    <row r="2896">
      <c r="A2896" s="4" t="n">
        <v>39885</v>
      </c>
      <c r="B2896" s="3" t="n">
        <v>224.4723970103578</v>
      </c>
    </row>
    <row r="2897">
      <c r="A2897" s="4" t="n">
        <v>39888</v>
      </c>
      <c r="B2897" s="3" t="n">
        <v>224.4430311813402</v>
      </c>
    </row>
    <row r="2898">
      <c r="A2898" s="4" t="n">
        <v>39889</v>
      </c>
      <c r="B2898" s="3" t="n">
        <v>223.8263487719711</v>
      </c>
    </row>
    <row r="2899">
      <c r="A2899" s="4" t="n">
        <v>39890</v>
      </c>
      <c r="B2899" s="3" t="n">
        <v>223.7088854559008</v>
      </c>
    </row>
    <row r="2900">
      <c r="A2900" s="4" t="n">
        <v>39891</v>
      </c>
      <c r="B2900" s="3" t="n">
        <v>223.9438120880415</v>
      </c>
    </row>
    <row r="2901">
      <c r="A2901" s="4" t="n">
        <v>39892</v>
      </c>
      <c r="B2901" s="3" t="n">
        <v>224.6779578134808</v>
      </c>
    </row>
    <row r="2902">
      <c r="A2902" s="4" t="n">
        <v>39895</v>
      </c>
      <c r="B2902" s="3" t="n">
        <v>225.6763960000784</v>
      </c>
    </row>
    <row r="2903">
      <c r="A2903" s="4" t="n">
        <v>39896</v>
      </c>
      <c r="B2903" s="3" t="n">
        <v>227.1153216219397</v>
      </c>
    </row>
    <row r="2904">
      <c r="A2904" s="4" t="n">
        <v>39897</v>
      </c>
      <c r="B2904" s="3" t="n">
        <v>227.7320040313088</v>
      </c>
    </row>
    <row r="2905">
      <c r="A2905" s="4" t="n">
        <v>39898</v>
      </c>
      <c r="B2905" s="3" t="n">
        <v>228.6423447308537</v>
      </c>
    </row>
    <row r="2906">
      <c r="A2906" s="4" t="n">
        <v>39899</v>
      </c>
      <c r="B2906" s="3" t="n">
        <v>229.317758798258</v>
      </c>
    </row>
    <row r="2907">
      <c r="A2907" s="4" t="n">
        <v>39902</v>
      </c>
      <c r="B2907" s="3" t="n">
        <v>229.7582462335216</v>
      </c>
    </row>
    <row r="2908">
      <c r="A2908" s="4" t="n">
        <v>39903</v>
      </c>
      <c r="B2908" s="3" t="n">
        <v>231.2852693424357</v>
      </c>
    </row>
    <row r="2909">
      <c r="A2909" s="4" t="n">
        <v>39904</v>
      </c>
      <c r="B2909" s="3" t="n">
        <v>232.7884461701307</v>
      </c>
    </row>
    <row r="2910">
      <c r="A2910" s="4" t="n">
        <v>39905</v>
      </c>
      <c r="B2910" s="3" t="n">
        <v>235.3472073598719</v>
      </c>
    </row>
    <row r="2911">
      <c r="A2911" s="4" t="n">
        <v>39906</v>
      </c>
      <c r="B2911" s="3" t="n">
        <v>235.6413178414513</v>
      </c>
    </row>
    <row r="2912">
      <c r="A2912" s="4" t="n">
        <v>39909</v>
      </c>
      <c r="B2912" s="3" t="n">
        <v>236.0530725156626</v>
      </c>
    </row>
    <row r="2913">
      <c r="A2913" s="4" t="n">
        <v>39910</v>
      </c>
      <c r="B2913" s="3" t="n">
        <v>236.4060050935579</v>
      </c>
    </row>
    <row r="2914">
      <c r="A2914" s="4" t="n">
        <v>39911</v>
      </c>
      <c r="B2914" s="3" t="n">
        <v>236.7001155751373</v>
      </c>
    </row>
    <row r="2915">
      <c r="A2915" s="4" t="n">
        <v>39912</v>
      </c>
      <c r="B2915" s="3" t="n">
        <v>236.7001155751373</v>
      </c>
    </row>
    <row r="2916">
      <c r="A2916" s="4" t="n">
        <v>39916</v>
      </c>
      <c r="B2916" s="3" t="n">
        <v>238.2294900793505</v>
      </c>
    </row>
    <row r="2917">
      <c r="A2917" s="4" t="n">
        <v>39917</v>
      </c>
      <c r="B2917" s="3" t="n">
        <v>238.3471342719822</v>
      </c>
    </row>
    <row r="2918">
      <c r="A2918" s="4" t="n">
        <v>39918</v>
      </c>
      <c r="B2918" s="3" t="n">
        <v>238.2589011275084</v>
      </c>
    </row>
    <row r="2919">
      <c r="A2919" s="4" t="n">
        <v>39919</v>
      </c>
      <c r="B2919" s="3" t="n">
        <v>238.2294900793505</v>
      </c>
    </row>
    <row r="2920">
      <c r="A2920" s="4" t="n">
        <v>39920</v>
      </c>
      <c r="B2920" s="3" t="n">
        <v>237.7589133088233</v>
      </c>
    </row>
    <row r="2921">
      <c r="A2921" s="4" t="n">
        <v>39923</v>
      </c>
      <c r="B2921" s="3" t="n">
        <v>236.6118824306635</v>
      </c>
    </row>
    <row r="2922">
      <c r="A2922" s="4" t="n">
        <v>39925</v>
      </c>
      <c r="B2922" s="3" t="n">
        <v>234.9942747819766</v>
      </c>
    </row>
    <row r="2923">
      <c r="A2923" s="4" t="n">
        <v>39926</v>
      </c>
      <c r="B2923" s="3" t="n">
        <v>232.9649124590784</v>
      </c>
    </row>
    <row r="2924">
      <c r="A2924" s="4" t="n">
        <v>39927</v>
      </c>
      <c r="B2924" s="3" t="n">
        <v>232.8178572182887</v>
      </c>
    </row>
    <row r="2925">
      <c r="A2925" s="4" t="n">
        <v>39930</v>
      </c>
      <c r="B2925" s="3" t="n">
        <v>232.8178572182887</v>
      </c>
    </row>
    <row r="2926">
      <c r="A2926" s="4" t="n">
        <v>39931</v>
      </c>
      <c r="B2926" s="3" t="n">
        <v>232.9060903627625</v>
      </c>
    </row>
    <row r="2927">
      <c r="A2927" s="4" t="n">
        <v>39932</v>
      </c>
      <c r="B2927" s="3" t="n">
        <v>232.4355135922354</v>
      </c>
    </row>
    <row r="2928">
      <c r="A2928" s="4" t="n">
        <v>39933</v>
      </c>
      <c r="B2928" s="3" t="n">
        <v>231.7002373882868</v>
      </c>
    </row>
    <row r="2929">
      <c r="A2929" s="4" t="n">
        <v>39937</v>
      </c>
      <c r="B2929" s="3" t="n">
        <v>231.8982267225383</v>
      </c>
    </row>
    <row r="2930">
      <c r="A2930" s="4" t="n">
        <v>39938</v>
      </c>
      <c r="B2930" s="3" t="n">
        <v>230.2794422994212</v>
      </c>
    </row>
    <row r="2931">
      <c r="A2931" s="4" t="n">
        <v>39939</v>
      </c>
      <c r="B2931" s="3" t="n">
        <v>229.1610094252676</v>
      </c>
    </row>
    <row r="2932">
      <c r="A2932" s="4" t="n">
        <v>39940</v>
      </c>
      <c r="B2932" s="3" t="n">
        <v>229.3376040896076</v>
      </c>
    </row>
    <row r="2933">
      <c r="A2933" s="4" t="n">
        <v>39941</v>
      </c>
      <c r="B2933" s="3" t="n">
        <v>228.9255498728142</v>
      </c>
    </row>
    <row r="2934">
      <c r="A2934" s="4" t="n">
        <v>39944</v>
      </c>
      <c r="B2934" s="3" t="n">
        <v>228.6017929881908</v>
      </c>
    </row>
    <row r="2935">
      <c r="A2935" s="4" t="n">
        <v>39945</v>
      </c>
      <c r="B2935" s="3" t="n">
        <v>229.4553338658343</v>
      </c>
    </row>
    <row r="2936">
      <c r="A2936" s="4" t="n">
        <v>39946</v>
      </c>
      <c r="B2936" s="3" t="n">
        <v>229.5141987539477</v>
      </c>
    </row>
    <row r="2937">
      <c r="A2937" s="4" t="n">
        <v>39947</v>
      </c>
      <c r="B2937" s="3" t="n">
        <v>230.0145503029111</v>
      </c>
    </row>
    <row r="2938">
      <c r="A2938" s="4" t="n">
        <v>39948</v>
      </c>
      <c r="B2938" s="3" t="n">
        <v>230.7209289602713</v>
      </c>
    </row>
    <row r="2939">
      <c r="A2939" s="4" t="n">
        <v>39951</v>
      </c>
      <c r="B2939" s="3" t="n">
        <v>232.1336862749917</v>
      </c>
    </row>
    <row r="2940">
      <c r="A2940" s="4" t="n">
        <v>39952</v>
      </c>
      <c r="B2940" s="3" t="n">
        <v>236.6074177716062</v>
      </c>
    </row>
    <row r="2941">
      <c r="A2941" s="4" t="n">
        <v>39953</v>
      </c>
      <c r="B2941" s="3" t="n">
        <v>237.9907426422699</v>
      </c>
    </row>
    <row r="2942">
      <c r="A2942" s="4" t="n">
        <v>39954</v>
      </c>
      <c r="B2942" s="3" t="n">
        <v>238.3733644150067</v>
      </c>
    </row>
    <row r="2943">
      <c r="A2943" s="4" t="n">
        <v>39955</v>
      </c>
      <c r="B2943" s="3" t="n">
        <v>238.2262021947233</v>
      </c>
    </row>
    <row r="2944">
      <c r="A2944" s="4" t="n">
        <v>39958</v>
      </c>
      <c r="B2944" s="3" t="n">
        <v>238.25563463878</v>
      </c>
    </row>
    <row r="2945">
      <c r="A2945" s="4" t="n">
        <v>39959</v>
      </c>
      <c r="B2945" s="3" t="n">
        <v>238.34393197095</v>
      </c>
    </row>
    <row r="2946">
      <c r="A2946" s="4" t="n">
        <v>39960</v>
      </c>
      <c r="B2946" s="3" t="n">
        <v>238.9325808520835</v>
      </c>
    </row>
    <row r="2947">
      <c r="A2947" s="4" t="n">
        <v>39961</v>
      </c>
      <c r="B2947" s="3" t="n">
        <v>240.3159057227472</v>
      </c>
    </row>
    <row r="2948">
      <c r="A2948" s="4" t="n">
        <v>39962</v>
      </c>
      <c r="B2948" s="3" t="n">
        <v>240.9045546038807</v>
      </c>
    </row>
    <row r="2949">
      <c r="A2949" s="4" t="n">
        <v>39965</v>
      </c>
      <c r="B2949" s="3" t="n">
        <v>239.4617265047259</v>
      </c>
    </row>
    <row r="2950">
      <c r="A2950" s="4" t="n">
        <v>39966</v>
      </c>
      <c r="B2950" s="3" t="n">
        <v>238.6662704742599</v>
      </c>
    </row>
    <row r="2951">
      <c r="A2951" s="4" t="n">
        <v>39967</v>
      </c>
      <c r="B2951" s="3" t="n">
        <v>237.1932037511747</v>
      </c>
    </row>
    <row r="2952">
      <c r="A2952" s="4" t="n">
        <v>39968</v>
      </c>
      <c r="B2952" s="3" t="n">
        <v>236.3388250517853</v>
      </c>
    </row>
    <row r="2953">
      <c r="A2953" s="4" t="n">
        <v>39969</v>
      </c>
      <c r="B2953" s="3" t="n">
        <v>236.3093637173235</v>
      </c>
    </row>
    <row r="2954">
      <c r="A2954" s="4" t="n">
        <v>39972</v>
      </c>
      <c r="B2954" s="3" t="n">
        <v>236.1031343760917</v>
      </c>
    </row>
    <row r="2955">
      <c r="A2955" s="4" t="n">
        <v>39973</v>
      </c>
      <c r="B2955" s="3" t="n">
        <v>236.3388250517853</v>
      </c>
    </row>
    <row r="2956">
      <c r="A2956" s="4" t="n">
        <v>39974</v>
      </c>
      <c r="B2956" s="3" t="n">
        <v>236.8102064031725</v>
      </c>
    </row>
    <row r="2957">
      <c r="A2957" s="4" t="n">
        <v>39976</v>
      </c>
      <c r="B2957" s="3" t="n">
        <v>236.2209797139385</v>
      </c>
    </row>
    <row r="2958">
      <c r="A2958" s="4" t="n">
        <v>39979</v>
      </c>
      <c r="B2958" s="3" t="n">
        <v>237.163742416713</v>
      </c>
    </row>
    <row r="2959">
      <c r="A2959" s="4" t="n">
        <v>39980</v>
      </c>
      <c r="B2959" s="3" t="n">
        <v>237.3699717579449</v>
      </c>
    </row>
    <row r="2960">
      <c r="A2960" s="4" t="n">
        <v>39981</v>
      </c>
      <c r="B2960" s="3" t="n">
        <v>237.9297371127173</v>
      </c>
    </row>
    <row r="2961">
      <c r="A2961" s="4" t="n">
        <v>39982</v>
      </c>
      <c r="B2961" s="3" t="n">
        <v>237.9297371127173</v>
      </c>
    </row>
    <row r="2962">
      <c r="A2962" s="4" t="n">
        <v>39983</v>
      </c>
      <c r="B2962" s="3" t="n">
        <v>237.9297371127173</v>
      </c>
    </row>
    <row r="2963">
      <c r="A2963" s="4" t="n">
        <v>39986</v>
      </c>
      <c r="B2963" s="3" t="n">
        <v>238.4305797985662</v>
      </c>
    </row>
    <row r="2964">
      <c r="A2964" s="4" t="n">
        <v>39987</v>
      </c>
      <c r="B2964" s="3" t="n">
        <v>238.6368091397982</v>
      </c>
    </row>
    <row r="2965">
      <c r="A2965" s="4" t="n">
        <v>39988</v>
      </c>
      <c r="B2965" s="3" t="n">
        <v>238.8135771465684</v>
      </c>
    </row>
    <row r="2966">
      <c r="A2966" s="4" t="n">
        <v>39989</v>
      </c>
      <c r="B2966" s="3" t="n">
        <v>239.550110508111</v>
      </c>
    </row>
    <row r="2967">
      <c r="A2967" s="4" t="n">
        <v>39990</v>
      </c>
      <c r="B2967" s="3" t="n">
        <v>241.3177905758131</v>
      </c>
    </row>
    <row r="2968">
      <c r="A2968" s="4" t="n">
        <v>39993</v>
      </c>
      <c r="B2968" s="3" t="n">
        <v>241.9954012684324</v>
      </c>
    </row>
    <row r="2969">
      <c r="A2969" s="4" t="n">
        <v>39994</v>
      </c>
      <c r="B2969" s="3" t="n">
        <v>241.6418652548919</v>
      </c>
    </row>
    <row r="2970">
      <c r="A2970" s="4" t="n">
        <v>39995</v>
      </c>
      <c r="B2970" s="3" t="n">
        <v>241.8689504296819</v>
      </c>
    </row>
    <row r="2971">
      <c r="A2971" s="4" t="n">
        <v>39996</v>
      </c>
      <c r="B2971" s="3" t="n">
        <v>241.0996095058781</v>
      </c>
    </row>
    <row r="2972">
      <c r="A2972" s="4" t="n">
        <v>39997</v>
      </c>
      <c r="B2972" s="3" t="n">
        <v>241.6322301454346</v>
      </c>
    </row>
    <row r="2973">
      <c r="A2973" s="4" t="n">
        <v>40000</v>
      </c>
      <c r="B2973" s="3" t="n">
        <v>242.5791112824238</v>
      </c>
    </row>
    <row r="2974">
      <c r="A2974" s="4" t="n">
        <v>40001</v>
      </c>
      <c r="B2974" s="3" t="n">
        <v>242.7566514956092</v>
      </c>
    </row>
    <row r="2975">
      <c r="A2975" s="4" t="n">
        <v>40002</v>
      </c>
      <c r="B2975" s="3" t="n">
        <v>241.1883796124709</v>
      </c>
    </row>
    <row r="2976">
      <c r="A2976" s="4" t="n">
        <v>40004</v>
      </c>
      <c r="B2976" s="3" t="n">
        <v>241.8985404652128</v>
      </c>
    </row>
    <row r="2977">
      <c r="A2977" s="4" t="n">
        <v>40007</v>
      </c>
      <c r="B2977" s="3" t="n">
        <v>241.3363297901255</v>
      </c>
    </row>
    <row r="2978">
      <c r="A2978" s="4" t="n">
        <v>40008</v>
      </c>
      <c r="B2978" s="3" t="n">
        <v>241.8985404652128</v>
      </c>
    </row>
    <row r="2979">
      <c r="A2979" s="4" t="n">
        <v>40009</v>
      </c>
      <c r="B2979" s="3" t="n">
        <v>241.9873105718055</v>
      </c>
    </row>
    <row r="2980">
      <c r="A2980" s="4" t="n">
        <v>40010</v>
      </c>
      <c r="B2980" s="3" t="n">
        <v>241.129199541409</v>
      </c>
    </row>
    <row r="2981">
      <c r="A2981" s="4" t="n">
        <v>40011</v>
      </c>
      <c r="B2981" s="3" t="n">
        <v>242.3719810337074</v>
      </c>
    </row>
    <row r="2982">
      <c r="A2982" s="4" t="n">
        <v>40014</v>
      </c>
      <c r="B2982" s="3" t="n">
        <v>242.164850784991</v>
      </c>
    </row>
    <row r="2983">
      <c r="A2983" s="4" t="n">
        <v>40015</v>
      </c>
      <c r="B2983" s="3" t="n">
        <v>241.0700194703472</v>
      </c>
    </row>
    <row r="2984">
      <c r="A2984" s="4" t="n">
        <v>40016</v>
      </c>
      <c r="B2984" s="3" t="n">
        <v>240.5669888663217</v>
      </c>
    </row>
    <row r="2985">
      <c r="A2985" s="4" t="n">
        <v>40017</v>
      </c>
      <c r="B2985" s="3" t="n">
        <v>240.5078087952599</v>
      </c>
    </row>
    <row r="2986">
      <c r="A2986" s="4" t="n">
        <v>40018</v>
      </c>
      <c r="B2986" s="3" t="n">
        <v>239.5313376227398</v>
      </c>
    </row>
    <row r="2987">
      <c r="A2987" s="4" t="n">
        <v>40021</v>
      </c>
      <c r="B2987" s="3" t="n">
        <v>238.9099468765906</v>
      </c>
    </row>
    <row r="2988">
      <c r="A2988" s="4" t="n">
        <v>40022</v>
      </c>
      <c r="B2988" s="3" t="n">
        <v>238.9395369121215</v>
      </c>
    </row>
    <row r="2989">
      <c r="A2989" s="4" t="n">
        <v>40023</v>
      </c>
      <c r="B2989" s="3" t="n">
        <v>238.8211767699978</v>
      </c>
    </row>
    <row r="2990">
      <c r="A2990" s="4" t="n">
        <v>40024</v>
      </c>
      <c r="B2990" s="3" t="n">
        <v>238.436506308096</v>
      </c>
    </row>
    <row r="2991">
      <c r="A2991" s="4" t="n">
        <v>40025</v>
      </c>
      <c r="B2991" s="3" t="n">
        <v>237.755935490885</v>
      </c>
    </row>
    <row r="2992">
      <c r="A2992" s="4" t="n">
        <v>40028</v>
      </c>
      <c r="B2992" s="3" t="n">
        <v>236.9269326204641</v>
      </c>
    </row>
    <row r="2993">
      <c r="A2993" s="4" t="n">
        <v>40029</v>
      </c>
      <c r="B2993" s="3" t="n">
        <v>235.6499386241392</v>
      </c>
    </row>
    <row r="2994">
      <c r="A2994" s="4" t="n">
        <v>40030</v>
      </c>
      <c r="B2994" s="3" t="n">
        <v>231.3140985435942</v>
      </c>
    </row>
    <row r="2995">
      <c r="A2995" s="4" t="n">
        <v>40031</v>
      </c>
      <c r="B2995" s="3" t="n">
        <v>230.5122651040414</v>
      </c>
    </row>
    <row r="2996">
      <c r="A2996" s="4" t="n">
        <v>40032</v>
      </c>
      <c r="B2996" s="3" t="n">
        <v>229.5025489209008</v>
      </c>
    </row>
    <row r="2997">
      <c r="A2997" s="4" t="n">
        <v>40035</v>
      </c>
      <c r="B2997" s="3" t="n">
        <v>229.5619439904972</v>
      </c>
    </row>
    <row r="2998">
      <c r="A2998" s="4" t="n">
        <v>40036</v>
      </c>
      <c r="B2998" s="3" t="n">
        <v>231.1656108696029</v>
      </c>
    </row>
    <row r="2999">
      <c r="A2999" s="4" t="n">
        <v>40037</v>
      </c>
      <c r="B2999" s="3" t="n">
        <v>234.4620372322091</v>
      </c>
    </row>
    <row r="3000">
      <c r="A3000" s="4" t="n">
        <v>40038</v>
      </c>
      <c r="B3000" s="3" t="n">
        <v>234.9668953237794</v>
      </c>
    </row>
    <row r="3001">
      <c r="A3001" s="4" t="n">
        <v>40039</v>
      </c>
      <c r="B3001" s="3" t="n">
        <v>234.6402224409986</v>
      </c>
    </row>
    <row r="3002">
      <c r="A3002" s="4" t="n">
        <v>40042</v>
      </c>
      <c r="B3002" s="3" t="n">
        <v>234.5511298366038</v>
      </c>
    </row>
    <row r="3003">
      <c r="A3003" s="4" t="n">
        <v>40043</v>
      </c>
      <c r="B3003" s="3" t="n">
        <v>233.5117161186649</v>
      </c>
    </row>
    <row r="3004">
      <c r="A3004" s="4" t="n">
        <v>40044</v>
      </c>
      <c r="B3004" s="3" t="n">
        <v>232.0268393787523</v>
      </c>
    </row>
    <row r="3005">
      <c r="A3005" s="4" t="n">
        <v>40045</v>
      </c>
      <c r="B3005" s="3" t="n">
        <v>229.5916415252955</v>
      </c>
    </row>
    <row r="3006">
      <c r="A3006" s="4" t="n">
        <v>40046</v>
      </c>
      <c r="B3006" s="3" t="n">
        <v>229.4728513861025</v>
      </c>
    </row>
    <row r="3007">
      <c r="A3007" s="4" t="n">
        <v>40049</v>
      </c>
      <c r="B3007" s="3" t="n">
        <v>230.0668020820676</v>
      </c>
    </row>
    <row r="3008">
      <c r="A3008" s="4" t="n">
        <v>40050</v>
      </c>
      <c r="B3008" s="3" t="n">
        <v>230.2152897560588</v>
      </c>
    </row>
    <row r="3009">
      <c r="A3009" s="4" t="n">
        <v>40051</v>
      </c>
      <c r="B3009" s="3" t="n">
        <v>228.5522278073566</v>
      </c>
    </row>
    <row r="3010">
      <c r="A3010" s="4" t="n">
        <v>40052</v>
      </c>
      <c r="B3010" s="3" t="n">
        <v>228.4334376681637</v>
      </c>
    </row>
    <row r="3011">
      <c r="A3011" s="4" t="n">
        <v>40053</v>
      </c>
      <c r="B3011" s="3" t="n">
        <v>227.3346288806283</v>
      </c>
    </row>
    <row r="3012">
      <c r="A3012" s="4" t="n">
        <v>40056</v>
      </c>
      <c r="B3012" s="3" t="n">
        <v>226.710980649865</v>
      </c>
    </row>
    <row r="3013">
      <c r="A3013" s="4" t="n">
        <v>40057</v>
      </c>
      <c r="B3013" s="3" t="n">
        <v>225.4383959797009</v>
      </c>
    </row>
    <row r="3014">
      <c r="A3014" s="4" t="n">
        <v>40058</v>
      </c>
      <c r="B3014" s="3" t="n">
        <v>225.2313818419785</v>
      </c>
    </row>
    <row r="3015">
      <c r="A3015" s="4" t="n">
        <v>40059</v>
      </c>
      <c r="B3015" s="3" t="n">
        <v>224.6103394288113</v>
      </c>
    </row>
    <row r="3016">
      <c r="A3016" s="4" t="n">
        <v>40060</v>
      </c>
      <c r="B3016" s="3" t="n">
        <v>223.6048421884453</v>
      </c>
    </row>
    <row r="3017">
      <c r="A3017" s="4" t="n">
        <v>40064</v>
      </c>
      <c r="B3017" s="3" t="n">
        <v>224.0188704638902</v>
      </c>
    </row>
    <row r="3018">
      <c r="A3018" s="4" t="n">
        <v>40065</v>
      </c>
      <c r="B3018" s="3" t="n">
        <v>224.965220807764</v>
      </c>
    </row>
    <row r="3019">
      <c r="A3019" s="4" t="n">
        <v>40066</v>
      </c>
      <c r="B3019" s="3" t="n">
        <v>223.8710032226599</v>
      </c>
    </row>
    <row r="3020">
      <c r="A3020" s="4" t="n">
        <v>40067</v>
      </c>
      <c r="B3020" s="3" t="n">
        <v>223.959723567398</v>
      </c>
    </row>
    <row r="3021">
      <c r="A3021" s="4" t="n">
        <v>40070</v>
      </c>
      <c r="B3021" s="3" t="n">
        <v>224.965220807764</v>
      </c>
    </row>
    <row r="3022">
      <c r="A3022" s="4" t="n">
        <v>40071</v>
      </c>
      <c r="B3022" s="3" t="n">
        <v>224.7582066700416</v>
      </c>
    </row>
    <row r="3023">
      <c r="A3023" s="4" t="n">
        <v>40072</v>
      </c>
      <c r="B3023" s="3" t="n">
        <v>224.5511925323192</v>
      </c>
    </row>
    <row r="3024">
      <c r="A3024" s="4" t="n">
        <v>40073</v>
      </c>
      <c r="B3024" s="3" t="n">
        <v>228.3957408043068</v>
      </c>
    </row>
    <row r="3025">
      <c r="A3025" s="4" t="n">
        <v>40074</v>
      </c>
      <c r="B3025" s="3" t="n">
        <v>228.6914752867673</v>
      </c>
    </row>
    <row r="3026">
      <c r="A3026" s="4" t="n">
        <v>40077</v>
      </c>
      <c r="B3026" s="3" t="n">
        <v>232.7726111447233</v>
      </c>
    </row>
    <row r="3027">
      <c r="A3027" s="4" t="n">
        <v>40078</v>
      </c>
      <c r="B3027" s="3" t="n">
        <v>234.2217101087802</v>
      </c>
    </row>
    <row r="3028">
      <c r="A3028" s="4" t="n">
        <v>40079</v>
      </c>
      <c r="B3028" s="3" t="n">
        <v>231.057351146452</v>
      </c>
    </row>
    <row r="3029">
      <c r="A3029" s="4" t="n">
        <v>40080</v>
      </c>
      <c r="B3029" s="3" t="n">
        <v>234.132989764042</v>
      </c>
    </row>
    <row r="3030">
      <c r="A3030" s="4" t="n">
        <v>40081</v>
      </c>
      <c r="B3030" s="3" t="n">
        <v>233.7485349368433</v>
      </c>
    </row>
    <row r="3031">
      <c r="A3031" s="4" t="n">
        <v>40084</v>
      </c>
      <c r="B3031" s="3" t="n">
        <v>234.1921366605341</v>
      </c>
    </row>
    <row r="3032">
      <c r="A3032" s="4" t="n">
        <v>40085</v>
      </c>
      <c r="B3032" s="3" t="n">
        <v>234.6948852807171</v>
      </c>
    </row>
    <row r="3033">
      <c r="A3033" s="4" t="n">
        <v>40086</v>
      </c>
      <c r="B3033" s="3" t="n">
        <v>235.3750745903765</v>
      </c>
    </row>
    <row r="3034">
      <c r="A3034" s="4" t="n">
        <v>40087</v>
      </c>
      <c r="B3034" s="3" t="n">
        <v>234.4404923370087</v>
      </c>
    </row>
    <row r="3035">
      <c r="A3035" s="4" t="n">
        <v>40088</v>
      </c>
      <c r="B3035" s="3" t="n">
        <v>233.7014919198576</v>
      </c>
    </row>
    <row r="3036">
      <c r="A3036" s="4" t="n">
        <v>40091</v>
      </c>
      <c r="B3036" s="3" t="n">
        <v>234.7360925038691</v>
      </c>
    </row>
    <row r="3037">
      <c r="A3037" s="4" t="n">
        <v>40092</v>
      </c>
      <c r="B3037" s="3" t="n">
        <v>233.1694116195088</v>
      </c>
    </row>
    <row r="3038">
      <c r="A3038" s="4" t="n">
        <v>40093</v>
      </c>
      <c r="B3038" s="3" t="n">
        <v>232.63733131916</v>
      </c>
    </row>
    <row r="3039">
      <c r="A3039" s="4" t="n">
        <v>40094</v>
      </c>
      <c r="B3039" s="3" t="n">
        <v>231.1297704681718</v>
      </c>
    </row>
    <row r="3040">
      <c r="A3040" s="4" t="n">
        <v>40095</v>
      </c>
      <c r="B3040" s="3" t="n">
        <v>230.8932903346835</v>
      </c>
    </row>
    <row r="3041">
      <c r="A3041" s="4" t="n">
        <v>40099</v>
      </c>
      <c r="B3041" s="3" t="n">
        <v>229.2674894169511</v>
      </c>
    </row>
    <row r="3042">
      <c r="A3042" s="4" t="n">
        <v>40100</v>
      </c>
      <c r="B3042" s="3" t="n">
        <v>226.1045676315445</v>
      </c>
    </row>
    <row r="3043">
      <c r="A3043" s="4" t="n">
        <v>40101</v>
      </c>
      <c r="B3043" s="3" t="n">
        <v>228.3511288996838</v>
      </c>
    </row>
    <row r="3044">
      <c r="A3044" s="4" t="n">
        <v>40102</v>
      </c>
      <c r="B3044" s="3" t="n">
        <v>228.8832092000326</v>
      </c>
    </row>
    <row r="3045">
      <c r="A3045" s="4" t="n">
        <v>40105</v>
      </c>
      <c r="B3045" s="3" t="n">
        <v>228.9718892500907</v>
      </c>
    </row>
    <row r="3046">
      <c r="A3046" s="4" t="n">
        <v>40106</v>
      </c>
      <c r="B3046" s="3" t="n">
        <v>226.5184078651491</v>
      </c>
    </row>
    <row r="3047">
      <c r="A3047" s="4" t="n">
        <v>40107</v>
      </c>
      <c r="B3047" s="3" t="n">
        <v>225.5429273145097</v>
      </c>
    </row>
    <row r="3048">
      <c r="A3048" s="4" t="n">
        <v>40108</v>
      </c>
      <c r="B3048" s="3" t="n">
        <v>225.0404070308469</v>
      </c>
    </row>
    <row r="3049">
      <c r="A3049" s="4" t="n">
        <v>40109</v>
      </c>
      <c r="B3049" s="3" t="n">
        <v>225.2768871643353</v>
      </c>
    </row>
    <row r="3050">
      <c r="A3050" s="4" t="n">
        <v>40112</v>
      </c>
      <c r="B3050" s="3" t="n">
        <v>225.1586470975911</v>
      </c>
    </row>
    <row r="3051">
      <c r="A3051" s="4" t="n">
        <v>40113</v>
      </c>
      <c r="B3051" s="3" t="n">
        <v>223.2076859963123</v>
      </c>
    </row>
    <row r="3052">
      <c r="A3052" s="4" t="n">
        <v>40114</v>
      </c>
      <c r="B3052" s="3" t="n">
        <v>222.2322054456729</v>
      </c>
    </row>
    <row r="3053">
      <c r="A3053" s="4" t="n">
        <v>40115</v>
      </c>
      <c r="B3053" s="3" t="n">
        <v>223.4146061131146</v>
      </c>
    </row>
    <row r="3054">
      <c r="A3054" s="4" t="n">
        <v>40116</v>
      </c>
      <c r="B3054" s="3" t="n">
        <v>222.1730854123007</v>
      </c>
    </row>
    <row r="3055">
      <c r="A3055" s="4" t="n">
        <v>40120</v>
      </c>
      <c r="B3055" s="3" t="n">
        <v>223.0361334786511</v>
      </c>
    </row>
    <row r="3056">
      <c r="A3056" s="4" t="n">
        <v>40121</v>
      </c>
      <c r="B3056" s="3" t="n">
        <v>224.3354304299368</v>
      </c>
    </row>
    <row r="3057">
      <c r="A3057" s="4" t="n">
        <v>40122</v>
      </c>
      <c r="B3057" s="3" t="n">
        <v>223.9810767159497</v>
      </c>
    </row>
    <row r="3058">
      <c r="A3058" s="4" t="n">
        <v>40123</v>
      </c>
      <c r="B3058" s="3" t="n">
        <v>221.7368365273655</v>
      </c>
    </row>
    <row r="3059">
      <c r="A3059" s="4" t="n">
        <v>40126</v>
      </c>
      <c r="B3059" s="3" t="n">
        <v>221.3824828133784</v>
      </c>
    </row>
    <row r="3060">
      <c r="A3060" s="4" t="n">
        <v>40127</v>
      </c>
      <c r="B3060" s="3" t="n">
        <v>221.7368365273655</v>
      </c>
    </row>
    <row r="3061">
      <c r="A3061" s="4" t="n">
        <v>40128</v>
      </c>
      <c r="B3061" s="3" t="n">
        <v>220.6147164330732</v>
      </c>
    </row>
    <row r="3062">
      <c r="A3062" s="4" t="n">
        <v>40129</v>
      </c>
      <c r="B3062" s="3" t="n">
        <v>219.9060090050992</v>
      </c>
    </row>
    <row r="3063">
      <c r="A3063" s="4" t="n">
        <v>40130</v>
      </c>
      <c r="B3063" s="3" t="n">
        <v>218.8724773393039</v>
      </c>
    </row>
    <row r="3064">
      <c r="A3064" s="4" t="n">
        <v>40133</v>
      </c>
      <c r="B3064" s="3" t="n">
        <v>219.0201247201317</v>
      </c>
    </row>
    <row r="3065">
      <c r="A3065" s="4" t="n">
        <v>40134</v>
      </c>
      <c r="B3065" s="3" t="n">
        <v>220.4670690522453</v>
      </c>
    </row>
    <row r="3066">
      <c r="A3066" s="4" t="n">
        <v>40135</v>
      </c>
      <c r="B3066" s="3" t="n">
        <v>220.0536563859272</v>
      </c>
    </row>
    <row r="3067">
      <c r="A3067" s="4" t="n">
        <v>40136</v>
      </c>
      <c r="B3067" s="3" t="n">
        <v>219.640243719609</v>
      </c>
    </row>
    <row r="3068">
      <c r="A3068" s="4" t="n">
        <v>40140</v>
      </c>
      <c r="B3068" s="3" t="n">
        <v>219.1087131486285</v>
      </c>
    </row>
    <row r="3069">
      <c r="A3069" s="4" t="n">
        <v>40141</v>
      </c>
      <c r="B3069" s="3" t="n">
        <v>217.7208277688461</v>
      </c>
    </row>
    <row r="3070">
      <c r="A3070" s="4" t="n">
        <v>40142</v>
      </c>
      <c r="B3070" s="3" t="n">
        <v>215.8900002465799</v>
      </c>
    </row>
    <row r="3071">
      <c r="A3071" s="4" t="n">
        <v>40143</v>
      </c>
      <c r="B3071" s="3" t="n">
        <v>216.0376476274078</v>
      </c>
    </row>
    <row r="3072">
      <c r="A3072" s="4" t="n">
        <v>40144</v>
      </c>
      <c r="B3072" s="3" t="n">
        <v>214.9450570092812</v>
      </c>
    </row>
    <row r="3073">
      <c r="A3073" s="4" t="n">
        <v>40147</v>
      </c>
      <c r="B3073" s="3" t="n">
        <v>212.7303462968625</v>
      </c>
    </row>
    <row r="3074">
      <c r="A3074" s="4" t="n">
        <v>40148</v>
      </c>
      <c r="B3074" s="3" t="n">
        <v>213.2524205498654</v>
      </c>
    </row>
    <row r="3075">
      <c r="A3075" s="4" t="n">
        <v>40149</v>
      </c>
      <c r="B3075" s="3" t="n">
        <v>215.3840565736874</v>
      </c>
    </row>
    <row r="3076">
      <c r="A3076" s="4" t="n">
        <v>40150</v>
      </c>
      <c r="B3076" s="3" t="n">
        <v>216.0946019149614</v>
      </c>
    </row>
    <row r="3077">
      <c r="A3077" s="4" t="n">
        <v>40151</v>
      </c>
      <c r="B3077" s="3" t="n">
        <v>216.9531775356675</v>
      </c>
    </row>
    <row r="3078">
      <c r="A3078" s="4" t="n">
        <v>40154</v>
      </c>
      <c r="B3078" s="3" t="n">
        <v>216.5979048650305</v>
      </c>
    </row>
    <row r="3079">
      <c r="A3079" s="4" t="n">
        <v>40155</v>
      </c>
      <c r="B3079" s="3" t="n">
        <v>216.8643593680083</v>
      </c>
    </row>
    <row r="3080">
      <c r="A3080" s="4" t="n">
        <v>40156</v>
      </c>
      <c r="B3080" s="3" t="n">
        <v>219.2624498948081</v>
      </c>
    </row>
    <row r="3081">
      <c r="A3081" s="4" t="n">
        <v>40157</v>
      </c>
      <c r="B3081" s="3" t="n">
        <v>219.9137831243093</v>
      </c>
    </row>
    <row r="3082">
      <c r="A3082" s="4" t="n">
        <v>40158</v>
      </c>
      <c r="B3082" s="3" t="n">
        <v>222.1046312599042</v>
      </c>
    </row>
    <row r="3083">
      <c r="A3083" s="4" t="n">
        <v>40161</v>
      </c>
      <c r="B3083" s="3" t="n">
        <v>222.8447826570646</v>
      </c>
    </row>
    <row r="3084">
      <c r="A3084" s="4" t="n">
        <v>40162</v>
      </c>
      <c r="B3084" s="3" t="n">
        <v>221.8677828128129</v>
      </c>
    </row>
    <row r="3085">
      <c r="A3085" s="4" t="n">
        <v>40163</v>
      </c>
      <c r="B3085" s="3" t="n">
        <v>220.1210255155142</v>
      </c>
    </row>
    <row r="3086">
      <c r="A3086" s="4" t="n">
        <v>40164</v>
      </c>
      <c r="B3086" s="3" t="n">
        <v>221.3052677509709</v>
      </c>
    </row>
    <row r="3087">
      <c r="A3087" s="4" t="n">
        <v>40165</v>
      </c>
      <c r="B3087" s="3" t="n">
        <v>221.6309343657215</v>
      </c>
    </row>
    <row r="3088">
      <c r="A3088" s="4" t="n">
        <v>40168</v>
      </c>
      <c r="B3088" s="3" t="n">
        <v>223.4072977189065</v>
      </c>
    </row>
    <row r="3089">
      <c r="A3089" s="4" t="n">
        <v>40169</v>
      </c>
      <c r="B3089" s="3" t="n">
        <v>224.4731157308176</v>
      </c>
    </row>
    <row r="3090">
      <c r="A3090" s="4" t="n">
        <v>40170</v>
      </c>
      <c r="B3090" s="3" t="n">
        <v>225.5685397986151</v>
      </c>
    </row>
    <row r="3091">
      <c r="A3091" s="4" t="n">
        <v>40175</v>
      </c>
      <c r="B3091" s="3" t="n">
        <v>226.1014488045706</v>
      </c>
    </row>
    <row r="3092">
      <c r="A3092" s="4" t="n">
        <v>40176</v>
      </c>
      <c r="B3092" s="3" t="n">
        <v>227.907418213642</v>
      </c>
    </row>
    <row r="3093">
      <c r="A3093" s="4" t="n">
        <v>40177</v>
      </c>
      <c r="B3093" s="3" t="n">
        <v>228.0554484930741</v>
      </c>
    </row>
    <row r="3094">
      <c r="A3094" s="4" t="n">
        <v>40182</v>
      </c>
      <c r="B3094" s="3" t="n">
        <v>225.9206778053748</v>
      </c>
    </row>
    <row r="3095">
      <c r="A3095" s="4" t="n">
        <v>40183</v>
      </c>
      <c r="B3095" s="3" t="n">
        <v>226.0972013197428</v>
      </c>
    </row>
    <row r="3096">
      <c r="A3096" s="4" t="n">
        <v>40184</v>
      </c>
      <c r="B3096" s="3" t="n">
        <v>224.3319661760623</v>
      </c>
    </row>
    <row r="3097">
      <c r="A3097" s="4" t="n">
        <v>40185</v>
      </c>
      <c r="B3097" s="3" t="n">
        <v>221.6546928748136</v>
      </c>
    </row>
    <row r="3098">
      <c r="A3098" s="4" t="n">
        <v>40186</v>
      </c>
      <c r="B3098" s="3" t="n">
        <v>220.3601871027813</v>
      </c>
    </row>
    <row r="3099">
      <c r="A3099" s="4" t="n">
        <v>40189</v>
      </c>
      <c r="B3099" s="3" t="n">
        <v>220.3307665170532</v>
      </c>
    </row>
    <row r="3100">
      <c r="A3100" s="4" t="n">
        <v>40190</v>
      </c>
      <c r="B3100" s="3" t="n">
        <v>220.5072900314213</v>
      </c>
    </row>
    <row r="3101">
      <c r="A3101" s="4" t="n">
        <v>40191</v>
      </c>
      <c r="B3101" s="3" t="n">
        <v>221.2722252603495</v>
      </c>
    </row>
    <row r="3102">
      <c r="A3102" s="4" t="n">
        <v>40192</v>
      </c>
      <c r="B3102" s="3" t="n">
        <v>221.4487487747175</v>
      </c>
    </row>
    <row r="3103">
      <c r="A3103" s="4" t="n">
        <v>40193</v>
      </c>
      <c r="B3103" s="3" t="n">
        <v>220.9485988173414</v>
      </c>
    </row>
    <row r="3104">
      <c r="A3104" s="4" t="n">
        <v>40196</v>
      </c>
      <c r="B3104" s="3" t="n">
        <v>220.4778694456933</v>
      </c>
    </row>
    <row r="3105">
      <c r="A3105" s="4" t="n">
        <v>40197</v>
      </c>
      <c r="B3105" s="3" t="n">
        <v>220.7720753029733</v>
      </c>
    </row>
    <row r="3106">
      <c r="A3106" s="4" t="n">
        <v>40198</v>
      </c>
      <c r="B3106" s="3" t="n">
        <v>222.2431045893738</v>
      </c>
    </row>
    <row r="3107">
      <c r="A3107" s="4" t="n">
        <v>40199</v>
      </c>
      <c r="B3107" s="3" t="n">
        <v>223.6847132900461</v>
      </c>
    </row>
    <row r="3108">
      <c r="A3108" s="4" t="n">
        <v>40200</v>
      </c>
      <c r="B3108" s="3" t="n">
        <v>223.9789191473262</v>
      </c>
    </row>
    <row r="3109">
      <c r="A3109" s="4" t="n">
        <v>40203</v>
      </c>
      <c r="B3109" s="3" t="n">
        <v>223.3022456755821</v>
      </c>
    </row>
    <row r="3110">
      <c r="A3110" s="4" t="n">
        <v>40204</v>
      </c>
      <c r="B3110" s="3" t="n">
        <v>223.8318162186862</v>
      </c>
    </row>
    <row r="3111">
      <c r="A3111" s="4" t="n">
        <v>40205</v>
      </c>
      <c r="B3111" s="3" t="n">
        <v>224.1848632474223</v>
      </c>
    </row>
    <row r="3112">
      <c r="A3112" s="4" t="n">
        <v>40206</v>
      </c>
      <c r="B3112" s="3" t="n">
        <v>224.3908073475183</v>
      </c>
    </row>
    <row r="3113">
      <c r="A3113" s="4" t="n">
        <v>40207</v>
      </c>
      <c r="B3113" s="3" t="n">
        <v>224.6850132047984</v>
      </c>
    </row>
    <row r="3114">
      <c r="A3114" s="4" t="n">
        <v>40210</v>
      </c>
      <c r="B3114" s="3" t="n">
        <v>222.360380387672</v>
      </c>
    </row>
    <row r="3115">
      <c r="A3115" s="4" t="n">
        <v>40211</v>
      </c>
      <c r="B3115" s="3" t="n">
        <v>223.4071926923609</v>
      </c>
    </row>
    <row r="3116">
      <c r="A3116" s="4" t="n">
        <v>40212</v>
      </c>
      <c r="B3116" s="3" t="n">
        <v>223.872442605556</v>
      </c>
    </row>
    <row r="3117">
      <c r="A3117" s="4" t="n">
        <v>40213</v>
      </c>
      <c r="B3117" s="3" t="n">
        <v>224.5412393557739</v>
      </c>
    </row>
    <row r="3118">
      <c r="A3118" s="4" t="n">
        <v>40214</v>
      </c>
      <c r="B3118" s="3" t="n">
        <v>224.5993955949233</v>
      </c>
    </row>
    <row r="3119">
      <c r="A3119" s="4" t="n">
        <v>40217</v>
      </c>
      <c r="B3119" s="3" t="n">
        <v>224.5412393557739</v>
      </c>
    </row>
    <row r="3120">
      <c r="A3120" s="4" t="n">
        <v>40218</v>
      </c>
      <c r="B3120" s="3" t="n">
        <v>223.6979738881078</v>
      </c>
    </row>
    <row r="3121">
      <c r="A3121" s="4" t="n">
        <v>40219</v>
      </c>
      <c r="B3121" s="3" t="n">
        <v>222.9419427791658</v>
      </c>
    </row>
    <row r="3122">
      <c r="A3122" s="4" t="n">
        <v>40220</v>
      </c>
      <c r="B3122" s="3" t="n">
        <v>222.5639272246949</v>
      </c>
    </row>
    <row r="3123">
      <c r="A3123" s="4" t="n">
        <v>40221</v>
      </c>
      <c r="B3123" s="3" t="n">
        <v>222.4766928659708</v>
      </c>
    </row>
    <row r="3124">
      <c r="A3124" s="4" t="n">
        <v>40226</v>
      </c>
      <c r="B3124" s="3" t="n">
        <v>223.3490364532115</v>
      </c>
    </row>
    <row r="3125">
      <c r="A3125" s="4" t="n">
        <v>40227</v>
      </c>
      <c r="B3125" s="3" t="n">
        <v>223.0000990183152</v>
      </c>
    </row>
    <row r="3126">
      <c r="A3126" s="4" t="n">
        <v>40228</v>
      </c>
      <c r="B3126" s="3" t="n">
        <v>224.3667706383257</v>
      </c>
    </row>
    <row r="3127">
      <c r="A3127" s="4" t="n">
        <v>40231</v>
      </c>
      <c r="B3127" s="3" t="n">
        <v>225.093723627693</v>
      </c>
    </row>
    <row r="3128">
      <c r="A3128" s="4" t="n">
        <v>40232</v>
      </c>
      <c r="B3128" s="3" t="n">
        <v>225.093723627693</v>
      </c>
    </row>
    <row r="3129">
      <c r="A3129" s="4" t="n">
        <v>40233</v>
      </c>
      <c r="B3129" s="3" t="n">
        <v>225.1809579864171</v>
      </c>
    </row>
    <row r="3130">
      <c r="A3130" s="4" t="n">
        <v>40234</v>
      </c>
      <c r="B3130" s="3" t="n">
        <v>225.2391142255665</v>
      </c>
    </row>
    <row r="3131">
      <c r="A3131" s="4" t="n">
        <v>40235</v>
      </c>
      <c r="B3131" s="3" t="n">
        <v>225.2972704647159</v>
      </c>
    </row>
    <row r="3132">
      <c r="A3132" s="4" t="n">
        <v>40238</v>
      </c>
      <c r="B3132" s="3" t="n">
        <v>221.6331122304165</v>
      </c>
    </row>
    <row r="3133">
      <c r="A3133" s="4" t="n">
        <v>40239</v>
      </c>
      <c r="B3133" s="3" t="n">
        <v>221.9499778704652</v>
      </c>
    </row>
    <row r="3134">
      <c r="A3134" s="4" t="n">
        <v>40240</v>
      </c>
      <c r="B3134" s="3" t="n">
        <v>221.9787838377424</v>
      </c>
    </row>
    <row r="3135">
      <c r="A3135" s="4" t="n">
        <v>40241</v>
      </c>
      <c r="B3135" s="3" t="n">
        <v>222.6413210851169</v>
      </c>
    </row>
    <row r="3136">
      <c r="A3136" s="4" t="n">
        <v>40242</v>
      </c>
      <c r="B3136" s="3" t="n">
        <v>222.8141568887798</v>
      </c>
    </row>
    <row r="3137">
      <c r="A3137" s="4" t="n">
        <v>40245</v>
      </c>
      <c r="B3137" s="3" t="n">
        <v>224.3696791217461</v>
      </c>
    </row>
    <row r="3138">
      <c r="A3138" s="4" t="n">
        <v>40246</v>
      </c>
      <c r="B3138" s="3" t="n">
        <v>224.4849029908547</v>
      </c>
    </row>
    <row r="3139">
      <c r="A3139" s="4" t="n">
        <v>40247</v>
      </c>
      <c r="B3139" s="3" t="n">
        <v>224.9746044345663</v>
      </c>
    </row>
    <row r="3140">
      <c r="A3140" s="4" t="n">
        <v>40248</v>
      </c>
      <c r="B3140" s="3" t="n">
        <v>224.9457984672892</v>
      </c>
    </row>
    <row r="3141">
      <c r="A3141" s="4" t="n">
        <v>40249</v>
      </c>
      <c r="B3141" s="3" t="n">
        <v>224.7729626636262</v>
      </c>
    </row>
    <row r="3142">
      <c r="A3142" s="4" t="n">
        <v>40252</v>
      </c>
      <c r="B3142" s="3" t="n">
        <v>225.665947649218</v>
      </c>
    </row>
    <row r="3143">
      <c r="A3143" s="4" t="n">
        <v>40253</v>
      </c>
      <c r="B3143" s="3" t="n">
        <v>227.5095295549558</v>
      </c>
    </row>
    <row r="3144">
      <c r="A3144" s="4" t="n">
        <v>40254</v>
      </c>
      <c r="B3144" s="3" t="n">
        <v>228.0568429332217</v>
      </c>
    </row>
    <row r="3145">
      <c r="A3145" s="4" t="n">
        <v>40255</v>
      </c>
      <c r="B3145" s="3" t="n">
        <v>230.1020666098996</v>
      </c>
    </row>
    <row r="3146">
      <c r="A3146" s="4" t="n">
        <v>40256</v>
      </c>
      <c r="B3146" s="3" t="n">
        <v>229.237887591585</v>
      </c>
    </row>
    <row r="3147">
      <c r="A3147" s="4" t="n">
        <v>40259</v>
      </c>
      <c r="B3147" s="3" t="n">
        <v>228.7481861478734</v>
      </c>
    </row>
    <row r="3148">
      <c r="A3148" s="4" t="n">
        <v>40260</v>
      </c>
      <c r="B3148" s="3" t="n">
        <v>230.562962086334</v>
      </c>
    </row>
    <row r="3149">
      <c r="A3149" s="4" t="n">
        <v>40261</v>
      </c>
      <c r="B3149" s="3" t="n">
        <v>232.0320664174688</v>
      </c>
    </row>
    <row r="3150">
      <c r="A3150" s="4" t="n">
        <v>40262</v>
      </c>
      <c r="B3150" s="3" t="n">
        <v>232.2913201229632</v>
      </c>
    </row>
    <row r="3151">
      <c r="A3151" s="4" t="n">
        <v>40263</v>
      </c>
      <c r="B3151" s="3" t="n">
        <v>232.6946036648434</v>
      </c>
    </row>
    <row r="3152">
      <c r="A3152" s="4" t="n">
        <v>40266</v>
      </c>
      <c r="B3152" s="3" t="n">
        <v>233.933260257761</v>
      </c>
    </row>
    <row r="3153">
      <c r="A3153" s="4" t="n">
        <v>40267</v>
      </c>
      <c r="B3153" s="3" t="n">
        <v>234.6534094396898</v>
      </c>
    </row>
    <row r="3154">
      <c r="A3154" s="4" t="n">
        <v>40268</v>
      </c>
      <c r="B3154" s="3" t="n">
        <v>236.1801257053789</v>
      </c>
    </row>
    <row r="3155">
      <c r="A3155" s="4" t="n">
        <v>40269</v>
      </c>
      <c r="B3155" s="3" t="n">
        <v>234.8143968375597</v>
      </c>
    </row>
    <row r="3156">
      <c r="A3156" s="4" t="n">
        <v>40273</v>
      </c>
      <c r="B3156" s="3" t="n">
        <v>234.4427646049218</v>
      </c>
    </row>
    <row r="3157">
      <c r="A3157" s="4" t="n">
        <v>40274</v>
      </c>
      <c r="B3157" s="3" t="n">
        <v>235.1860290701977</v>
      </c>
    </row>
    <row r="3158">
      <c r="A3158" s="4" t="n">
        <v>40275</v>
      </c>
      <c r="B3158" s="3" t="n">
        <v>237.8732159831183</v>
      </c>
    </row>
    <row r="3159">
      <c r="A3159" s="4" t="n">
        <v>40276</v>
      </c>
      <c r="B3159" s="3" t="n">
        <v>238.0733256468465</v>
      </c>
    </row>
    <row r="3160">
      <c r="A3160" s="4" t="n">
        <v>40277</v>
      </c>
      <c r="B3160" s="3" t="n">
        <v>237.0156031385692</v>
      </c>
    </row>
    <row r="3161">
      <c r="A3161" s="4" t="n">
        <v>40280</v>
      </c>
      <c r="B3161" s="3" t="n">
        <v>237.7016934142086</v>
      </c>
    </row>
    <row r="3162">
      <c r="A3162" s="4" t="n">
        <v>40281</v>
      </c>
      <c r="B3162" s="3" t="n">
        <v>238.2734353105747</v>
      </c>
    </row>
    <row r="3163">
      <c r="A3163" s="4" t="n">
        <v>40282</v>
      </c>
      <c r="B3163" s="3" t="n">
        <v>237.6159321297536</v>
      </c>
    </row>
    <row r="3164">
      <c r="A3164" s="4" t="n">
        <v>40283</v>
      </c>
      <c r="B3164" s="3" t="n">
        <v>235.7577709665638</v>
      </c>
    </row>
    <row r="3165">
      <c r="A3165" s="4" t="n">
        <v>40284</v>
      </c>
      <c r="B3165" s="3" t="n">
        <v>234.47135169974</v>
      </c>
    </row>
    <row r="3166">
      <c r="A3166" s="4" t="n">
        <v>40287</v>
      </c>
      <c r="B3166" s="3" t="n">
        <v>235.0430935961061</v>
      </c>
    </row>
    <row r="3167">
      <c r="A3167" s="4" t="n">
        <v>40288</v>
      </c>
      <c r="B3167" s="3" t="n">
        <v>234.8715710271963</v>
      </c>
    </row>
    <row r="3168">
      <c r="A3168" s="4" t="n">
        <v>40290</v>
      </c>
      <c r="B3168" s="3" t="n">
        <v>235.3003774494709</v>
      </c>
    </row>
    <row r="3169">
      <c r="A3169" s="4" t="n">
        <v>40291</v>
      </c>
      <c r="B3169" s="3" t="n">
        <v>235.5862483976539</v>
      </c>
    </row>
    <row r="3170">
      <c r="A3170" s="4" t="n">
        <v>40294</v>
      </c>
      <c r="B3170" s="3" t="n">
        <v>235.6720096821089</v>
      </c>
    </row>
    <row r="3171">
      <c r="A3171" s="4" t="n">
        <v>40295</v>
      </c>
      <c r="B3171" s="3" t="n">
        <v>233.7852614241007</v>
      </c>
    </row>
    <row r="3172">
      <c r="A3172" s="4" t="n">
        <v>40296</v>
      </c>
      <c r="B3172" s="3" t="n">
        <v>232.6131905365502</v>
      </c>
    </row>
    <row r="3173">
      <c r="A3173" s="4" t="n">
        <v>40297</v>
      </c>
      <c r="B3173" s="3" t="n">
        <v>231.6126422179095</v>
      </c>
    </row>
    <row r="3174">
      <c r="A3174" s="4" t="n">
        <v>40298</v>
      </c>
      <c r="B3174" s="3" t="n">
        <v>231.3553583645448</v>
      </c>
    </row>
    <row r="3175">
      <c r="A3175" s="4" t="n">
        <v>40301</v>
      </c>
      <c r="B3175" s="3" t="n">
        <v>231.4125374099107</v>
      </c>
    </row>
    <row r="3176">
      <c r="A3176" s="4" t="n">
        <v>40302</v>
      </c>
      <c r="B3176" s="3" t="n">
        <v>230.6497320735577</v>
      </c>
    </row>
    <row r="3177">
      <c r="A3177" s="4" t="n">
        <v>40303</v>
      </c>
      <c r="B3177" s="3" t="n">
        <v>229.4066418957972</v>
      </c>
    </row>
    <row r="3178">
      <c r="A3178" s="4" t="n">
        <v>40304</v>
      </c>
      <c r="B3178" s="3" t="n">
        <v>229.3783898463026</v>
      </c>
    </row>
    <row r="3179">
      <c r="A3179" s="4" t="n">
        <v>40305</v>
      </c>
      <c r="B3179" s="3" t="n">
        <v>229.4631459947863</v>
      </c>
    </row>
    <row r="3180">
      <c r="A3180" s="4" t="n">
        <v>40308</v>
      </c>
      <c r="B3180" s="3" t="n">
        <v>228.9546091038843</v>
      </c>
    </row>
    <row r="3181">
      <c r="A3181" s="4" t="n">
        <v>40309</v>
      </c>
      <c r="B3181" s="3" t="n">
        <v>228.1352996685422</v>
      </c>
    </row>
    <row r="3182">
      <c r="A3182" s="4" t="n">
        <v>40310</v>
      </c>
      <c r="B3182" s="3" t="n">
        <v>226.6661930948252</v>
      </c>
    </row>
    <row r="3183">
      <c r="A3183" s="4" t="n">
        <v>40311</v>
      </c>
      <c r="B3183" s="3" t="n">
        <v>226.1011521049341</v>
      </c>
    </row>
    <row r="3184">
      <c r="A3184" s="4" t="n">
        <v>40312</v>
      </c>
      <c r="B3184" s="3" t="n">
        <v>224.7733057786899</v>
      </c>
    </row>
    <row r="3185">
      <c r="A3185" s="4" t="n">
        <v>40315</v>
      </c>
      <c r="B3185" s="3" t="n">
        <v>224.8015578281845</v>
      </c>
    </row>
    <row r="3186">
      <c r="A3186" s="4" t="n">
        <v>40316</v>
      </c>
      <c r="B3186" s="3" t="n">
        <v>225.6491193130212</v>
      </c>
    </row>
    <row r="3187">
      <c r="A3187" s="4" t="n">
        <v>40317</v>
      </c>
      <c r="B3187" s="3" t="n">
        <v>226.6379410453307</v>
      </c>
    </row>
    <row r="3188">
      <c r="A3188" s="4" t="n">
        <v>40318</v>
      </c>
      <c r="B3188" s="3" t="n">
        <v>227.1182258867381</v>
      </c>
    </row>
    <row r="3189">
      <c r="A3189" s="4" t="n">
        <v>40319</v>
      </c>
      <c r="B3189" s="3" t="n">
        <v>227.2029820352218</v>
      </c>
    </row>
    <row r="3190">
      <c r="A3190" s="4" t="n">
        <v>40322</v>
      </c>
      <c r="B3190" s="3" t="n">
        <v>227.2029820352218</v>
      </c>
    </row>
    <row r="3191">
      <c r="A3191" s="4" t="n">
        <v>40323</v>
      </c>
      <c r="B3191" s="3" t="n">
        <v>229.1241214008516</v>
      </c>
    </row>
    <row r="3192">
      <c r="A3192" s="4" t="n">
        <v>40324</v>
      </c>
      <c r="B3192" s="3" t="n">
        <v>229.4066418957972</v>
      </c>
    </row>
    <row r="3193">
      <c r="A3193" s="4" t="n">
        <v>40325</v>
      </c>
      <c r="B3193" s="3" t="n">
        <v>230.564975925074</v>
      </c>
    </row>
    <row r="3194">
      <c r="A3194" s="4" t="n">
        <v>40326</v>
      </c>
      <c r="B3194" s="3" t="n">
        <v>230.5932279745686</v>
      </c>
    </row>
    <row r="3195">
      <c r="A3195" s="4" t="n">
        <v>40329</v>
      </c>
      <c r="B3195" s="3" t="n">
        <v>230.9887566674923</v>
      </c>
    </row>
    <row r="3196">
      <c r="A3196" s="4" t="n">
        <v>40330</v>
      </c>
      <c r="B3196" s="3" t="n">
        <v>229.2374738531284</v>
      </c>
    </row>
    <row r="3197">
      <c r="A3197" s="4" t="n">
        <v>40331</v>
      </c>
      <c r="B3197" s="3" t="n">
        <v>229.2374738531284</v>
      </c>
    </row>
    <row r="3198">
      <c r="A3198" s="4" t="n">
        <v>40333</v>
      </c>
      <c r="B3198" s="3" t="n">
        <v>228.1729469062362</v>
      </c>
    </row>
    <row r="3199">
      <c r="A3199" s="4" t="n">
        <v>40336</v>
      </c>
      <c r="B3199" s="3" t="n">
        <v>228.0889053051658</v>
      </c>
    </row>
    <row r="3200">
      <c r="A3200" s="4" t="n">
        <v>40337</v>
      </c>
      <c r="B3200" s="3" t="n">
        <v>228.0048637040953</v>
      </c>
    </row>
    <row r="3201">
      <c r="A3201" s="4" t="n">
        <v>40338</v>
      </c>
      <c r="B3201" s="3" t="n">
        <v>228.1449330392127</v>
      </c>
    </row>
    <row r="3202">
      <c r="A3202" s="4" t="n">
        <v>40339</v>
      </c>
      <c r="B3202" s="3" t="n">
        <v>227.3605447625553</v>
      </c>
    </row>
    <row r="3203">
      <c r="A3203" s="4" t="n">
        <v>40340</v>
      </c>
      <c r="B3203" s="3" t="n">
        <v>227.696711166837</v>
      </c>
    </row>
    <row r="3204">
      <c r="A3204" s="4" t="n">
        <v>40343</v>
      </c>
      <c r="B3204" s="3" t="n">
        <v>228.5091133105179</v>
      </c>
    </row>
    <row r="3205">
      <c r="A3205" s="4" t="n">
        <v>40344</v>
      </c>
      <c r="B3205" s="3" t="n">
        <v>228.453085576471</v>
      </c>
    </row>
    <row r="3206">
      <c r="A3206" s="4" t="n">
        <v>40345</v>
      </c>
      <c r="B3206" s="3" t="n">
        <v>228.8452797147997</v>
      </c>
    </row>
    <row r="3207">
      <c r="A3207" s="4" t="n">
        <v>40346</v>
      </c>
      <c r="B3207" s="3" t="n">
        <v>228.7052103796823</v>
      </c>
    </row>
    <row r="3208">
      <c r="A3208" s="4" t="n">
        <v>40347</v>
      </c>
      <c r="B3208" s="3" t="n">
        <v>229.9378205287154</v>
      </c>
    </row>
    <row r="3209">
      <c r="A3209" s="4" t="n">
        <v>40350</v>
      </c>
      <c r="B3209" s="3" t="n">
        <v>231.086389076678</v>
      </c>
    </row>
    <row r="3210">
      <c r="A3210" s="4" t="n">
        <v>40351</v>
      </c>
      <c r="B3210" s="3" t="n">
        <v>232.0108466884528</v>
      </c>
    </row>
    <row r="3211">
      <c r="A3211" s="4" t="n">
        <v>40352</v>
      </c>
      <c r="B3211" s="3" t="n">
        <v>232.1509160235702</v>
      </c>
    </row>
    <row r="3212">
      <c r="A3212" s="4" t="n">
        <v>40353</v>
      </c>
      <c r="B3212" s="3" t="n">
        <v>232.6831794970163</v>
      </c>
    </row>
    <row r="3213">
      <c r="A3213" s="4" t="n">
        <v>40354</v>
      </c>
      <c r="B3213" s="3" t="n">
        <v>232.6271517629693</v>
      </c>
    </row>
    <row r="3214">
      <c r="A3214" s="4" t="n">
        <v>40357</v>
      </c>
      <c r="B3214" s="3" t="n">
        <v>232.8512626991572</v>
      </c>
    </row>
    <row r="3215">
      <c r="A3215" s="4" t="n">
        <v>40358</v>
      </c>
      <c r="B3215" s="3" t="n">
        <v>234.2519560503311</v>
      </c>
    </row>
    <row r="3216">
      <c r="A3216" s="4" t="n">
        <v>40359</v>
      </c>
      <c r="B3216" s="3" t="n">
        <v>235.5125800663876</v>
      </c>
    </row>
    <row r="3217">
      <c r="A3217" s="4" t="n">
        <v>40360</v>
      </c>
      <c r="B3217" s="3" t="n">
        <v>235.0091305383627</v>
      </c>
    </row>
    <row r="3218">
      <c r="A3218" s="4" t="n">
        <v>40361</v>
      </c>
      <c r="B3218" s="3" t="n">
        <v>234.8133362139437</v>
      </c>
    </row>
    <row r="3219">
      <c r="A3219" s="4" t="n">
        <v>40364</v>
      </c>
      <c r="B3219" s="3" t="n">
        <v>233.8343645918486</v>
      </c>
    </row>
    <row r="3220">
      <c r="A3220" s="4" t="n">
        <v>40365</v>
      </c>
      <c r="B3220" s="3" t="n">
        <v>233.5266877963331</v>
      </c>
    </row>
    <row r="3221">
      <c r="A3221" s="4" t="n">
        <v>40366</v>
      </c>
      <c r="B3221" s="3" t="n">
        <v>231.9883038187551</v>
      </c>
    </row>
    <row r="3222">
      <c r="A3222" s="4" t="n">
        <v>40367</v>
      </c>
      <c r="B3222" s="3" t="n">
        <v>233.6105996496555</v>
      </c>
    </row>
    <row r="3223">
      <c r="A3223" s="4" t="n">
        <v>40371</v>
      </c>
      <c r="B3223" s="3" t="n">
        <v>233.7784233563004</v>
      </c>
    </row>
    <row r="3224">
      <c r="A3224" s="4" t="n">
        <v>40372</v>
      </c>
      <c r="B3224" s="3" t="n">
        <v>233.7224821207521</v>
      </c>
    </row>
    <row r="3225">
      <c r="A3225" s="4" t="n">
        <v>40373</v>
      </c>
      <c r="B3225" s="3" t="n">
        <v>233.9742176807194</v>
      </c>
    </row>
    <row r="3226">
      <c r="A3226" s="4" t="n">
        <v>40374</v>
      </c>
      <c r="B3226" s="3" t="n">
        <v>233.4987171785589</v>
      </c>
    </row>
    <row r="3227">
      <c r="A3227" s="4" t="n">
        <v>40375</v>
      </c>
      <c r="B3227" s="3" t="n">
        <v>232.9952460586243</v>
      </c>
    </row>
    <row r="3228">
      <c r="A3228" s="4" t="n">
        <v>40378</v>
      </c>
      <c r="B3228" s="3" t="n">
        <v>233.2749522363657</v>
      </c>
    </row>
    <row r="3229">
      <c r="A3229" s="4" t="n">
        <v>40379</v>
      </c>
      <c r="B3229" s="3" t="n">
        <v>234.5616006539764</v>
      </c>
    </row>
    <row r="3230">
      <c r="A3230" s="4" t="n">
        <v>40380</v>
      </c>
      <c r="B3230" s="3" t="n">
        <v>235.3727485694266</v>
      </c>
    </row>
    <row r="3231">
      <c r="A3231" s="4" t="n">
        <v>40381</v>
      </c>
      <c r="B3231" s="3" t="n">
        <v>235.3727485694266</v>
      </c>
    </row>
    <row r="3232">
      <c r="A3232" s="4" t="n">
        <v>40382</v>
      </c>
      <c r="B3232" s="3" t="n">
        <v>237.6103979913582</v>
      </c>
    </row>
    <row r="3233">
      <c r="A3233" s="4" t="n">
        <v>40385</v>
      </c>
      <c r="B3233" s="3" t="n">
        <v>237.6383686091323</v>
      </c>
    </row>
    <row r="3234">
      <c r="A3234" s="4" t="n">
        <v>40386</v>
      </c>
      <c r="B3234" s="3" t="n">
        <v>238.3096634357118</v>
      </c>
    </row>
    <row r="3235">
      <c r="A3235" s="4" t="n">
        <v>40387</v>
      </c>
      <c r="B3235" s="3" t="n">
        <v>239.1208113511619</v>
      </c>
    </row>
    <row r="3236">
      <c r="A3236" s="4" t="n">
        <v>40388</v>
      </c>
      <c r="B3236" s="3" t="n">
        <v>240.0718123554829</v>
      </c>
    </row>
    <row r="3237">
      <c r="A3237" s="4" t="n">
        <v>40389</v>
      </c>
      <c r="B3237" s="3" t="n">
        <v>240.4913716220951</v>
      </c>
    </row>
    <row r="3238">
      <c r="A3238" s="4" t="n">
        <v>40392</v>
      </c>
      <c r="B3238" s="3" t="n">
        <v>239.3208766818482</v>
      </c>
    </row>
    <row r="3239">
      <c r="A3239" s="4" t="n">
        <v>40393</v>
      </c>
      <c r="B3239" s="3" t="n">
        <v>240.2368577686611</v>
      </c>
    </row>
    <row r="3240">
      <c r="A3240" s="4" t="n">
        <v>40394</v>
      </c>
      <c r="B3240" s="3" t="n">
        <v>239.5151757002631</v>
      </c>
    </row>
    <row r="3241">
      <c r="A3241" s="4" t="n">
        <v>40395</v>
      </c>
      <c r="B3241" s="3" t="n">
        <v>240.3756427818146</v>
      </c>
    </row>
    <row r="3242">
      <c r="A3242" s="4" t="n">
        <v>40396</v>
      </c>
      <c r="B3242" s="3" t="n">
        <v>242.3741469712245</v>
      </c>
    </row>
    <row r="3243">
      <c r="A3243" s="4" t="n">
        <v>40399</v>
      </c>
      <c r="B3243" s="3" t="n">
        <v>241.5691938949344</v>
      </c>
    </row>
    <row r="3244">
      <c r="A3244" s="4" t="n">
        <v>40400</v>
      </c>
      <c r="B3244" s="3" t="n">
        <v>241.8745209238721</v>
      </c>
    </row>
    <row r="3245">
      <c r="A3245" s="4" t="n">
        <v>40401</v>
      </c>
      <c r="B3245" s="3" t="n">
        <v>243.0958290396226</v>
      </c>
    </row>
    <row r="3246">
      <c r="A3246" s="4" t="n">
        <v>40402</v>
      </c>
      <c r="B3246" s="3" t="n">
        <v>243.6787260948672</v>
      </c>
    </row>
    <row r="3247">
      <c r="A3247" s="4" t="n">
        <v>40403</v>
      </c>
      <c r="B3247" s="3" t="n">
        <v>246.0935853237376</v>
      </c>
    </row>
    <row r="3248">
      <c r="A3248" s="4" t="n">
        <v>40406</v>
      </c>
      <c r="B3248" s="3" t="n">
        <v>246.0935853237376</v>
      </c>
    </row>
    <row r="3249">
      <c r="A3249" s="4" t="n">
        <v>40407</v>
      </c>
      <c r="B3249" s="3" t="n">
        <v>246.3156413447832</v>
      </c>
    </row>
    <row r="3250">
      <c r="A3250" s="4" t="n">
        <v>40408</v>
      </c>
      <c r="B3250" s="3" t="n">
        <v>248.3419025368239</v>
      </c>
    </row>
    <row r="3251">
      <c r="A3251" s="4" t="n">
        <v>40409</v>
      </c>
      <c r="B3251" s="3" t="n">
        <v>248.6472295657616</v>
      </c>
    </row>
    <row r="3252">
      <c r="A3252" s="4" t="n">
        <v>40410</v>
      </c>
      <c r="B3252" s="3" t="n">
        <v>248.6749865683923</v>
      </c>
    </row>
    <row r="3253">
      <c r="A3253" s="4" t="n">
        <v>40413</v>
      </c>
      <c r="B3253" s="3" t="n">
        <v>249.5354536499438</v>
      </c>
    </row>
    <row r="3254">
      <c r="A3254" s="4" t="n">
        <v>40414</v>
      </c>
      <c r="B3254" s="3" t="n">
        <v>251.6727428525072</v>
      </c>
    </row>
    <row r="3255">
      <c r="A3255" s="4" t="n">
        <v>40415</v>
      </c>
      <c r="B3255" s="3" t="n">
        <v>253.0883499866727</v>
      </c>
    </row>
    <row r="3256">
      <c r="A3256" s="4" t="n">
        <v>40416</v>
      </c>
      <c r="B3256" s="3" t="n">
        <v>256.1971342813105</v>
      </c>
    </row>
    <row r="3257">
      <c r="A3257" s="4" t="n">
        <v>40417</v>
      </c>
      <c r="B3257" s="3" t="n">
        <v>255.8918072523728</v>
      </c>
    </row>
    <row r="3258">
      <c r="A3258" s="4" t="n">
        <v>40420</v>
      </c>
      <c r="B3258" s="3" t="n">
        <v>255.7252652365886</v>
      </c>
    </row>
    <row r="3259">
      <c r="A3259" s="4" t="n">
        <v>40421</v>
      </c>
      <c r="B3259" s="3" t="n">
        <v>256.0028352628956</v>
      </c>
    </row>
    <row r="3260">
      <c r="A3260" s="4" t="n">
        <v>40422</v>
      </c>
      <c r="B3260" s="3" t="n">
        <v>254.8663992502686</v>
      </c>
    </row>
    <row r="3261">
      <c r="A3261" s="4" t="n">
        <v>40423</v>
      </c>
      <c r="B3261" s="3" t="n">
        <v>254.5371144967153</v>
      </c>
    </row>
    <row r="3262">
      <c r="A3262" s="4" t="n">
        <v>40424</v>
      </c>
      <c r="B3262" s="3" t="n">
        <v>254.0431873663854</v>
      </c>
    </row>
    <row r="3263">
      <c r="A3263" s="4" t="n">
        <v>40427</v>
      </c>
      <c r="B3263" s="3" t="n">
        <v>254.3999125160681</v>
      </c>
    </row>
    <row r="3264">
      <c r="A3264" s="4" t="n">
        <v>40429</v>
      </c>
      <c r="B3264" s="3" t="n">
        <v>255.9091343031875</v>
      </c>
    </row>
    <row r="3265">
      <c r="A3265" s="4" t="n">
        <v>40430</v>
      </c>
      <c r="B3265" s="3" t="n">
        <v>257.7750812399896</v>
      </c>
    </row>
    <row r="3266">
      <c r="A3266" s="4" t="n">
        <v>40431</v>
      </c>
      <c r="B3266" s="3" t="n">
        <v>258.543412331614</v>
      </c>
    </row>
    <row r="3267">
      <c r="A3267" s="4" t="n">
        <v>40434</v>
      </c>
      <c r="B3267" s="3" t="n">
        <v>256.9518693561063</v>
      </c>
    </row>
    <row r="3268">
      <c r="A3268" s="4" t="n">
        <v>40435</v>
      </c>
      <c r="B3268" s="3" t="n">
        <v>254.9487204386569</v>
      </c>
    </row>
    <row r="3269">
      <c r="A3269" s="4" t="n">
        <v>40436</v>
      </c>
      <c r="B3269" s="3" t="n">
        <v>256.1012170760936</v>
      </c>
    </row>
    <row r="3270">
      <c r="A3270" s="4" t="n">
        <v>40437</v>
      </c>
      <c r="B3270" s="3" t="n">
        <v>256.622584602553</v>
      </c>
    </row>
    <row r="3271">
      <c r="A3271" s="4" t="n">
        <v>40438</v>
      </c>
      <c r="B3271" s="3" t="n">
        <v>256.6774653948119</v>
      </c>
    </row>
    <row r="3272">
      <c r="A3272" s="4" t="n">
        <v>40441</v>
      </c>
      <c r="B3272" s="3" t="n">
        <v>256.7872269793297</v>
      </c>
    </row>
    <row r="3273">
      <c r="A3273" s="4" t="n">
        <v>40442</v>
      </c>
      <c r="B3273" s="3" t="n">
        <v>257.6104388632129</v>
      </c>
    </row>
    <row r="3274">
      <c r="A3274" s="4" t="n">
        <v>40443</v>
      </c>
      <c r="B3274" s="3" t="n">
        <v>257.5006772786952</v>
      </c>
    </row>
    <row r="3275">
      <c r="A3275" s="4" t="n">
        <v>40444</v>
      </c>
      <c r="B3275" s="3" t="n">
        <v>256.869548167718</v>
      </c>
    </row>
    <row r="3276">
      <c r="A3276" s="4" t="n">
        <v>40445</v>
      </c>
      <c r="B3276" s="3" t="n">
        <v>256.8146673754591</v>
      </c>
    </row>
    <row r="3277">
      <c r="A3277" s="4" t="n">
        <v>40448</v>
      </c>
      <c r="B3277" s="3" t="n">
        <v>257.3360349019185</v>
      </c>
    </row>
    <row r="3278">
      <c r="A3278" s="4" t="n">
        <v>40449</v>
      </c>
      <c r="B3278" s="3" t="n">
        <v>257.116511732883</v>
      </c>
    </row>
    <row r="3279">
      <c r="A3279" s="4" t="n">
        <v>40450</v>
      </c>
      <c r="B3279" s="3" t="n">
        <v>257.8299620322485</v>
      </c>
    </row>
    <row r="3280">
      <c r="A3280" s="4" t="n">
        <v>40451</v>
      </c>
      <c r="B3280" s="3" t="n">
        <v>258.1866871819313</v>
      </c>
    </row>
    <row r="3281">
      <c r="A3281" s="4" t="n">
        <v>40452</v>
      </c>
      <c r="B3281" s="3" t="n">
        <v>255.2801679109133</v>
      </c>
    </row>
    <row r="3282">
      <c r="A3282" s="4" t="n">
        <v>40455</v>
      </c>
      <c r="B3282" s="3" t="n">
        <v>255.7148260663432</v>
      </c>
    </row>
    <row r="3283">
      <c r="A3283" s="4" t="n">
        <v>40456</v>
      </c>
      <c r="B3283" s="3" t="n">
        <v>257.0459666673472</v>
      </c>
    </row>
    <row r="3284">
      <c r="A3284" s="4" t="n">
        <v>40457</v>
      </c>
      <c r="B3284" s="3" t="n">
        <v>256.9916343979184</v>
      </c>
    </row>
    <row r="3285">
      <c r="A3285" s="4" t="n">
        <v>40458</v>
      </c>
      <c r="B3285" s="3" t="n">
        <v>258.512937941923</v>
      </c>
    </row>
    <row r="3286">
      <c r="A3286" s="4" t="n">
        <v>40459</v>
      </c>
      <c r="B3286" s="3" t="n">
        <v>258.7574331543523</v>
      </c>
    </row>
    <row r="3287">
      <c r="A3287" s="4" t="n">
        <v>40462</v>
      </c>
      <c r="B3287" s="3" t="n">
        <v>260.3059028330713</v>
      </c>
    </row>
    <row r="3288">
      <c r="A3288" s="4" t="n">
        <v>40464</v>
      </c>
      <c r="B3288" s="3" t="n">
        <v>261.4197143563604</v>
      </c>
    </row>
    <row r="3289">
      <c r="A3289" s="4" t="n">
        <v>40465</v>
      </c>
      <c r="B3289" s="3" t="n">
        <v>262.9138517656506</v>
      </c>
    </row>
    <row r="3290">
      <c r="A3290" s="4" t="n">
        <v>40466</v>
      </c>
      <c r="B3290" s="3" t="n">
        <v>266.4726154132327</v>
      </c>
    </row>
    <row r="3291">
      <c r="A3291" s="4" t="n">
        <v>40469</v>
      </c>
      <c r="B3291" s="3" t="n">
        <v>269.6782193095281</v>
      </c>
    </row>
    <row r="3292">
      <c r="A3292" s="4" t="n">
        <v>40470</v>
      </c>
      <c r="B3292" s="3" t="n">
        <v>274.5409574234</v>
      </c>
    </row>
    <row r="3293">
      <c r="A3293" s="4" t="n">
        <v>40471</v>
      </c>
      <c r="B3293" s="3" t="n">
        <v>275.3287753301166</v>
      </c>
    </row>
    <row r="3294">
      <c r="A3294" s="4" t="n">
        <v>40472</v>
      </c>
      <c r="B3294" s="3" t="n">
        <v>279.5395262108436</v>
      </c>
    </row>
    <row r="3295">
      <c r="A3295" s="4" t="n">
        <v>40473</v>
      </c>
      <c r="B3295" s="3" t="n">
        <v>283.4242834749982</v>
      </c>
    </row>
    <row r="3296">
      <c r="A3296" s="4" t="n">
        <v>40476</v>
      </c>
      <c r="B3296" s="3" t="n">
        <v>286.2767276200068</v>
      </c>
    </row>
    <row r="3297">
      <c r="A3297" s="4" t="n">
        <v>40477</v>
      </c>
      <c r="B3297" s="3" t="n">
        <v>292.3076095265964</v>
      </c>
    </row>
    <row r="3298">
      <c r="A3298" s="4" t="n">
        <v>40478</v>
      </c>
      <c r="B3298" s="3" t="n">
        <v>300.6747790186217</v>
      </c>
    </row>
    <row r="3299">
      <c r="A3299" s="4" t="n">
        <v>40479</v>
      </c>
      <c r="B3299" s="3" t="n">
        <v>304.5323701480619</v>
      </c>
    </row>
    <row r="3300">
      <c r="A3300" s="4" t="n">
        <v>40480</v>
      </c>
      <c r="B3300" s="3" t="n">
        <v>307.3033158889274</v>
      </c>
    </row>
    <row r="3301">
      <c r="A3301" s="4" t="n">
        <v>40483</v>
      </c>
      <c r="B3301" s="3" t="n">
        <v>303.7246415298542</v>
      </c>
    </row>
    <row r="3302">
      <c r="A3302" s="4" t="n">
        <v>40485</v>
      </c>
      <c r="B3302" s="3" t="n">
        <v>305.1439155556947</v>
      </c>
    </row>
    <row r="3303">
      <c r="A3303" s="4" t="n">
        <v>40486</v>
      </c>
      <c r="B3303" s="3" t="n">
        <v>308.705489997898</v>
      </c>
    </row>
    <row r="3304">
      <c r="A3304" s="4" t="n">
        <v>40487</v>
      </c>
      <c r="B3304" s="3" t="n">
        <v>310.5264453518065</v>
      </c>
    </row>
    <row r="3305">
      <c r="A3305" s="4" t="n">
        <v>40490</v>
      </c>
      <c r="B3305" s="3" t="n">
        <v>311.7314893360106</v>
      </c>
    </row>
    <row r="3306">
      <c r="A3306" s="4" t="n">
        <v>40491</v>
      </c>
      <c r="B3306" s="3" t="n">
        <v>313.79345348676</v>
      </c>
    </row>
    <row r="3307">
      <c r="A3307" s="4" t="n">
        <v>40492</v>
      </c>
      <c r="B3307" s="3" t="n">
        <v>311.1155779663063</v>
      </c>
    </row>
    <row r="3308">
      <c r="A3308" s="4" t="n">
        <v>40493</v>
      </c>
      <c r="B3308" s="3" t="n">
        <v>313.79345348676</v>
      </c>
    </row>
    <row r="3309">
      <c r="A3309" s="4" t="n">
        <v>40494</v>
      </c>
      <c r="B3309" s="3" t="n">
        <v>312.7223032785785</v>
      </c>
    </row>
    <row r="3310">
      <c r="A3310" s="4" t="n">
        <v>40498</v>
      </c>
      <c r="B3310" s="3" t="n">
        <v>308.651932487489</v>
      </c>
    </row>
    <row r="3311">
      <c r="A3311" s="4" t="n">
        <v>40499</v>
      </c>
      <c r="B3311" s="3" t="n">
        <v>305.7330481701945</v>
      </c>
    </row>
    <row r="3312">
      <c r="A3312" s="4" t="n">
        <v>40500</v>
      </c>
      <c r="B3312" s="3" t="n">
        <v>300.6718634365371</v>
      </c>
    </row>
    <row r="3313">
      <c r="A3313" s="4" t="n">
        <v>40501</v>
      </c>
      <c r="B3313" s="3" t="n">
        <v>295.9855812757432</v>
      </c>
    </row>
    <row r="3314">
      <c r="A3314" s="4" t="n">
        <v>40504</v>
      </c>
      <c r="B3314" s="3" t="n">
        <v>302.867721363309</v>
      </c>
    </row>
    <row r="3315">
      <c r="A3315" s="4" t="n">
        <v>40505</v>
      </c>
      <c r="B3315" s="3" t="n">
        <v>301.3948898270595</v>
      </c>
    </row>
    <row r="3316">
      <c r="A3316" s="4" t="n">
        <v>40506</v>
      </c>
      <c r="B3316" s="3" t="n">
        <v>295.7981299893113</v>
      </c>
    </row>
    <row r="3317">
      <c r="A3317" s="4" t="n">
        <v>40507</v>
      </c>
      <c r="B3317" s="3" t="n">
        <v>291.5670866669946</v>
      </c>
    </row>
    <row r="3318">
      <c r="A3318" s="4" t="n">
        <v>40508</v>
      </c>
      <c r="B3318" s="3" t="n">
        <v>291.2992991149492</v>
      </c>
    </row>
    <row r="3319">
      <c r="A3319" s="4" t="n">
        <v>40511</v>
      </c>
      <c r="B3319" s="3" t="n">
        <v>284.899176621065</v>
      </c>
    </row>
    <row r="3320">
      <c r="A3320" s="4" t="n">
        <v>40512</v>
      </c>
      <c r="B3320" s="3" t="n">
        <v>282.2213011006114</v>
      </c>
    </row>
    <row r="3321">
      <c r="A3321" s="4" t="n">
        <v>40513</v>
      </c>
      <c r="B3321" s="3" t="n">
        <v>276.4519063915026</v>
      </c>
    </row>
    <row r="3322">
      <c r="A3322" s="4" t="n">
        <v>40514</v>
      </c>
      <c r="B3322" s="3" t="n">
        <v>278.2603459907928</v>
      </c>
    </row>
    <row r="3323">
      <c r="A3323" s="4" t="n">
        <v>40515</v>
      </c>
      <c r="B3323" s="3" t="n">
        <v>273.5796787926298</v>
      </c>
    </row>
    <row r="3324">
      <c r="A3324" s="4" t="n">
        <v>40518</v>
      </c>
      <c r="B3324" s="3" t="n">
        <v>277.6752625910224</v>
      </c>
    </row>
    <row r="3325">
      <c r="A3325" s="4" t="n">
        <v>40519</v>
      </c>
      <c r="B3325" s="3" t="n">
        <v>276.1061752916382</v>
      </c>
    </row>
    <row r="3326">
      <c r="A3326" s="4" t="n">
        <v>40520</v>
      </c>
      <c r="B3326" s="3" t="n">
        <v>276.7178533913982</v>
      </c>
    </row>
    <row r="3327">
      <c r="A3327" s="4" t="n">
        <v>40521</v>
      </c>
      <c r="B3327" s="3" t="n">
        <v>280.0953802900726</v>
      </c>
    </row>
    <row r="3328">
      <c r="A3328" s="4" t="n">
        <v>40522</v>
      </c>
      <c r="B3328" s="3" t="n">
        <v>279.6964597902292</v>
      </c>
    </row>
    <row r="3329">
      <c r="A3329" s="4" t="n">
        <v>40525</v>
      </c>
      <c r="B3329" s="3" t="n">
        <v>280.8134371897908</v>
      </c>
    </row>
    <row r="3330">
      <c r="A3330" s="4" t="n">
        <v>40526</v>
      </c>
      <c r="B3330" s="3" t="n">
        <v>279.4305127903335</v>
      </c>
    </row>
    <row r="3331">
      <c r="A3331" s="4" t="n">
        <v>40527</v>
      </c>
      <c r="B3331" s="3" t="n">
        <v>279.5634862902814</v>
      </c>
    </row>
    <row r="3332">
      <c r="A3332" s="4" t="n">
        <v>40528</v>
      </c>
      <c r="B3332" s="3" t="n">
        <v>282.0633880893002</v>
      </c>
    </row>
    <row r="3333">
      <c r="A3333" s="4" t="n">
        <v>40529</v>
      </c>
      <c r="B3333" s="3" t="n">
        <v>280.680463689843</v>
      </c>
    </row>
    <row r="3334">
      <c r="A3334" s="4" t="n">
        <v>40532</v>
      </c>
      <c r="B3334" s="3" t="n">
        <v>279.3241339903753</v>
      </c>
    </row>
    <row r="3335">
      <c r="A3335" s="4" t="n">
        <v>40533</v>
      </c>
      <c r="B3335" s="3" t="n">
        <v>278.3933194907407</v>
      </c>
    </row>
    <row r="3336">
      <c r="A3336" s="4" t="n">
        <v>40534</v>
      </c>
      <c r="B3336" s="3" t="n">
        <v>281.2655470896134</v>
      </c>
    </row>
    <row r="3337">
      <c r="A3337" s="4" t="n">
        <v>40535</v>
      </c>
      <c r="B3337" s="3" t="n">
        <v>282.6218767890811</v>
      </c>
    </row>
    <row r="3338">
      <c r="A3338" s="4" t="n">
        <v>40539</v>
      </c>
      <c r="B3338" s="3" t="n">
        <v>280.5474901898952</v>
      </c>
    </row>
    <row r="3339">
      <c r="A3339" s="4" t="n">
        <v>40540</v>
      </c>
      <c r="B3339" s="3" t="n">
        <v>278.552887690678</v>
      </c>
    </row>
    <row r="3340">
      <c r="A3340" s="4" t="n">
        <v>40541</v>
      </c>
      <c r="B3340" s="3" t="n">
        <v>278.1805618908241</v>
      </c>
    </row>
    <row r="3341">
      <c r="A3341" s="4" t="n">
        <v>40542</v>
      </c>
      <c r="B3341" s="3" t="n">
        <v>278.5262929906884</v>
      </c>
    </row>
    <row r="3342">
      <c r="A3342" s="4" t="n">
        <v>40546</v>
      </c>
      <c r="B3342" s="3" t="n">
        <v>273.0876717157807</v>
      </c>
    </row>
    <row r="3343">
      <c r="A3343" s="4" t="n">
        <v>40547</v>
      </c>
      <c r="B3343" s="3" t="n">
        <v>274.4597063949325</v>
      </c>
    </row>
    <row r="3344">
      <c r="A3344" s="4" t="n">
        <v>40548</v>
      </c>
      <c r="B3344" s="3" t="n">
        <v>271.8475634480859</v>
      </c>
    </row>
    <row r="3345">
      <c r="A3345" s="4" t="n">
        <v>40549</v>
      </c>
      <c r="B3345" s="3" t="n">
        <v>271.9003340126687</v>
      </c>
    </row>
    <row r="3346">
      <c r="A3346" s="4" t="n">
        <v>40550</v>
      </c>
      <c r="B3346" s="3" t="n">
        <v>273.034901151198</v>
      </c>
    </row>
    <row r="3347">
      <c r="A3347" s="4" t="n">
        <v>40553</v>
      </c>
      <c r="B3347" s="3" t="n">
        <v>272.9557453043239</v>
      </c>
    </row>
    <row r="3348">
      <c r="A3348" s="4" t="n">
        <v>40554</v>
      </c>
      <c r="B3348" s="3" t="n">
        <v>273.1404422803635</v>
      </c>
    </row>
    <row r="3349">
      <c r="A3349" s="4" t="n">
        <v>40555</v>
      </c>
      <c r="B3349" s="3" t="n">
        <v>271.1879313908015</v>
      </c>
    </row>
    <row r="3350">
      <c r="A3350" s="4" t="n">
        <v>40556</v>
      </c>
      <c r="B3350" s="3" t="n">
        <v>271.4517842137152</v>
      </c>
    </row>
    <row r="3351">
      <c r="A3351" s="4" t="n">
        <v>40557</v>
      </c>
      <c r="B3351" s="3" t="n">
        <v>270.8185374387221</v>
      </c>
    </row>
    <row r="3352">
      <c r="A3352" s="4" t="n">
        <v>40560</v>
      </c>
      <c r="B3352" s="3" t="n">
        <v>271.3462430845497</v>
      </c>
    </row>
    <row r="3353">
      <c r="A3353" s="4" t="n">
        <v>40561</v>
      </c>
      <c r="B3353" s="3" t="n">
        <v>271.3990136491324</v>
      </c>
    </row>
    <row r="3354">
      <c r="A3354" s="4" t="n">
        <v>40562</v>
      </c>
      <c r="B3354" s="3" t="n">
        <v>274.1166977251445</v>
      </c>
    </row>
    <row r="3355">
      <c r="A3355" s="4" t="n">
        <v>40563</v>
      </c>
      <c r="B3355" s="3" t="n">
        <v>273.4834509501515</v>
      </c>
    </row>
    <row r="3356">
      <c r="A3356" s="4" t="n">
        <v>40564</v>
      </c>
      <c r="B3356" s="3" t="n">
        <v>273.6153773616084</v>
      </c>
    </row>
    <row r="3357">
      <c r="A3357" s="4" t="n">
        <v>40567</v>
      </c>
      <c r="B3357" s="3" t="n">
        <v>270.9768491324704</v>
      </c>
    </row>
    <row r="3358">
      <c r="A3358" s="4" t="n">
        <v>40568</v>
      </c>
      <c r="B3358" s="3" t="n">
        <v>270.5546846158083</v>
      </c>
    </row>
    <row r="3359">
      <c r="A3359" s="4" t="n">
        <v>40569</v>
      </c>
      <c r="B3359" s="3" t="n">
        <v>270.9768491324704</v>
      </c>
    </row>
    <row r="3360">
      <c r="A3360" s="4" t="n">
        <v>40570</v>
      </c>
      <c r="B3360" s="3" t="n">
        <v>268.9187971137428</v>
      </c>
    </row>
    <row r="3361">
      <c r="A3361" s="4" t="n">
        <v>40571</v>
      </c>
      <c r="B3361" s="3" t="n">
        <v>270.5019140512255</v>
      </c>
    </row>
    <row r="3362">
      <c r="A3362" s="4" t="n">
        <v>40574</v>
      </c>
      <c r="B3362" s="3" t="n">
        <v>271.3726283668411</v>
      </c>
    </row>
    <row r="3363">
      <c r="A3363" s="4" t="n">
        <v>40575</v>
      </c>
      <c r="B3363" s="3" t="n">
        <v>268.6955885400646</v>
      </c>
    </row>
    <row r="3364">
      <c r="A3364" s="4" t="n">
        <v>40576</v>
      </c>
      <c r="B3364" s="3" t="n">
        <v>266.866838788212</v>
      </c>
    </row>
    <row r="3365">
      <c r="A3365" s="4" t="n">
        <v>40577</v>
      </c>
      <c r="B3365" s="3" t="n">
        <v>270.341463316732</v>
      </c>
    </row>
    <row r="3366">
      <c r="A3366" s="4" t="n">
        <v>40578</v>
      </c>
      <c r="B3366" s="3" t="n">
        <v>269.2442134656204</v>
      </c>
    </row>
    <row r="3367">
      <c r="A3367" s="4" t="n">
        <v>40581</v>
      </c>
      <c r="B3367" s="3" t="n">
        <v>271.2297131962032</v>
      </c>
    </row>
    <row r="3368">
      <c r="A3368" s="4" t="n">
        <v>40582</v>
      </c>
      <c r="B3368" s="3" t="n">
        <v>271.6215881430288</v>
      </c>
    </row>
    <row r="3369">
      <c r="A3369" s="4" t="n">
        <v>40583</v>
      </c>
      <c r="B3369" s="3" t="n">
        <v>272.7710879870505</v>
      </c>
    </row>
    <row r="3370">
      <c r="A3370" s="4" t="n">
        <v>40584</v>
      </c>
      <c r="B3370" s="3" t="n">
        <v>272.5098380225002</v>
      </c>
    </row>
    <row r="3371">
      <c r="A3371" s="4" t="n">
        <v>40585</v>
      </c>
      <c r="B3371" s="3" t="n">
        <v>272.5359630189552</v>
      </c>
    </row>
    <row r="3372">
      <c r="A3372" s="4" t="n">
        <v>40588</v>
      </c>
      <c r="B3372" s="3" t="n">
        <v>272.6404630047753</v>
      </c>
    </row>
    <row r="3373">
      <c r="A3373" s="4" t="n">
        <v>40589</v>
      </c>
      <c r="B3373" s="3" t="n">
        <v>272.7972129835056</v>
      </c>
    </row>
    <row r="3374">
      <c r="A3374" s="4" t="n">
        <v>40590</v>
      </c>
      <c r="B3374" s="3" t="n">
        <v>272.6143380083203</v>
      </c>
    </row>
    <row r="3375">
      <c r="A3375" s="4" t="n">
        <v>40591</v>
      </c>
      <c r="B3375" s="3" t="n">
        <v>272.7972129835056</v>
      </c>
    </row>
    <row r="3376">
      <c r="A3376" s="4" t="n">
        <v>40592</v>
      </c>
      <c r="B3376" s="3" t="n">
        <v>272.8233379799606</v>
      </c>
    </row>
    <row r="3377">
      <c r="A3377" s="4" t="n">
        <v>40595</v>
      </c>
      <c r="B3377" s="3" t="n">
        <v>273.6854628629769</v>
      </c>
    </row>
    <row r="3378">
      <c r="A3378" s="4" t="n">
        <v>40596</v>
      </c>
      <c r="B3378" s="3" t="n">
        <v>274.3908377672628</v>
      </c>
    </row>
    <row r="3379">
      <c r="A3379" s="4" t="n">
        <v>40597</v>
      </c>
      <c r="B3379" s="3" t="n">
        <v>275.6448375971047</v>
      </c>
    </row>
    <row r="3380">
      <c r="A3380" s="4" t="n">
        <v>40598</v>
      </c>
      <c r="B3380" s="3" t="n">
        <v>275.174587660914</v>
      </c>
    </row>
    <row r="3381">
      <c r="A3381" s="4" t="n">
        <v>40599</v>
      </c>
      <c r="B3381" s="3" t="n">
        <v>276.0628375403853</v>
      </c>
    </row>
    <row r="3382">
      <c r="A3382" s="4" t="n">
        <v>40602</v>
      </c>
      <c r="B3382" s="3" t="n">
        <v>275.2790876467342</v>
      </c>
    </row>
    <row r="3383">
      <c r="A3383" s="4" t="n">
        <v>40603</v>
      </c>
      <c r="B3383" s="3" t="n">
        <v>273.3173442977654</v>
      </c>
    </row>
    <row r="3384">
      <c r="A3384" s="4" t="n">
        <v>40604</v>
      </c>
      <c r="B3384" s="3" t="n">
        <v>273.1615635372651</v>
      </c>
    </row>
    <row r="3385">
      <c r="A3385" s="4" t="n">
        <v>40605</v>
      </c>
      <c r="B3385" s="3" t="n">
        <v>272.4345866549304</v>
      </c>
    </row>
    <row r="3386">
      <c r="A3386" s="4" t="n">
        <v>40606</v>
      </c>
      <c r="B3386" s="3" t="n">
        <v>273.9404673397665</v>
      </c>
    </row>
    <row r="3387">
      <c r="A3387" s="4" t="n">
        <v>40611</v>
      </c>
      <c r="B3387" s="3" t="n">
        <v>274.0702846401835</v>
      </c>
    </row>
    <row r="3388">
      <c r="A3388" s="4" t="n">
        <v>40612</v>
      </c>
      <c r="B3388" s="3" t="n">
        <v>273.9664307998499</v>
      </c>
    </row>
    <row r="3389">
      <c r="A3389" s="4" t="n">
        <v>40613</v>
      </c>
      <c r="B3389" s="3" t="n">
        <v>274.3558827011007</v>
      </c>
    </row>
    <row r="3390">
      <c r="A3390" s="4" t="n">
        <v>40616</v>
      </c>
      <c r="B3390" s="3" t="n">
        <v>274.2260654006838</v>
      </c>
    </row>
    <row r="3391">
      <c r="A3391" s="4" t="n">
        <v>40617</v>
      </c>
      <c r="B3391" s="3" t="n">
        <v>275.264603804019</v>
      </c>
    </row>
    <row r="3392">
      <c r="A3392" s="4" t="n">
        <v>40618</v>
      </c>
      <c r="B3392" s="3" t="n">
        <v>274.5635903817677</v>
      </c>
    </row>
    <row r="3393">
      <c r="A3393" s="4" t="n">
        <v>40619</v>
      </c>
      <c r="B3393" s="3" t="n">
        <v>275.1867134237689</v>
      </c>
    </row>
    <row r="3394">
      <c r="A3394" s="4" t="n">
        <v>40620</v>
      </c>
      <c r="B3394" s="3" t="n">
        <v>275.1088230435187</v>
      </c>
    </row>
    <row r="3395">
      <c r="A3395" s="4" t="n">
        <v>40623</v>
      </c>
      <c r="B3395" s="3" t="n">
        <v>275.1088230435187</v>
      </c>
    </row>
    <row r="3396">
      <c r="A3396" s="4" t="n">
        <v>40624</v>
      </c>
      <c r="B3396" s="3" t="n">
        <v>275.6280922451864</v>
      </c>
    </row>
    <row r="3397">
      <c r="A3397" s="4" t="n">
        <v>40625</v>
      </c>
      <c r="B3397" s="3" t="n">
        <v>274.6674442221013</v>
      </c>
    </row>
    <row r="3398">
      <c r="A3398" s="4" t="n">
        <v>40626</v>
      </c>
      <c r="B3398" s="3" t="n">
        <v>276.1213979867707</v>
      </c>
    </row>
    <row r="3399">
      <c r="A3399" s="4" t="n">
        <v>40627</v>
      </c>
      <c r="B3399" s="3" t="n">
        <v>271.3700847915117</v>
      </c>
    </row>
    <row r="3400">
      <c r="A3400" s="4" t="n">
        <v>40630</v>
      </c>
      <c r="B3400" s="3" t="n">
        <v>271.7076097725957</v>
      </c>
    </row>
    <row r="3401">
      <c r="A3401" s="4" t="n">
        <v>40631</v>
      </c>
      <c r="B3401" s="3" t="n">
        <v>272.1749520540965</v>
      </c>
    </row>
    <row r="3402">
      <c r="A3402" s="4" t="n">
        <v>40632</v>
      </c>
      <c r="B3402" s="3" t="n">
        <v>271.8114636129292</v>
      </c>
    </row>
    <row r="3403">
      <c r="A3403" s="4" t="n">
        <v>40633</v>
      </c>
      <c r="B3403" s="3" t="n">
        <v>271.7855001528458</v>
      </c>
    </row>
    <row r="3404">
      <c r="A3404" s="4" t="n">
        <v>40634</v>
      </c>
      <c r="B3404" s="3" t="n">
        <v>269.9038530058643</v>
      </c>
    </row>
    <row r="3405">
      <c r="A3405" s="4" t="n">
        <v>40637</v>
      </c>
      <c r="B3405" s="3" t="n">
        <v>271.2479442102605</v>
      </c>
    </row>
    <row r="3406">
      <c r="A3406" s="4" t="n">
        <v>40638</v>
      </c>
      <c r="B3406" s="3" t="n">
        <v>270.136484175856</v>
      </c>
    </row>
    <row r="3407">
      <c r="A3407" s="4" t="n">
        <v>40639</v>
      </c>
      <c r="B3407" s="3" t="n">
        <v>269.2835032192199</v>
      </c>
    </row>
    <row r="3408">
      <c r="A3408" s="4" t="n">
        <v>40640</v>
      </c>
      <c r="B3408" s="3" t="n">
        <v>269.4127427581042</v>
      </c>
    </row>
    <row r="3409">
      <c r="A3409" s="4" t="n">
        <v>40641</v>
      </c>
      <c r="B3409" s="3" t="n">
        <v>269.3093511269968</v>
      </c>
    </row>
    <row r="3410">
      <c r="A3410" s="4" t="n">
        <v>40644</v>
      </c>
      <c r="B3410" s="3" t="n">
        <v>268.585609709245</v>
      </c>
    </row>
    <row r="3411">
      <c r="A3411" s="4" t="n">
        <v>40645</v>
      </c>
      <c r="B3411" s="3" t="n">
        <v>268.740697155906</v>
      </c>
    </row>
    <row r="3412">
      <c r="A3412" s="4" t="n">
        <v>40646</v>
      </c>
      <c r="B3412" s="3" t="n">
        <v>268.9733283258977</v>
      </c>
    </row>
    <row r="3413">
      <c r="A3413" s="4" t="n">
        <v>40647</v>
      </c>
      <c r="B3413" s="3" t="n">
        <v>269.438590665881</v>
      </c>
    </row>
    <row r="3414">
      <c r="A3414" s="4" t="n">
        <v>40648</v>
      </c>
      <c r="B3414" s="3" t="n">
        <v>269.619526020319</v>
      </c>
    </row>
    <row r="3415">
      <c r="A3415" s="4" t="n">
        <v>40651</v>
      </c>
      <c r="B3415" s="3" t="n">
        <v>269.4644385736578</v>
      </c>
    </row>
    <row r="3416">
      <c r="A3416" s="4" t="n">
        <v>40652</v>
      </c>
      <c r="B3416" s="3" t="n">
        <v>270.0847883603022</v>
      </c>
    </row>
    <row r="3417">
      <c r="A3417" s="4" t="n">
        <v>40653</v>
      </c>
      <c r="B3417" s="3" t="n">
        <v>270.3174195302939</v>
      </c>
    </row>
    <row r="3418">
      <c r="A3418" s="4" t="n">
        <v>40658</v>
      </c>
      <c r="B3418" s="3" t="n">
        <v>270.1623320836328</v>
      </c>
    </row>
    <row r="3419">
      <c r="A3419" s="4" t="n">
        <v>40659</v>
      </c>
      <c r="B3419" s="3" t="n">
        <v>269.2318074036662</v>
      </c>
    </row>
    <row r="3420">
      <c r="A3420" s="4" t="n">
        <v>40660</v>
      </c>
      <c r="B3420" s="3" t="n">
        <v>269.6453739280958</v>
      </c>
    </row>
    <row r="3421">
      <c r="A3421" s="4" t="n">
        <v>40661</v>
      </c>
      <c r="B3421" s="3" t="n">
        <v>268.6890013403524</v>
      </c>
    </row>
    <row r="3422">
      <c r="A3422" s="4" t="n">
        <v>40662</v>
      </c>
      <c r="B3422" s="3" t="n">
        <v>266.8021040726424</v>
      </c>
    </row>
    <row r="3423">
      <c r="A3423" s="4" t="n">
        <v>40665</v>
      </c>
      <c r="B3423" s="3" t="n">
        <v>265.655335119952</v>
      </c>
    </row>
    <row r="3424">
      <c r="A3424" s="4" t="n">
        <v>40666</v>
      </c>
      <c r="B3424" s="3" t="n">
        <v>263.9052321565576</v>
      </c>
    </row>
    <row r="3425">
      <c r="A3425" s="4" t="n">
        <v>40667</v>
      </c>
      <c r="B3425" s="3" t="n">
        <v>262.129392384878</v>
      </c>
    </row>
    <row r="3426">
      <c r="A3426" s="4" t="n">
        <v>40668</v>
      </c>
      <c r="B3426" s="3" t="n">
        <v>261.7176034523147</v>
      </c>
    </row>
    <row r="3427">
      <c r="A3427" s="4" t="n">
        <v>40669</v>
      </c>
      <c r="B3427" s="3" t="n">
        <v>260.2248685717724</v>
      </c>
    </row>
    <row r="3428">
      <c r="A3428" s="4" t="n">
        <v>40672</v>
      </c>
      <c r="B3428" s="3" t="n">
        <v>261.9749715351668</v>
      </c>
    </row>
    <row r="3429">
      <c r="A3429" s="4" t="n">
        <v>40673</v>
      </c>
      <c r="B3429" s="3" t="n">
        <v>261.8720243020259</v>
      </c>
    </row>
    <row r="3430">
      <c r="A3430" s="4" t="n">
        <v>40674</v>
      </c>
      <c r="B3430" s="3" t="n">
        <v>261.9749715351668</v>
      </c>
    </row>
    <row r="3431">
      <c r="A3431" s="4" t="n">
        <v>40675</v>
      </c>
      <c r="B3431" s="3" t="n">
        <v>261.7433402605999</v>
      </c>
    </row>
    <row r="3432">
      <c r="A3432" s="4" t="n">
        <v>40676</v>
      </c>
      <c r="B3432" s="3" t="n">
        <v>260.8168151623323</v>
      </c>
    </row>
    <row r="3433">
      <c r="A3433" s="4" t="n">
        <v>40679</v>
      </c>
      <c r="B3433" s="3" t="n">
        <v>260.2506053800577</v>
      </c>
    </row>
    <row r="3434">
      <c r="A3434" s="4" t="n">
        <v>40680</v>
      </c>
      <c r="B3434" s="3" t="n">
        <v>258.0887134840999</v>
      </c>
    </row>
    <row r="3435">
      <c r="A3435" s="4" t="n">
        <v>40681</v>
      </c>
      <c r="B3435" s="3" t="n">
        <v>256.9305571112653</v>
      </c>
    </row>
    <row r="3436">
      <c r="A3436" s="4" t="n">
        <v>40682</v>
      </c>
      <c r="B3436" s="3" t="n">
        <v>254.6657179821668</v>
      </c>
    </row>
    <row r="3437">
      <c r="A3437" s="4" t="n">
        <v>40683</v>
      </c>
      <c r="B3437" s="3" t="n">
        <v>255.8496111632865</v>
      </c>
    </row>
    <row r="3438">
      <c r="A3438" s="4" t="n">
        <v>40686</v>
      </c>
      <c r="B3438" s="3" t="n">
        <v>253.2244567181949</v>
      </c>
    </row>
    <row r="3439">
      <c r="A3439" s="4" t="n">
        <v>40687</v>
      </c>
      <c r="B3439" s="3" t="n">
        <v>252.0663003453604</v>
      </c>
    </row>
    <row r="3440">
      <c r="A3440" s="4" t="n">
        <v>40688</v>
      </c>
      <c r="B3440" s="3" t="n">
        <v>254.5112971324555</v>
      </c>
    </row>
    <row r="3441">
      <c r="A3441" s="4" t="n">
        <v>40689</v>
      </c>
      <c r="B3441" s="3" t="n">
        <v>255.0775069147302</v>
      </c>
    </row>
    <row r="3442">
      <c r="A3442" s="4" t="n">
        <v>40690</v>
      </c>
      <c r="B3442" s="3" t="n">
        <v>254.6399811738816</v>
      </c>
    </row>
    <row r="3443">
      <c r="A3443" s="4" t="n">
        <v>40693</v>
      </c>
      <c r="B3443" s="3" t="n">
        <v>254.2024554330329</v>
      </c>
    </row>
    <row r="3444">
      <c r="A3444" s="4" t="n">
        <v>40694</v>
      </c>
      <c r="B3444" s="3" t="n">
        <v>253.7906665004696</v>
      </c>
    </row>
    <row r="3445">
      <c r="A3445" s="4" t="n">
        <v>40695</v>
      </c>
      <c r="B3445" s="3" t="n">
        <v>252.9648385770233</v>
      </c>
    </row>
    <row r="3446">
      <c r="A3446" s="4" t="n">
        <v>40696</v>
      </c>
      <c r="B3446" s="3" t="n">
        <v>252.4233788267311</v>
      </c>
    </row>
    <row r="3447">
      <c r="A3447" s="4" t="n">
        <v>40697</v>
      </c>
      <c r="B3447" s="3" t="n">
        <v>253.222676553353</v>
      </c>
    </row>
    <row r="3448">
      <c r="A3448" s="4" t="n">
        <v>40700</v>
      </c>
      <c r="B3448" s="3" t="n">
        <v>252.0366218622366</v>
      </c>
    </row>
    <row r="3449">
      <c r="A3449" s="4" t="n">
        <v>40701</v>
      </c>
      <c r="B3449" s="3" t="n">
        <v>253.7125687083793</v>
      </c>
    </row>
    <row r="3450">
      <c r="A3450" s="4" t="n">
        <v>40702</v>
      </c>
      <c r="B3450" s="3" t="n">
        <v>253.0679737675552</v>
      </c>
    </row>
    <row r="3451">
      <c r="A3451" s="4" t="n">
        <v>40703</v>
      </c>
      <c r="B3451" s="3" t="n">
        <v>252.5522978148959</v>
      </c>
    </row>
    <row r="3452">
      <c r="A3452" s="4" t="n">
        <v>40704</v>
      </c>
      <c r="B3452" s="3" t="n">
        <v>252.1913246480344</v>
      </c>
    </row>
    <row r="3453">
      <c r="A3453" s="4" t="n">
        <v>40707</v>
      </c>
      <c r="B3453" s="3" t="n">
        <v>251.0568375521839</v>
      </c>
    </row>
    <row r="3454">
      <c r="A3454" s="4" t="n">
        <v>40708</v>
      </c>
      <c r="B3454" s="3" t="n">
        <v>250.3091074208279</v>
      </c>
    </row>
    <row r="3455">
      <c r="A3455" s="4" t="n">
        <v>40709</v>
      </c>
      <c r="B3455" s="3" t="n">
        <v>249.6902962776367</v>
      </c>
    </row>
    <row r="3456">
      <c r="A3456" s="4" t="n">
        <v>40710</v>
      </c>
      <c r="B3456" s="3" t="n">
        <v>250.3348912184609</v>
      </c>
    </row>
    <row r="3457">
      <c r="A3457" s="4" t="n">
        <v>40711</v>
      </c>
      <c r="B3457" s="3" t="n">
        <v>249.9223504563334</v>
      </c>
    </row>
    <row r="3458">
      <c r="A3458" s="4" t="n">
        <v>40714</v>
      </c>
      <c r="B3458" s="3" t="n">
        <v>247.3697544906698</v>
      </c>
    </row>
    <row r="3459">
      <c r="A3459" s="4" t="n">
        <v>40715</v>
      </c>
      <c r="B3459" s="3" t="n">
        <v>248.2979712054566</v>
      </c>
    </row>
    <row r="3460">
      <c r="A3460" s="4" t="n">
        <v>40716</v>
      </c>
      <c r="B3460" s="3" t="n">
        <v>247.9112142409621</v>
      </c>
    </row>
    <row r="3461">
      <c r="A3461" s="4" t="n">
        <v>40718</v>
      </c>
      <c r="B3461" s="3" t="n">
        <v>249.9739180515994</v>
      </c>
    </row>
    <row r="3462">
      <c r="A3462" s="4" t="n">
        <v>40721</v>
      </c>
      <c r="B3462" s="3" t="n">
        <v>250.5153778018916</v>
      </c>
    </row>
    <row r="3463">
      <c r="A3463" s="4" t="n">
        <v>40722</v>
      </c>
      <c r="B3463" s="3" t="n">
        <v>248.8136471581159</v>
      </c>
    </row>
    <row r="3464">
      <c r="A3464" s="4" t="n">
        <v>40723</v>
      </c>
      <c r="B3464" s="3" t="n">
        <v>248.8394309557489</v>
      </c>
    </row>
    <row r="3465">
      <c r="A3465" s="4" t="n">
        <v>40724</v>
      </c>
      <c r="B3465" s="3" t="n">
        <v>248.6847281699511</v>
      </c>
    </row>
    <row r="3466">
      <c r="A3466" s="4" t="n">
        <v>40725</v>
      </c>
      <c r="B3466" s="3" t="n">
        <v>248.713911240346</v>
      </c>
    </row>
    <row r="3467">
      <c r="A3467" s="4" t="n">
        <v>40728</v>
      </c>
      <c r="B3467" s="3" t="n">
        <v>249.1527422202199</v>
      </c>
    </row>
    <row r="3468">
      <c r="A3468" s="4" t="n">
        <v>40729</v>
      </c>
      <c r="B3468" s="3" t="n">
        <v>250.8564389656131</v>
      </c>
    </row>
    <row r="3469">
      <c r="A3469" s="4" t="n">
        <v>40730</v>
      </c>
      <c r="B3469" s="3" t="n">
        <v>251.8115416865153</v>
      </c>
    </row>
    <row r="3470">
      <c r="A3470" s="4" t="n">
        <v>40731</v>
      </c>
      <c r="B3470" s="3" t="n">
        <v>251.8373552735667</v>
      </c>
    </row>
    <row r="3471">
      <c r="A3471" s="4" t="n">
        <v>40732</v>
      </c>
      <c r="B3471" s="3" t="n">
        <v>251.8373552735667</v>
      </c>
    </row>
    <row r="3472">
      <c r="A3472" s="4" t="n">
        <v>40735</v>
      </c>
      <c r="B3472" s="3" t="n">
        <v>251.9922367958752</v>
      </c>
    </row>
    <row r="3473">
      <c r="A3473" s="4" t="n">
        <v>40736</v>
      </c>
      <c r="B3473" s="3" t="n">
        <v>253.5410520189598</v>
      </c>
    </row>
    <row r="3474">
      <c r="A3474" s="4" t="n">
        <v>40737</v>
      </c>
      <c r="B3474" s="3" t="n">
        <v>255.9933427888439</v>
      </c>
    </row>
    <row r="3475">
      <c r="A3475" s="4" t="n">
        <v>40738</v>
      </c>
      <c r="B3475" s="3" t="n">
        <v>255.8900884406382</v>
      </c>
    </row>
    <row r="3476">
      <c r="A3476" s="4" t="n">
        <v>40739</v>
      </c>
      <c r="B3476" s="3" t="n">
        <v>256.8193775744891</v>
      </c>
    </row>
    <row r="3477">
      <c r="A3477" s="4" t="n">
        <v>40742</v>
      </c>
      <c r="B3477" s="3" t="n">
        <v>257.5937851860314</v>
      </c>
    </row>
    <row r="3478">
      <c r="A3478" s="4" t="n">
        <v>40743</v>
      </c>
      <c r="B3478" s="3" t="n">
        <v>257.8261074694941</v>
      </c>
    </row>
    <row r="3479">
      <c r="A3479" s="4" t="n">
        <v>40744</v>
      </c>
      <c r="B3479" s="3" t="n">
        <v>258.8070237774477</v>
      </c>
    </row>
    <row r="3480">
      <c r="A3480" s="4" t="n">
        <v>40745</v>
      </c>
      <c r="B3480" s="3" t="n">
        <v>259.9686351947612</v>
      </c>
    </row>
    <row r="3481">
      <c r="A3481" s="4" t="n">
        <v>40746</v>
      </c>
      <c r="B3481" s="3" t="n">
        <v>260.0718895429669</v>
      </c>
    </row>
    <row r="3482">
      <c r="A3482" s="4" t="n">
        <v>40749</v>
      </c>
      <c r="B3482" s="3" t="n">
        <v>260.2525846523267</v>
      </c>
    </row>
    <row r="3483">
      <c r="A3483" s="4" t="n">
        <v>40750</v>
      </c>
      <c r="B3483" s="3" t="n">
        <v>261.8530270495143</v>
      </c>
    </row>
    <row r="3484">
      <c r="A3484" s="4" t="n">
        <v>40751</v>
      </c>
      <c r="B3484" s="3" t="n">
        <v>262.4725531387481</v>
      </c>
    </row>
    <row r="3485">
      <c r="A3485" s="4" t="n">
        <v>40752</v>
      </c>
      <c r="B3485" s="3" t="n">
        <v>263.8406732524729</v>
      </c>
    </row>
    <row r="3486">
      <c r="A3486" s="4" t="n">
        <v>40753</v>
      </c>
      <c r="B3486" s="3" t="n">
        <v>264.098809122987</v>
      </c>
    </row>
    <row r="3487">
      <c r="A3487" s="4" t="n">
        <v>40756</v>
      </c>
      <c r="B3487" s="3" t="n">
        <v>264.1756472118257</v>
      </c>
    </row>
    <row r="3488">
      <c r="A3488" s="4" t="n">
        <v>40757</v>
      </c>
      <c r="B3488" s="3" t="n">
        <v>263.6616368076777</v>
      </c>
    </row>
    <row r="3489">
      <c r="A3489" s="4" t="n">
        <v>40758</v>
      </c>
      <c r="B3489" s="3" t="n">
        <v>263.7387383682999</v>
      </c>
    </row>
    <row r="3490">
      <c r="A3490" s="4" t="n">
        <v>40759</v>
      </c>
      <c r="B3490" s="3" t="n">
        <v>262.8392201610411</v>
      </c>
    </row>
    <row r="3491">
      <c r="A3491" s="4" t="n">
        <v>40760</v>
      </c>
      <c r="B3491" s="3" t="n">
        <v>262.2738087164784</v>
      </c>
    </row>
    <row r="3492">
      <c r="A3492" s="4" t="n">
        <v>40763</v>
      </c>
      <c r="B3492" s="3" t="n">
        <v>261.991102994197</v>
      </c>
    </row>
    <row r="3493">
      <c r="A3493" s="4" t="n">
        <v>40764</v>
      </c>
      <c r="B3493" s="3" t="n">
        <v>262.3509102771005</v>
      </c>
    </row>
    <row r="3494">
      <c r="A3494" s="4" t="n">
        <v>40765</v>
      </c>
      <c r="B3494" s="3" t="n">
        <v>262.3766107973079</v>
      </c>
    </row>
    <row r="3495">
      <c r="A3495" s="4" t="n">
        <v>40766</v>
      </c>
      <c r="B3495" s="3" t="n">
        <v>262.4537123579302</v>
      </c>
    </row>
    <row r="3496">
      <c r="A3496" s="4" t="n">
        <v>40767</v>
      </c>
      <c r="B3496" s="3" t="n">
        <v>260.8345795848641</v>
      </c>
    </row>
    <row r="3497">
      <c r="A3497" s="4" t="n">
        <v>40770</v>
      </c>
      <c r="B3497" s="3" t="n">
        <v>259.39535045325</v>
      </c>
    </row>
    <row r="3498">
      <c r="A3498" s="4" t="n">
        <v>40771</v>
      </c>
      <c r="B3498" s="3" t="n">
        <v>258.4958322459911</v>
      </c>
    </row>
    <row r="3499">
      <c r="A3499" s="4" t="n">
        <v>40772</v>
      </c>
      <c r="B3499" s="3" t="n">
        <v>258.1874260035023</v>
      </c>
    </row>
    <row r="3500">
      <c r="A3500" s="4" t="n">
        <v>40773</v>
      </c>
      <c r="B3500" s="3" t="n">
        <v>257.6734155993545</v>
      </c>
    </row>
    <row r="3501">
      <c r="A3501" s="4" t="n">
        <v>40774</v>
      </c>
      <c r="B3501" s="3" t="n">
        <v>257.8019182003914</v>
      </c>
    </row>
    <row r="3502">
      <c r="A3502" s="4" t="n">
        <v>40777</v>
      </c>
      <c r="B3502" s="3" t="n">
        <v>257.5963140387323</v>
      </c>
    </row>
    <row r="3503">
      <c r="A3503" s="4" t="n">
        <v>40778</v>
      </c>
      <c r="B3503" s="3" t="n">
        <v>257.5449129983174</v>
      </c>
    </row>
    <row r="3504">
      <c r="A3504" s="4" t="n">
        <v>40779</v>
      </c>
      <c r="B3504" s="3" t="n">
        <v>258.2388270439171</v>
      </c>
    </row>
    <row r="3505">
      <c r="A3505" s="4" t="n">
        <v>40780</v>
      </c>
      <c r="B3505" s="3" t="n">
        <v>257.4164103972805</v>
      </c>
    </row>
    <row r="3506">
      <c r="A3506" s="4" t="n">
        <v>40781</v>
      </c>
      <c r="B3506" s="3" t="n">
        <v>257.3136083164509</v>
      </c>
    </row>
    <row r="3507">
      <c r="A3507" s="4" t="n">
        <v>40784</v>
      </c>
      <c r="B3507" s="3" t="n">
        <v>257.8533192408062</v>
      </c>
    </row>
    <row r="3508">
      <c r="A3508" s="4" t="n">
        <v>40785</v>
      </c>
      <c r="B3508" s="3" t="n">
        <v>257.8276187205988</v>
      </c>
    </row>
    <row r="3509">
      <c r="A3509" s="4" t="n">
        <v>40786</v>
      </c>
      <c r="B3509" s="3" t="n">
        <v>257.1337046749991</v>
      </c>
    </row>
    <row r="3510">
      <c r="A3510" s="4" t="n">
        <v>40787</v>
      </c>
      <c r="B3510" s="3" t="n">
        <v>254.6423213177674</v>
      </c>
    </row>
    <row r="3511">
      <c r="A3511" s="4" t="n">
        <v>40788</v>
      </c>
      <c r="B3511" s="3" t="n">
        <v>254.5912498534037</v>
      </c>
    </row>
    <row r="3512">
      <c r="A3512" s="4" t="n">
        <v>40791</v>
      </c>
      <c r="B3512" s="3" t="n">
        <v>254.6678570499493</v>
      </c>
    </row>
    <row r="3513">
      <c r="A3513" s="4" t="n">
        <v>40792</v>
      </c>
      <c r="B3513" s="3" t="n">
        <v>254.8721429074044</v>
      </c>
    </row>
    <row r="3514">
      <c r="A3514" s="4" t="n">
        <v>40794</v>
      </c>
      <c r="B3514" s="3" t="n">
        <v>253.8251778879471</v>
      </c>
    </row>
    <row r="3515">
      <c r="A3515" s="4" t="n">
        <v>40795</v>
      </c>
      <c r="B3515" s="3" t="n">
        <v>253.3399989764912</v>
      </c>
    </row>
    <row r="3516">
      <c r="A3516" s="4" t="n">
        <v>40798</v>
      </c>
      <c r="B3516" s="3" t="n">
        <v>253.2378560477637</v>
      </c>
    </row>
    <row r="3517">
      <c r="A3517" s="4" t="n">
        <v>40799</v>
      </c>
      <c r="B3517" s="3" t="n">
        <v>252.3185696892158</v>
      </c>
    </row>
    <row r="3518">
      <c r="A3518" s="4" t="n">
        <v>40800</v>
      </c>
      <c r="B3518" s="3" t="n">
        <v>250.9651758835759</v>
      </c>
    </row>
    <row r="3519">
      <c r="A3519" s="4" t="n">
        <v>40801</v>
      </c>
      <c r="B3519" s="3" t="n">
        <v>249.8926751319366</v>
      </c>
    </row>
    <row r="3520">
      <c r="A3520" s="4" t="n">
        <v>40802</v>
      </c>
      <c r="B3520" s="3" t="n">
        <v>249.7394607388453</v>
      </c>
    </row>
    <row r="3521">
      <c r="A3521" s="4" t="n">
        <v>40805</v>
      </c>
      <c r="B3521" s="3" t="n">
        <v>247.8753522895676</v>
      </c>
    </row>
    <row r="3522">
      <c r="A3522" s="4" t="n">
        <v>40806</v>
      </c>
      <c r="B3522" s="3" t="n">
        <v>248.3349954688416</v>
      </c>
    </row>
    <row r="3523">
      <c r="A3523" s="4" t="n">
        <v>40807</v>
      </c>
      <c r="B3523" s="3" t="n">
        <v>249.6117820779359</v>
      </c>
    </row>
    <row r="3524">
      <c r="A3524" s="4" t="n">
        <v>40808</v>
      </c>
      <c r="B3524" s="3" t="n">
        <v>250.0969609893917</v>
      </c>
    </row>
    <row r="3525">
      <c r="A3525" s="4" t="n">
        <v>40809</v>
      </c>
      <c r="B3525" s="3" t="n">
        <v>249.6373178101178</v>
      </c>
    </row>
    <row r="3526">
      <c r="A3526" s="4" t="n">
        <v>40812</v>
      </c>
      <c r="B3526" s="3" t="n">
        <v>250.1224967215736</v>
      </c>
    </row>
    <row r="3527">
      <c r="A3527" s="4" t="n">
        <v>40813</v>
      </c>
      <c r="B3527" s="3" t="n">
        <v>250.9907116157578</v>
      </c>
    </row>
    <row r="3528">
      <c r="A3528" s="4" t="n">
        <v>40814</v>
      </c>
      <c r="B3528" s="3" t="n">
        <v>251.5014262593954</v>
      </c>
    </row>
    <row r="3529">
      <c r="A3529" s="4" t="n">
        <v>40815</v>
      </c>
      <c r="B3529" s="3" t="n">
        <v>252.2164267604882</v>
      </c>
    </row>
    <row r="3530">
      <c r="A3530" s="4" t="n">
        <v>40816</v>
      </c>
      <c r="B3530" s="3" t="n">
        <v>253.4421419052188</v>
      </c>
    </row>
    <row r="3531">
      <c r="A3531" s="4" t="n">
        <v>40819</v>
      </c>
      <c r="B3531" s="3" t="n">
        <v>253.6779257465013</v>
      </c>
    </row>
    <row r="3532">
      <c r="A3532" s="4" t="n">
        <v>40820</v>
      </c>
      <c r="B3532" s="3" t="n">
        <v>251.8490671649705</v>
      </c>
    </row>
    <row r="3533">
      <c r="A3533" s="4" t="n">
        <v>40821</v>
      </c>
      <c r="B3533" s="3" t="n">
        <v>251.8490671649705</v>
      </c>
    </row>
    <row r="3534">
      <c r="A3534" s="4" t="n">
        <v>40822</v>
      </c>
      <c r="B3534" s="3" t="n">
        <v>251.5950590286468</v>
      </c>
    </row>
    <row r="3535">
      <c r="A3535" s="4" t="n">
        <v>40823</v>
      </c>
      <c r="B3535" s="3" t="n">
        <v>251.4426541468525</v>
      </c>
    </row>
    <row r="3536">
      <c r="A3536" s="4" t="n">
        <v>40826</v>
      </c>
      <c r="B3536" s="3" t="n">
        <v>251.544257401382</v>
      </c>
    </row>
    <row r="3537">
      <c r="A3537" s="4" t="n">
        <v>40827</v>
      </c>
      <c r="B3537" s="3" t="n">
        <v>252.0522736740295</v>
      </c>
    </row>
    <row r="3538">
      <c r="A3538" s="4" t="n">
        <v>40829</v>
      </c>
      <c r="B3538" s="3" t="n">
        <v>252.1030753012942</v>
      </c>
    </row>
    <row r="3539">
      <c r="A3539" s="4" t="n">
        <v>40830</v>
      </c>
      <c r="B3539" s="3" t="n">
        <v>252.6618932012064</v>
      </c>
    </row>
    <row r="3540">
      <c r="A3540" s="4" t="n">
        <v>40833</v>
      </c>
      <c r="B3540" s="3" t="n">
        <v>252.2808809967208</v>
      </c>
    </row>
    <row r="3541">
      <c r="A3541" s="4" t="n">
        <v>40834</v>
      </c>
      <c r="B3541" s="3" t="n">
        <v>252.2046785558238</v>
      </c>
    </row>
    <row r="3542">
      <c r="A3542" s="4" t="n">
        <v>40835</v>
      </c>
      <c r="B3542" s="3" t="n">
        <v>252.4078850648827</v>
      </c>
    </row>
    <row r="3543">
      <c r="A3543" s="4" t="n">
        <v>40836</v>
      </c>
      <c r="B3543" s="3" t="n">
        <v>252.5094883194122</v>
      </c>
    </row>
    <row r="3544">
      <c r="A3544" s="4" t="n">
        <v>40837</v>
      </c>
      <c r="B3544" s="3" t="n">
        <v>253.1445086602215</v>
      </c>
    </row>
    <row r="3545">
      <c r="A3545" s="4" t="n">
        <v>40840</v>
      </c>
      <c r="B3545" s="3" t="n">
        <v>254.1605412055164</v>
      </c>
    </row>
    <row r="3546">
      <c r="A3546" s="4" t="n">
        <v>40841</v>
      </c>
      <c r="B3546" s="3" t="n">
        <v>254.8971648008552</v>
      </c>
    </row>
    <row r="3547">
      <c r="A3547" s="4" t="n">
        <v>40842</v>
      </c>
      <c r="B3547" s="3" t="n">
        <v>256.6498209414889</v>
      </c>
    </row>
    <row r="3548">
      <c r="A3548" s="4" t="n">
        <v>40843</v>
      </c>
      <c r="B3548" s="3" t="n">
        <v>256.9546307050773</v>
      </c>
    </row>
    <row r="3549">
      <c r="A3549" s="4" t="n">
        <v>40844</v>
      </c>
      <c r="B3549" s="3" t="n">
        <v>257.0308331459744</v>
      </c>
    </row>
    <row r="3550">
      <c r="A3550" s="4" t="n">
        <v>40847</v>
      </c>
      <c r="B3550" s="3" t="n">
        <v>257.41184535046</v>
      </c>
    </row>
    <row r="3551">
      <c r="A3551" s="4" t="n">
        <v>40848</v>
      </c>
      <c r="B3551" s="3" t="n">
        <v>256.7460827170499</v>
      </c>
    </row>
    <row r="3552">
      <c r="A3552" s="4" t="n">
        <v>40850</v>
      </c>
      <c r="B3552" s="3" t="n">
        <v>257.2515879005842</v>
      </c>
    </row>
    <row r="3553">
      <c r="A3553" s="4" t="n">
        <v>40851</v>
      </c>
      <c r="B3553" s="3" t="n">
        <v>259.0714065613075</v>
      </c>
    </row>
    <row r="3554">
      <c r="A3554" s="4" t="n">
        <v>40854</v>
      </c>
      <c r="B3554" s="3" t="n">
        <v>262.4077407726336</v>
      </c>
    </row>
    <row r="3555">
      <c r="A3555" s="4" t="n">
        <v>40855</v>
      </c>
      <c r="B3555" s="3" t="n">
        <v>262.4077407726336</v>
      </c>
    </row>
    <row r="3556">
      <c r="A3556" s="4" t="n">
        <v>40856</v>
      </c>
      <c r="B3556" s="3" t="n">
        <v>267.7155451997434</v>
      </c>
    </row>
    <row r="3557">
      <c r="A3557" s="4" t="n">
        <v>40857</v>
      </c>
      <c r="B3557" s="3" t="n">
        <v>268.802381344342</v>
      </c>
    </row>
    <row r="3558">
      <c r="A3558" s="4" t="n">
        <v>40858</v>
      </c>
      <c r="B3558" s="3" t="n">
        <v>271.0266041518927</v>
      </c>
    </row>
    <row r="3559">
      <c r="A3559" s="4" t="n">
        <v>40861</v>
      </c>
      <c r="B3559" s="3" t="n">
        <v>271.885962963901</v>
      </c>
    </row>
    <row r="3560">
      <c r="A3560" s="4" t="n">
        <v>40863</v>
      </c>
      <c r="B3560" s="3" t="n">
        <v>272.4925691841421</v>
      </c>
    </row>
    <row r="3561">
      <c r="A3561" s="4" t="n">
        <v>40864</v>
      </c>
      <c r="B3561" s="3" t="n">
        <v>273.0486248860298</v>
      </c>
    </row>
    <row r="3562">
      <c r="A3562" s="4" t="n">
        <v>40865</v>
      </c>
      <c r="B3562" s="3" t="n">
        <v>275.5508755445243</v>
      </c>
    </row>
    <row r="3563">
      <c r="A3563" s="4" t="n">
        <v>40868</v>
      </c>
      <c r="B3563" s="3" t="n">
        <v>277.0168405767737</v>
      </c>
    </row>
    <row r="3564">
      <c r="A3564" s="4" t="n">
        <v>40869</v>
      </c>
      <c r="B3564" s="3" t="n">
        <v>275.9552796913518</v>
      </c>
    </row>
    <row r="3565">
      <c r="A3565" s="4" t="n">
        <v>40870</v>
      </c>
      <c r="B3565" s="3" t="n">
        <v>273.7563321429777</v>
      </c>
    </row>
    <row r="3566">
      <c r="A3566" s="4" t="n">
        <v>40871</v>
      </c>
      <c r="B3566" s="3" t="n">
        <v>273.0486248860298</v>
      </c>
    </row>
    <row r="3567">
      <c r="A3567" s="4" t="n">
        <v>40872</v>
      </c>
      <c r="B3567" s="3" t="n">
        <v>271.532109335427</v>
      </c>
    </row>
    <row r="3568">
      <c r="A3568" s="4" t="n">
        <v>40875</v>
      </c>
      <c r="B3568" s="3" t="n">
        <v>267.917747273157</v>
      </c>
    </row>
    <row r="3569">
      <c r="A3569" s="4" t="n">
        <v>40876</v>
      </c>
      <c r="B3569" s="3" t="n">
        <v>265.0869182453652</v>
      </c>
    </row>
    <row r="3570">
      <c r="A3570" s="4" t="n">
        <v>40877</v>
      </c>
      <c r="B3570" s="3" t="n">
        <v>264.404486247594</v>
      </c>
    </row>
    <row r="3571">
      <c r="A3571" s="4" t="n">
        <v>40878</v>
      </c>
      <c r="B3571" s="3" t="n">
        <v>264.6898168417671</v>
      </c>
    </row>
    <row r="3572">
      <c r="A3572" s="4" t="n">
        <v>40879</v>
      </c>
      <c r="B3572" s="3" t="n">
        <v>263.6776186894086</v>
      </c>
    </row>
    <row r="3573">
      <c r="A3573" s="4" t="n">
        <v>40882</v>
      </c>
      <c r="B3573" s="3" t="n">
        <v>263.4245691513189</v>
      </c>
    </row>
    <row r="3574">
      <c r="A3574" s="4" t="n">
        <v>40883</v>
      </c>
      <c r="B3574" s="3" t="n">
        <v>262.3617610913424</v>
      </c>
    </row>
    <row r="3575">
      <c r="A3575" s="4" t="n">
        <v>40884</v>
      </c>
      <c r="B3575" s="3" t="n">
        <v>260.3373647866252</v>
      </c>
    </row>
    <row r="3576">
      <c r="A3576" s="4" t="n">
        <v>40885</v>
      </c>
      <c r="B3576" s="3" t="n">
        <v>258.0093090362005</v>
      </c>
    </row>
    <row r="3577">
      <c r="A3577" s="4" t="n">
        <v>40886</v>
      </c>
      <c r="B3577" s="3" t="n">
        <v>256.8705861147972</v>
      </c>
    </row>
    <row r="3578">
      <c r="A3578" s="4" t="n">
        <v>40889</v>
      </c>
      <c r="B3578" s="3" t="n">
        <v>257.0730257452689</v>
      </c>
    </row>
    <row r="3579">
      <c r="A3579" s="4" t="n">
        <v>40890</v>
      </c>
      <c r="B3579" s="3" t="n">
        <v>258.1864437128633</v>
      </c>
    </row>
    <row r="3580">
      <c r="A3580" s="4" t="n">
        <v>40891</v>
      </c>
      <c r="B3580" s="3" t="n">
        <v>256.971805930033</v>
      </c>
    </row>
    <row r="3581">
      <c r="A3581" s="4" t="n">
        <v>40892</v>
      </c>
      <c r="B3581" s="3" t="n">
        <v>254.3907006415187</v>
      </c>
    </row>
    <row r="3582">
      <c r="A3582" s="4" t="n">
        <v>40893</v>
      </c>
      <c r="B3582" s="3" t="n">
        <v>253.7327718424856</v>
      </c>
    </row>
    <row r="3583">
      <c r="A3583" s="4" t="n">
        <v>40896</v>
      </c>
      <c r="B3583" s="3" t="n">
        <v>253.3278925815421</v>
      </c>
    </row>
    <row r="3584">
      <c r="A3584" s="4" t="n">
        <v>40897</v>
      </c>
      <c r="B3584" s="3" t="n">
        <v>254.9221046715069</v>
      </c>
    </row>
    <row r="3585">
      <c r="A3585" s="4" t="n">
        <v>40898</v>
      </c>
      <c r="B3585" s="3" t="n">
        <v>254.188261011047</v>
      </c>
    </row>
    <row r="3586">
      <c r="A3586" s="4" t="n">
        <v>40899</v>
      </c>
      <c r="B3586" s="3" t="n">
        <v>254.3400907339008</v>
      </c>
    </row>
    <row r="3587">
      <c r="A3587" s="4" t="n">
        <v>40900</v>
      </c>
      <c r="B3587" s="3" t="n">
        <v>255.0739343943607</v>
      </c>
    </row>
    <row r="3588">
      <c r="A3588" s="4" t="n">
        <v>40903</v>
      </c>
      <c r="B3588" s="3" t="n">
        <v>256.2126573157641</v>
      </c>
    </row>
    <row r="3589">
      <c r="A3589" s="4" t="n">
        <v>40904</v>
      </c>
      <c r="B3589" s="3" t="n">
        <v>256.6175365767075</v>
      </c>
    </row>
    <row r="3590">
      <c r="A3590" s="4" t="n">
        <v>40905</v>
      </c>
      <c r="B3590" s="3" t="n">
        <v>255.9089978700565</v>
      </c>
    </row>
    <row r="3591">
      <c r="A3591" s="4" t="n">
        <v>40906</v>
      </c>
      <c r="B3591" s="3" t="n">
        <v>256.971805930033</v>
      </c>
    </row>
    <row r="3592">
      <c r="A3592" s="4" t="n">
        <v>40910</v>
      </c>
      <c r="B3592" s="3" t="n">
        <v>248.5597004820531</v>
      </c>
    </row>
    <row r="3593">
      <c r="A3593" s="4" t="n">
        <v>40911</v>
      </c>
      <c r="B3593" s="3" t="n">
        <v>249.9227779499145</v>
      </c>
    </row>
    <row r="3594">
      <c r="A3594" s="4" t="n">
        <v>40912</v>
      </c>
      <c r="B3594" s="3" t="n">
        <v>249.0645439886685</v>
      </c>
    </row>
    <row r="3595">
      <c r="A3595" s="4" t="n">
        <v>40913</v>
      </c>
      <c r="B3595" s="3" t="n">
        <v>249.0645439886685</v>
      </c>
    </row>
    <row r="3596">
      <c r="A3596" s="4" t="n">
        <v>40914</v>
      </c>
      <c r="B3596" s="3" t="n">
        <v>247.7519508714686</v>
      </c>
    </row>
    <row r="3597">
      <c r="A3597" s="4" t="n">
        <v>40917</v>
      </c>
      <c r="B3597" s="3" t="n">
        <v>249.5946296706146</v>
      </c>
    </row>
    <row r="3598">
      <c r="A3598" s="4" t="n">
        <v>40918</v>
      </c>
      <c r="B3598" s="3" t="n">
        <v>246.5655686309227</v>
      </c>
    </row>
    <row r="3599">
      <c r="A3599" s="4" t="n">
        <v>40919</v>
      </c>
      <c r="B3599" s="3" t="n">
        <v>247.171380838861</v>
      </c>
    </row>
    <row r="3600">
      <c r="A3600" s="4" t="n">
        <v>40920</v>
      </c>
      <c r="B3600" s="3" t="n">
        <v>246.5908108062534</v>
      </c>
    </row>
    <row r="3601">
      <c r="A3601" s="4" t="n">
        <v>40921</v>
      </c>
      <c r="B3601" s="3" t="n">
        <v>246.1112094749688</v>
      </c>
    </row>
    <row r="3602">
      <c r="A3602" s="4" t="n">
        <v>40924</v>
      </c>
      <c r="B3602" s="3" t="n">
        <v>247.9791304494455</v>
      </c>
    </row>
    <row r="3603">
      <c r="A3603" s="4" t="n">
        <v>40925</v>
      </c>
      <c r="B3603" s="3" t="n">
        <v>248.1053413260994</v>
      </c>
    </row>
    <row r="3604">
      <c r="A3604" s="4" t="n">
        <v>40926</v>
      </c>
      <c r="B3604" s="3" t="n">
        <v>250.4528636318606</v>
      </c>
    </row>
    <row r="3605">
      <c r="A3605" s="4" t="n">
        <v>40927</v>
      </c>
      <c r="B3605" s="3" t="n">
        <v>250.5033479825221</v>
      </c>
    </row>
    <row r="3606">
      <c r="A3606" s="4" t="n">
        <v>40928</v>
      </c>
      <c r="B3606" s="3" t="n">
        <v>251.4120662944297</v>
      </c>
    </row>
    <row r="3607">
      <c r="A3607" s="4" t="n">
        <v>40931</v>
      </c>
      <c r="B3607" s="3" t="n">
        <v>251.9421519763758</v>
      </c>
    </row>
    <row r="3608">
      <c r="A3608" s="4" t="n">
        <v>40932</v>
      </c>
      <c r="B3608" s="3" t="n">
        <v>251.7654567490604</v>
      </c>
    </row>
    <row r="3609">
      <c r="A3609" s="4" t="n">
        <v>40933</v>
      </c>
      <c r="B3609" s="3" t="n">
        <v>251.6392458724066</v>
      </c>
    </row>
    <row r="3610">
      <c r="A3610" s="4" t="n">
        <v>40934</v>
      </c>
      <c r="B3610" s="3" t="n">
        <v>251.6644880477374</v>
      </c>
    </row>
    <row r="3611">
      <c r="A3611" s="4" t="n">
        <v>40935</v>
      </c>
      <c r="B3611" s="3" t="n">
        <v>250.301410579876</v>
      </c>
    </row>
    <row r="3612">
      <c r="A3612" s="4" t="n">
        <v>40938</v>
      </c>
      <c r="B3612" s="3" t="n">
        <v>249.7208405472684</v>
      </c>
    </row>
    <row r="3613">
      <c r="A3613" s="4" t="n">
        <v>40939</v>
      </c>
      <c r="B3613" s="3" t="n">
        <v>249.3422079173069</v>
      </c>
    </row>
    <row r="3614">
      <c r="A3614" s="4" t="n">
        <v>40940</v>
      </c>
      <c r="B3614" s="3" t="n">
        <v>249.0153448574044</v>
      </c>
    </row>
    <row r="3615">
      <c r="A3615" s="4" t="n">
        <v>40941</v>
      </c>
      <c r="B3615" s="3" t="n">
        <v>247.0957621198891</v>
      </c>
    </row>
    <row r="3616">
      <c r="A3616" s="4" t="n">
        <v>40942</v>
      </c>
      <c r="B3616" s="3" t="n">
        <v>247.6261731394657</v>
      </c>
    </row>
    <row r="3617">
      <c r="A3617" s="4" t="n">
        <v>40945</v>
      </c>
      <c r="B3617" s="3" t="n">
        <v>248.0555534886467</v>
      </c>
    </row>
    <row r="3618">
      <c r="A3618" s="4" t="n">
        <v>40946</v>
      </c>
      <c r="B3618" s="3" t="n">
        <v>248.9900871898055</v>
      </c>
    </row>
    <row r="3619">
      <c r="A3619" s="4" t="n">
        <v>40947</v>
      </c>
      <c r="B3619" s="3" t="n">
        <v>247.9545228182512</v>
      </c>
    </row>
    <row r="3620">
      <c r="A3620" s="4" t="n">
        <v>40948</v>
      </c>
      <c r="B3620" s="3" t="n">
        <v>246.5400934327137</v>
      </c>
    </row>
    <row r="3621">
      <c r="A3621" s="4" t="n">
        <v>40949</v>
      </c>
      <c r="B3621" s="3" t="n">
        <v>245.3277253879672</v>
      </c>
    </row>
    <row r="3622">
      <c r="A3622" s="4" t="n">
        <v>40952</v>
      </c>
      <c r="B3622" s="3" t="n">
        <v>243.4586579856498</v>
      </c>
    </row>
    <row r="3623">
      <c r="A3623" s="4" t="n">
        <v>40953</v>
      </c>
      <c r="B3623" s="3" t="n">
        <v>243.6354616588419</v>
      </c>
    </row>
    <row r="3624">
      <c r="A3624" s="4" t="n">
        <v>40954</v>
      </c>
      <c r="B3624" s="3" t="n">
        <v>243.3323696476553</v>
      </c>
    </row>
    <row r="3625">
      <c r="A3625" s="4" t="n">
        <v>40955</v>
      </c>
      <c r="B3625" s="3" t="n">
        <v>243.180823642062</v>
      </c>
    </row>
    <row r="3626">
      <c r="A3626" s="4" t="n">
        <v>40956</v>
      </c>
      <c r="B3626" s="3" t="n">
        <v>243.5849463236442</v>
      </c>
    </row>
    <row r="3627">
      <c r="A3627" s="4" t="n">
        <v>40961</v>
      </c>
      <c r="B3627" s="3" t="n">
        <v>243.8880383348308</v>
      </c>
    </row>
    <row r="3628">
      <c r="A3628" s="4" t="n">
        <v>40962</v>
      </c>
      <c r="B3628" s="3" t="n">
        <v>243.0797929716664</v>
      </c>
    </row>
    <row r="3629">
      <c r="A3629" s="4" t="n">
        <v>40963</v>
      </c>
      <c r="B3629" s="3" t="n">
        <v>243.5344309884464</v>
      </c>
    </row>
    <row r="3630">
      <c r="A3630" s="4" t="n">
        <v>40966</v>
      </c>
      <c r="B3630" s="3" t="n">
        <v>243.7617499968364</v>
      </c>
    </row>
    <row r="3631">
      <c r="A3631" s="4" t="n">
        <v>40967</v>
      </c>
      <c r="B3631" s="3" t="n">
        <v>243.0040199688698</v>
      </c>
    </row>
    <row r="3632">
      <c r="A3632" s="4" t="n">
        <v>40968</v>
      </c>
      <c r="B3632" s="3" t="n">
        <v>242.953504633672</v>
      </c>
    </row>
    <row r="3633">
      <c r="A3633" s="4" t="n">
        <v>40969</v>
      </c>
      <c r="B3633" s="3" t="n">
        <v>240.8373069895792</v>
      </c>
    </row>
    <row r="3634">
      <c r="A3634" s="4" t="n">
        <v>40970</v>
      </c>
      <c r="B3634" s="3" t="n">
        <v>238.8504495071047</v>
      </c>
    </row>
    <row r="3635">
      <c r="A3635" s="4" t="n">
        <v>40973</v>
      </c>
      <c r="B3635" s="3" t="n">
        <v>238.4480479916668</v>
      </c>
    </row>
    <row r="3636">
      <c r="A3636" s="4" t="n">
        <v>40974</v>
      </c>
      <c r="B3636" s="3" t="n">
        <v>237.442044203072</v>
      </c>
    </row>
    <row r="3637">
      <c r="A3637" s="4" t="n">
        <v>40975</v>
      </c>
      <c r="B3637" s="3" t="n">
        <v>237.2408434453531</v>
      </c>
    </row>
    <row r="3638">
      <c r="A3638" s="4" t="n">
        <v>40976</v>
      </c>
      <c r="B3638" s="3" t="n">
        <v>236.1593893726137</v>
      </c>
    </row>
    <row r="3639">
      <c r="A3639" s="4" t="n">
        <v>40977</v>
      </c>
      <c r="B3639" s="3" t="n">
        <v>235.0276351104447</v>
      </c>
    </row>
    <row r="3640">
      <c r="A3640" s="4" t="n">
        <v>40980</v>
      </c>
      <c r="B3640" s="3" t="n">
        <v>234.6503836897216</v>
      </c>
    </row>
    <row r="3641">
      <c r="A3641" s="4" t="n">
        <v>40981</v>
      </c>
      <c r="B3641" s="3" t="n">
        <v>235.0527852051595</v>
      </c>
    </row>
    <row r="3642">
      <c r="A3642" s="4" t="n">
        <v>40982</v>
      </c>
      <c r="B3642" s="3" t="n">
        <v>235.4551867205974</v>
      </c>
    </row>
    <row r="3643">
      <c r="A3643" s="4" t="n">
        <v>40983</v>
      </c>
      <c r="B3643" s="3" t="n">
        <v>237.1653931612085</v>
      </c>
    </row>
    <row r="3644">
      <c r="A3644" s="4" t="n">
        <v>40984</v>
      </c>
      <c r="B3644" s="3" t="n">
        <v>236.3354400356178</v>
      </c>
    </row>
    <row r="3645">
      <c r="A3645" s="4" t="n">
        <v>40987</v>
      </c>
      <c r="B3645" s="3" t="n">
        <v>235.7821379518907</v>
      </c>
    </row>
    <row r="3646">
      <c r="A3646" s="4" t="n">
        <v>40988</v>
      </c>
      <c r="B3646" s="3" t="n">
        <v>236.2348396567584</v>
      </c>
    </row>
    <row r="3647">
      <c r="A3647" s="4" t="n">
        <v>40989</v>
      </c>
      <c r="B3647" s="3" t="n">
        <v>235.2288358681636</v>
      </c>
    </row>
    <row r="3648">
      <c r="A3648" s="4" t="n">
        <v>40990</v>
      </c>
      <c r="B3648" s="3" t="n">
        <v>236.3857402250475</v>
      </c>
    </row>
    <row r="3649">
      <c r="A3649" s="4" t="n">
        <v>40991</v>
      </c>
      <c r="B3649" s="3" t="n">
        <v>236.0587889937543</v>
      </c>
    </row>
    <row r="3650">
      <c r="A3650" s="4" t="n">
        <v>40994</v>
      </c>
      <c r="B3650" s="3" t="n">
        <v>236.2096895620435</v>
      </c>
    </row>
    <row r="3651">
      <c r="A3651" s="4" t="n">
        <v>40995</v>
      </c>
      <c r="B3651" s="3" t="n">
        <v>236.2348396567584</v>
      </c>
    </row>
    <row r="3652">
      <c r="A3652" s="4" t="n">
        <v>40996</v>
      </c>
      <c r="B3652" s="3" t="n">
        <v>237.9701961920843</v>
      </c>
    </row>
    <row r="3653">
      <c r="A3653" s="4" t="n">
        <v>40997</v>
      </c>
      <c r="B3653" s="3" t="n">
        <v>238.3474476128073</v>
      </c>
    </row>
    <row r="3654">
      <c r="A3654" s="4" t="n">
        <v>40998</v>
      </c>
      <c r="B3654" s="3" t="n">
        <v>238.7246990335303</v>
      </c>
    </row>
    <row r="3655">
      <c r="A3655" s="4" t="n">
        <v>41001</v>
      </c>
      <c r="B3655" s="3" t="n">
        <v>236.9044559991171</v>
      </c>
    </row>
    <row r="3656">
      <c r="A3656" s="4" t="n">
        <v>41002</v>
      </c>
      <c r="B3656" s="3" t="n">
        <v>238.8745035805835</v>
      </c>
    </row>
    <row r="3657">
      <c r="A3657" s="4" t="n">
        <v>41003</v>
      </c>
      <c r="B3657" s="3" t="n">
        <v>240.1712437607891</v>
      </c>
    </row>
    <row r="3658">
      <c r="A3658" s="4" t="n">
        <v>41004</v>
      </c>
      <c r="B3658" s="3" t="n">
        <v>240.6450526727874</v>
      </c>
    </row>
    <row r="3659">
      <c r="A3659" s="4" t="n">
        <v>41008</v>
      </c>
      <c r="B3659" s="3" t="n">
        <v>240.1213691384735</v>
      </c>
    </row>
    <row r="3660">
      <c r="A3660" s="4" t="n">
        <v>41009</v>
      </c>
      <c r="B3660" s="3" t="n">
        <v>240.3956795612094</v>
      </c>
    </row>
    <row r="3661">
      <c r="A3661" s="4" t="n">
        <v>41010</v>
      </c>
      <c r="B3661" s="3" t="n">
        <v>241.7173570525729</v>
      </c>
    </row>
    <row r="3662">
      <c r="A3662" s="4" t="n">
        <v>41011</v>
      </c>
      <c r="B3662" s="3" t="n">
        <v>240.5453034281561</v>
      </c>
    </row>
    <row r="3663">
      <c r="A3663" s="4" t="n">
        <v>41012</v>
      </c>
      <c r="B3663" s="3" t="n">
        <v>240.2709930054203</v>
      </c>
    </row>
    <row r="3664">
      <c r="A3664" s="4" t="n">
        <v>41015</v>
      </c>
      <c r="B3664" s="3" t="n">
        <v>239.9468079603689</v>
      </c>
    </row>
    <row r="3665">
      <c r="A3665" s="4" t="n">
        <v>41016</v>
      </c>
      <c r="B3665" s="3" t="n">
        <v>239.6226229153175</v>
      </c>
    </row>
    <row r="3666">
      <c r="A3666" s="4" t="n">
        <v>41017</v>
      </c>
      <c r="B3666" s="3" t="n">
        <v>237.5278887780621</v>
      </c>
    </row>
    <row r="3667">
      <c r="A3667" s="4" t="n">
        <v>41018</v>
      </c>
      <c r="B3667" s="3" t="n">
        <v>237.4281395334309</v>
      </c>
    </row>
    <row r="3668">
      <c r="A3668" s="4" t="n">
        <v>41019</v>
      </c>
      <c r="B3668" s="3" t="n">
        <v>234.7349099283883</v>
      </c>
    </row>
    <row r="3669">
      <c r="A3669" s="4" t="n">
        <v>41022</v>
      </c>
      <c r="B3669" s="3" t="n">
        <v>234.8346591730195</v>
      </c>
    </row>
    <row r="3670">
      <c r="A3670" s="4" t="n">
        <v>41023</v>
      </c>
      <c r="B3670" s="3" t="n">
        <v>237.7024499561667</v>
      </c>
    </row>
    <row r="3671">
      <c r="A3671" s="4" t="n">
        <v>41024</v>
      </c>
      <c r="B3671" s="3" t="n">
        <v>237.2286410441685</v>
      </c>
    </row>
    <row r="3672">
      <c r="A3672" s="4" t="n">
        <v>41025</v>
      </c>
      <c r="B3672" s="3" t="n">
        <v>236.2062112866986</v>
      </c>
    </row>
    <row r="3673">
      <c r="A3673" s="4" t="n">
        <v>41026</v>
      </c>
      <c r="B3673" s="3" t="n">
        <v>234.4605995056525</v>
      </c>
    </row>
    <row r="3674">
      <c r="A3674" s="4" t="n">
        <v>41029</v>
      </c>
      <c r="B3674" s="3" t="n">
        <v>234.1862890829167</v>
      </c>
    </row>
    <row r="3675">
      <c r="A3675" s="4" t="n">
        <v>41031</v>
      </c>
      <c r="B3675" s="3" t="n">
        <v>232.5315175001031</v>
      </c>
    </row>
    <row r="3676">
      <c r="A3676" s="4" t="n">
        <v>41032</v>
      </c>
      <c r="B3676" s="3" t="n">
        <v>233.074584738426</v>
      </c>
    </row>
    <row r="3677">
      <c r="A3677" s="4" t="n">
        <v>41033</v>
      </c>
      <c r="B3677" s="3" t="n">
        <v>231.6922317681494</v>
      </c>
    </row>
    <row r="3678">
      <c r="A3678" s="4" t="n">
        <v>41036</v>
      </c>
      <c r="B3678" s="3" t="n">
        <v>231.1985342787649</v>
      </c>
    </row>
    <row r="3679">
      <c r="A3679" s="4" t="n">
        <v>41037</v>
      </c>
      <c r="B3679" s="3" t="n">
        <v>230.8035762872573</v>
      </c>
    </row>
    <row r="3680">
      <c r="A3680" s="4" t="n">
        <v>41038</v>
      </c>
      <c r="B3680" s="3" t="n">
        <v>230.7048367893804</v>
      </c>
    </row>
    <row r="3681">
      <c r="A3681" s="4" t="n">
        <v>41039</v>
      </c>
      <c r="B3681" s="3" t="n">
        <v>230.2358241744651</v>
      </c>
    </row>
    <row r="3682">
      <c r="A3682" s="4" t="n">
        <v>41040</v>
      </c>
      <c r="B3682" s="3" t="n">
        <v>230.2851939234036</v>
      </c>
    </row>
    <row r="3683">
      <c r="A3683" s="4" t="n">
        <v>41043</v>
      </c>
      <c r="B3683" s="3" t="n">
        <v>228.7300468318423</v>
      </c>
    </row>
    <row r="3684">
      <c r="A3684" s="4" t="n">
        <v>41044</v>
      </c>
      <c r="B3684" s="3" t="n">
        <v>229.2731140701653</v>
      </c>
    </row>
    <row r="3685">
      <c r="A3685" s="4" t="n">
        <v>41045</v>
      </c>
      <c r="B3685" s="3" t="n">
        <v>228.9522107020654</v>
      </c>
    </row>
    <row r="3686">
      <c r="A3686" s="4" t="n">
        <v>41046</v>
      </c>
      <c r="B3686" s="3" t="n">
        <v>228.5325678360886</v>
      </c>
    </row>
    <row r="3687">
      <c r="A3687" s="4" t="n">
        <v>41047</v>
      </c>
      <c r="B3687" s="3" t="n">
        <v>229.3965384425114</v>
      </c>
    </row>
    <row r="3688">
      <c r="A3688" s="4" t="n">
        <v>41050</v>
      </c>
      <c r="B3688" s="3" t="n">
        <v>228.6066224594962</v>
      </c>
    </row>
    <row r="3689">
      <c r="A3689" s="4" t="n">
        <v>41051</v>
      </c>
      <c r="B3689" s="3" t="n">
        <v>228.9522107020654</v>
      </c>
    </row>
    <row r="3690">
      <c r="A3690" s="4" t="n">
        <v>41052</v>
      </c>
      <c r="B3690" s="3" t="n">
        <v>228.581937585027</v>
      </c>
    </row>
    <row r="3691">
      <c r="A3691" s="4" t="n">
        <v>41053</v>
      </c>
      <c r="B3691" s="3" t="n">
        <v>228.581937585027</v>
      </c>
    </row>
    <row r="3692">
      <c r="A3692" s="4" t="n">
        <v>41054</v>
      </c>
      <c r="B3692" s="3" t="n">
        <v>229.3224838191038</v>
      </c>
    </row>
    <row r="3693">
      <c r="A3693" s="4" t="n">
        <v>41057</v>
      </c>
      <c r="B3693" s="3" t="n">
        <v>229.7174418106113</v>
      </c>
    </row>
    <row r="3694">
      <c r="A3694" s="4" t="n">
        <v>41058</v>
      </c>
      <c r="B3694" s="3" t="n">
        <v>229.7668115595498</v>
      </c>
    </row>
    <row r="3695">
      <c r="A3695" s="4" t="n">
        <v>41059</v>
      </c>
      <c r="B3695" s="3" t="n">
        <v>229.5940174382652</v>
      </c>
    </row>
    <row r="3696">
      <c r="A3696" s="4" t="n">
        <v>41060</v>
      </c>
      <c r="B3696" s="3" t="n">
        <v>229.2237443212269</v>
      </c>
    </row>
    <row r="3697">
      <c r="A3697" s="4" t="n">
        <v>41061</v>
      </c>
      <c r="B3697" s="3" t="n">
        <v>226.2984166014801</v>
      </c>
    </row>
    <row r="3698">
      <c r="A3698" s="4" t="n">
        <v>41064</v>
      </c>
      <c r="B3698" s="3" t="n">
        <v>227.8433667798387</v>
      </c>
    </row>
    <row r="3699">
      <c r="A3699" s="4" t="n">
        <v>41065</v>
      </c>
      <c r="B3699" s="3" t="n">
        <v>227.0586301813074</v>
      </c>
    </row>
    <row r="3700">
      <c r="A3700" s="4" t="n">
        <v>41066</v>
      </c>
      <c r="B3700" s="3" t="n">
        <v>226.8379230129704</v>
      </c>
    </row>
    <row r="3701">
      <c r="A3701" s="4" t="n">
        <v>41068</v>
      </c>
      <c r="B3701" s="3" t="n">
        <v>226.8379230129704</v>
      </c>
    </row>
    <row r="3702">
      <c r="A3702" s="4" t="n">
        <v>41071</v>
      </c>
      <c r="B3702" s="3" t="n">
        <v>227.0831532000115</v>
      </c>
    </row>
    <row r="3703">
      <c r="A3703" s="4" t="n">
        <v>41072</v>
      </c>
      <c r="B3703" s="3" t="n">
        <v>228.3583501726249</v>
      </c>
    </row>
    <row r="3704">
      <c r="A3704" s="4" t="n">
        <v>41073</v>
      </c>
      <c r="B3704" s="3" t="n">
        <v>227.7207516863182</v>
      </c>
    </row>
    <row r="3705">
      <c r="A3705" s="4" t="n">
        <v>41074</v>
      </c>
      <c r="B3705" s="3" t="n">
        <v>227.4019524431648</v>
      </c>
    </row>
    <row r="3706">
      <c r="A3706" s="4" t="n">
        <v>41075</v>
      </c>
      <c r="B3706" s="3" t="n">
        <v>227.1567222561237</v>
      </c>
    </row>
    <row r="3707">
      <c r="A3707" s="4" t="n">
        <v>41078</v>
      </c>
      <c r="B3707" s="3" t="n">
        <v>227.6962286676141</v>
      </c>
    </row>
    <row r="3708">
      <c r="A3708" s="4" t="n">
        <v>41079</v>
      </c>
      <c r="B3708" s="3" t="n">
        <v>227.5000445179812</v>
      </c>
    </row>
    <row r="3709">
      <c r="A3709" s="4" t="n">
        <v>41080</v>
      </c>
      <c r="B3709" s="3" t="n">
        <v>227.3038603683484</v>
      </c>
    </row>
    <row r="3710">
      <c r="A3710" s="4" t="n">
        <v>41081</v>
      </c>
      <c r="B3710" s="3" t="n">
        <v>226.7888769755622</v>
      </c>
    </row>
    <row r="3711">
      <c r="A3711" s="4" t="n">
        <v>41082</v>
      </c>
      <c r="B3711" s="3" t="n">
        <v>226.7888769755622</v>
      </c>
    </row>
    <row r="3712">
      <c r="A3712" s="4" t="n">
        <v>41085</v>
      </c>
      <c r="B3712" s="3" t="n">
        <v>227.6471826302059</v>
      </c>
    </row>
    <row r="3713">
      <c r="A3713" s="4" t="n">
        <v>41086</v>
      </c>
      <c r="B3713" s="3" t="n">
        <v>228.3093041352167</v>
      </c>
    </row>
    <row r="3714">
      <c r="A3714" s="4" t="n">
        <v>41087</v>
      </c>
      <c r="B3714" s="3" t="n">
        <v>227.9659818733592</v>
      </c>
    </row>
    <row r="3715">
      <c r="A3715" s="4" t="n">
        <v>41088</v>
      </c>
      <c r="B3715" s="3" t="n">
        <v>227.6226596115017</v>
      </c>
    </row>
    <row r="3716">
      <c r="A3716" s="4" t="n">
        <v>41089</v>
      </c>
      <c r="B3716" s="3" t="n">
        <v>227.3038603683484</v>
      </c>
    </row>
    <row r="3717">
      <c r="A3717" s="4" t="n">
        <v>41092</v>
      </c>
      <c r="B3717" s="3" t="n">
        <v>223.5699440482854</v>
      </c>
    </row>
    <row r="3718">
      <c r="A3718" s="4" t="n">
        <v>41093</v>
      </c>
      <c r="B3718" s="3" t="n">
        <v>224.9734570642828</v>
      </c>
    </row>
    <row r="3719">
      <c r="A3719" s="4" t="n">
        <v>41094</v>
      </c>
      <c r="B3719" s="3" t="n">
        <v>224.0055170532501</v>
      </c>
    </row>
    <row r="3720">
      <c r="A3720" s="4" t="n">
        <v>41095</v>
      </c>
      <c r="B3720" s="3" t="n">
        <v>224.4894870587665</v>
      </c>
    </row>
    <row r="3721">
      <c r="A3721" s="4" t="n">
        <v>41096</v>
      </c>
      <c r="B3721" s="3" t="n">
        <v>224.7556705618005</v>
      </c>
    </row>
    <row r="3722">
      <c r="A3722" s="4" t="n">
        <v>41100</v>
      </c>
      <c r="B3722" s="3" t="n">
        <v>222.7955920394591</v>
      </c>
    </row>
    <row r="3723">
      <c r="A3723" s="4" t="n">
        <v>41101</v>
      </c>
      <c r="B3723" s="3" t="n">
        <v>220.7387195160146</v>
      </c>
    </row>
    <row r="3724">
      <c r="A3724" s="4" t="n">
        <v>41102</v>
      </c>
      <c r="B3724" s="3" t="n">
        <v>223.4731500471821</v>
      </c>
    </row>
    <row r="3725">
      <c r="A3725" s="4" t="n">
        <v>41103</v>
      </c>
      <c r="B3725" s="3" t="n">
        <v>221.4162775237375</v>
      </c>
    </row>
    <row r="3726">
      <c r="A3726" s="4" t="n">
        <v>41106</v>
      </c>
      <c r="B3726" s="3" t="n">
        <v>221.9486445298055</v>
      </c>
    </row>
    <row r="3727">
      <c r="A3727" s="4" t="n">
        <v>41107</v>
      </c>
      <c r="B3727" s="3" t="n">
        <v>220.0369630080159</v>
      </c>
    </row>
    <row r="3728">
      <c r="A3728" s="4" t="n">
        <v>41108</v>
      </c>
      <c r="B3728" s="3" t="n">
        <v>218.7544424933975</v>
      </c>
    </row>
    <row r="3729">
      <c r="A3729" s="4" t="n">
        <v>41109</v>
      </c>
      <c r="B3729" s="3" t="n">
        <v>218.7544424933975</v>
      </c>
    </row>
    <row r="3730">
      <c r="A3730" s="4" t="n">
        <v>41110</v>
      </c>
      <c r="B3730" s="3" t="n">
        <v>217.0363489738144</v>
      </c>
    </row>
    <row r="3731">
      <c r="A3731" s="4" t="n">
        <v>41113</v>
      </c>
      <c r="B3731" s="3" t="n">
        <v>216.4555849671948</v>
      </c>
    </row>
    <row r="3732">
      <c r="A3732" s="4" t="n">
        <v>41114</v>
      </c>
      <c r="B3732" s="3" t="n">
        <v>216.552378968298</v>
      </c>
    </row>
    <row r="3733">
      <c r="A3733" s="4" t="n">
        <v>41115</v>
      </c>
      <c r="B3733" s="3" t="n">
        <v>217.5203189793308</v>
      </c>
    </row>
    <row r="3734">
      <c r="A3734" s="4" t="n">
        <v>41116</v>
      </c>
      <c r="B3734" s="3" t="n">
        <v>217.3025324768484</v>
      </c>
    </row>
    <row r="3735">
      <c r="A3735" s="4" t="n">
        <v>41117</v>
      </c>
      <c r="B3735" s="3" t="n">
        <v>217.5445174796066</v>
      </c>
    </row>
    <row r="3736">
      <c r="A3736" s="4" t="n">
        <v>41120</v>
      </c>
      <c r="B3736" s="3" t="n">
        <v>217.3751279776758</v>
      </c>
    </row>
    <row r="3737">
      <c r="A3737" s="4" t="n">
        <v>41121</v>
      </c>
      <c r="B3737" s="3" t="n">
        <v>217.3993264779517</v>
      </c>
    </row>
    <row r="3738">
      <c r="A3738" s="4" t="n">
        <v>41122</v>
      </c>
      <c r="B3738" s="3" t="n">
        <v>212.8121141850796</v>
      </c>
    </row>
    <row r="3739">
      <c r="A3739" s="4" t="n">
        <v>41123</v>
      </c>
      <c r="B3739" s="3" t="n">
        <v>211.6430790286817</v>
      </c>
    </row>
    <row r="3740">
      <c r="A3740" s="4" t="n">
        <v>41124</v>
      </c>
      <c r="B3740" s="3" t="n">
        <v>212.9552613470875</v>
      </c>
    </row>
    <row r="3741">
      <c r="A3741" s="4" t="n">
        <v>41127</v>
      </c>
      <c r="B3741" s="3" t="n">
        <v>212.9791192074221</v>
      </c>
    </row>
    <row r="3742">
      <c r="A3742" s="4" t="n">
        <v>41128</v>
      </c>
      <c r="B3742" s="3" t="n">
        <v>214.7923165928555</v>
      </c>
    </row>
    <row r="3743">
      <c r="A3743" s="4" t="n">
        <v>41129</v>
      </c>
      <c r="B3743" s="3" t="n">
        <v>214.8161744531902</v>
      </c>
    </row>
    <row r="3744">
      <c r="A3744" s="4" t="n">
        <v>41130</v>
      </c>
      <c r="B3744" s="3" t="n">
        <v>213.1461242297647</v>
      </c>
    </row>
    <row r="3745">
      <c r="A3745" s="4" t="n">
        <v>41131</v>
      </c>
      <c r="B3745" s="3" t="n">
        <v>213.0029770677568</v>
      </c>
    </row>
    <row r="3746">
      <c r="A3746" s="4" t="n">
        <v>41134</v>
      </c>
      <c r="B3746" s="3" t="n">
        <v>212.8359720454142</v>
      </c>
    </row>
    <row r="3747">
      <c r="A3747" s="4" t="n">
        <v>41135</v>
      </c>
      <c r="B3747" s="3" t="n">
        <v>213.0984085090954</v>
      </c>
    </row>
    <row r="3748">
      <c r="A3748" s="4" t="n">
        <v>41136</v>
      </c>
      <c r="B3748" s="3" t="n">
        <v>213.9095757604735</v>
      </c>
    </row>
    <row r="3749">
      <c r="A3749" s="4" t="n">
        <v>41137</v>
      </c>
      <c r="B3749" s="3" t="n">
        <v>213.9334336208082</v>
      </c>
    </row>
    <row r="3750">
      <c r="A3750" s="4" t="n">
        <v>41138</v>
      </c>
      <c r="B3750" s="3" t="n">
        <v>214.6730272911823</v>
      </c>
    </row>
    <row r="3751">
      <c r="A3751" s="4" t="n">
        <v>41141</v>
      </c>
      <c r="B3751" s="3" t="n">
        <v>214.6730272911823</v>
      </c>
    </row>
    <row r="3752">
      <c r="A3752" s="4" t="n">
        <v>41142</v>
      </c>
      <c r="B3752" s="3" t="n">
        <v>215.7704888665762</v>
      </c>
    </row>
    <row r="3753">
      <c r="A3753" s="4" t="n">
        <v>41143</v>
      </c>
      <c r="B3753" s="3" t="n">
        <v>216.7248032799622</v>
      </c>
    </row>
    <row r="3754">
      <c r="A3754" s="4" t="n">
        <v>41144</v>
      </c>
      <c r="B3754" s="3" t="n">
        <v>217.3928233693324</v>
      </c>
    </row>
    <row r="3755">
      <c r="A3755" s="4" t="n">
        <v>41145</v>
      </c>
      <c r="B3755" s="3" t="n">
        <v>218.5618585257303</v>
      </c>
    </row>
    <row r="3756">
      <c r="A3756" s="4" t="n">
        <v>41148</v>
      </c>
      <c r="B3756" s="3" t="n">
        <v>219.874040844136</v>
      </c>
    </row>
    <row r="3757">
      <c r="A3757" s="4" t="n">
        <v>41149</v>
      </c>
      <c r="B3757" s="3" t="n">
        <v>219.9694722854746</v>
      </c>
    </row>
    <row r="3758">
      <c r="A3758" s="4" t="n">
        <v>41150</v>
      </c>
      <c r="B3758" s="3" t="n">
        <v>221.0669338608685</v>
      </c>
    </row>
    <row r="3759">
      <c r="A3759" s="4" t="n">
        <v>41151</v>
      </c>
      <c r="B3759" s="3" t="n">
        <v>221.3293703245497</v>
      </c>
    </row>
    <row r="3760">
      <c r="A3760" s="4" t="n">
        <v>41152</v>
      </c>
      <c r="B3760" s="3" t="n">
        <v>225.0511965367551</v>
      </c>
    </row>
    <row r="3761">
      <c r="A3761" s="4" t="n">
        <v>41155</v>
      </c>
      <c r="B3761" s="3" t="n">
        <v>224.3166207449034</v>
      </c>
    </row>
    <row r="3762">
      <c r="A3762" s="4" t="n">
        <v>41156</v>
      </c>
      <c r="B3762" s="3" t="n">
        <v>224.3875098065524</v>
      </c>
    </row>
    <row r="3763">
      <c r="A3763" s="4" t="n">
        <v>41157</v>
      </c>
      <c r="B3763" s="3" t="n">
        <v>225.2854379207741</v>
      </c>
    </row>
    <row r="3764">
      <c r="A3764" s="4" t="n">
        <v>41158</v>
      </c>
      <c r="B3764" s="3" t="n">
        <v>228.0737410123045</v>
      </c>
    </row>
    <row r="3765">
      <c r="A3765" s="4" t="n">
        <v>41162</v>
      </c>
      <c r="B3765" s="3" t="n">
        <v>227.2703316469483</v>
      </c>
    </row>
    <row r="3766">
      <c r="A3766" s="4" t="n">
        <v>41163</v>
      </c>
      <c r="B3766" s="3" t="n">
        <v>228.4518160077663</v>
      </c>
    </row>
    <row r="3767">
      <c r="A3767" s="4" t="n">
        <v>41164</v>
      </c>
      <c r="B3767" s="3" t="n">
        <v>228.3572972589009</v>
      </c>
    </row>
    <row r="3768">
      <c r="A3768" s="4" t="n">
        <v>41165</v>
      </c>
      <c r="B3768" s="3" t="n">
        <v>229.4206331836371</v>
      </c>
    </row>
    <row r="3769">
      <c r="A3769" s="4" t="n">
        <v>41166</v>
      </c>
      <c r="B3769" s="3" t="n">
        <v>229.5151519325025</v>
      </c>
    </row>
    <row r="3770">
      <c r="A3770" s="4" t="n">
        <v>41169</v>
      </c>
      <c r="B3770" s="3" t="n">
        <v>228.2627785100354</v>
      </c>
    </row>
    <row r="3771">
      <c r="A3771" s="4" t="n">
        <v>41170</v>
      </c>
      <c r="B3771" s="3" t="n">
        <v>227.4121097702465</v>
      </c>
    </row>
    <row r="3772">
      <c r="A3772" s="4" t="n">
        <v>41171</v>
      </c>
      <c r="B3772" s="3" t="n">
        <v>226.9158863387029</v>
      </c>
    </row>
    <row r="3773">
      <c r="A3773" s="4" t="n">
        <v>41172</v>
      </c>
      <c r="B3773" s="3" t="n">
        <v>225.7344019778849</v>
      </c>
    </row>
    <row r="3774">
      <c r="A3774" s="4" t="n">
        <v>41173</v>
      </c>
      <c r="B3774" s="3" t="n">
        <v>226.4669222815921</v>
      </c>
    </row>
    <row r="3775">
      <c r="A3775" s="4" t="n">
        <v>41176</v>
      </c>
      <c r="B3775" s="3" t="n">
        <v>227.5538878935446</v>
      </c>
    </row>
    <row r="3776">
      <c r="A3776" s="4" t="n">
        <v>41177</v>
      </c>
      <c r="B3776" s="3" t="n">
        <v>227.0576644620011</v>
      </c>
    </row>
    <row r="3777">
      <c r="A3777" s="4" t="n">
        <v>41178</v>
      </c>
      <c r="B3777" s="3" t="n">
        <v>226.9158863387029</v>
      </c>
    </row>
    <row r="3778">
      <c r="A3778" s="4" t="n">
        <v>41179</v>
      </c>
      <c r="B3778" s="3" t="n">
        <v>226.9631457131356</v>
      </c>
    </row>
    <row r="3779">
      <c r="A3779" s="4" t="n">
        <v>41180</v>
      </c>
      <c r="B3779" s="3" t="n">
        <v>226.8213675898375</v>
      </c>
    </row>
    <row r="3780">
      <c r="A3780" s="4" t="n">
        <v>41183</v>
      </c>
      <c r="B3780" s="3" t="n">
        <v>226.6959073316421</v>
      </c>
    </row>
    <row r="3781">
      <c r="A3781" s="4" t="n">
        <v>41184</v>
      </c>
      <c r="B3781" s="3" t="n">
        <v>226.7195313319893</v>
      </c>
    </row>
    <row r="3782">
      <c r="A3782" s="4" t="n">
        <v>41185</v>
      </c>
      <c r="B3782" s="3" t="n">
        <v>226.9557713354612</v>
      </c>
    </row>
    <row r="3783">
      <c r="A3783" s="4" t="n">
        <v>41186</v>
      </c>
      <c r="B3783" s="3" t="n">
        <v>226.1525553236567</v>
      </c>
    </row>
    <row r="3784">
      <c r="A3784" s="4" t="n">
        <v>41187</v>
      </c>
      <c r="B3784" s="3" t="n">
        <v>225.9871873212264</v>
      </c>
    </row>
    <row r="3785">
      <c r="A3785" s="4" t="n">
        <v>41190</v>
      </c>
      <c r="B3785" s="3" t="n">
        <v>225.3965873125466</v>
      </c>
    </row>
    <row r="3786">
      <c r="A3786" s="4" t="n">
        <v>41191</v>
      </c>
      <c r="B3786" s="3" t="n">
        <v>224.829611304214</v>
      </c>
    </row>
    <row r="3787">
      <c r="A3787" s="4" t="n">
        <v>41192</v>
      </c>
      <c r="B3787" s="3" t="n">
        <v>225.5619553149769</v>
      </c>
    </row>
    <row r="3788">
      <c r="A3788" s="4" t="n">
        <v>41193</v>
      </c>
      <c r="B3788" s="3" t="n">
        <v>223.4357952837298</v>
      </c>
    </row>
    <row r="3789">
      <c r="A3789" s="4" t="n">
        <v>41197</v>
      </c>
      <c r="B3789" s="3" t="n">
        <v>225.0894753080331</v>
      </c>
    </row>
    <row r="3790">
      <c r="A3790" s="4" t="n">
        <v>41198</v>
      </c>
      <c r="B3790" s="3" t="n">
        <v>225.0422273073387</v>
      </c>
    </row>
    <row r="3791">
      <c r="A3791" s="4" t="n">
        <v>41199</v>
      </c>
      <c r="B3791" s="3" t="n">
        <v>224.8059873038668</v>
      </c>
    </row>
    <row r="3792">
      <c r="A3792" s="4" t="n">
        <v>41200</v>
      </c>
      <c r="B3792" s="3" t="n">
        <v>224.4988752993534</v>
      </c>
    </row>
    <row r="3793">
      <c r="A3793" s="4" t="n">
        <v>41201</v>
      </c>
      <c r="B3793" s="3" t="n">
        <v>225.0894753080331</v>
      </c>
    </row>
    <row r="3794">
      <c r="A3794" s="4" t="n">
        <v>41204</v>
      </c>
      <c r="B3794" s="3" t="n">
        <v>225.0894753080331</v>
      </c>
    </row>
    <row r="3795">
      <c r="A3795" s="4" t="n">
        <v>41205</v>
      </c>
      <c r="B3795" s="3" t="n">
        <v>225.0186033069915</v>
      </c>
    </row>
    <row r="3796">
      <c r="A3796" s="4" t="n">
        <v>41206</v>
      </c>
      <c r="B3796" s="3" t="n">
        <v>227.1920113389331</v>
      </c>
    </row>
    <row r="3797">
      <c r="A3797" s="4" t="n">
        <v>41207</v>
      </c>
      <c r="B3797" s="3" t="n">
        <v>227.7826113476129</v>
      </c>
    </row>
    <row r="3798">
      <c r="A3798" s="4" t="n">
        <v>41208</v>
      </c>
      <c r="B3798" s="3" t="n">
        <v>227.428251342405</v>
      </c>
    </row>
    <row r="3799">
      <c r="A3799" s="4" t="n">
        <v>41211</v>
      </c>
      <c r="B3799" s="3" t="n">
        <v>227.6644913458769</v>
      </c>
    </row>
    <row r="3800">
      <c r="A3800" s="4" t="n">
        <v>41212</v>
      </c>
      <c r="B3800" s="3" t="n">
        <v>228.3732113562926</v>
      </c>
    </row>
    <row r="3801">
      <c r="A3801" s="4" t="n">
        <v>41213</v>
      </c>
      <c r="B3801" s="3" t="n">
        <v>229.6489073750409</v>
      </c>
    </row>
    <row r="3802">
      <c r="A3802" s="4" t="n">
        <v>41214</v>
      </c>
      <c r="B3802" s="3" t="n">
        <v>229.8736794167267</v>
      </c>
    </row>
    <row r="3803">
      <c r="A3803" s="4" t="n">
        <v>41218</v>
      </c>
      <c r="B3803" s="3" t="n">
        <v>229.2592966386803</v>
      </c>
    </row>
    <row r="3804">
      <c r="A3804" s="4" t="n">
        <v>41219</v>
      </c>
      <c r="B3804" s="3" t="n">
        <v>230.2045009125978</v>
      </c>
    </row>
    <row r="3805">
      <c r="A3805" s="4" t="n">
        <v>41220</v>
      </c>
      <c r="B3805" s="3" t="n">
        <v>230.6534729427086</v>
      </c>
    </row>
    <row r="3806">
      <c r="A3806" s="4" t="n">
        <v>41221</v>
      </c>
      <c r="B3806" s="3" t="n">
        <v>231.0788148659714</v>
      </c>
    </row>
    <row r="3807">
      <c r="A3807" s="4" t="n">
        <v>41222</v>
      </c>
      <c r="B3807" s="3" t="n">
        <v>231.3151159344508</v>
      </c>
    </row>
    <row r="3808">
      <c r="A3808" s="4" t="n">
        <v>41225</v>
      </c>
      <c r="B3808" s="3" t="n">
        <v>231.7640879645616</v>
      </c>
    </row>
    <row r="3809">
      <c r="A3809" s="4" t="n">
        <v>41226</v>
      </c>
      <c r="B3809" s="3" t="n">
        <v>231.8349782851054</v>
      </c>
    </row>
    <row r="3810">
      <c r="A3810" s="4" t="n">
        <v>41227</v>
      </c>
      <c r="B3810" s="3" t="n">
        <v>232.0712793535847</v>
      </c>
    </row>
    <row r="3811">
      <c r="A3811" s="4" t="n">
        <v>41229</v>
      </c>
      <c r="B3811" s="3" t="n">
        <v>231.1024449728193</v>
      </c>
    </row>
    <row r="3812">
      <c r="A3812" s="4" t="n">
        <v>41232</v>
      </c>
      <c r="B3812" s="3" t="n">
        <v>232.0476492467368</v>
      </c>
    </row>
    <row r="3813">
      <c r="A3813" s="4" t="n">
        <v>41233</v>
      </c>
      <c r="B3813" s="3" t="n">
        <v>232.0949094604327</v>
      </c>
    </row>
    <row r="3814">
      <c r="A3814" s="4" t="n">
        <v>41234</v>
      </c>
      <c r="B3814" s="3" t="n">
        <v>229.8500493098787</v>
      </c>
    </row>
    <row r="3815">
      <c r="A3815" s="4" t="n">
        <v>41235</v>
      </c>
      <c r="B3815" s="3" t="n">
        <v>229.8736794167267</v>
      </c>
    </row>
    <row r="3816">
      <c r="A3816" s="4" t="n">
        <v>41236</v>
      </c>
      <c r="B3816" s="3" t="n">
        <v>230.2045009125978</v>
      </c>
    </row>
    <row r="3817">
      <c r="A3817" s="4" t="n">
        <v>41239</v>
      </c>
      <c r="B3817" s="3" t="n">
        <v>229.5901181345514</v>
      </c>
    </row>
    <row r="3818">
      <c r="A3818" s="4" t="n">
        <v>41240</v>
      </c>
      <c r="B3818" s="3" t="n">
        <v>229.4955977071597</v>
      </c>
    </row>
    <row r="3819">
      <c r="A3819" s="4" t="n">
        <v>41241</v>
      </c>
      <c r="B3819" s="3" t="n">
        <v>228.9521052496571</v>
      </c>
    </row>
    <row r="3820">
      <c r="A3820" s="4" t="n">
        <v>41242</v>
      </c>
      <c r="B3820" s="3" t="n">
        <v>228.9521052496571</v>
      </c>
    </row>
    <row r="3821">
      <c r="A3821" s="4" t="n">
        <v>41243</v>
      </c>
      <c r="B3821" s="3" t="n">
        <v>227.8414902278041</v>
      </c>
    </row>
    <row r="3822">
      <c r="A3822" s="4" t="n">
        <v>41246</v>
      </c>
      <c r="B3822" s="3" t="n">
        <v>226.5090751628607</v>
      </c>
    </row>
    <row r="3823">
      <c r="A3823" s="4" t="n">
        <v>41247</v>
      </c>
      <c r="B3823" s="3" t="n">
        <v>227.7764557512758</v>
      </c>
    </row>
    <row r="3824">
      <c r="A3824" s="4" t="n">
        <v>41248</v>
      </c>
      <c r="B3824" s="3" t="n">
        <v>228.3866760345868</v>
      </c>
    </row>
    <row r="3825">
      <c r="A3825" s="4" t="n">
        <v>41249</v>
      </c>
      <c r="B3825" s="3" t="n">
        <v>227.7764557512758</v>
      </c>
    </row>
    <row r="3826">
      <c r="A3826" s="4" t="n">
        <v>41250</v>
      </c>
      <c r="B3826" s="3" t="n">
        <v>226.602955206447</v>
      </c>
    </row>
    <row r="3827">
      <c r="A3827" s="4" t="n">
        <v>41253</v>
      </c>
      <c r="B3827" s="3" t="n">
        <v>225.3590446289284</v>
      </c>
    </row>
    <row r="3828">
      <c r="A3828" s="4" t="n">
        <v>41254</v>
      </c>
      <c r="B3828" s="3" t="n">
        <v>225.4294546616182</v>
      </c>
    </row>
    <row r="3829">
      <c r="A3829" s="4" t="n">
        <v>41255</v>
      </c>
      <c r="B3829" s="3" t="n">
        <v>225.218224563549</v>
      </c>
    </row>
    <row r="3830">
      <c r="A3830" s="4" t="n">
        <v>41256</v>
      </c>
      <c r="B3830" s="3" t="n">
        <v>224.0212540078236</v>
      </c>
    </row>
    <row r="3831">
      <c r="A3831" s="4" t="n">
        <v>41257</v>
      </c>
      <c r="B3831" s="3" t="n">
        <v>224.1386040623064</v>
      </c>
    </row>
    <row r="3832">
      <c r="A3832" s="4" t="n">
        <v>41260</v>
      </c>
      <c r="B3832" s="3" t="n">
        <v>224.608004280238</v>
      </c>
    </row>
    <row r="3833">
      <c r="A3833" s="4" t="n">
        <v>41261</v>
      </c>
      <c r="B3833" s="3" t="n">
        <v>223.1528636046502</v>
      </c>
    </row>
    <row r="3834">
      <c r="A3834" s="4" t="n">
        <v>41262</v>
      </c>
      <c r="B3834" s="3" t="n">
        <v>226.5090751628607</v>
      </c>
    </row>
    <row r="3835">
      <c r="A3835" s="4" t="n">
        <v>41263</v>
      </c>
      <c r="B3835" s="3" t="n">
        <v>225.3121046071353</v>
      </c>
    </row>
    <row r="3836">
      <c r="A3836" s="4" t="n">
        <v>41264</v>
      </c>
      <c r="B3836" s="3" t="n">
        <v>226.0396749449292</v>
      </c>
    </row>
    <row r="3837">
      <c r="A3837" s="4" t="n">
        <v>41269</v>
      </c>
      <c r="B3837" s="3" t="n">
        <v>227.1662354679648</v>
      </c>
    </row>
    <row r="3838">
      <c r="A3838" s="4" t="n">
        <v>41270</v>
      </c>
      <c r="B3838" s="3" t="n">
        <v>227.3070555333443</v>
      </c>
    </row>
    <row r="3839">
      <c r="A3839" s="4" t="n">
        <v>41271</v>
      </c>
      <c r="B3839" s="3" t="n">
        <v>227.0488854134819</v>
      </c>
    </row>
    <row r="3840">
      <c r="A3840" s="4" t="n">
        <v>41276</v>
      </c>
      <c r="B3840" s="3" t="n">
        <v>227.2897015686252</v>
      </c>
    </row>
    <row r="3841">
      <c r="A3841" s="4" t="n">
        <v>41277</v>
      </c>
      <c r="B3841" s="3" t="n">
        <v>228.5995938489424</v>
      </c>
    </row>
    <row r="3842">
      <c r="A3842" s="4" t="n">
        <v>41278</v>
      </c>
      <c r="B3842" s="3" t="n">
        <v>229.0206306533301</v>
      </c>
    </row>
    <row r="3843">
      <c r="A3843" s="4" t="n">
        <v>41281</v>
      </c>
      <c r="B3843" s="3" t="n">
        <v>228.9504578525988</v>
      </c>
    </row>
    <row r="3844">
      <c r="A3844" s="4" t="n">
        <v>41282</v>
      </c>
      <c r="B3844" s="3" t="n">
        <v>226.9388375649687</v>
      </c>
    </row>
    <row r="3845">
      <c r="A3845" s="4" t="n">
        <v>41283</v>
      </c>
      <c r="B3845" s="3" t="n">
        <v>228.248729845286</v>
      </c>
    </row>
    <row r="3846">
      <c r="A3846" s="4" t="n">
        <v>41284</v>
      </c>
      <c r="B3846" s="3" t="n">
        <v>228.4358573139027</v>
      </c>
    </row>
    <row r="3847">
      <c r="A3847" s="4" t="n">
        <v>41285</v>
      </c>
      <c r="B3847" s="3" t="n">
        <v>228.2955117124402</v>
      </c>
    </row>
    <row r="3848">
      <c r="A3848" s="4" t="n">
        <v>41288</v>
      </c>
      <c r="B3848" s="3" t="n">
        <v>227.9446477087838</v>
      </c>
    </row>
    <row r="3849">
      <c r="A3849" s="4" t="n">
        <v>41289</v>
      </c>
      <c r="B3849" s="3" t="n">
        <v>227.7809111737441</v>
      </c>
    </row>
    <row r="3850">
      <c r="A3850" s="4" t="n">
        <v>41290</v>
      </c>
      <c r="B3850" s="3" t="n">
        <v>228.3189026460173</v>
      </c>
    </row>
    <row r="3851">
      <c r="A3851" s="4" t="n">
        <v>41291</v>
      </c>
      <c r="B3851" s="3" t="n">
        <v>227.7341293065899</v>
      </c>
    </row>
    <row r="3852">
      <c r="A3852" s="4" t="n">
        <v>41292</v>
      </c>
      <c r="B3852" s="3" t="n">
        <v>227.6171746387045</v>
      </c>
    </row>
    <row r="3853">
      <c r="A3853" s="4" t="n">
        <v>41295</v>
      </c>
      <c r="B3853" s="3" t="n">
        <v>227.6639565058586</v>
      </c>
    </row>
    <row r="3854">
      <c r="A3854" s="4" t="n">
        <v>41296</v>
      </c>
      <c r="B3854" s="3" t="n">
        <v>227.7809111737441</v>
      </c>
    </row>
    <row r="3855">
      <c r="A3855" s="4" t="n">
        <v>41297</v>
      </c>
      <c r="B3855" s="3" t="n">
        <v>228.3890754467486</v>
      </c>
    </row>
    <row r="3856">
      <c r="A3856" s="4" t="n">
        <v>41298</v>
      </c>
      <c r="B3856" s="3" t="n">
        <v>228.5995938489424</v>
      </c>
    </row>
    <row r="3857">
      <c r="A3857" s="4" t="n">
        <v>41299</v>
      </c>
      <c r="B3857" s="3" t="n">
        <v>228.0616023766692</v>
      </c>
    </row>
    <row r="3858">
      <c r="A3858" s="4" t="n">
        <v>41302</v>
      </c>
      <c r="B3858" s="3" t="n">
        <v>228.1083842438234</v>
      </c>
    </row>
    <row r="3859">
      <c r="A3859" s="4" t="n">
        <v>41303</v>
      </c>
      <c r="B3859" s="3" t="n">
        <v>228.248729845286</v>
      </c>
    </row>
    <row r="3860">
      <c r="A3860" s="4" t="n">
        <v>41304</v>
      </c>
      <c r="B3860" s="3" t="n">
        <v>228.7165485168279</v>
      </c>
    </row>
    <row r="3861">
      <c r="A3861" s="4" t="n">
        <v>41305</v>
      </c>
      <c r="B3861" s="3" t="n">
        <v>228.5995938489424</v>
      </c>
    </row>
    <row r="3862">
      <c r="A3862" s="4" t="n">
        <v>41306</v>
      </c>
      <c r="B3862" s="3" t="n">
        <v>229.2889712873466</v>
      </c>
    </row>
    <row r="3863">
      <c r="A3863" s="4" t="n">
        <v>41309</v>
      </c>
      <c r="B3863" s="3" t="n">
        <v>229.2423251737697</v>
      </c>
    </row>
    <row r="3864">
      <c r="A3864" s="4" t="n">
        <v>41310</v>
      </c>
      <c r="B3864" s="3" t="n">
        <v>228.6126026404812</v>
      </c>
    </row>
    <row r="3865">
      <c r="A3865" s="4" t="n">
        <v>41311</v>
      </c>
      <c r="B3865" s="3" t="n">
        <v>227.7962956528852</v>
      </c>
    </row>
    <row r="3866">
      <c r="A3866" s="4" t="n">
        <v>41312</v>
      </c>
      <c r="B3866" s="3" t="n">
        <v>229.1257098898274</v>
      </c>
    </row>
    <row r="3867">
      <c r="A3867" s="4" t="n">
        <v>41313</v>
      </c>
      <c r="B3867" s="3" t="n">
        <v>229.4988787984427</v>
      </c>
    </row>
    <row r="3868">
      <c r="A3868" s="4" t="n">
        <v>41318</v>
      </c>
      <c r="B3868" s="3" t="n">
        <v>229.1023868330389</v>
      </c>
    </row>
    <row r="3869">
      <c r="A3869" s="4" t="n">
        <v>41319</v>
      </c>
      <c r="B3869" s="3" t="n">
        <v>229.0790637762505</v>
      </c>
    </row>
    <row r="3870">
      <c r="A3870" s="4" t="n">
        <v>41320</v>
      </c>
      <c r="B3870" s="3" t="n">
        <v>228.6126026404812</v>
      </c>
    </row>
    <row r="3871">
      <c r="A3871" s="4" t="n">
        <v>41323</v>
      </c>
      <c r="B3871" s="3" t="n">
        <v>227.889587880039</v>
      </c>
    </row>
    <row r="3872">
      <c r="A3872" s="4" t="n">
        <v>41324</v>
      </c>
      <c r="B3872" s="3" t="n">
        <v>228.3793720725967</v>
      </c>
    </row>
    <row r="3873">
      <c r="A3873" s="4" t="n">
        <v>41325</v>
      </c>
      <c r="B3873" s="3" t="n">
        <v>228.7991870947889</v>
      </c>
    </row>
    <row r="3874">
      <c r="A3874" s="4" t="n">
        <v>41326</v>
      </c>
      <c r="B3874" s="3" t="n">
        <v>229.4522326848658</v>
      </c>
    </row>
    <row r="3875">
      <c r="A3875" s="4" t="n">
        <v>41327</v>
      </c>
      <c r="B3875" s="3" t="n">
        <v>229.4755557416543</v>
      </c>
    </row>
    <row r="3876">
      <c r="A3876" s="4" t="n">
        <v>41330</v>
      </c>
      <c r="B3876" s="3" t="n">
        <v>229.1956790601928</v>
      </c>
    </row>
    <row r="3877">
      <c r="A3877" s="4" t="n">
        <v>41331</v>
      </c>
      <c r="B3877" s="3" t="n">
        <v>228.4260181861736</v>
      </c>
    </row>
    <row r="3878">
      <c r="A3878" s="4" t="n">
        <v>41332</v>
      </c>
      <c r="B3878" s="3" t="n">
        <v>228.4493412429621</v>
      </c>
    </row>
    <row r="3879">
      <c r="A3879" s="4" t="n">
        <v>41333</v>
      </c>
      <c r="B3879" s="3" t="n">
        <v>227.3998036874814</v>
      </c>
    </row>
    <row r="3880">
      <c r="A3880" s="4" t="n">
        <v>41334</v>
      </c>
      <c r="B3880" s="3" t="n">
        <v>226.8386680556473</v>
      </c>
    </row>
    <row r="3881">
      <c r="A3881" s="4" t="n">
        <v>41337</v>
      </c>
      <c r="B3881" s="3" t="n">
        <v>227.3041691187617</v>
      </c>
    </row>
    <row r="3882">
      <c r="A3882" s="4" t="n">
        <v>41338</v>
      </c>
      <c r="B3882" s="3" t="n">
        <v>227.699845022409</v>
      </c>
    </row>
    <row r="3883">
      <c r="A3883" s="4" t="n">
        <v>41339</v>
      </c>
      <c r="B3883" s="3" t="n">
        <v>227.9558706071219</v>
      </c>
    </row>
    <row r="3884">
      <c r="A3884" s="4" t="n">
        <v>41340</v>
      </c>
      <c r="B3884" s="3" t="n">
        <v>228.7006723081049</v>
      </c>
    </row>
    <row r="3885">
      <c r="A3885" s="4" t="n">
        <v>41341</v>
      </c>
      <c r="B3885" s="3" t="n">
        <v>227.7463951287204</v>
      </c>
    </row>
    <row r="3886">
      <c r="A3886" s="4" t="n">
        <v>41344</v>
      </c>
      <c r="B3886" s="3" t="n">
        <v>227.7929452350319</v>
      </c>
    </row>
    <row r="3887">
      <c r="A3887" s="4" t="n">
        <v>41345</v>
      </c>
      <c r="B3887" s="3" t="n">
        <v>227.3274441719175</v>
      </c>
    </row>
    <row r="3888">
      <c r="A3888" s="4" t="n">
        <v>41346</v>
      </c>
      <c r="B3888" s="3" t="n">
        <v>228.1420710323677</v>
      </c>
    </row>
    <row r="3889">
      <c r="A3889" s="4" t="n">
        <v>41347</v>
      </c>
      <c r="B3889" s="3" t="n">
        <v>228.3515465107691</v>
      </c>
    </row>
    <row r="3890">
      <c r="A3890" s="4" t="n">
        <v>41348</v>
      </c>
      <c r="B3890" s="3" t="n">
        <v>227.9558706071219</v>
      </c>
    </row>
    <row r="3891">
      <c r="A3891" s="4" t="n">
        <v>41351</v>
      </c>
      <c r="B3891" s="3" t="n">
        <v>228.281721351302</v>
      </c>
    </row>
    <row r="3892">
      <c r="A3892" s="4" t="n">
        <v>41352</v>
      </c>
      <c r="B3892" s="3" t="n">
        <v>227.9558706071219</v>
      </c>
    </row>
    <row r="3893">
      <c r="A3893" s="4" t="n">
        <v>41353</v>
      </c>
      <c r="B3893" s="3" t="n">
        <v>228.0024207134333</v>
      </c>
    </row>
    <row r="3894">
      <c r="A3894" s="4" t="n">
        <v>41354</v>
      </c>
      <c r="B3894" s="3" t="n">
        <v>228.9334228396621</v>
      </c>
    </row>
    <row r="3895">
      <c r="A3895" s="4" t="n">
        <v>41355</v>
      </c>
      <c r="B3895" s="3" t="n">
        <v>229.282548636998</v>
      </c>
    </row>
    <row r="3896">
      <c r="A3896" s="4" t="n">
        <v>41358</v>
      </c>
      <c r="B3896" s="3" t="n">
        <v>229.4221989559323</v>
      </c>
    </row>
    <row r="3897">
      <c r="A3897" s="4" t="n">
        <v>41359</v>
      </c>
      <c r="B3897" s="3" t="n">
        <v>229.4920241153994</v>
      </c>
    </row>
    <row r="3898">
      <c r="A3898" s="4" t="n">
        <v>41360</v>
      </c>
      <c r="B3898" s="3" t="n">
        <v>230.8652522515869</v>
      </c>
    </row>
    <row r="3899">
      <c r="A3899" s="4" t="n">
        <v>41361</v>
      </c>
      <c r="B3899" s="3" t="n">
        <v>231.0980027831441</v>
      </c>
    </row>
    <row r="3900">
      <c r="A3900" s="4" t="n">
        <v>41365</v>
      </c>
      <c r="B3900" s="3" t="n">
        <v>230.6221855083489</v>
      </c>
    </row>
    <row r="3901">
      <c r="A3901" s="4" t="n">
        <v>41366</v>
      </c>
      <c r="B3901" s="3" t="n">
        <v>231.1799737228204</v>
      </c>
    </row>
    <row r="3902">
      <c r="A3902" s="4" t="n">
        <v>41367</v>
      </c>
      <c r="B3902" s="3" t="n">
        <v>231.2496972496293</v>
      </c>
    </row>
    <row r="3903">
      <c r="A3903" s="4" t="n">
        <v>41368</v>
      </c>
      <c r="B3903" s="3" t="n">
        <v>231.1567325472174</v>
      </c>
    </row>
    <row r="3904">
      <c r="A3904" s="4" t="n">
        <v>41369</v>
      </c>
      <c r="B3904" s="3" t="n">
        <v>231.4588678300561</v>
      </c>
    </row>
    <row r="3905">
      <c r="A3905" s="4" t="n">
        <v>41372</v>
      </c>
      <c r="B3905" s="3" t="n">
        <v>232.5512030833961</v>
      </c>
    </row>
    <row r="3906">
      <c r="A3906" s="4" t="n">
        <v>41373</v>
      </c>
      <c r="B3906" s="3" t="n">
        <v>231.4123854788502</v>
      </c>
    </row>
    <row r="3907">
      <c r="A3907" s="4" t="n">
        <v>41374</v>
      </c>
      <c r="B3907" s="3" t="n">
        <v>231.9004501665127</v>
      </c>
    </row>
    <row r="3908">
      <c r="A3908" s="4" t="n">
        <v>41375</v>
      </c>
      <c r="B3908" s="3" t="n">
        <v>231.9236913421157</v>
      </c>
    </row>
    <row r="3909">
      <c r="A3909" s="4" t="n">
        <v>41376</v>
      </c>
      <c r="B3909" s="3" t="n">
        <v>232.5976854346021</v>
      </c>
    </row>
    <row r="3910">
      <c r="A3910" s="4" t="n">
        <v>41379</v>
      </c>
      <c r="B3910" s="3" t="n">
        <v>232.667408961411</v>
      </c>
    </row>
    <row r="3911">
      <c r="A3911" s="4" t="n">
        <v>41380</v>
      </c>
      <c r="B3911" s="3" t="n">
        <v>233.4343677563092</v>
      </c>
    </row>
    <row r="3912">
      <c r="A3912" s="4" t="n">
        <v>41381</v>
      </c>
      <c r="B3912" s="3" t="n">
        <v>233.0392677710586</v>
      </c>
    </row>
    <row r="3913">
      <c r="A3913" s="4" t="n">
        <v>41382</v>
      </c>
      <c r="B3913" s="3" t="n">
        <v>233.8062265659569</v>
      </c>
    </row>
    <row r="3914">
      <c r="A3914" s="4" t="n">
        <v>41383</v>
      </c>
      <c r="B3914" s="3" t="n">
        <v>233.643538336736</v>
      </c>
    </row>
    <row r="3915">
      <c r="A3915" s="4" t="n">
        <v>41386</v>
      </c>
      <c r="B3915" s="3" t="n">
        <v>233.5738148099271</v>
      </c>
    </row>
    <row r="3916">
      <c r="A3916" s="4" t="n">
        <v>41387</v>
      </c>
      <c r="B3916" s="3" t="n">
        <v>233.5738148099271</v>
      </c>
    </row>
    <row r="3917">
      <c r="A3917" s="4" t="n">
        <v>41388</v>
      </c>
      <c r="B3917" s="3" t="n">
        <v>233.3414030538974</v>
      </c>
    </row>
    <row r="3918">
      <c r="A3918" s="4" t="n">
        <v>41389</v>
      </c>
      <c r="B3918" s="3" t="n">
        <v>232.7836148394259</v>
      </c>
    </row>
    <row r="3919">
      <c r="A3919" s="4" t="n">
        <v>41390</v>
      </c>
      <c r="B3919" s="3" t="n">
        <v>231.598314883674</v>
      </c>
    </row>
    <row r="3920">
      <c r="A3920" s="4" t="n">
        <v>41393</v>
      </c>
      <c r="B3920" s="3" t="n">
        <v>231.2264560740263</v>
      </c>
    </row>
    <row r="3921">
      <c r="A3921" s="4" t="n">
        <v>41394</v>
      </c>
      <c r="B3921" s="3" t="n">
        <v>230.7151502107608</v>
      </c>
    </row>
    <row r="3922">
      <c r="A3922" s="4" t="n">
        <v>41396</v>
      </c>
      <c r="B3922" s="3" t="n">
        <v>231.8436191803206</v>
      </c>
    </row>
    <row r="3923">
      <c r="A3923" s="4" t="n">
        <v>41397</v>
      </c>
      <c r="B3923" s="3" t="n">
        <v>229.5196053553374</v>
      </c>
    </row>
    <row r="3924">
      <c r="A3924" s="4" t="n">
        <v>41400</v>
      </c>
      <c r="B3924" s="3" t="n">
        <v>227.218831668604</v>
      </c>
    </row>
    <row r="3925">
      <c r="A3925" s="4" t="n">
        <v>41401</v>
      </c>
      <c r="B3925" s="3" t="n">
        <v>227.6603942953508</v>
      </c>
    </row>
    <row r="3926">
      <c r="A3926" s="4" t="n">
        <v>41402</v>
      </c>
      <c r="B3926" s="3" t="n">
        <v>228.7759209313428</v>
      </c>
    </row>
    <row r="3927">
      <c r="A3927" s="4" t="n">
        <v>41403</v>
      </c>
      <c r="B3927" s="3" t="n">
        <v>228.9618420373414</v>
      </c>
    </row>
    <row r="3928">
      <c r="A3928" s="4" t="n">
        <v>41404</v>
      </c>
      <c r="B3928" s="3" t="n">
        <v>227.7301147101003</v>
      </c>
    </row>
    <row r="3929">
      <c r="A3929" s="4" t="n">
        <v>41407</v>
      </c>
      <c r="B3929" s="3" t="n">
        <v>227.637154157101</v>
      </c>
    </row>
    <row r="3930">
      <c r="A3930" s="4" t="n">
        <v>41408</v>
      </c>
      <c r="B3930" s="3" t="n">
        <v>227.1026309773549</v>
      </c>
    </row>
    <row r="3931">
      <c r="A3931" s="4" t="n">
        <v>41409</v>
      </c>
      <c r="B3931" s="3" t="n">
        <v>226.6843084888579</v>
      </c>
    </row>
    <row r="3932">
      <c r="A3932" s="4" t="n">
        <v>41410</v>
      </c>
      <c r="B3932" s="3" t="n">
        <v>226.5448676593589</v>
      </c>
    </row>
    <row r="3933">
      <c r="A3933" s="4" t="n">
        <v>41411</v>
      </c>
      <c r="B3933" s="3" t="n">
        <v>226.4983873828592</v>
      </c>
    </row>
    <row r="3934">
      <c r="A3934" s="4" t="n">
        <v>41414</v>
      </c>
      <c r="B3934" s="3" t="n">
        <v>226.2892261386108</v>
      </c>
    </row>
    <row r="3935">
      <c r="A3935" s="4" t="n">
        <v>41415</v>
      </c>
      <c r="B3935" s="3" t="n">
        <v>226.0103444796128</v>
      </c>
    </row>
    <row r="3936">
      <c r="A3936" s="4" t="n">
        <v>41416</v>
      </c>
      <c r="B3936" s="3" t="n">
        <v>225.9638642031131</v>
      </c>
    </row>
    <row r="3937">
      <c r="A3937" s="4" t="n">
        <v>41417</v>
      </c>
      <c r="B3937" s="3" t="n">
        <v>226.0568247561125</v>
      </c>
    </row>
    <row r="3938">
      <c r="A3938" s="4" t="n">
        <v>41418</v>
      </c>
      <c r="B3938" s="3" t="n">
        <v>226.1497853091118</v>
      </c>
    </row>
    <row r="3939">
      <c r="A3939" s="4" t="n">
        <v>41421</v>
      </c>
      <c r="B3939" s="3" t="n">
        <v>226.7772690418572</v>
      </c>
    </row>
    <row r="3940">
      <c r="A3940" s="4" t="n">
        <v>41422</v>
      </c>
      <c r="B3940" s="3" t="n">
        <v>228.0787167838478</v>
      </c>
    </row>
    <row r="3941">
      <c r="A3941" s="4" t="n">
        <v>41423</v>
      </c>
      <c r="B3941" s="3" t="n">
        <v>228.4970392723448</v>
      </c>
    </row>
    <row r="3942">
      <c r="A3942" s="4" t="n">
        <v>41425</v>
      </c>
      <c r="B3942" s="3" t="n">
        <v>228.4040787193454</v>
      </c>
    </row>
    <row r="3943">
      <c r="A3943" s="4" t="n">
        <v>41428</v>
      </c>
      <c r="B3943" s="3" t="n">
        <v>226.0625981165475</v>
      </c>
    </row>
    <row r="3944">
      <c r="A3944" s="4" t="n">
        <v>41429</v>
      </c>
      <c r="B3944" s="3" t="n">
        <v>225.947260056284</v>
      </c>
    </row>
    <row r="3945">
      <c r="A3945" s="4" t="n">
        <v>41430</v>
      </c>
      <c r="B3945" s="3" t="n">
        <v>226.3855446852854</v>
      </c>
    </row>
    <row r="3946">
      <c r="A3946" s="4" t="n">
        <v>41431</v>
      </c>
      <c r="B3946" s="3" t="n">
        <v>227.7926690205007</v>
      </c>
    </row>
    <row r="3947">
      <c r="A3947" s="4" t="n">
        <v>41432</v>
      </c>
      <c r="B3947" s="3" t="n">
        <v>227.9080070807642</v>
      </c>
    </row>
    <row r="3948">
      <c r="A3948" s="4" t="n">
        <v>41435</v>
      </c>
      <c r="B3948" s="3" t="n">
        <v>227.5389252879209</v>
      </c>
    </row>
    <row r="3949">
      <c r="A3949" s="4" t="n">
        <v>41436</v>
      </c>
      <c r="B3949" s="3" t="n">
        <v>227.769601408448</v>
      </c>
    </row>
    <row r="3950">
      <c r="A3950" s="4" t="n">
        <v>41437</v>
      </c>
      <c r="B3950" s="3" t="n">
        <v>227.5389252879209</v>
      </c>
    </row>
    <row r="3951">
      <c r="A3951" s="4" t="n">
        <v>41438</v>
      </c>
      <c r="B3951" s="3" t="n">
        <v>227.7234661843426</v>
      </c>
    </row>
    <row r="3952">
      <c r="A3952" s="4" t="n">
        <v>41439</v>
      </c>
      <c r="B3952" s="3" t="n">
        <v>227.5389252879209</v>
      </c>
    </row>
    <row r="3953">
      <c r="A3953" s="4" t="n">
        <v>41442</v>
      </c>
      <c r="B3953" s="3" t="n">
        <v>228.0233451410278</v>
      </c>
    </row>
    <row r="3954">
      <c r="A3954" s="4" t="n">
        <v>41443</v>
      </c>
      <c r="B3954" s="3" t="n">
        <v>228.1386832012913</v>
      </c>
    </row>
    <row r="3955">
      <c r="A3955" s="4" t="n">
        <v>41444</v>
      </c>
      <c r="B3955" s="3" t="n">
        <v>228.7153735026091</v>
      </c>
    </row>
    <row r="3956">
      <c r="A3956" s="4" t="n">
        <v>41445</v>
      </c>
      <c r="B3956" s="3" t="n">
        <v>229.268996191874</v>
      </c>
    </row>
    <row r="3957">
      <c r="A3957" s="4" t="n">
        <v>41446</v>
      </c>
      <c r="B3957" s="3" t="n">
        <v>229.2920638039268</v>
      </c>
    </row>
    <row r="3958">
      <c r="A3958" s="4" t="n">
        <v>41449</v>
      </c>
      <c r="B3958" s="3" t="n">
        <v>229.3151314159795</v>
      </c>
    </row>
    <row r="3959">
      <c r="A3959" s="4" t="n">
        <v>41450</v>
      </c>
      <c r="B3959" s="3" t="n">
        <v>229.3612666400849</v>
      </c>
    </row>
    <row r="3960">
      <c r="A3960" s="4" t="n">
        <v>41451</v>
      </c>
      <c r="B3960" s="3" t="n">
        <v>230.3993091824568</v>
      </c>
    </row>
    <row r="3961">
      <c r="A3961" s="4" t="n">
        <v>41452</v>
      </c>
      <c r="B3961" s="3" t="n">
        <v>231.1374727681435</v>
      </c>
    </row>
    <row r="3962">
      <c r="A3962" s="4" t="n">
        <v>41453</v>
      </c>
      <c r="B3962" s="3" t="n">
        <v>231.7833659056193</v>
      </c>
    </row>
    <row r="3963">
      <c r="A3963" s="4" t="n">
        <v>41456</v>
      </c>
      <c r="B3963" s="3" t="n">
        <v>231.2029889646268</v>
      </c>
    </row>
    <row r="3964">
      <c r="A3964" s="4" t="n">
        <v>41457</v>
      </c>
      <c r="B3964" s="3" t="n">
        <v>231.7781780107126</v>
      </c>
    </row>
    <row r="3965">
      <c r="A3965" s="4" t="n">
        <v>41458</v>
      </c>
      <c r="B3965" s="3" t="n">
        <v>232.8595334173538</v>
      </c>
    </row>
    <row r="3966">
      <c r="A3966" s="4" t="n">
        <v>41459</v>
      </c>
      <c r="B3966" s="3" t="n">
        <v>234.0329190713687</v>
      </c>
    </row>
    <row r="3967">
      <c r="A3967" s="4" t="n">
        <v>41460</v>
      </c>
      <c r="B3967" s="3" t="n">
        <v>234.3320173753333</v>
      </c>
    </row>
    <row r="3968">
      <c r="A3968" s="4" t="n">
        <v>41463</v>
      </c>
      <c r="B3968" s="3" t="n">
        <v>235.5744257148785</v>
      </c>
    </row>
    <row r="3969">
      <c r="A3969" s="4" t="n">
        <v>41465</v>
      </c>
      <c r="B3969" s="3" t="n">
        <v>235.7584862096259</v>
      </c>
    </row>
    <row r="3970">
      <c r="A3970" s="4" t="n">
        <v>41466</v>
      </c>
      <c r="B3970" s="3" t="n">
        <v>236.5407433123026</v>
      </c>
    </row>
    <row r="3971">
      <c r="A3971" s="4" t="n">
        <v>41467</v>
      </c>
      <c r="B3971" s="3" t="n">
        <v>236.6787886833631</v>
      </c>
    </row>
    <row r="3972">
      <c r="A3972" s="4" t="n">
        <v>41470</v>
      </c>
      <c r="B3972" s="3" t="n">
        <v>237.8751818992215</v>
      </c>
    </row>
    <row r="3973">
      <c r="A3973" s="4" t="n">
        <v>41471</v>
      </c>
      <c r="B3973" s="3" t="n">
        <v>237.5760835952569</v>
      </c>
    </row>
    <row r="3974">
      <c r="A3974" s="4" t="n">
        <v>41472</v>
      </c>
      <c r="B3974" s="3" t="n">
        <v>237.3460079768226</v>
      </c>
    </row>
    <row r="3975">
      <c r="A3975" s="4" t="n">
        <v>41473</v>
      </c>
      <c r="B3975" s="3" t="n">
        <v>237.207962605762</v>
      </c>
    </row>
    <row r="3976">
      <c r="A3976" s="4" t="n">
        <v>41474</v>
      </c>
      <c r="B3976" s="3" t="n">
        <v>237.0008945491712</v>
      </c>
    </row>
    <row r="3977">
      <c r="A3977" s="4" t="n">
        <v>41477</v>
      </c>
      <c r="B3977" s="3" t="n">
        <v>237.3460079768226</v>
      </c>
    </row>
    <row r="3978">
      <c r="A3978" s="4" t="n">
        <v>41478</v>
      </c>
      <c r="B3978" s="3" t="n">
        <v>237.3230004149792</v>
      </c>
    </row>
    <row r="3979">
      <c r="A3979" s="4" t="n">
        <v>41479</v>
      </c>
      <c r="B3979" s="3" t="n">
        <v>237.1619474820752</v>
      </c>
    </row>
    <row r="3980">
      <c r="A3980" s="4" t="n">
        <v>41480</v>
      </c>
      <c r="B3980" s="3" t="n">
        <v>236.8628491781106</v>
      </c>
    </row>
    <row r="3981">
      <c r="A3981" s="4" t="n">
        <v>41481</v>
      </c>
      <c r="B3981" s="3" t="n">
        <v>235.3673576582876</v>
      </c>
    </row>
    <row r="3982">
      <c r="A3982" s="4" t="n">
        <v>41484</v>
      </c>
      <c r="B3982" s="3" t="n">
        <v>234.9762291069493</v>
      </c>
    </row>
    <row r="3983">
      <c r="A3983" s="4" t="n">
        <v>41485</v>
      </c>
      <c r="B3983" s="3" t="n">
        <v>234.5390854319242</v>
      </c>
    </row>
    <row r="3984">
      <c r="A3984" s="4" t="n">
        <v>41486</v>
      </c>
      <c r="B3984" s="3" t="n">
        <v>234.7921686122019</v>
      </c>
    </row>
    <row r="3985">
      <c r="A3985" s="4" t="n">
        <v>41487</v>
      </c>
      <c r="B3985" s="3" t="n">
        <v>234.2421806741228</v>
      </c>
    </row>
    <row r="3986">
      <c r="A3986" s="4" t="n">
        <v>41488</v>
      </c>
      <c r="B3986" s="3" t="n">
        <v>233.5989106605022</v>
      </c>
    </row>
    <row r="3987">
      <c r="A3987" s="4" t="n">
        <v>41491</v>
      </c>
      <c r="B3987" s="3" t="n">
        <v>233.3921452989813</v>
      </c>
    </row>
    <row r="3988">
      <c r="A3988" s="4" t="n">
        <v>41492</v>
      </c>
      <c r="B3988" s="3" t="n">
        <v>233.0475363631132</v>
      </c>
    </row>
    <row r="3989">
      <c r="A3989" s="4" t="n">
        <v>41493</v>
      </c>
      <c r="B3989" s="3" t="n">
        <v>232.0366834845665</v>
      </c>
    </row>
    <row r="3990">
      <c r="A3990" s="4" t="n">
        <v>41494</v>
      </c>
      <c r="B3990" s="3" t="n">
        <v>232.0366834845665</v>
      </c>
    </row>
    <row r="3991">
      <c r="A3991" s="4" t="n">
        <v>41495</v>
      </c>
      <c r="B3991" s="3" t="n">
        <v>231.8758659811614</v>
      </c>
    </row>
    <row r="3992">
      <c r="A3992" s="4" t="n">
        <v>41498</v>
      </c>
      <c r="B3992" s="3" t="n">
        <v>232.4272402785504</v>
      </c>
    </row>
    <row r="3993">
      <c r="A3993" s="4" t="n">
        <v>41499</v>
      </c>
      <c r="B3993" s="3" t="n">
        <v>231.0488045350777</v>
      </c>
    </row>
    <row r="3994">
      <c r="A3994" s="4" t="n">
        <v>41500</v>
      </c>
      <c r="B3994" s="3" t="n">
        <v>230.7501434573254</v>
      </c>
    </row>
    <row r="3995">
      <c r="A3995" s="4" t="n">
        <v>41501</v>
      </c>
      <c r="B3995" s="3" t="n">
        <v>231.5082831162353</v>
      </c>
    </row>
    <row r="3996">
      <c r="A3996" s="4" t="n">
        <v>41502</v>
      </c>
      <c r="B3996" s="3" t="n">
        <v>231.5312570452932</v>
      </c>
    </row>
    <row r="3997">
      <c r="A3997" s="4" t="n">
        <v>41505</v>
      </c>
      <c r="B3997" s="3" t="n">
        <v>231.2096220384829</v>
      </c>
    </row>
    <row r="3998">
      <c r="A3998" s="4" t="n">
        <v>41506</v>
      </c>
      <c r="B3998" s="3" t="n">
        <v>231.4623352581196</v>
      </c>
    </row>
    <row r="3999">
      <c r="A3999" s="4" t="n">
        <v>41507</v>
      </c>
      <c r="B3999" s="3" t="n">
        <v>231.760996335872</v>
      </c>
    </row>
    <row r="4000">
      <c r="A4000" s="4" t="n">
        <v>41508</v>
      </c>
      <c r="B4000" s="3" t="n">
        <v>232.702927427245</v>
      </c>
    </row>
    <row r="4001">
      <c r="A4001" s="4" t="n">
        <v>41509</v>
      </c>
      <c r="B4001" s="3" t="n">
        <v>234.1962328160071</v>
      </c>
    </row>
    <row r="4002">
      <c r="A4002" s="4" t="n">
        <v>41512</v>
      </c>
      <c r="B4002" s="3" t="n">
        <v>233.3232235118077</v>
      </c>
    </row>
    <row r="4003">
      <c r="A4003" s="4" t="n">
        <v>41513</v>
      </c>
      <c r="B4003" s="3" t="n">
        <v>233.6678324476758</v>
      </c>
    </row>
    <row r="4004">
      <c r="A4004" s="4" t="n">
        <v>41514</v>
      </c>
      <c r="B4004" s="3" t="n">
        <v>235.2070856945537</v>
      </c>
    </row>
    <row r="4005">
      <c r="A4005" s="4" t="n">
        <v>41515</v>
      </c>
      <c r="B4005" s="3" t="n">
        <v>236.6084953670842</v>
      </c>
    </row>
    <row r="4006">
      <c r="A4006" s="4" t="n">
        <v>41516</v>
      </c>
      <c r="B4006" s="3" t="n">
        <v>237.7342178909202</v>
      </c>
    </row>
    <row r="4007">
      <c r="A4007" s="4" t="n">
        <v>41519</v>
      </c>
      <c r="B4007" s="3" t="n">
        <v>233.8605438445618</v>
      </c>
    </row>
    <row r="4008">
      <c r="A4008" s="4" t="n">
        <v>41520</v>
      </c>
      <c r="B4008" s="3" t="n">
        <v>235.3544265288186</v>
      </c>
    </row>
    <row r="4009">
      <c r="A4009" s="4" t="n">
        <v>41521</v>
      </c>
      <c r="B4009" s="3" t="n">
        <v>236.327713732198</v>
      </c>
    </row>
    <row r="4010">
      <c r="A4010" s="4" t="n">
        <v>41522</v>
      </c>
      <c r="B4010" s="3" t="n">
        <v>237.8215964164548</v>
      </c>
    </row>
    <row r="4011">
      <c r="A4011" s="4" t="n">
        <v>41523</v>
      </c>
      <c r="B4011" s="3" t="n">
        <v>238.523268586333</v>
      </c>
    </row>
    <row r="4012">
      <c r="A4012" s="4" t="n">
        <v>41526</v>
      </c>
      <c r="B4012" s="3" t="n">
        <v>239.3381136868367</v>
      </c>
    </row>
    <row r="4013">
      <c r="A4013" s="4" t="n">
        <v>41527</v>
      </c>
      <c r="B4013" s="3" t="n">
        <v>239.7002670648383</v>
      </c>
    </row>
    <row r="4014">
      <c r="A4014" s="4" t="n">
        <v>41528</v>
      </c>
      <c r="B4014" s="3" t="n">
        <v>240.7867271988432</v>
      </c>
    </row>
    <row r="4015">
      <c r="A4015" s="4" t="n">
        <v>41529</v>
      </c>
      <c r="B4015" s="3" t="n">
        <v>241.2167843352202</v>
      </c>
    </row>
    <row r="4016">
      <c r="A4016" s="4" t="n">
        <v>41530</v>
      </c>
      <c r="B4016" s="3" t="n">
        <v>241.5789377132218</v>
      </c>
    </row>
    <row r="4017">
      <c r="A4017" s="4" t="n">
        <v>41533</v>
      </c>
      <c r="B4017" s="3" t="n">
        <v>241.6921106438474</v>
      </c>
    </row>
    <row r="4018">
      <c r="A4018" s="4" t="n">
        <v>41534</v>
      </c>
      <c r="B4018" s="3" t="n">
        <v>242.1674369524745</v>
      </c>
    </row>
    <row r="4019">
      <c r="A4019" s="4" t="n">
        <v>41535</v>
      </c>
      <c r="B4019" s="3" t="n">
        <v>243.5255121199807</v>
      </c>
    </row>
    <row r="4020">
      <c r="A4020" s="4" t="n">
        <v>41536</v>
      </c>
      <c r="B4020" s="3" t="n">
        <v>243.8876654979823</v>
      </c>
    </row>
    <row r="4021">
      <c r="A4021" s="4" t="n">
        <v>41537</v>
      </c>
      <c r="B4021" s="3" t="n">
        <v>244.9514910458622</v>
      </c>
    </row>
    <row r="4022">
      <c r="A4022" s="4" t="n">
        <v>41540</v>
      </c>
      <c r="B4022" s="3" t="n">
        <v>245.4720865267395</v>
      </c>
    </row>
    <row r="4023">
      <c r="A4023" s="4" t="n">
        <v>41541</v>
      </c>
      <c r="B4023" s="3" t="n">
        <v>246.3095662133683</v>
      </c>
    </row>
    <row r="4024">
      <c r="A4024" s="4" t="n">
        <v>41542</v>
      </c>
      <c r="B4024" s="3" t="n">
        <v>246.5359120746193</v>
      </c>
    </row>
    <row r="4025">
      <c r="A4025" s="4" t="n">
        <v>41543</v>
      </c>
      <c r="B4025" s="3" t="n">
        <v>246.7622579358704</v>
      </c>
    </row>
    <row r="4026">
      <c r="A4026" s="4" t="n">
        <v>41544</v>
      </c>
      <c r="B4026" s="3" t="n">
        <v>248.0976985172514</v>
      </c>
    </row>
    <row r="4027">
      <c r="A4027" s="4" t="n">
        <v>41547</v>
      </c>
      <c r="B4027" s="3" t="n">
        <v>249.4557736847576</v>
      </c>
    </row>
    <row r="4028">
      <c r="A4028" s="4" t="n">
        <v>41548</v>
      </c>
      <c r="B4028" s="3" t="n">
        <v>247.5821600724109</v>
      </c>
    </row>
    <row r="4029">
      <c r="A4029" s="4" t="n">
        <v>41549</v>
      </c>
      <c r="B4029" s="3" t="n">
        <v>247.8290240826354</v>
      </c>
    </row>
    <row r="4030">
      <c r="A4030" s="4" t="n">
        <v>41550</v>
      </c>
      <c r="B4030" s="3" t="n">
        <v>248.0310037273645</v>
      </c>
    </row>
    <row r="4031">
      <c r="A4031" s="4" t="n">
        <v>41551</v>
      </c>
      <c r="B4031" s="3" t="n">
        <v>248.0085615446169</v>
      </c>
    </row>
    <row r="4032">
      <c r="A4032" s="4" t="n">
        <v>41554</v>
      </c>
      <c r="B4032" s="3" t="n">
        <v>248.5247317478135</v>
      </c>
    </row>
    <row r="4033">
      <c r="A4033" s="4" t="n">
        <v>41555</v>
      </c>
      <c r="B4033" s="3" t="n">
        <v>248.6593848442996</v>
      </c>
    </row>
    <row r="4034">
      <c r="A4034" s="4" t="n">
        <v>41556</v>
      </c>
      <c r="B4034" s="3" t="n">
        <v>248.0758880928599</v>
      </c>
    </row>
    <row r="4035">
      <c r="A4035" s="4" t="n">
        <v>41557</v>
      </c>
      <c r="B4035" s="3" t="n">
        <v>246.1907447420548</v>
      </c>
    </row>
    <row r="4036">
      <c r="A4036" s="4" t="n">
        <v>41558</v>
      </c>
      <c r="B4036" s="3" t="n">
        <v>245.2481730666522</v>
      </c>
    </row>
    <row r="4037">
      <c r="A4037" s="4" t="n">
        <v>41561</v>
      </c>
      <c r="B4037" s="3" t="n">
        <v>244.7320028634555</v>
      </c>
    </row>
    <row r="4038">
      <c r="A4038" s="4" t="n">
        <v>41562</v>
      </c>
      <c r="B4038" s="3" t="n">
        <v>243.924084284539</v>
      </c>
    </row>
    <row r="4039">
      <c r="A4039" s="4" t="n">
        <v>41563</v>
      </c>
      <c r="B4039" s="3" t="n">
        <v>243.5425671778284</v>
      </c>
    </row>
    <row r="4040">
      <c r="A4040" s="4" t="n">
        <v>41564</v>
      </c>
      <c r="B4040" s="3" t="n">
        <v>242.6448798679212</v>
      </c>
    </row>
    <row r="4041">
      <c r="A4041" s="4" t="n">
        <v>41565</v>
      </c>
      <c r="B4041" s="3" t="n">
        <v>242.5775533196782</v>
      </c>
    </row>
    <row r="4042">
      <c r="A4042" s="4" t="n">
        <v>41568</v>
      </c>
      <c r="B4042" s="3" t="n">
        <v>241.1636958065743</v>
      </c>
    </row>
    <row r="4043">
      <c r="A4043" s="4" t="n">
        <v>41569</v>
      </c>
      <c r="B4043" s="3" t="n">
        <v>242.2633627612107</v>
      </c>
    </row>
    <row r="4044">
      <c r="A4044" s="4" t="n">
        <v>41570</v>
      </c>
      <c r="B4044" s="3" t="n">
        <v>242.7795329644073</v>
      </c>
    </row>
    <row r="4045">
      <c r="A4045" s="4" t="n">
        <v>41571</v>
      </c>
      <c r="B4045" s="3" t="n">
        <v>241.186137989322</v>
      </c>
    </row>
    <row r="4046">
      <c r="A4046" s="4" t="n">
        <v>41572</v>
      </c>
      <c r="B4046" s="3" t="n">
        <v>242.1735940302199</v>
      </c>
    </row>
    <row r="4047">
      <c r="A4047" s="4" t="n">
        <v>41575</v>
      </c>
      <c r="B4047" s="3" t="n">
        <v>242.1511518474723</v>
      </c>
    </row>
    <row r="4048">
      <c r="A4048" s="4" t="n">
        <v>41576</v>
      </c>
      <c r="B4048" s="3" t="n">
        <v>242.4653424059398</v>
      </c>
    </row>
    <row r="4049">
      <c r="A4049" s="4" t="n">
        <v>41577</v>
      </c>
      <c r="B4049" s="3" t="n">
        <v>242.0613831164815</v>
      </c>
    </row>
    <row r="4050">
      <c r="A4050" s="4" t="n">
        <v>41578</v>
      </c>
      <c r="B4050" s="3" t="n">
        <v>241.8145191062571</v>
      </c>
    </row>
    <row r="4051">
      <c r="A4051" s="4" t="n">
        <v>41579</v>
      </c>
      <c r="B4051" s="3" t="n">
        <v>241.0483785278641</v>
      </c>
    </row>
    <row r="4052">
      <c r="A4052" s="4" t="n">
        <v>41582</v>
      </c>
      <c r="B4052" s="3" t="n">
        <v>241.0036239087539</v>
      </c>
    </row>
    <row r="4053">
      <c r="A4053" s="4" t="n">
        <v>41583</v>
      </c>
      <c r="B4053" s="3" t="n">
        <v>242.055357457845</v>
      </c>
    </row>
    <row r="4054">
      <c r="A4054" s="4" t="n">
        <v>41584</v>
      </c>
      <c r="B4054" s="3" t="n">
        <v>242.8609406018297</v>
      </c>
    </row>
    <row r="4055">
      <c r="A4055" s="4" t="n">
        <v>41585</v>
      </c>
      <c r="B4055" s="3" t="n">
        <v>242.9056952209399</v>
      </c>
    </row>
    <row r="4056">
      <c r="A4056" s="4" t="n">
        <v>41586</v>
      </c>
      <c r="B4056" s="3" t="n">
        <v>242.570035577613</v>
      </c>
    </row>
    <row r="4057">
      <c r="A4057" s="4" t="n">
        <v>41589</v>
      </c>
      <c r="B4057" s="3" t="n">
        <v>242.4581490298373</v>
      </c>
    </row>
    <row r="4058">
      <c r="A4058" s="4" t="n">
        <v>41590</v>
      </c>
      <c r="B4058" s="3" t="n">
        <v>243.1070910069361</v>
      </c>
    </row>
    <row r="4059">
      <c r="A4059" s="4" t="n">
        <v>41591</v>
      </c>
      <c r="B4059" s="3" t="n">
        <v>243.084713697381</v>
      </c>
    </row>
    <row r="4060">
      <c r="A4060" s="4" t="n">
        <v>41592</v>
      </c>
      <c r="B4060" s="3" t="n">
        <v>242.9952044591605</v>
      </c>
    </row>
    <row r="4061">
      <c r="A4061" s="4" t="n">
        <v>41596</v>
      </c>
      <c r="B4061" s="3" t="n">
        <v>242.6371675062784</v>
      </c>
    </row>
    <row r="4062">
      <c r="A4062" s="4" t="n">
        <v>41597</v>
      </c>
      <c r="B4062" s="3" t="n">
        <v>242.234375934286</v>
      </c>
    </row>
    <row r="4063">
      <c r="A4063" s="4" t="n">
        <v>41598</v>
      </c>
      <c r="B4063" s="3" t="n">
        <v>242.1672440056206</v>
      </c>
    </row>
    <row r="4064">
      <c r="A4064" s="4" t="n">
        <v>41599</v>
      </c>
      <c r="B4064" s="3" t="n">
        <v>242.1001120769552</v>
      </c>
    </row>
    <row r="4065">
      <c r="A4065" s="4" t="n">
        <v>41600</v>
      </c>
      <c r="B4065" s="3" t="n">
        <v>243.6665237458144</v>
      </c>
    </row>
    <row r="4066">
      <c r="A4066" s="4" t="n">
        <v>41603</v>
      </c>
      <c r="B4066" s="3" t="n">
        <v>243.7560329840349</v>
      </c>
    </row>
    <row r="4067">
      <c r="A4067" s="4" t="n">
        <v>41604</v>
      </c>
      <c r="B4067" s="3" t="n">
        <v>243.6665237458144</v>
      </c>
    </row>
    <row r="4068">
      <c r="A4068" s="4" t="n">
        <v>41605</v>
      </c>
      <c r="B4068" s="3" t="n">
        <v>244.0021833891413</v>
      </c>
    </row>
    <row r="4069">
      <c r="A4069" s="4" t="n">
        <v>41606</v>
      </c>
      <c r="B4069" s="3" t="n">
        <v>244.4721068897991</v>
      </c>
    </row>
    <row r="4070">
      <c r="A4070" s="4" t="n">
        <v>41607</v>
      </c>
      <c r="B4070" s="3" t="n">
        <v>245.2329354146735</v>
      </c>
    </row>
    <row r="4071">
      <c r="A4071" s="4" t="n">
        <v>41610</v>
      </c>
      <c r="B4071" s="3" t="n">
        <v>244.0413229191819</v>
      </c>
    </row>
    <row r="4072">
      <c r="A4072" s="4" t="n">
        <v>41611</v>
      </c>
      <c r="B4072" s="3" t="n">
        <v>244.819870572283</v>
      </c>
    </row>
    <row r="4073">
      <c r="A4073" s="4" t="n">
        <v>41612</v>
      </c>
      <c r="B4073" s="3" t="n">
        <v>246.5549196277653</v>
      </c>
    </row>
    <row r="4074">
      <c r="A4074" s="4" t="n">
        <v>41613</v>
      </c>
      <c r="B4074" s="3" t="n">
        <v>246.6883849397255</v>
      </c>
    </row>
    <row r="4075">
      <c r="A4075" s="4" t="n">
        <v>41614</v>
      </c>
      <c r="B4075" s="3" t="n">
        <v>247.9785496220072</v>
      </c>
    </row>
    <row r="4076">
      <c r="A4076" s="4" t="n">
        <v>41617</v>
      </c>
      <c r="B4076" s="3" t="n">
        <v>250.0250177387299</v>
      </c>
    </row>
    <row r="4077">
      <c r="A4077" s="4" t="n">
        <v>41618</v>
      </c>
      <c r="B4077" s="3" t="n">
        <v>250.4254136746104</v>
      </c>
    </row>
    <row r="4078">
      <c r="A4078" s="4" t="n">
        <v>41619</v>
      </c>
      <c r="B4078" s="3" t="n">
        <v>251.0927402344113</v>
      </c>
    </row>
    <row r="4079">
      <c r="A4079" s="4" t="n">
        <v>41620</v>
      </c>
      <c r="B4079" s="3" t="n">
        <v>250.8035653918309</v>
      </c>
    </row>
    <row r="4080">
      <c r="A4080" s="4" t="n">
        <v>41621</v>
      </c>
      <c r="B4080" s="3" t="n">
        <v>250.892542266471</v>
      </c>
    </row>
    <row r="4081">
      <c r="A4081" s="4" t="n">
        <v>41624</v>
      </c>
      <c r="B4081" s="3" t="n">
        <v>251.4041592956517</v>
      </c>
    </row>
    <row r="4082">
      <c r="A4082" s="4" t="n">
        <v>41625</v>
      </c>
      <c r="B4082" s="3" t="n">
        <v>252.6275913219533</v>
      </c>
    </row>
    <row r="4083">
      <c r="A4083" s="4" t="n">
        <v>41626</v>
      </c>
      <c r="B4083" s="3" t="n">
        <v>253.6063369429946</v>
      </c>
    </row>
    <row r="4084">
      <c r="A4084" s="4" t="n">
        <v>41627</v>
      </c>
      <c r="B4084" s="3" t="n">
        <v>253.6730695989746</v>
      </c>
    </row>
    <row r="4085">
      <c r="A4085" s="4" t="n">
        <v>41628</v>
      </c>
      <c r="B4085" s="3" t="n">
        <v>253.984488660215</v>
      </c>
    </row>
    <row r="4086">
      <c r="A4086" s="4" t="n">
        <v>41631</v>
      </c>
      <c r="B4086" s="3" t="n">
        <v>254.4516172520757</v>
      </c>
    </row>
    <row r="4087">
      <c r="A4087" s="4" t="n">
        <v>41634</v>
      </c>
      <c r="B4087" s="3" t="n">
        <v>254.8075247506362</v>
      </c>
    </row>
    <row r="4088">
      <c r="A4088" s="4" t="n">
        <v>41635</v>
      </c>
      <c r="B4088" s="3" t="n">
        <v>255.3413859984769</v>
      </c>
    </row>
    <row r="4089">
      <c r="A4089" s="4" t="n">
        <v>41638</v>
      </c>
      <c r="B4089" s="3" t="n">
        <v>255.2746533424968</v>
      </c>
    </row>
    <row r="4090">
      <c r="A4090" s="4" t="n">
        <v>41641</v>
      </c>
      <c r="B4090" s="3" t="n">
        <v>254.25216273322</v>
      </c>
    </row>
    <row r="4091">
      <c r="A4091" s="4" t="n">
        <v>41642</v>
      </c>
      <c r="B4091" s="3" t="n">
        <v>254.6063668780813</v>
      </c>
    </row>
    <row r="4092">
      <c r="A4092" s="4" t="n">
        <v>41645</v>
      </c>
      <c r="B4092" s="3" t="n">
        <v>253.5216166844437</v>
      </c>
    </row>
    <row r="4093">
      <c r="A4093" s="4" t="n">
        <v>41646</v>
      </c>
      <c r="B4093" s="3" t="n">
        <v>254.0307851426818</v>
      </c>
    </row>
    <row r="4094">
      <c r="A4094" s="4" t="n">
        <v>41647</v>
      </c>
      <c r="B4094" s="3" t="n">
        <v>254.0750606607895</v>
      </c>
    </row>
    <row r="4095">
      <c r="A4095" s="4" t="n">
        <v>41648</v>
      </c>
      <c r="B4095" s="3" t="n">
        <v>253.6544432387667</v>
      </c>
    </row>
    <row r="4096">
      <c r="A4096" s="4" t="n">
        <v>41649</v>
      </c>
      <c r="B4096" s="3" t="n">
        <v>252.3483154545908</v>
      </c>
    </row>
    <row r="4097">
      <c r="A4097" s="4" t="n">
        <v>41652</v>
      </c>
      <c r="B4097" s="3" t="n">
        <v>253.3887901301207</v>
      </c>
    </row>
    <row r="4098">
      <c r="A4098" s="4" t="n">
        <v>41653</v>
      </c>
      <c r="B4098" s="3" t="n">
        <v>252.2819021774293</v>
      </c>
    </row>
    <row r="4099">
      <c r="A4099" s="4" t="n">
        <v>41654</v>
      </c>
      <c r="B4099" s="3" t="n">
        <v>252.7467951175598</v>
      </c>
    </row>
    <row r="4100">
      <c r="A4100" s="4" t="n">
        <v>41655</v>
      </c>
      <c r="B4100" s="3" t="n">
        <v>253.7651320340358</v>
      </c>
    </row>
    <row r="4101">
      <c r="A4101" s="4" t="n">
        <v>41656</v>
      </c>
      <c r="B4101" s="3" t="n">
        <v>251.1307387066303</v>
      </c>
    </row>
    <row r="4102">
      <c r="A4102" s="4" t="n">
        <v>41659</v>
      </c>
      <c r="B4102" s="3" t="n">
        <v>249.359717982324</v>
      </c>
    </row>
    <row r="4103">
      <c r="A4103" s="4" t="n">
        <v>41660</v>
      </c>
      <c r="B4103" s="3" t="n">
        <v>249.5146822957007</v>
      </c>
    </row>
    <row r="4104">
      <c r="A4104" s="4" t="n">
        <v>41661</v>
      </c>
      <c r="B4104" s="3" t="n">
        <v>250.0238507539388</v>
      </c>
    </row>
    <row r="4105">
      <c r="A4105" s="4" t="n">
        <v>41662</v>
      </c>
      <c r="B4105" s="3" t="n">
        <v>250.6879835255537</v>
      </c>
    </row>
    <row r="4106">
      <c r="A4106" s="4" t="n">
        <v>41663</v>
      </c>
      <c r="B4106" s="3" t="n">
        <v>252.2819021774293</v>
      </c>
    </row>
    <row r="4107">
      <c r="A4107" s="4" t="n">
        <v>41666</v>
      </c>
      <c r="B4107" s="3" t="n">
        <v>252.7025195994521</v>
      </c>
    </row>
    <row r="4108">
      <c r="A4108" s="4" t="n">
        <v>41667</v>
      </c>
      <c r="B4108" s="3" t="n">
        <v>252.9017594309366</v>
      </c>
    </row>
    <row r="4109">
      <c r="A4109" s="4" t="n">
        <v>41668</v>
      </c>
      <c r="B4109" s="3" t="n">
        <v>253.5880299616052</v>
      </c>
    </row>
    <row r="4110">
      <c r="A4110" s="4" t="n">
        <v>41669</v>
      </c>
      <c r="B4110" s="3" t="n">
        <v>254.6727801552428</v>
      </c>
    </row>
    <row r="4111">
      <c r="A4111" s="4" t="n">
        <v>41670</v>
      </c>
      <c r="B4111" s="3" t="n">
        <v>254.7170556733505</v>
      </c>
    </row>
    <row r="4112">
      <c r="A4112" s="4" t="n">
        <v>41673</v>
      </c>
      <c r="B4112" s="3" t="n">
        <v>253.7639342734762</v>
      </c>
    </row>
    <row r="4113">
      <c r="A4113" s="4" t="n">
        <v>41674</v>
      </c>
      <c r="B4113" s="3" t="n">
        <v>253.7859872789749</v>
      </c>
    </row>
    <row r="4114">
      <c r="A4114" s="4" t="n">
        <v>41675</v>
      </c>
      <c r="B4114" s="3" t="n">
        <v>254.6901605044214</v>
      </c>
    </row>
    <row r="4115">
      <c r="A4115" s="4" t="n">
        <v>41676</v>
      </c>
      <c r="B4115" s="3" t="n">
        <v>255.9912878288444</v>
      </c>
    </row>
    <row r="4116">
      <c r="A4116" s="4" t="n">
        <v>41677</v>
      </c>
      <c r="B4116" s="3" t="n">
        <v>256.6308249883065</v>
      </c>
    </row>
    <row r="4117">
      <c r="A4117" s="4" t="n">
        <v>41680</v>
      </c>
      <c r="B4117" s="3" t="n">
        <v>257.6452632412464</v>
      </c>
    </row>
    <row r="4118">
      <c r="A4118" s="4" t="n">
        <v>41681</v>
      </c>
      <c r="B4118" s="3" t="n">
        <v>259.1228146096589</v>
      </c>
    </row>
    <row r="4119">
      <c r="A4119" s="4" t="n">
        <v>41682</v>
      </c>
      <c r="B4119" s="3" t="n">
        <v>259.409503681142</v>
      </c>
    </row>
    <row r="4120">
      <c r="A4120" s="4" t="n">
        <v>41683</v>
      </c>
      <c r="B4120" s="3" t="n">
        <v>259.6961927526251</v>
      </c>
    </row>
    <row r="4121">
      <c r="A4121" s="4" t="n">
        <v>41684</v>
      </c>
      <c r="B4121" s="3" t="n">
        <v>260.8208960330584</v>
      </c>
    </row>
    <row r="4122">
      <c r="A4122" s="4" t="n">
        <v>41687</v>
      </c>
      <c r="B4122" s="3" t="n">
        <v>262.9159315554344</v>
      </c>
    </row>
    <row r="4123">
      <c r="A4123" s="4" t="n">
        <v>41688</v>
      </c>
      <c r="B4123" s="3" t="n">
        <v>261.4824861980192</v>
      </c>
    </row>
    <row r="4124">
      <c r="A4124" s="4" t="n">
        <v>41689</v>
      </c>
      <c r="B4124" s="3" t="n">
        <v>260.8208960330584</v>
      </c>
    </row>
    <row r="4125">
      <c r="A4125" s="4" t="n">
        <v>41690</v>
      </c>
      <c r="B4125" s="3" t="n">
        <v>261.3060621540297</v>
      </c>
    </row>
    <row r="4126">
      <c r="A4126" s="4" t="n">
        <v>41691</v>
      </c>
      <c r="B4126" s="3" t="n">
        <v>263.0482495884265</v>
      </c>
    </row>
    <row r="4127">
      <c r="A4127" s="4" t="n">
        <v>41694</v>
      </c>
      <c r="B4127" s="3" t="n">
        <v>263.3128856544109</v>
      </c>
    </row>
    <row r="4128">
      <c r="A4128" s="4" t="n">
        <v>41695</v>
      </c>
      <c r="B4128" s="3" t="n">
        <v>265.4520271877842</v>
      </c>
    </row>
    <row r="4129">
      <c r="A4129" s="4" t="n">
        <v>41696</v>
      </c>
      <c r="B4129" s="3" t="n">
        <v>265.540239209779</v>
      </c>
    </row>
    <row r="4130">
      <c r="A4130" s="4" t="n">
        <v>41697</v>
      </c>
      <c r="B4130" s="3" t="n">
        <v>265.6284512317738</v>
      </c>
    </row>
    <row r="4131">
      <c r="A4131" s="4" t="n">
        <v>41698</v>
      </c>
      <c r="B4131" s="3" t="n">
        <v>265.5843452207764</v>
      </c>
    </row>
    <row r="4132">
      <c r="A4132" s="4" t="n">
        <v>41703</v>
      </c>
      <c r="B4132" s="3" t="n">
        <v>260.8842116188209</v>
      </c>
    </row>
    <row r="4133">
      <c r="A4133" s="4" t="n">
        <v>41704</v>
      </c>
      <c r="B4133" s="3" t="n">
        <v>261.534957968581</v>
      </c>
    </row>
    <row r="4134">
      <c r="A4134" s="4" t="n">
        <v>41705</v>
      </c>
      <c r="B4134" s="3" t="n">
        <v>262.2507789533171</v>
      </c>
    </row>
    <row r="4135">
      <c r="A4135" s="4" t="n">
        <v>41708</v>
      </c>
      <c r="B4135" s="3" t="n">
        <v>262.6412267631732</v>
      </c>
    </row>
    <row r="4136">
      <c r="A4136" s="4" t="n">
        <v>41709</v>
      </c>
      <c r="B4136" s="3" t="n">
        <v>264.3331672725494</v>
      </c>
    </row>
    <row r="4137">
      <c r="A4137" s="4" t="n">
        <v>41710</v>
      </c>
      <c r="B4137" s="3" t="n">
        <v>268.324411551078</v>
      </c>
    </row>
    <row r="4138">
      <c r="A4138" s="4" t="n">
        <v>41711</v>
      </c>
      <c r="B4138" s="3" t="n">
        <v>269.6692873405821</v>
      </c>
    </row>
    <row r="4139">
      <c r="A4139" s="4" t="n">
        <v>41712</v>
      </c>
      <c r="B4139" s="3" t="n">
        <v>269.8211281555262</v>
      </c>
    </row>
    <row r="4140">
      <c r="A4140" s="4" t="n">
        <v>41715</v>
      </c>
      <c r="B4140" s="3" t="n">
        <v>271.9902826547265</v>
      </c>
    </row>
    <row r="4141">
      <c r="A4141" s="4" t="n">
        <v>41716</v>
      </c>
      <c r="B4141" s="3" t="n">
        <v>272.8362529094146</v>
      </c>
    </row>
    <row r="4142">
      <c r="A4142" s="4" t="n">
        <v>41717</v>
      </c>
      <c r="B4142" s="3" t="n">
        <v>273.9208301590148</v>
      </c>
    </row>
    <row r="4143">
      <c r="A4143" s="4" t="n">
        <v>41718</v>
      </c>
      <c r="B4143" s="3" t="n">
        <v>274.8101835036869</v>
      </c>
    </row>
    <row r="4144">
      <c r="A4144" s="4" t="n">
        <v>41719</v>
      </c>
      <c r="B4144" s="3" t="n">
        <v>274.9620243186309</v>
      </c>
    </row>
    <row r="4145">
      <c r="A4145" s="4" t="n">
        <v>41722</v>
      </c>
      <c r="B4145" s="3" t="n">
        <v>277.1528703628232</v>
      </c>
    </row>
    <row r="4146">
      <c r="A4146" s="4" t="n">
        <v>41723</v>
      </c>
      <c r="B4146" s="3" t="n">
        <v>277.0227210928712</v>
      </c>
    </row>
    <row r="4147">
      <c r="A4147" s="4" t="n">
        <v>41724</v>
      </c>
      <c r="B4147" s="3" t="n">
        <v>276.2418254731591</v>
      </c>
    </row>
    <row r="4148">
      <c r="A4148" s="4" t="n">
        <v>41725</v>
      </c>
      <c r="B4148" s="3" t="n">
        <v>273.8557555240388</v>
      </c>
    </row>
    <row r="4149">
      <c r="A4149" s="4" t="n">
        <v>41726</v>
      </c>
      <c r="B4149" s="3" t="n">
        <v>272.0553572897025</v>
      </c>
    </row>
    <row r="4150">
      <c r="A4150" s="4" t="n">
        <v>41729</v>
      </c>
      <c r="B4150" s="3" t="n">
        <v>273.0748599043267</v>
      </c>
    </row>
    <row r="4151">
      <c r="A4151" s="4" t="n">
        <v>41730</v>
      </c>
      <c r="B4151" s="3" t="n">
        <v>269.1834932964307</v>
      </c>
    </row>
    <row r="4152">
      <c r="A4152" s="4" t="n">
        <v>41731</v>
      </c>
      <c r="B4152" s="3" t="n">
        <v>270.4748509039934</v>
      </c>
    </row>
    <row r="4153">
      <c r="A4153" s="4" t="n">
        <v>41732</v>
      </c>
      <c r="B4153" s="3" t="n">
        <v>270.6470319183351</v>
      </c>
    </row>
    <row r="4154">
      <c r="A4154" s="4" t="n">
        <v>41733</v>
      </c>
      <c r="B4154" s="3" t="n">
        <v>269.7000363394558</v>
      </c>
    </row>
    <row r="4155">
      <c r="A4155" s="4" t="n">
        <v>41736</v>
      </c>
      <c r="B4155" s="3" t="n">
        <v>270.4533282772006</v>
      </c>
    </row>
    <row r="4156">
      <c r="A4156" s="4" t="n">
        <v>41737</v>
      </c>
      <c r="B4156" s="3" t="n">
        <v>268.7315181337838</v>
      </c>
    </row>
    <row r="4157">
      <c r="A4157" s="4" t="n">
        <v>41738</v>
      </c>
      <c r="B4157" s="3" t="n">
        <v>267.9997488228316</v>
      </c>
    </row>
    <row r="4158">
      <c r="A4158" s="4" t="n">
        <v>41739</v>
      </c>
      <c r="B4158" s="3" t="n">
        <v>267.9997488228316</v>
      </c>
    </row>
    <row r="4159">
      <c r="A4159" s="4" t="n">
        <v>41740</v>
      </c>
      <c r="B4159" s="3" t="n">
        <v>265.5461693684626</v>
      </c>
    </row>
    <row r="4160">
      <c r="A4160" s="4" t="n">
        <v>41743</v>
      </c>
      <c r="B4160" s="3" t="n">
        <v>265.7398730095971</v>
      </c>
    </row>
    <row r="4161">
      <c r="A4161" s="4" t="n">
        <v>41744</v>
      </c>
      <c r="B4161" s="3" t="n">
        <v>266.3640291865857</v>
      </c>
    </row>
    <row r="4162">
      <c r="A4162" s="4" t="n">
        <v>41745</v>
      </c>
      <c r="B4162" s="3" t="n">
        <v>266.9020948564035</v>
      </c>
    </row>
    <row r="4163">
      <c r="A4163" s="4" t="n">
        <v>41746</v>
      </c>
      <c r="B4163" s="3" t="n">
        <v>266.6653459616836</v>
      </c>
    </row>
    <row r="4164">
      <c r="A4164" s="4" t="n">
        <v>41751</v>
      </c>
      <c r="B4164" s="3" t="n">
        <v>267.7629999281119</v>
      </c>
    </row>
    <row r="4165">
      <c r="A4165" s="4" t="n">
        <v>41752</v>
      </c>
      <c r="B4165" s="3" t="n">
        <v>267.8490904352827</v>
      </c>
    </row>
    <row r="4166">
      <c r="A4166" s="4" t="n">
        <v>41753</v>
      </c>
      <c r="B4166" s="3" t="n">
        <v>267.2464568850868</v>
      </c>
    </row>
    <row r="4167">
      <c r="A4167" s="4" t="n">
        <v>41754</v>
      </c>
      <c r="B4167" s="3" t="n">
        <v>266.9451401099889</v>
      </c>
    </row>
    <row r="4168">
      <c r="A4168" s="4" t="n">
        <v>41757</v>
      </c>
      <c r="B4168" s="3" t="n">
        <v>266.5362102009273</v>
      </c>
    </row>
    <row r="4169">
      <c r="A4169" s="4" t="n">
        <v>41758</v>
      </c>
      <c r="B4169" s="3" t="n">
        <v>266.8375269760253</v>
      </c>
    </row>
    <row r="4170">
      <c r="A4170" s="4" t="n">
        <v>41759</v>
      </c>
      <c r="B4170" s="3" t="n">
        <v>266.8160043492326</v>
      </c>
    </row>
    <row r="4171">
      <c r="A4171" s="4" t="n">
        <v>41761</v>
      </c>
      <c r="B4171" s="3" t="n">
        <v>266.6330212946683</v>
      </c>
    </row>
    <row r="4172">
      <c r="A4172" s="4" t="n">
        <v>41764</v>
      </c>
      <c r="B4172" s="3" t="n">
        <v>266.4175080217176</v>
      </c>
    </row>
    <row r="4173">
      <c r="A4173" s="4" t="n">
        <v>41765</v>
      </c>
      <c r="B4173" s="3" t="n">
        <v>266.5252646581929</v>
      </c>
    </row>
    <row r="4174">
      <c r="A4174" s="4" t="n">
        <v>41766</v>
      </c>
      <c r="B4174" s="3" t="n">
        <v>266.546815985488</v>
      </c>
    </row>
    <row r="4175">
      <c r="A4175" s="4" t="n">
        <v>41767</v>
      </c>
      <c r="B4175" s="3" t="n">
        <v>265.943378821226</v>
      </c>
    </row>
    <row r="4176">
      <c r="A4176" s="4" t="n">
        <v>41768</v>
      </c>
      <c r="B4176" s="3" t="n">
        <v>264.0899646738495</v>
      </c>
    </row>
    <row r="4177">
      <c r="A4177" s="4" t="n">
        <v>41771</v>
      </c>
      <c r="B4177" s="3" t="n">
        <v>263.8529000736037</v>
      </c>
    </row>
    <row r="4178">
      <c r="A4178" s="4" t="n">
        <v>41772</v>
      </c>
      <c r="B4178" s="3" t="n">
        <v>265.1890823658983</v>
      </c>
    </row>
    <row r="4179">
      <c r="A4179" s="4" t="n">
        <v>41773</v>
      </c>
      <c r="B4179" s="3" t="n">
        <v>264.4132345832756</v>
      </c>
    </row>
    <row r="4180">
      <c r="A4180" s="4" t="n">
        <v>41774</v>
      </c>
      <c r="B4180" s="3" t="n">
        <v>261.6115620349158</v>
      </c>
    </row>
    <row r="4181">
      <c r="A4181" s="4" t="n">
        <v>41775</v>
      </c>
      <c r="B4181" s="3" t="n">
        <v>262.1503452172927</v>
      </c>
    </row>
    <row r="4182">
      <c r="A4182" s="4" t="n">
        <v>41778</v>
      </c>
      <c r="B4182" s="3" t="n">
        <v>262.1718965445878</v>
      </c>
    </row>
    <row r="4183">
      <c r="A4183" s="4" t="n">
        <v>41779</v>
      </c>
      <c r="B4183" s="3" t="n">
        <v>261.8701779624568</v>
      </c>
    </row>
    <row r="4184">
      <c r="A4184" s="4" t="n">
        <v>41780</v>
      </c>
      <c r="B4184" s="3" t="n">
        <v>260.2969310699162</v>
      </c>
    </row>
    <row r="4185">
      <c r="A4185" s="4" t="n">
        <v>41781</v>
      </c>
      <c r="B4185" s="3" t="n">
        <v>260.1460717788507</v>
      </c>
    </row>
    <row r="4186">
      <c r="A4186" s="4" t="n">
        <v>41782</v>
      </c>
      <c r="B4186" s="3" t="n">
        <v>258.8745434684413</v>
      </c>
    </row>
    <row r="4187">
      <c r="A4187" s="4" t="n">
        <v>41785</v>
      </c>
      <c r="B4187" s="3" t="n">
        <v>258.9176461230315</v>
      </c>
    </row>
    <row r="4188">
      <c r="A4188" s="4" t="n">
        <v>41786</v>
      </c>
      <c r="B4188" s="3" t="n">
        <v>259.3055700143428</v>
      </c>
    </row>
    <row r="4189">
      <c r="A4189" s="4" t="n">
        <v>41787</v>
      </c>
      <c r="B4189" s="3" t="n">
        <v>260.1029691242606</v>
      </c>
    </row>
    <row r="4190">
      <c r="A4190" s="4" t="n">
        <v>41788</v>
      </c>
      <c r="B4190" s="3" t="n">
        <v>260.3184823972113</v>
      </c>
    </row>
    <row r="4191">
      <c r="A4191" s="4" t="n">
        <v>41789</v>
      </c>
      <c r="B4191" s="3" t="n">
        <v>260.4477903609817</v>
      </c>
    </row>
    <row r="4192">
      <c r="A4192" s="4" t="n">
        <v>41792</v>
      </c>
      <c r="B4192" s="3" t="n">
        <v>260.8757697342418</v>
      </c>
    </row>
    <row r="4193">
      <c r="A4193" s="4" t="n">
        <v>41793</v>
      </c>
      <c r="B4193" s="3" t="n">
        <v>261.179744830062</v>
      </c>
    </row>
    <row r="4194">
      <c r="A4194" s="4" t="n">
        <v>41794</v>
      </c>
      <c r="B4194" s="3" t="n">
        <v>261.7225575011694</v>
      </c>
    </row>
    <row r="4195">
      <c r="A4195" s="4" t="n">
        <v>41795</v>
      </c>
      <c r="B4195" s="3" t="n">
        <v>263.8069581582221</v>
      </c>
    </row>
    <row r="4196">
      <c r="A4196" s="4" t="n">
        <v>41796</v>
      </c>
      <c r="B4196" s="3" t="n">
        <v>264.7623084593712</v>
      </c>
    </row>
    <row r="4197">
      <c r="A4197" s="4" t="n">
        <v>41799</v>
      </c>
      <c r="B4197" s="3" t="n">
        <v>264.5886084046168</v>
      </c>
    </row>
    <row r="4198">
      <c r="A4198" s="4" t="n">
        <v>41800</v>
      </c>
      <c r="B4198" s="3" t="n">
        <v>266.3907464726935</v>
      </c>
    </row>
    <row r="4199">
      <c r="A4199" s="4" t="n">
        <v>41801</v>
      </c>
      <c r="B4199" s="3" t="n">
        <v>265.4353961715444</v>
      </c>
    </row>
    <row r="4200">
      <c r="A4200" s="4" t="n">
        <v>41802</v>
      </c>
      <c r="B4200" s="3" t="n">
        <v>265.9564963358076</v>
      </c>
    </row>
    <row r="4201">
      <c r="A4201" s="4" t="n">
        <v>41803</v>
      </c>
      <c r="B4201" s="3" t="n">
        <v>265.4571086783887</v>
      </c>
    </row>
    <row r="4202">
      <c r="A4202" s="4" t="n">
        <v>41806</v>
      </c>
      <c r="B4202" s="3" t="n">
        <v>265.0011460346584</v>
      </c>
    </row>
    <row r="4203">
      <c r="A4203" s="4" t="n">
        <v>41807</v>
      </c>
      <c r="B4203" s="3" t="n">
        <v>266.1084838837176</v>
      </c>
    </row>
    <row r="4204">
      <c r="A4204" s="4" t="n">
        <v>41808</v>
      </c>
      <c r="B4204" s="3" t="n">
        <v>265.8913588152747</v>
      </c>
    </row>
    <row r="4205">
      <c r="A4205" s="4" t="n">
        <v>41810</v>
      </c>
      <c r="B4205" s="3" t="n">
        <v>264.9577210209698</v>
      </c>
    </row>
    <row r="4206">
      <c r="A4206" s="4" t="n">
        <v>41813</v>
      </c>
      <c r="B4206" s="3" t="n">
        <v>265.044571048347</v>
      </c>
    </row>
    <row r="4207">
      <c r="A4207" s="4" t="n">
        <v>41814</v>
      </c>
      <c r="B4207" s="3" t="n">
        <v>264.9142960072812</v>
      </c>
    </row>
    <row r="4208">
      <c r="A4208" s="4" t="n">
        <v>41815</v>
      </c>
      <c r="B4208" s="3" t="n">
        <v>263.3075705008031</v>
      </c>
    </row>
    <row r="4209">
      <c r="A4209" s="4" t="n">
        <v>41816</v>
      </c>
      <c r="B4209" s="3" t="n">
        <v>263.1121579392045</v>
      </c>
    </row>
    <row r="4210">
      <c r="A4210" s="4" t="n">
        <v>41817</v>
      </c>
      <c r="B4210" s="3" t="n">
        <v>263.2641454871146</v>
      </c>
    </row>
    <row r="4211">
      <c r="A4211" s="4" t="n">
        <v>41820</v>
      </c>
      <c r="B4211" s="3" t="n">
        <v>263.0253079118273</v>
      </c>
    </row>
    <row r="4212">
      <c r="A4212" s="4" t="n">
        <v>41821</v>
      </c>
      <c r="B4212" s="3" t="n">
        <v>265.7040033783167</v>
      </c>
    </row>
    <row r="4213">
      <c r="A4213" s="4" t="n">
        <v>41822</v>
      </c>
      <c r="B4213" s="3" t="n">
        <v>264.5680494051463</v>
      </c>
    </row>
    <row r="4214">
      <c r="A4214" s="4" t="n">
        <v>41823</v>
      </c>
      <c r="B4214" s="3" t="n">
        <v>262.6675110269572</v>
      </c>
    </row>
    <row r="4215">
      <c r="A4215" s="4" t="n">
        <v>41824</v>
      </c>
      <c r="B4215" s="3" t="n">
        <v>263.2354880135425</v>
      </c>
    </row>
    <row r="4216">
      <c r="A4216" s="4" t="n">
        <v>41827</v>
      </c>
      <c r="B4216" s="3" t="n">
        <v>261.859236084509</v>
      </c>
    </row>
    <row r="4217">
      <c r="A4217" s="4" t="n">
        <v>41828</v>
      </c>
      <c r="B4217" s="3" t="n">
        <v>261.2912590979238</v>
      </c>
    </row>
    <row r="4218">
      <c r="A4218" s="4" t="n">
        <v>41830</v>
      </c>
      <c r="B4218" s="3" t="n">
        <v>259.827626094031</v>
      </c>
    </row>
    <row r="4219">
      <c r="A4219" s="4" t="n">
        <v>41831</v>
      </c>
      <c r="B4219" s="3" t="n">
        <v>259.9586977063199</v>
      </c>
    </row>
    <row r="4220">
      <c r="A4220" s="4" t="n">
        <v>41834</v>
      </c>
      <c r="B4220" s="3" t="n">
        <v>260.2645314683273</v>
      </c>
    </row>
    <row r="4221">
      <c r="A4221" s="4" t="n">
        <v>41835</v>
      </c>
      <c r="B4221" s="3" t="n">
        <v>260.3956030806163</v>
      </c>
    </row>
    <row r="4222">
      <c r="A4222" s="4" t="n">
        <v>41836</v>
      </c>
      <c r="B4222" s="3" t="n">
        <v>260.177150393468</v>
      </c>
    </row>
    <row r="4223">
      <c r="A4223" s="4" t="n">
        <v>41837</v>
      </c>
      <c r="B4223" s="3" t="n">
        <v>260.2645314683273</v>
      </c>
    </row>
    <row r="4224">
      <c r="A4224" s="4" t="n">
        <v>41838</v>
      </c>
      <c r="B4224" s="3" t="n">
        <v>260.2208409308977</v>
      </c>
    </row>
    <row r="4225">
      <c r="A4225" s="4" t="n">
        <v>41841</v>
      </c>
      <c r="B4225" s="3" t="n">
        <v>259.7839355566014</v>
      </c>
    </row>
    <row r="4226">
      <c r="A4226" s="4" t="n">
        <v>41842</v>
      </c>
      <c r="B4226" s="3" t="n">
        <v>260.1116145873236</v>
      </c>
    </row>
    <row r="4227">
      <c r="A4227" s="4" t="n">
        <v>41843</v>
      </c>
      <c r="B4227" s="3" t="n">
        <v>259.478101794594</v>
      </c>
    </row>
    <row r="4228">
      <c r="A4228" s="4" t="n">
        <v>41844</v>
      </c>
      <c r="B4228" s="3" t="n">
        <v>258.6479815834309</v>
      </c>
    </row>
    <row r="4229">
      <c r="A4229" s="4" t="n">
        <v>41845</v>
      </c>
      <c r="B4229" s="3" t="n">
        <v>259.8931619001755</v>
      </c>
    </row>
    <row r="4230">
      <c r="A4230" s="4" t="n">
        <v>41848</v>
      </c>
      <c r="B4230" s="3" t="n">
        <v>260.0023882437496</v>
      </c>
    </row>
    <row r="4231">
      <c r="A4231" s="4" t="n">
        <v>41849</v>
      </c>
      <c r="B4231" s="3" t="n">
        <v>259.6310186755977</v>
      </c>
    </row>
    <row r="4232">
      <c r="A4232" s="4" t="n">
        <v>41850</v>
      </c>
      <c r="B4232" s="3" t="n">
        <v>258.9756606141531</v>
      </c>
    </row>
    <row r="4233">
      <c r="A4233" s="4" t="n">
        <v>41851</v>
      </c>
      <c r="B4233" s="3" t="n">
        <v>259.1941133013013</v>
      </c>
    </row>
    <row r="4234">
      <c r="A4234" s="4" t="n">
        <v>41852</v>
      </c>
      <c r="B4234" s="3" t="n">
        <v>259.4467601898508</v>
      </c>
    </row>
    <row r="4235">
      <c r="A4235" s="4" t="n">
        <v>41855</v>
      </c>
      <c r="B4235" s="3" t="n">
        <v>262.1408886409569</v>
      </c>
    </row>
    <row r="4236">
      <c r="A4236" s="4" t="n">
        <v>41856</v>
      </c>
      <c r="B4236" s="3" t="n">
        <v>262.6884757245151</v>
      </c>
    </row>
    <row r="4237">
      <c r="A4237" s="4" t="n">
        <v>41857</v>
      </c>
      <c r="B4237" s="3" t="n">
        <v>262.2065990909838</v>
      </c>
    </row>
    <row r="4238">
      <c r="A4238" s="4" t="n">
        <v>41858</v>
      </c>
      <c r="B4238" s="3" t="n">
        <v>263.4112906748118</v>
      </c>
    </row>
    <row r="4239">
      <c r="A4239" s="4" t="n">
        <v>41859</v>
      </c>
      <c r="B4239" s="3" t="n">
        <v>264.9226310254323</v>
      </c>
    </row>
    <row r="4240">
      <c r="A4240" s="4" t="n">
        <v>41862</v>
      </c>
      <c r="B4240" s="3" t="n">
        <v>264.9883414754593</v>
      </c>
    </row>
    <row r="4241">
      <c r="A4241" s="4" t="n">
        <v>41863</v>
      </c>
      <c r="B4241" s="3" t="n">
        <v>266.4339713760528</v>
      </c>
    </row>
    <row r="4242">
      <c r="A4242" s="4" t="n">
        <v>41864</v>
      </c>
      <c r="B4242" s="3" t="n">
        <v>266.6749096928183</v>
      </c>
    </row>
    <row r="4243">
      <c r="A4243" s="4" t="n">
        <v>41865</v>
      </c>
      <c r="B4243" s="3" t="n">
        <v>269.3252311772398</v>
      </c>
    </row>
    <row r="4244">
      <c r="A4244" s="4" t="n">
        <v>41866</v>
      </c>
      <c r="B4244" s="3" t="n">
        <v>270.3327914109868</v>
      </c>
    </row>
    <row r="4245">
      <c r="A4245" s="4" t="n">
        <v>41869</v>
      </c>
      <c r="B4245" s="3" t="n">
        <v>272.4355258118501</v>
      </c>
    </row>
    <row r="4246">
      <c r="A4246" s="4" t="n">
        <v>41870</v>
      </c>
      <c r="B4246" s="3" t="n">
        <v>273.9687696458129</v>
      </c>
    </row>
    <row r="4247">
      <c r="A4247" s="4" t="n">
        <v>41871</v>
      </c>
      <c r="B4247" s="3" t="n">
        <v>273.9249626791283</v>
      </c>
    </row>
    <row r="4248">
      <c r="A4248" s="4" t="n">
        <v>41872</v>
      </c>
      <c r="B4248" s="3" t="n">
        <v>273.9249626791283</v>
      </c>
    </row>
    <row r="4249">
      <c r="A4249" s="4" t="n">
        <v>41873</v>
      </c>
      <c r="B4249" s="3" t="n">
        <v>273.5964104289934</v>
      </c>
    </row>
    <row r="4250">
      <c r="A4250" s="4" t="n">
        <v>41876</v>
      </c>
      <c r="B4250" s="3" t="n">
        <v>274.910619429533</v>
      </c>
    </row>
    <row r="4251">
      <c r="A4251" s="4" t="n">
        <v>41877</v>
      </c>
      <c r="B4251" s="3" t="n">
        <v>275.7648552798837</v>
      </c>
    </row>
    <row r="4252">
      <c r="A4252" s="4" t="n">
        <v>41878</v>
      </c>
      <c r="B4252" s="3" t="n">
        <v>278.546597664359</v>
      </c>
    </row>
    <row r="4253">
      <c r="A4253" s="4" t="n">
        <v>41879</v>
      </c>
      <c r="B4253" s="3" t="n">
        <v>279.4008335147097</v>
      </c>
    </row>
    <row r="4254">
      <c r="A4254" s="4" t="n">
        <v>41880</v>
      </c>
      <c r="B4254" s="3" t="n">
        <v>279.8608066648986</v>
      </c>
    </row>
    <row r="4255">
      <c r="A4255" s="4" t="n">
        <v>41883</v>
      </c>
      <c r="B4255" s="3" t="n">
        <v>279.8702955795407</v>
      </c>
    </row>
    <row r="4256">
      <c r="A4256" s="4" t="n">
        <v>41884</v>
      </c>
      <c r="B4256" s="3" t="n">
        <v>280.3074904488362</v>
      </c>
    </row>
    <row r="4257">
      <c r="A4257" s="4" t="n">
        <v>41885</v>
      </c>
      <c r="B4257" s="3" t="n">
        <v>282.3404465910605</v>
      </c>
    </row>
    <row r="4258">
      <c r="A4258" s="4" t="n">
        <v>41886</v>
      </c>
      <c r="B4258" s="3" t="n">
        <v>280.2200514749771</v>
      </c>
    </row>
    <row r="4259">
      <c r="A4259" s="4" t="n">
        <v>41887</v>
      </c>
      <c r="B4259" s="3" t="n">
        <v>281.4660568524694</v>
      </c>
    </row>
    <row r="4260">
      <c r="A4260" s="4" t="n">
        <v>41890</v>
      </c>
      <c r="B4260" s="3" t="n">
        <v>281.4441971090046</v>
      </c>
    </row>
    <row r="4261">
      <c r="A4261" s="4" t="n">
        <v>41891</v>
      </c>
      <c r="B4261" s="3" t="n">
        <v>280.2419112184418</v>
      </c>
    </row>
    <row r="4262">
      <c r="A4262" s="4" t="n">
        <v>41892</v>
      </c>
      <c r="B4262" s="3" t="n">
        <v>280.5916671138783</v>
      </c>
    </row>
    <row r="4263">
      <c r="A4263" s="4" t="n">
        <v>41893</v>
      </c>
      <c r="B4263" s="3" t="n">
        <v>281.5097763393989</v>
      </c>
    </row>
    <row r="4264">
      <c r="A4264" s="4" t="n">
        <v>41894</v>
      </c>
      <c r="B4264" s="3" t="n">
        <v>281.4223373655399</v>
      </c>
    </row>
    <row r="4265">
      <c r="A4265" s="4" t="n">
        <v>41897</v>
      </c>
      <c r="B4265" s="3" t="n">
        <v>280.6353866008078</v>
      </c>
    </row>
    <row r="4266">
      <c r="A4266" s="4" t="n">
        <v>41898</v>
      </c>
      <c r="B4266" s="3" t="n">
        <v>280.9632827527795</v>
      </c>
    </row>
    <row r="4267">
      <c r="A4267" s="4" t="n">
        <v>41899</v>
      </c>
      <c r="B4267" s="3" t="n">
        <v>280.5042281400192</v>
      </c>
    </row>
    <row r="4268">
      <c r="A4268" s="4" t="n">
        <v>41900</v>
      </c>
      <c r="B4268" s="3" t="n">
        <v>280.9632827527795</v>
      </c>
    </row>
    <row r="4269">
      <c r="A4269" s="4" t="n">
        <v>41901</v>
      </c>
      <c r="B4269" s="3" t="n">
        <v>279.826576092611</v>
      </c>
    </row>
    <row r="4270">
      <c r="A4270" s="4" t="n">
        <v>41904</v>
      </c>
      <c r="B4270" s="3" t="n">
        <v>280.2419112184418</v>
      </c>
    </row>
    <row r="4271">
      <c r="A4271" s="4" t="n">
        <v>41905</v>
      </c>
      <c r="B4271" s="3" t="n">
        <v>281.597215313258</v>
      </c>
    </row>
    <row r="4272">
      <c r="A4272" s="4" t="n">
        <v>41906</v>
      </c>
      <c r="B4272" s="3" t="n">
        <v>281.3786178786103</v>
      </c>
    </row>
    <row r="4273">
      <c r="A4273" s="4" t="n">
        <v>41907</v>
      </c>
      <c r="B4273" s="3" t="n">
        <v>281.6627945436524</v>
      </c>
    </row>
    <row r="4274">
      <c r="A4274" s="4" t="n">
        <v>41908</v>
      </c>
      <c r="B4274" s="3" t="n">
        <v>282.0344101825536</v>
      </c>
    </row>
    <row r="4275">
      <c r="A4275" s="4" t="n">
        <v>41911</v>
      </c>
      <c r="B4275" s="3" t="n">
        <v>281.7720932609762</v>
      </c>
    </row>
    <row r="4276">
      <c r="A4276" s="4" t="n">
        <v>41912</v>
      </c>
      <c r="B4276" s="3" t="n">
        <v>282.4278855649196</v>
      </c>
    </row>
    <row r="4277">
      <c r="A4277" s="4" t="n">
        <v>41913</v>
      </c>
      <c r="B4277" s="3" t="n">
        <v>282.4993906034991</v>
      </c>
    </row>
    <row r="4278">
      <c r="A4278" s="4" t="n">
        <v>41914</v>
      </c>
      <c r="B4278" s="3" t="n">
        <v>283.8508537375591</v>
      </c>
    </row>
    <row r="4279">
      <c r="A4279" s="4" t="n">
        <v>41915</v>
      </c>
      <c r="B4279" s="3" t="n">
        <v>284.3086073797406</v>
      </c>
    </row>
    <row r="4280">
      <c r="A4280" s="4" t="n">
        <v>41918</v>
      </c>
      <c r="B4280" s="3" t="n">
        <v>283.7200669826501</v>
      </c>
    </row>
    <row r="4281">
      <c r="A4281" s="4" t="n">
        <v>41919</v>
      </c>
      <c r="B4281" s="3" t="n">
        <v>283.8726515300439</v>
      </c>
    </row>
    <row r="4282">
      <c r="A4282" s="4" t="n">
        <v>41920</v>
      </c>
      <c r="B4282" s="3" t="n">
        <v>285.2677102490736</v>
      </c>
    </row>
    <row r="4283">
      <c r="A4283" s="4" t="n">
        <v>41921</v>
      </c>
      <c r="B4283" s="3" t="n">
        <v>287.3167027426483</v>
      </c>
    </row>
    <row r="4284">
      <c r="A4284" s="4" t="n">
        <v>41922</v>
      </c>
      <c r="B4284" s="3" t="n">
        <v>287.3820961201028</v>
      </c>
    </row>
    <row r="4285">
      <c r="A4285" s="4" t="n">
        <v>41925</v>
      </c>
      <c r="B4285" s="3" t="n">
        <v>287.7962541773147</v>
      </c>
    </row>
    <row r="4286">
      <c r="A4286" s="4" t="n">
        <v>41926</v>
      </c>
      <c r="B4286" s="3" t="n">
        <v>288.8425482165869</v>
      </c>
    </row>
    <row r="4287">
      <c r="A4287" s="4" t="n">
        <v>41927</v>
      </c>
      <c r="B4287" s="3" t="n">
        <v>288.9515371790111</v>
      </c>
    </row>
    <row r="4288">
      <c r="A4288" s="4" t="n">
        <v>41928</v>
      </c>
      <c r="B4288" s="3" t="n">
        <v>290.1940113506469</v>
      </c>
    </row>
    <row r="4289">
      <c r="A4289" s="4" t="n">
        <v>41929</v>
      </c>
      <c r="B4289" s="3" t="n">
        <v>291.4800811072523</v>
      </c>
    </row>
    <row r="4290">
      <c r="A4290" s="4" t="n">
        <v>41932</v>
      </c>
      <c r="B4290" s="3" t="n">
        <v>292.6571619014335</v>
      </c>
    </row>
    <row r="4291">
      <c r="A4291" s="4" t="n">
        <v>41933</v>
      </c>
      <c r="B4291" s="3" t="n">
        <v>294.7061543950083</v>
      </c>
    </row>
    <row r="4292">
      <c r="A4292" s="4" t="n">
        <v>41934</v>
      </c>
      <c r="B4292" s="3" t="n">
        <v>296.5371689637347</v>
      </c>
    </row>
    <row r="4293">
      <c r="A4293" s="4" t="n">
        <v>41935</v>
      </c>
      <c r="B4293" s="3" t="n">
        <v>297.6052607954918</v>
      </c>
    </row>
    <row r="4294">
      <c r="A4294" s="4" t="n">
        <v>41936</v>
      </c>
      <c r="B4294" s="3" t="n">
        <v>299.6978488740363</v>
      </c>
    </row>
    <row r="4295">
      <c r="A4295" s="4" t="n">
        <v>41939</v>
      </c>
      <c r="B4295" s="3" t="n">
        <v>299.8068378364604</v>
      </c>
    </row>
    <row r="4296">
      <c r="A4296" s="4" t="n">
        <v>41940</v>
      </c>
      <c r="B4296" s="3" t="n">
        <v>301.3980766878536</v>
      </c>
    </row>
    <row r="4297">
      <c r="A4297" s="4" t="n">
        <v>41941</v>
      </c>
      <c r="B4297" s="3" t="n">
        <v>301.8122347450656</v>
      </c>
    </row>
    <row r="4298">
      <c r="A4298" s="4" t="n">
        <v>41942</v>
      </c>
      <c r="B4298" s="3" t="n">
        <v>303.8176316536706</v>
      </c>
    </row>
    <row r="4299">
      <c r="A4299" s="4" t="n">
        <v>41943</v>
      </c>
      <c r="B4299" s="3" t="n">
        <v>305.5614550524576</v>
      </c>
    </row>
    <row r="4300">
      <c r="A4300" s="4" t="n">
        <v>41946</v>
      </c>
      <c r="B4300" s="3" t="n">
        <v>300.4218035614822</v>
      </c>
    </row>
    <row r="4301">
      <c r="A4301" s="4" t="n">
        <v>41947</v>
      </c>
      <c r="B4301" s="3" t="n">
        <v>303.0553783286376</v>
      </c>
    </row>
    <row r="4302">
      <c r="A4302" s="4" t="n">
        <v>41948</v>
      </c>
      <c r="B4302" s="3" t="n">
        <v>302.4077779760585</v>
      </c>
    </row>
    <row r="4303">
      <c r="A4303" s="4" t="n">
        <v>41949</v>
      </c>
      <c r="B4303" s="3" t="n">
        <v>303.4223518617659</v>
      </c>
    </row>
    <row r="4304">
      <c r="A4304" s="4" t="n">
        <v>41950</v>
      </c>
      <c r="B4304" s="3" t="n">
        <v>307.1352605498865</v>
      </c>
    </row>
    <row r="4305">
      <c r="A4305" s="4" t="n">
        <v>41953</v>
      </c>
      <c r="B4305" s="3" t="n">
        <v>308.2145944708518</v>
      </c>
    </row>
    <row r="4306">
      <c r="A4306" s="4" t="n">
        <v>41954</v>
      </c>
      <c r="B4306" s="3" t="n">
        <v>308.2361811492711</v>
      </c>
    </row>
    <row r="4307">
      <c r="A4307" s="4" t="n">
        <v>41955</v>
      </c>
      <c r="B4307" s="3" t="n">
        <v>310.697062489072</v>
      </c>
    </row>
    <row r="4308">
      <c r="A4308" s="4" t="n">
        <v>41956</v>
      </c>
      <c r="B4308" s="3" t="n">
        <v>311.3014894848126</v>
      </c>
    </row>
    <row r="4309">
      <c r="A4309" s="4" t="n">
        <v>41957</v>
      </c>
      <c r="B4309" s="3" t="n">
        <v>309.8335953522997</v>
      </c>
    </row>
    <row r="4310">
      <c r="A4310" s="4" t="n">
        <v>41960</v>
      </c>
      <c r="B4310" s="3" t="n">
        <v>310.481195704879</v>
      </c>
    </row>
    <row r="4311">
      <c r="A4311" s="4" t="n">
        <v>41961</v>
      </c>
      <c r="B4311" s="3" t="n">
        <v>309.1859949997205</v>
      </c>
    </row>
    <row r="4312">
      <c r="A4312" s="4" t="n">
        <v>41962</v>
      </c>
      <c r="B4312" s="3" t="n">
        <v>310.3300889559438</v>
      </c>
    </row>
    <row r="4313">
      <c r="A4313" s="4" t="n">
        <v>41963</v>
      </c>
      <c r="B4313" s="3" t="n">
        <v>308.6031546823993</v>
      </c>
    </row>
    <row r="4314">
      <c r="A4314" s="4" t="n">
        <v>41964</v>
      </c>
      <c r="B4314" s="3" t="n">
        <v>309.8767687091384</v>
      </c>
    </row>
    <row r="4315">
      <c r="A4315" s="4" t="n">
        <v>41967</v>
      </c>
      <c r="B4315" s="3" t="n">
        <v>310.9992759869423</v>
      </c>
    </row>
    <row r="4316">
      <c r="A4316" s="4" t="n">
        <v>41968</v>
      </c>
      <c r="B4316" s="3" t="n">
        <v>312.9420770446798</v>
      </c>
    </row>
    <row r="4317">
      <c r="A4317" s="4" t="n">
        <v>41969</v>
      </c>
      <c r="B4317" s="3" t="n">
        <v>313.5680907188397</v>
      </c>
    </row>
    <row r="4318">
      <c r="A4318" s="4" t="n">
        <v>41970</v>
      </c>
      <c r="B4318" s="3" t="n">
        <v>314.0429976440644</v>
      </c>
    </row>
    <row r="4319">
      <c r="A4319" s="4" t="n">
        <v>41971</v>
      </c>
      <c r="B4319" s="3" t="n">
        <v>313.4817440051625</v>
      </c>
    </row>
    <row r="4320">
      <c r="A4320" s="4" t="n">
        <v>41974</v>
      </c>
      <c r="B4320" s="3" t="n">
        <v>309.2521354751681</v>
      </c>
    </row>
    <row r="4321">
      <c r="A4321" s="4" t="n">
        <v>41975</v>
      </c>
      <c r="B4321" s="3" t="n">
        <v>310.9255081124947</v>
      </c>
    </row>
    <row r="4322">
      <c r="A4322" s="4" t="n">
        <v>41976</v>
      </c>
      <c r="B4322" s="3" t="n">
        <v>311.0971360752974</v>
      </c>
    </row>
    <row r="4323">
      <c r="A4323" s="4" t="n">
        <v>41977</v>
      </c>
      <c r="B4323" s="3" t="n">
        <v>309.5095774193722</v>
      </c>
    </row>
    <row r="4324">
      <c r="A4324" s="4" t="n">
        <v>41978</v>
      </c>
      <c r="B4324" s="3" t="n">
        <v>308.3725421658041</v>
      </c>
    </row>
    <row r="4325">
      <c r="A4325" s="4" t="n">
        <v>41981</v>
      </c>
      <c r="B4325" s="3" t="n">
        <v>305.7766692284128</v>
      </c>
    </row>
    <row r="4326">
      <c r="A4326" s="4" t="n">
        <v>41982</v>
      </c>
      <c r="B4326" s="3" t="n">
        <v>306.5060880703244</v>
      </c>
    </row>
    <row r="4327">
      <c r="A4327" s="4" t="n">
        <v>41983</v>
      </c>
      <c r="B4327" s="3" t="n">
        <v>307.3213208936374</v>
      </c>
    </row>
    <row r="4328">
      <c r="A4328" s="4" t="n">
        <v>41984</v>
      </c>
      <c r="B4328" s="3" t="n">
        <v>306.978064968032</v>
      </c>
    </row>
    <row r="4329">
      <c r="A4329" s="4" t="n">
        <v>41985</v>
      </c>
      <c r="B4329" s="3" t="n">
        <v>306.7849835098788</v>
      </c>
    </row>
    <row r="4330">
      <c r="A4330" s="4" t="n">
        <v>41988</v>
      </c>
      <c r="B4330" s="3" t="n">
        <v>304.2320175631882</v>
      </c>
    </row>
    <row r="4331">
      <c r="A4331" s="4" t="n">
        <v>41989</v>
      </c>
      <c r="B4331" s="3" t="n">
        <v>304.1032965910862</v>
      </c>
    </row>
    <row r="4332">
      <c r="A4332" s="4" t="n">
        <v>41990</v>
      </c>
      <c r="B4332" s="3" t="n">
        <v>304.6825409655454</v>
      </c>
    </row>
    <row r="4333">
      <c r="A4333" s="4" t="n">
        <v>41991</v>
      </c>
      <c r="B4333" s="3" t="n">
        <v>302.4728309444603</v>
      </c>
    </row>
    <row r="4334">
      <c r="A4334" s="4" t="n">
        <v>41992</v>
      </c>
      <c r="B4334" s="3" t="n">
        <v>305.8195762191135</v>
      </c>
    </row>
    <row r="4335">
      <c r="A4335" s="4" t="n">
        <v>41995</v>
      </c>
      <c r="B4335" s="3" t="n">
        <v>305.7766692284128</v>
      </c>
    </row>
    <row r="4336">
      <c r="A4336" s="4" t="n">
        <v>41996</v>
      </c>
      <c r="B4336" s="3" t="n">
        <v>306.9566114726816</v>
      </c>
    </row>
    <row r="4337">
      <c r="A4337" s="4" t="n">
        <v>41999</v>
      </c>
      <c r="B4337" s="3" t="n">
        <v>307.4071348750387</v>
      </c>
    </row>
    <row r="4338">
      <c r="A4338" s="4" t="n">
        <v>42002</v>
      </c>
      <c r="B4338" s="3" t="n">
        <v>306.8278905005795</v>
      </c>
    </row>
    <row r="4339">
      <c r="A4339" s="4" t="n">
        <v>42003</v>
      </c>
      <c r="B4339" s="3" t="n">
        <v>308.3939956611544</v>
      </c>
    </row>
    <row r="4340">
      <c r="A4340" s="4" t="n">
        <v>42006</v>
      </c>
      <c r="B4340" s="3" t="n">
        <v>307.9057044314307</v>
      </c>
    </row>
    <row r="4341">
      <c r="A4341" s="4" t="n">
        <v>42009</v>
      </c>
      <c r="B4341" s="3" t="n">
        <v>304.8824289488374</v>
      </c>
    </row>
    <row r="4342">
      <c r="A4342" s="4" t="n">
        <v>42010</v>
      </c>
      <c r="B4342" s="3" t="n">
        <v>304.3501621385217</v>
      </c>
    </row>
    <row r="4343">
      <c r="A4343" s="4" t="n">
        <v>42011</v>
      </c>
      <c r="B4343" s="3" t="n">
        <v>306.0959972763573</v>
      </c>
    </row>
    <row r="4344">
      <c r="A4344" s="4" t="n">
        <v>42012</v>
      </c>
      <c r="B4344" s="3" t="n">
        <v>304.6695222247112</v>
      </c>
    </row>
    <row r="4345">
      <c r="A4345" s="4" t="n">
        <v>42013</v>
      </c>
      <c r="B4345" s="3" t="n">
        <v>305.1166263453764</v>
      </c>
    </row>
    <row r="4346">
      <c r="A4346" s="4" t="n">
        <v>42016</v>
      </c>
      <c r="B4346" s="3" t="n">
        <v>305.5211491212164</v>
      </c>
    </row>
    <row r="4347">
      <c r="A4347" s="4" t="n">
        <v>42017</v>
      </c>
      <c r="B4347" s="3" t="n">
        <v>304.8185569315996</v>
      </c>
    </row>
    <row r="4348">
      <c r="A4348" s="4" t="n">
        <v>42018</v>
      </c>
      <c r="B4348" s="3" t="n">
        <v>302.8598150696378</v>
      </c>
    </row>
    <row r="4349">
      <c r="A4349" s="4" t="n">
        <v>42019</v>
      </c>
      <c r="B4349" s="3" t="n">
        <v>303.6901512937303</v>
      </c>
    </row>
    <row r="4350">
      <c r="A4350" s="4" t="n">
        <v>42020</v>
      </c>
      <c r="B4350" s="3" t="n">
        <v>303.7540233109681</v>
      </c>
    </row>
    <row r="4351">
      <c r="A4351" s="4" t="n">
        <v>42023</v>
      </c>
      <c r="B4351" s="3" t="n">
        <v>302.9236870868756</v>
      </c>
    </row>
    <row r="4352">
      <c r="A4352" s="4" t="n">
        <v>42024</v>
      </c>
      <c r="B4352" s="3" t="n">
        <v>303.2430471730651</v>
      </c>
    </row>
    <row r="4353">
      <c r="A4353" s="4" t="n">
        <v>42025</v>
      </c>
      <c r="B4353" s="3" t="n">
        <v>303.7327326385555</v>
      </c>
    </row>
    <row r="4354">
      <c r="A4354" s="4" t="n">
        <v>42026</v>
      </c>
      <c r="B4354" s="3" t="n">
        <v>304.3714528109344</v>
      </c>
    </row>
    <row r="4355">
      <c r="A4355" s="4" t="n">
        <v>42027</v>
      </c>
      <c r="B4355" s="3" t="n">
        <v>304.2862901212839</v>
      </c>
    </row>
    <row r="4356">
      <c r="A4356" s="4" t="n">
        <v>42030</v>
      </c>
      <c r="B4356" s="3" t="n">
        <v>303.7753139833808</v>
      </c>
    </row>
    <row r="4357">
      <c r="A4357" s="4" t="n">
        <v>42031</v>
      </c>
      <c r="B4357" s="3" t="n">
        <v>303.4559538971914</v>
      </c>
    </row>
    <row r="4358">
      <c r="A4358" s="4" t="n">
        <v>42032</v>
      </c>
      <c r="B4358" s="3" t="n">
        <v>304.9037196212501</v>
      </c>
    </row>
    <row r="4359">
      <c r="A4359" s="4" t="n">
        <v>42033</v>
      </c>
      <c r="B4359" s="3" t="n">
        <v>306.5005200521973</v>
      </c>
    </row>
    <row r="4360">
      <c r="A4360" s="4" t="n">
        <v>42034</v>
      </c>
      <c r="B4360" s="3" t="n">
        <v>305.3721144143279</v>
      </c>
    </row>
    <row r="4361">
      <c r="A4361" s="4" t="n">
        <v>42037</v>
      </c>
      <c r="B4361" s="3" t="n">
        <v>303.6562535372089</v>
      </c>
    </row>
    <row r="4362">
      <c r="A4362" s="4" t="n">
        <v>42038</v>
      </c>
      <c r="B4362" s="3" t="n">
        <v>302.4671933177778</v>
      </c>
    </row>
    <row r="4363">
      <c r="A4363" s="4" t="n">
        <v>42039</v>
      </c>
      <c r="B4363" s="3" t="n">
        <v>304.1233843376996</v>
      </c>
    </row>
    <row r="4364">
      <c r="A4364" s="4" t="n">
        <v>42040</v>
      </c>
      <c r="B4364" s="3" t="n">
        <v>305.0364127204771</v>
      </c>
    </row>
    <row r="4365">
      <c r="A4365" s="4" t="n">
        <v>42041</v>
      </c>
      <c r="B4365" s="3" t="n">
        <v>304.9090134112523</v>
      </c>
    </row>
    <row r="4366">
      <c r="A4366" s="4" t="n">
        <v>42044</v>
      </c>
      <c r="B4366" s="3" t="n">
        <v>303.9322853738626</v>
      </c>
    </row>
    <row r="4367">
      <c r="A4367" s="4" t="n">
        <v>42045</v>
      </c>
      <c r="B4367" s="3" t="n">
        <v>304.8240805384359</v>
      </c>
    </row>
    <row r="4368">
      <c r="A4368" s="4" t="n">
        <v>42046</v>
      </c>
      <c r="B4368" s="3" t="n">
        <v>303.9535185920667</v>
      </c>
    </row>
    <row r="4369">
      <c r="A4369" s="4" t="n">
        <v>42047</v>
      </c>
      <c r="B4369" s="3" t="n">
        <v>304.3994161743533</v>
      </c>
    </row>
    <row r="4370">
      <c r="A4370" s="4" t="n">
        <v>42048</v>
      </c>
      <c r="B4370" s="3" t="n">
        <v>304.165850774108</v>
      </c>
    </row>
    <row r="4371">
      <c r="A4371" s="4" t="n">
        <v>42053</v>
      </c>
      <c r="B4371" s="3" t="n">
        <v>303.5288542279841</v>
      </c>
    </row>
    <row r="4372">
      <c r="A4372" s="4" t="n">
        <v>42054</v>
      </c>
      <c r="B4372" s="3" t="n">
        <v>304.1233843376996</v>
      </c>
    </row>
    <row r="4373">
      <c r="A4373" s="4" t="n">
        <v>42055</v>
      </c>
      <c r="B4373" s="3" t="n">
        <v>304.9727130658648</v>
      </c>
    </row>
    <row r="4374">
      <c r="A4374" s="4" t="n">
        <v>42058</v>
      </c>
      <c r="B4374" s="3" t="n">
        <v>305.2912113389266</v>
      </c>
    </row>
    <row r="4375">
      <c r="A4375" s="4" t="n">
        <v>42059</v>
      </c>
      <c r="B4375" s="3" t="n">
        <v>304.4206493925575</v>
      </c>
    </row>
    <row r="4376">
      <c r="A4376" s="4" t="n">
        <v>42060</v>
      </c>
      <c r="B4376" s="3" t="n">
        <v>304.7391476656194</v>
      </c>
    </row>
    <row r="4377">
      <c r="A4377" s="4" t="n">
        <v>42061</v>
      </c>
      <c r="B4377" s="3" t="n">
        <v>305.0364127204771</v>
      </c>
    </row>
    <row r="4378">
      <c r="A4378" s="4" t="n">
        <v>42062</v>
      </c>
      <c r="B4378" s="3" t="n">
        <v>306.5652044311742</v>
      </c>
    </row>
    <row r="4379">
      <c r="A4379" s="4" t="n">
        <v>42065</v>
      </c>
      <c r="B4379" s="3" t="n">
        <v>302.3258658978537</v>
      </c>
    </row>
    <row r="4380">
      <c r="A4380" s="4" t="n">
        <v>42066</v>
      </c>
      <c r="B4380" s="3" t="n">
        <v>302.0525152053602</v>
      </c>
    </row>
    <row r="4381">
      <c r="A4381" s="4" t="n">
        <v>42067</v>
      </c>
      <c r="B4381" s="3" t="n">
        <v>303.040783093606</v>
      </c>
    </row>
    <row r="4382">
      <c r="A4382" s="4" t="n">
        <v>42068</v>
      </c>
      <c r="B4382" s="3" t="n">
        <v>301.8842993945948</v>
      </c>
    </row>
    <row r="4383">
      <c r="A4383" s="4" t="n">
        <v>42069</v>
      </c>
      <c r="B4383" s="3" t="n">
        <v>303.0828370462974</v>
      </c>
    </row>
    <row r="4384">
      <c r="A4384" s="4" t="n">
        <v>42072</v>
      </c>
      <c r="B4384" s="3" t="n">
        <v>303.8608351710866</v>
      </c>
    </row>
    <row r="4385">
      <c r="A4385" s="4" t="n">
        <v>42073</v>
      </c>
      <c r="B4385" s="3" t="n">
        <v>302.494081708619</v>
      </c>
    </row>
    <row r="4386">
      <c r="A4386" s="4" t="n">
        <v>42074</v>
      </c>
      <c r="B4386" s="3" t="n">
        <v>304.0290509818519</v>
      </c>
    </row>
    <row r="4387">
      <c r="A4387" s="4" t="n">
        <v>42075</v>
      </c>
      <c r="B4387" s="3" t="n">
        <v>305.0803997991347</v>
      </c>
    </row>
    <row r="4388">
      <c r="A4388" s="4" t="n">
        <v>42076</v>
      </c>
      <c r="B4388" s="3" t="n">
        <v>305.5009393260479</v>
      </c>
    </row>
    <row r="4389">
      <c r="A4389" s="4" t="n">
        <v>42079</v>
      </c>
      <c r="B4389" s="3" t="n">
        <v>304.5967793431847</v>
      </c>
    </row>
    <row r="4390">
      <c r="A4390" s="4" t="n">
        <v>42080</v>
      </c>
      <c r="B4390" s="3" t="n">
        <v>304.5547253904933</v>
      </c>
    </row>
    <row r="4391">
      <c r="A4391" s="4" t="n">
        <v>42081</v>
      </c>
      <c r="B4391" s="3" t="n">
        <v>305.0383458464434</v>
      </c>
    </row>
    <row r="4392">
      <c r="A4392" s="4" t="n">
        <v>42082</v>
      </c>
      <c r="B4392" s="3" t="n">
        <v>307.456448126194</v>
      </c>
    </row>
    <row r="4393">
      <c r="A4393" s="4" t="n">
        <v>42083</v>
      </c>
      <c r="B4393" s="3" t="n">
        <v>306.047640711035</v>
      </c>
    </row>
    <row r="4394">
      <c r="A4394" s="4" t="n">
        <v>42086</v>
      </c>
      <c r="B4394" s="3" t="n">
        <v>308.003149511181</v>
      </c>
    </row>
    <row r="4395">
      <c r="A4395" s="4" t="n">
        <v>42087</v>
      </c>
      <c r="B4395" s="3" t="n">
        <v>308.0452034638723</v>
      </c>
    </row>
    <row r="4396">
      <c r="A4396" s="4" t="n">
        <v>42088</v>
      </c>
      <c r="B4396" s="3" t="n">
        <v>307.7718527713789</v>
      </c>
    </row>
    <row r="4397">
      <c r="A4397" s="4" t="n">
        <v>42089</v>
      </c>
      <c r="B4397" s="3" t="n">
        <v>308.6339588015508</v>
      </c>
    </row>
    <row r="4398">
      <c r="A4398" s="4" t="n">
        <v>42090</v>
      </c>
      <c r="B4398" s="3" t="n">
        <v>309.8324964532532</v>
      </c>
    </row>
    <row r="4399">
      <c r="A4399" s="4" t="n">
        <v>42093</v>
      </c>
      <c r="B4399" s="3" t="n">
        <v>310.2530359801663</v>
      </c>
    </row>
    <row r="4400">
      <c r="A4400" s="4" t="n">
        <v>42094</v>
      </c>
      <c r="B4400" s="3" t="n">
        <v>310.3791978382403</v>
      </c>
    </row>
    <row r="4401">
      <c r="A4401" s="4" t="n">
        <v>42095</v>
      </c>
      <c r="B4401" s="3" t="n">
        <v>307.5510897557165</v>
      </c>
    </row>
    <row r="4402">
      <c r="A4402" s="4" t="n">
        <v>42096</v>
      </c>
      <c r="B4402" s="3" t="n">
        <v>308.4240468260511</v>
      </c>
    </row>
    <row r="4403">
      <c r="A4403" s="4" t="n">
        <v>42100</v>
      </c>
      <c r="B4403" s="3" t="n">
        <v>309.4009273571398</v>
      </c>
    </row>
    <row r="4404">
      <c r="A4404" s="4" t="n">
        <v>42101</v>
      </c>
      <c r="B4404" s="3" t="n">
        <v>311.1884108821105</v>
      </c>
    </row>
    <row r="4405">
      <c r="A4405" s="4" t="n">
        <v>42102</v>
      </c>
      <c r="B4405" s="3" t="n">
        <v>311.6248894172778</v>
      </c>
    </row>
    <row r="4406">
      <c r="A4406" s="4" t="n">
        <v>42103</v>
      </c>
      <c r="B4406" s="3" t="n">
        <v>310.0452528138152</v>
      </c>
    </row>
    <row r="4407">
      <c r="A4407" s="4" t="n">
        <v>42104</v>
      </c>
      <c r="B4407" s="3" t="n">
        <v>309.4009273571398</v>
      </c>
    </row>
    <row r="4408">
      <c r="A4408" s="4" t="n">
        <v>42107</v>
      </c>
      <c r="B4408" s="3" t="n">
        <v>310.8142864233956</v>
      </c>
    </row>
    <row r="4409">
      <c r="A4409" s="4" t="n">
        <v>42108</v>
      </c>
      <c r="B4409" s="3" t="n">
        <v>310.5233007332842</v>
      </c>
    </row>
    <row r="4410">
      <c r="A4410" s="4" t="n">
        <v>42109</v>
      </c>
      <c r="B4410" s="3" t="n">
        <v>310.7935017312448</v>
      </c>
    </row>
    <row r="4411">
      <c r="A4411" s="4" t="n">
        <v>42110</v>
      </c>
      <c r="B4411" s="3" t="n">
        <v>311.6456741094285</v>
      </c>
    </row>
    <row r="4412">
      <c r="A4412" s="4" t="n">
        <v>42111</v>
      </c>
      <c r="B4412" s="3" t="n">
        <v>311.3131190350154</v>
      </c>
    </row>
    <row r="4413">
      <c r="A4413" s="4" t="n">
        <v>42114</v>
      </c>
      <c r="B4413" s="3" t="n">
        <v>313.1213872521369</v>
      </c>
    </row>
    <row r="4414">
      <c r="A4414" s="4" t="n">
        <v>42116</v>
      </c>
      <c r="B4414" s="3" t="n">
        <v>309.8997599687595</v>
      </c>
    </row>
    <row r="4415">
      <c r="A4415" s="4" t="n">
        <v>42117</v>
      </c>
      <c r="B4415" s="3" t="n">
        <v>311.8950904152384</v>
      </c>
    </row>
    <row r="4416">
      <c r="A4416" s="4" t="n">
        <v>42118</v>
      </c>
      <c r="B4416" s="3" t="n">
        <v>312.5186311797631</v>
      </c>
    </row>
    <row r="4417">
      <c r="A4417" s="4" t="n">
        <v>42121</v>
      </c>
      <c r="B4417" s="3" t="n">
        <v>311.6248894172778</v>
      </c>
    </row>
    <row r="4418">
      <c r="A4418" s="4" t="n">
        <v>42122</v>
      </c>
      <c r="B4418" s="3" t="n">
        <v>311.0429180370547</v>
      </c>
    </row>
    <row r="4419">
      <c r="A4419" s="4" t="n">
        <v>42123</v>
      </c>
      <c r="B4419" s="3" t="n">
        <v>309.255434512084</v>
      </c>
    </row>
    <row r="4420">
      <c r="A4420" s="4" t="n">
        <v>42124</v>
      </c>
      <c r="B4420" s="3" t="n">
        <v>309.837405892307</v>
      </c>
    </row>
    <row r="4421">
      <c r="A4421" s="4" t="n">
        <v>42128</v>
      </c>
      <c r="B4421" s="3" t="n">
        <v>308.521528324195</v>
      </c>
    </row>
    <row r="4422">
      <c r="A4422" s="4" t="n">
        <v>42129</v>
      </c>
      <c r="B4422" s="3" t="n">
        <v>308.7078335949222</v>
      </c>
    </row>
    <row r="4423">
      <c r="A4423" s="4" t="n">
        <v>42130</v>
      </c>
      <c r="B4423" s="3" t="n">
        <v>308.4594265672859</v>
      </c>
    </row>
    <row r="4424">
      <c r="A4424" s="4" t="n">
        <v>42131</v>
      </c>
      <c r="B4424" s="3" t="n">
        <v>309.1425458932856</v>
      </c>
    </row>
    <row r="4425">
      <c r="A4425" s="4" t="n">
        <v>42132</v>
      </c>
      <c r="B4425" s="3" t="n">
        <v>308.2731212965588</v>
      </c>
    </row>
    <row r="4426">
      <c r="A4426" s="4" t="n">
        <v>42135</v>
      </c>
      <c r="B4426" s="3" t="n">
        <v>305.4371410643785</v>
      </c>
    </row>
    <row r="4427">
      <c r="A4427" s="4" t="n">
        <v>42136</v>
      </c>
      <c r="B4427" s="3" t="n">
        <v>308.4387259816496</v>
      </c>
    </row>
    <row r="4428">
      <c r="A4428" s="4" t="n">
        <v>42137</v>
      </c>
      <c r="B4428" s="3" t="n">
        <v>307.5071996280138</v>
      </c>
    </row>
    <row r="4429">
      <c r="A4429" s="4" t="n">
        <v>42138</v>
      </c>
      <c r="B4429" s="3" t="n">
        <v>308.7492347661949</v>
      </c>
    </row>
    <row r="4430">
      <c r="A4430" s="4" t="n">
        <v>42139</v>
      </c>
      <c r="B4430" s="3" t="n">
        <v>306.8033797163778</v>
      </c>
    </row>
    <row r="4431">
      <c r="A4431" s="4" t="n">
        <v>42142</v>
      </c>
      <c r="B4431" s="3" t="n">
        <v>304.6091176389244</v>
      </c>
    </row>
    <row r="4432">
      <c r="A4432" s="4" t="n">
        <v>42143</v>
      </c>
      <c r="B4432" s="3" t="n">
        <v>304.7126205671062</v>
      </c>
    </row>
    <row r="4433">
      <c r="A4433" s="4" t="n">
        <v>42144</v>
      </c>
      <c r="B4433" s="3" t="n">
        <v>303.3256813294706</v>
      </c>
    </row>
    <row r="4434">
      <c r="A4434" s="4" t="n">
        <v>42145</v>
      </c>
      <c r="B4434" s="3" t="n">
        <v>305.6234463351057</v>
      </c>
    </row>
    <row r="4435">
      <c r="A4435" s="4" t="n">
        <v>42146</v>
      </c>
      <c r="B4435" s="3" t="n">
        <v>304.6091176389244</v>
      </c>
    </row>
    <row r="4436">
      <c r="A4436" s="4" t="n">
        <v>42149</v>
      </c>
      <c r="B4436" s="3" t="n">
        <v>304.0295012411066</v>
      </c>
    </row>
    <row r="4437">
      <c r="A4437" s="4" t="n">
        <v>42150</v>
      </c>
      <c r="B4437" s="3" t="n">
        <v>304.2572076831064</v>
      </c>
    </row>
    <row r="4438">
      <c r="A4438" s="4" t="n">
        <v>42151</v>
      </c>
      <c r="B4438" s="3" t="n">
        <v>303.3463819151069</v>
      </c>
    </row>
    <row r="4439">
      <c r="A4439" s="4" t="n">
        <v>42152</v>
      </c>
      <c r="B4439" s="3" t="n">
        <v>303.6154895283795</v>
      </c>
    </row>
    <row r="4440">
      <c r="A4440" s="4" t="n">
        <v>42153</v>
      </c>
      <c r="B4440" s="3" t="n">
        <v>303.2221784012888</v>
      </c>
    </row>
    <row r="4441">
      <c r="A4441" s="4" t="n">
        <v>42156</v>
      </c>
      <c r="B4441" s="3" t="n">
        <v>302.6799857829914</v>
      </c>
    </row>
    <row r="4442">
      <c r="A4442" s="4" t="n">
        <v>42157</v>
      </c>
      <c r="B4442" s="3" t="n">
        <v>302.8650482742989</v>
      </c>
    </row>
    <row r="4443">
      <c r="A4443" s="4" t="n">
        <v>42158</v>
      </c>
      <c r="B4443" s="3" t="n">
        <v>301.6312983322487</v>
      </c>
    </row>
    <row r="4444">
      <c r="A4444" s="4" t="n">
        <v>42160</v>
      </c>
      <c r="B4444" s="3" t="n">
        <v>303.4819232453241</v>
      </c>
    </row>
    <row r="4445">
      <c r="A4445" s="4" t="n">
        <v>42163</v>
      </c>
      <c r="B4445" s="3" t="n">
        <v>303.3996732491874</v>
      </c>
    </row>
    <row r="4446">
      <c r="A4446" s="4" t="n">
        <v>42164</v>
      </c>
      <c r="B4446" s="3" t="n">
        <v>302.2070483052055</v>
      </c>
    </row>
    <row r="4447">
      <c r="A4447" s="4" t="n">
        <v>42165</v>
      </c>
      <c r="B4447" s="3" t="n">
        <v>303.0501107656065</v>
      </c>
    </row>
    <row r="4448">
      <c r="A4448" s="4" t="n">
        <v>42166</v>
      </c>
      <c r="B4448" s="3" t="n">
        <v>304.0371107192468</v>
      </c>
    </row>
    <row r="4449">
      <c r="A4449" s="4" t="n">
        <v>42167</v>
      </c>
      <c r="B4449" s="3" t="n">
        <v>303.235173256914</v>
      </c>
    </row>
    <row r="4450">
      <c r="A4450" s="4" t="n">
        <v>42170</v>
      </c>
      <c r="B4450" s="3" t="n">
        <v>303.7081107346999</v>
      </c>
    </row>
    <row r="4451">
      <c r="A4451" s="4" t="n">
        <v>42171</v>
      </c>
      <c r="B4451" s="3" t="n">
        <v>302.9678607694698</v>
      </c>
    </row>
    <row r="4452">
      <c r="A4452" s="4" t="n">
        <v>42172</v>
      </c>
      <c r="B4452" s="3" t="n">
        <v>300.932173365087</v>
      </c>
    </row>
    <row r="4453">
      <c r="A4453" s="4" t="n">
        <v>42173</v>
      </c>
      <c r="B4453" s="3" t="n">
        <v>298.3412984867815</v>
      </c>
    </row>
    <row r="4454">
      <c r="A4454" s="4" t="n">
        <v>42174</v>
      </c>
      <c r="B4454" s="3" t="n">
        <v>298.7114234693965</v>
      </c>
    </row>
    <row r="4455">
      <c r="A4455" s="4" t="n">
        <v>42177</v>
      </c>
      <c r="B4455" s="3" t="n">
        <v>296.5112360727402</v>
      </c>
    </row>
    <row r="4456">
      <c r="A4456" s="4" t="n">
        <v>42178</v>
      </c>
      <c r="B4456" s="3" t="n">
        <v>298.1356734964398</v>
      </c>
    </row>
    <row r="4457">
      <c r="A4457" s="4" t="n">
        <v>42179</v>
      </c>
      <c r="B4457" s="3" t="n">
        <v>297.7038610167222</v>
      </c>
    </row>
    <row r="4458">
      <c r="A4458" s="4" t="n">
        <v>42180</v>
      </c>
      <c r="B4458" s="3" t="n">
        <v>297.086986045697</v>
      </c>
    </row>
    <row r="4459">
      <c r="A4459" s="4" t="n">
        <v>42181</v>
      </c>
      <c r="B4459" s="3" t="n">
        <v>301.6107358332146</v>
      </c>
    </row>
    <row r="4460">
      <c r="A4460" s="4" t="n">
        <v>42184</v>
      </c>
      <c r="B4460" s="3" t="n">
        <v>294.9690486451775</v>
      </c>
    </row>
    <row r="4461">
      <c r="A4461" s="4" t="n">
        <v>42185</v>
      </c>
      <c r="B4461" s="3" t="n">
        <v>295.4214236239292</v>
      </c>
    </row>
    <row r="4462">
      <c r="A4462" s="4" t="n">
        <v>42186</v>
      </c>
      <c r="B4462" s="3" t="n">
        <v>293.4754513271922</v>
      </c>
    </row>
    <row r="4463">
      <c r="A4463" s="4" t="n">
        <v>42187</v>
      </c>
      <c r="B4463" s="3" t="n">
        <v>296.4978135007656</v>
      </c>
    </row>
    <row r="4464">
      <c r="A4464" s="4" t="n">
        <v>42188</v>
      </c>
      <c r="B4464" s="3" t="n">
        <v>295.2521101724685</v>
      </c>
    </row>
    <row r="4465">
      <c r="A4465" s="4" t="n">
        <v>42191</v>
      </c>
      <c r="B4465" s="3" t="n">
        <v>297.9885732215146</v>
      </c>
    </row>
    <row r="4466">
      <c r="A4466" s="4" t="n">
        <v>42192</v>
      </c>
      <c r="B4466" s="3" t="n">
        <v>292.0867984366313</v>
      </c>
    </row>
    <row r="4467">
      <c r="A4467" s="4" t="n">
        <v>42193</v>
      </c>
      <c r="B4467" s="3" t="n">
        <v>292.2501693649326</v>
      </c>
    </row>
    <row r="4468">
      <c r="A4468" s="4" t="n">
        <v>42195</v>
      </c>
      <c r="B4468" s="3" t="n">
        <v>289.5545490479617</v>
      </c>
    </row>
    <row r="4469">
      <c r="A4469" s="4" t="n">
        <v>42198</v>
      </c>
      <c r="B4469" s="3" t="n">
        <v>292.6381753196482</v>
      </c>
    </row>
    <row r="4470">
      <c r="A4470" s="4" t="n">
        <v>42199</v>
      </c>
      <c r="B4470" s="3" t="n">
        <v>291.5150001875769</v>
      </c>
    </row>
    <row r="4471">
      <c r="A4471" s="4" t="n">
        <v>42200</v>
      </c>
      <c r="B4471" s="3" t="n">
        <v>287.6757833724971</v>
      </c>
    </row>
    <row r="4472">
      <c r="A4472" s="4" t="n">
        <v>42201</v>
      </c>
      <c r="B4472" s="3" t="n">
        <v>290.9227805724848</v>
      </c>
    </row>
    <row r="4473">
      <c r="A4473" s="4" t="n">
        <v>42202</v>
      </c>
      <c r="B4473" s="3" t="n">
        <v>290.9636233045601</v>
      </c>
    </row>
    <row r="4474">
      <c r="A4474" s="4" t="n">
        <v>42205</v>
      </c>
      <c r="B4474" s="3" t="n">
        <v>288.2067388894762</v>
      </c>
    </row>
    <row r="4475">
      <c r="A4475" s="4" t="n">
        <v>42206</v>
      </c>
      <c r="B4475" s="3" t="n">
        <v>288.7989585045683</v>
      </c>
    </row>
    <row r="4476">
      <c r="A4476" s="4" t="n">
        <v>42207</v>
      </c>
      <c r="B4476" s="3" t="n">
        <v>290.0038191007902</v>
      </c>
    </row>
    <row r="4477">
      <c r="A4477" s="4" t="n">
        <v>42208</v>
      </c>
      <c r="B4477" s="3" t="n">
        <v>286.8180859989154</v>
      </c>
    </row>
    <row r="4478">
      <c r="A4478" s="4" t="n">
        <v>42209</v>
      </c>
      <c r="B4478" s="3" t="n">
        <v>287.8187329347607</v>
      </c>
    </row>
    <row r="4479">
      <c r="A4479" s="4" t="n">
        <v>42212</v>
      </c>
      <c r="B4479" s="3" t="n">
        <v>289.595391780037</v>
      </c>
    </row>
    <row r="4480">
      <c r="A4480" s="4" t="n">
        <v>42213</v>
      </c>
      <c r="B4480" s="3" t="n">
        <v>286.5321868743882</v>
      </c>
    </row>
    <row r="4481">
      <c r="A4481" s="4" t="n">
        <v>42214</v>
      </c>
      <c r="B4481" s="3" t="n">
        <v>288.5539021121164</v>
      </c>
    </row>
    <row r="4482">
      <c r="A4482" s="4" t="n">
        <v>42215</v>
      </c>
      <c r="B4482" s="3" t="n">
        <v>285.8787031611832</v>
      </c>
    </row>
    <row r="4483">
      <c r="A4483" s="4" t="n">
        <v>42216</v>
      </c>
      <c r="B4483" s="3" t="n">
        <v>288.7785371385307</v>
      </c>
    </row>
    <row r="4484">
      <c r="A4484" s="4" t="n">
        <v>42219</v>
      </c>
      <c r="B4484" s="3" t="n">
        <v>291.4470357899606</v>
      </c>
    </row>
    <row r="4485">
      <c r="A4485" s="4" t="n">
        <v>42220</v>
      </c>
      <c r="B4485" s="3" t="n">
        <v>288.6162665932025</v>
      </c>
    </row>
    <row r="4486">
      <c r="A4486" s="4" t="n">
        <v>42221</v>
      </c>
      <c r="B4486" s="3" t="n">
        <v>289.2068587277779</v>
      </c>
    </row>
    <row r="4487">
      <c r="A4487" s="4" t="n">
        <v>42222</v>
      </c>
      <c r="B4487" s="3" t="n">
        <v>284.3802954210753</v>
      </c>
    </row>
    <row r="4488">
      <c r="A4488" s="4" t="n">
        <v>42223</v>
      </c>
      <c r="B4488" s="3" t="n">
        <v>287.3739865859922</v>
      </c>
    </row>
    <row r="4489">
      <c r="A4489" s="4" t="n">
        <v>42226</v>
      </c>
      <c r="B4489" s="3" t="n">
        <v>285.9280541185834</v>
      </c>
    </row>
    <row r="4490">
      <c r="A4490" s="4" t="n">
        <v>42227</v>
      </c>
      <c r="B4490" s="3" t="n">
        <v>285.968784610623</v>
      </c>
    </row>
    <row r="4491">
      <c r="A4491" s="4" t="n">
        <v>42228</v>
      </c>
      <c r="B4491" s="3" t="n">
        <v>283.138015413865</v>
      </c>
    </row>
    <row r="4492">
      <c r="A4492" s="4" t="n">
        <v>42229</v>
      </c>
      <c r="B4492" s="3" t="n">
        <v>285.1745400158492</v>
      </c>
    </row>
    <row r="4493">
      <c r="A4493" s="4" t="n">
        <v>42230</v>
      </c>
      <c r="B4493" s="3" t="n">
        <v>285.6633059203254</v>
      </c>
    </row>
    <row r="4494">
      <c r="A4494" s="4" t="n">
        <v>42233</v>
      </c>
      <c r="B4494" s="3" t="n">
        <v>287.5369085541508</v>
      </c>
    </row>
    <row r="4495">
      <c r="A4495" s="4" t="n">
        <v>42234</v>
      </c>
      <c r="B4495" s="3" t="n">
        <v>286.7833944514167</v>
      </c>
    </row>
    <row r="4496">
      <c r="A4496" s="4" t="n">
        <v>42235</v>
      </c>
      <c r="B4496" s="3" t="n">
        <v>289.2883197118573</v>
      </c>
    </row>
    <row r="4497">
      <c r="A4497" s="4" t="n">
        <v>42236</v>
      </c>
      <c r="B4497" s="3" t="n">
        <v>287.8220219984286</v>
      </c>
    </row>
    <row r="4498">
      <c r="A4498" s="4" t="n">
        <v>42237</v>
      </c>
      <c r="B4498" s="3" t="n">
        <v>287.2925256019127</v>
      </c>
    </row>
    <row r="4499">
      <c r="A4499" s="4" t="n">
        <v>42240</v>
      </c>
      <c r="B4499" s="3" t="n">
        <v>287.7201957683294</v>
      </c>
    </row>
    <row r="4500">
      <c r="A4500" s="4" t="n">
        <v>42241</v>
      </c>
      <c r="B4500" s="3" t="n">
        <v>289.7159898782739</v>
      </c>
    </row>
    <row r="4501">
      <c r="A4501" s="4" t="n">
        <v>42242</v>
      </c>
      <c r="B4501" s="3" t="n">
        <v>288.2496921648453</v>
      </c>
    </row>
    <row r="4502">
      <c r="A4502" s="4" t="n">
        <v>42243</v>
      </c>
      <c r="B4502" s="3" t="n">
        <v>289.1050324976787</v>
      </c>
    </row>
    <row r="4503">
      <c r="A4503" s="4" t="n">
        <v>42244</v>
      </c>
      <c r="B4503" s="3" t="n">
        <v>290.2658515208097</v>
      </c>
    </row>
    <row r="4504">
      <c r="A4504" s="4" t="n">
        <v>42247</v>
      </c>
      <c r="B4504" s="3" t="n">
        <v>290.5305997190677</v>
      </c>
    </row>
    <row r="4505">
      <c r="A4505" s="4" t="n">
        <v>42248</v>
      </c>
      <c r="B4505" s="3" t="n">
        <v>288.9775050791266</v>
      </c>
    </row>
    <row r="4506">
      <c r="A4506" s="4" t="n">
        <v>42249</v>
      </c>
      <c r="B4506" s="3" t="n">
        <v>287.6661718041933</v>
      </c>
    </row>
    <row r="4507">
      <c r="A4507" s="4" t="n">
        <v>42250</v>
      </c>
      <c r="B4507" s="3" t="n">
        <v>288.0293102495594</v>
      </c>
    </row>
    <row r="4508">
      <c r="A4508" s="4" t="n">
        <v>42251</v>
      </c>
      <c r="B4508" s="3" t="n">
        <v>288.0696589657113</v>
      </c>
    </row>
    <row r="4509">
      <c r="A4509" s="4" t="n">
        <v>42255</v>
      </c>
      <c r="B4509" s="3" t="n">
        <v>287.343382074979</v>
      </c>
    </row>
    <row r="4510">
      <c r="A4510" s="4" t="n">
        <v>42256</v>
      </c>
      <c r="B4510" s="3" t="n">
        <v>288.8161102145194</v>
      </c>
    </row>
    <row r="4511">
      <c r="A4511" s="4" t="n">
        <v>42257</v>
      </c>
      <c r="B4511" s="3" t="n">
        <v>288.876633288747</v>
      </c>
    </row>
    <row r="4512">
      <c r="A4512" s="4" t="n">
        <v>42258</v>
      </c>
      <c r="B4512" s="3" t="n">
        <v>290.8537203801848</v>
      </c>
    </row>
    <row r="4513">
      <c r="A4513" s="4" t="n">
        <v>42261</v>
      </c>
      <c r="B4513" s="3" t="n">
        <v>290.5914537251982</v>
      </c>
    </row>
    <row r="4514">
      <c r="A4514" s="4" t="n">
        <v>42262</v>
      </c>
      <c r="B4514" s="3" t="n">
        <v>289.3809922406444</v>
      </c>
    </row>
    <row r="4515">
      <c r="A4515" s="4" t="n">
        <v>42263</v>
      </c>
      <c r="B4515" s="3" t="n">
        <v>289.7239563279347</v>
      </c>
    </row>
    <row r="4516">
      <c r="A4516" s="4" t="n">
        <v>42264</v>
      </c>
      <c r="B4516" s="3" t="n">
        <v>291.2572075417027</v>
      </c>
    </row>
    <row r="4517">
      <c r="A4517" s="4" t="n">
        <v>42265</v>
      </c>
      <c r="B4517" s="3" t="n">
        <v>290.7326742317294</v>
      </c>
    </row>
    <row r="4518">
      <c r="A4518" s="4" t="n">
        <v>42268</v>
      </c>
      <c r="B4518" s="3" t="n">
        <v>289.663433253707</v>
      </c>
    </row>
    <row r="4519">
      <c r="A4519" s="4" t="n">
        <v>42269</v>
      </c>
      <c r="B4519" s="3" t="n">
        <v>287.726694878421</v>
      </c>
    </row>
    <row r="4520">
      <c r="A4520" s="4" t="n">
        <v>42270</v>
      </c>
      <c r="B4520" s="3" t="n">
        <v>290.7931973059571</v>
      </c>
    </row>
    <row r="4521">
      <c r="A4521" s="4" t="n">
        <v>42271</v>
      </c>
      <c r="B4521" s="3" t="n">
        <v>290.8335460221089</v>
      </c>
    </row>
    <row r="4522">
      <c r="A4522" s="4" t="n">
        <v>42272</v>
      </c>
      <c r="B4522" s="3" t="n">
        <v>292.2659254454975</v>
      </c>
    </row>
    <row r="4523">
      <c r="A4523" s="4" t="n">
        <v>42275</v>
      </c>
      <c r="B4523" s="3" t="n">
        <v>290.9142434544125</v>
      </c>
    </row>
    <row r="4524">
      <c r="A4524" s="4" t="n">
        <v>42276</v>
      </c>
      <c r="B4524" s="3" t="n">
        <v>292.366797235877</v>
      </c>
    </row>
    <row r="4525">
      <c r="A4525" s="4" t="n">
        <v>42277</v>
      </c>
      <c r="B4525" s="3" t="n">
        <v>291.8220895678278</v>
      </c>
    </row>
    <row r="4526">
      <c r="A4526" s="4" t="n">
        <v>42278</v>
      </c>
      <c r="B4526" s="3" t="n">
        <v>286.6829168760912</v>
      </c>
    </row>
    <row r="4527">
      <c r="A4527" s="4" t="n">
        <v>42279</v>
      </c>
      <c r="B4527" s="3" t="n">
        <v>289.4351045579598</v>
      </c>
    </row>
    <row r="4528">
      <c r="A4528" s="4" t="n">
        <v>42282</v>
      </c>
      <c r="B4528" s="3" t="n">
        <v>291.0784972025289</v>
      </c>
    </row>
    <row r="4529">
      <c r="A4529" s="4" t="n">
        <v>42283</v>
      </c>
      <c r="B4529" s="3" t="n">
        <v>290.7616986204433</v>
      </c>
    </row>
    <row r="4530">
      <c r="A4530" s="4" t="n">
        <v>42284</v>
      </c>
      <c r="B4530" s="3" t="n">
        <v>290.6626990635416</v>
      </c>
    </row>
    <row r="4531">
      <c r="A4531" s="4" t="n">
        <v>42285</v>
      </c>
      <c r="B4531" s="3" t="n">
        <v>289.4351045579598</v>
      </c>
    </row>
    <row r="4532">
      <c r="A4532" s="4" t="n">
        <v>42286</v>
      </c>
      <c r="B4532" s="3" t="n">
        <v>291.0586972911486</v>
      </c>
    </row>
    <row r="4533">
      <c r="A4533" s="4" t="n">
        <v>42290</v>
      </c>
      <c r="B4533" s="3" t="n">
        <v>291.9100934805037</v>
      </c>
    </row>
    <row r="4534">
      <c r="A4534" s="4" t="n">
        <v>42291</v>
      </c>
      <c r="B4534" s="3" t="n">
        <v>291.6526946325591</v>
      </c>
    </row>
    <row r="4535">
      <c r="A4535" s="4" t="n">
        <v>42292</v>
      </c>
      <c r="B4535" s="3" t="n">
        <v>291.3754958732342</v>
      </c>
    </row>
    <row r="4536">
      <c r="A4536" s="4" t="n">
        <v>42293</v>
      </c>
      <c r="B4536" s="3" t="n">
        <v>291.2962962277128</v>
      </c>
    </row>
    <row r="4537">
      <c r="A4537" s="4" t="n">
        <v>42296</v>
      </c>
      <c r="B4537" s="3" t="n">
        <v>292.5436906446749</v>
      </c>
    </row>
    <row r="4538">
      <c r="A4538" s="4" t="n">
        <v>42297</v>
      </c>
      <c r="B4538" s="3" t="n">
        <v>292.385291353632</v>
      </c>
    </row>
    <row r="4539">
      <c r="A4539" s="4" t="n">
        <v>42298</v>
      </c>
      <c r="B4539" s="3" t="n">
        <v>293.3752869226495</v>
      </c>
    </row>
    <row r="4540">
      <c r="A4540" s="4" t="n">
        <v>42299</v>
      </c>
      <c r="B4540" s="3" t="n">
        <v>294.1276835551029</v>
      </c>
    </row>
    <row r="4541">
      <c r="A4541" s="4" t="n">
        <v>42300</v>
      </c>
      <c r="B4541" s="3" t="n">
        <v>294.305882757526</v>
      </c>
    </row>
    <row r="4542">
      <c r="A4542" s="4" t="n">
        <v>42303</v>
      </c>
      <c r="B4542" s="3" t="n">
        <v>294.3256826689064</v>
      </c>
    </row>
    <row r="4543">
      <c r="A4543" s="4" t="n">
        <v>42304</v>
      </c>
      <c r="B4543" s="3" t="n">
        <v>294.5038818713296</v>
      </c>
    </row>
    <row r="4544">
      <c r="A4544" s="4" t="n">
        <v>42305</v>
      </c>
      <c r="B4544" s="3" t="n">
        <v>295.0780793013597</v>
      </c>
    </row>
    <row r="4545">
      <c r="A4545" s="4" t="n">
        <v>42306</v>
      </c>
      <c r="B4545" s="3" t="n">
        <v>293.9296844412993</v>
      </c>
    </row>
    <row r="4546">
      <c r="A4546" s="4" t="n">
        <v>42307</v>
      </c>
      <c r="B4546" s="3" t="n">
        <v>293.5336862136924</v>
      </c>
    </row>
    <row r="4547">
      <c r="A4547" s="4" t="n">
        <v>42311</v>
      </c>
      <c r="B4547" s="3" t="n">
        <v>289.2632628885874</v>
      </c>
    </row>
    <row r="4548">
      <c r="A4548" s="4" t="n">
        <v>42312</v>
      </c>
      <c r="B4548" s="3" t="n">
        <v>288.483157001617</v>
      </c>
    </row>
    <row r="4549">
      <c r="A4549" s="4" t="n">
        <v>42313</v>
      </c>
      <c r="B4549" s="3" t="n">
        <v>289.4777920075043</v>
      </c>
    </row>
    <row r="4550">
      <c r="A4550" s="4" t="n">
        <v>42314</v>
      </c>
      <c r="B4550" s="3" t="n">
        <v>289.6338131848983</v>
      </c>
    </row>
    <row r="4551">
      <c r="A4551" s="4" t="n">
        <v>42317</v>
      </c>
      <c r="B4551" s="3" t="n">
        <v>292.2276652590746</v>
      </c>
    </row>
    <row r="4552">
      <c r="A4552" s="4" t="n">
        <v>42318</v>
      </c>
      <c r="B4552" s="3" t="n">
        <v>292.3056758477716</v>
      </c>
    </row>
    <row r="4553">
      <c r="A4553" s="4" t="n">
        <v>42319</v>
      </c>
      <c r="B4553" s="3" t="n">
        <v>289.6533158320726</v>
      </c>
    </row>
    <row r="4554">
      <c r="A4554" s="4" t="n">
        <v>42320</v>
      </c>
      <c r="B4554" s="3" t="n">
        <v>289.4582893603299</v>
      </c>
    </row>
    <row r="4555">
      <c r="A4555" s="4" t="n">
        <v>42321</v>
      </c>
      <c r="B4555" s="3" t="n">
        <v>289.8483423038151</v>
      </c>
    </row>
    <row r="4556">
      <c r="A4556" s="4" t="n">
        <v>42324</v>
      </c>
      <c r="B4556" s="3" t="n">
        <v>288.7366914148824</v>
      </c>
    </row>
    <row r="4557">
      <c r="A4557" s="4" t="n">
        <v>42325</v>
      </c>
      <c r="B4557" s="3" t="n">
        <v>288.0931040581319</v>
      </c>
    </row>
    <row r="4558">
      <c r="A4558" s="4" t="n">
        <v>42326</v>
      </c>
      <c r="B4558" s="3" t="n">
        <v>287.8785749392151</v>
      </c>
    </row>
    <row r="4559">
      <c r="A4559" s="4" t="n">
        <v>42327</v>
      </c>
      <c r="B4559" s="3" t="n">
        <v>288.9707231809735</v>
      </c>
    </row>
    <row r="4560">
      <c r="A4560" s="4" t="n">
        <v>42328</v>
      </c>
      <c r="B4560" s="3" t="n">
        <v>289.7118237735953</v>
      </c>
    </row>
    <row r="4561">
      <c r="A4561" s="4" t="n">
        <v>42331</v>
      </c>
      <c r="B4561" s="3" t="n">
        <v>289.7313264207696</v>
      </c>
    </row>
    <row r="4562">
      <c r="A4562" s="4" t="n">
        <v>42332</v>
      </c>
      <c r="B4562" s="3" t="n">
        <v>290.9599931927478</v>
      </c>
    </row>
    <row r="4563">
      <c r="A4563" s="4" t="n">
        <v>42333</v>
      </c>
      <c r="B4563" s="3" t="n">
        <v>289.9848608340349</v>
      </c>
    </row>
    <row r="4564">
      <c r="A4564" s="4" t="n">
        <v>42334</v>
      </c>
      <c r="B4564" s="3" t="n">
        <v>289.3997814188072</v>
      </c>
    </row>
    <row r="4565">
      <c r="A4565" s="4" t="n">
        <v>42335</v>
      </c>
      <c r="B4565" s="3" t="n">
        <v>290.1018767170804</v>
      </c>
    </row>
    <row r="4566">
      <c r="A4566" s="4" t="n">
        <v>42338</v>
      </c>
      <c r="B4566" s="3" t="n">
        <v>289.087739064019</v>
      </c>
    </row>
    <row r="4567">
      <c r="A4567" s="4" t="n">
        <v>42339</v>
      </c>
      <c r="B4567" s="3" t="n">
        <v>286.4045746170451</v>
      </c>
    </row>
    <row r="4568">
      <c r="A4568" s="4" t="n">
        <v>42340</v>
      </c>
      <c r="B4568" s="3" t="n">
        <v>287.2391207110027</v>
      </c>
    </row>
    <row r="4569">
      <c r="A4569" s="4" t="n">
        <v>42341</v>
      </c>
      <c r="B4569" s="3" t="n">
        <v>284.2696892604093</v>
      </c>
    </row>
    <row r="4570">
      <c r="A4570" s="4" t="n">
        <v>42342</v>
      </c>
      <c r="B4570" s="3" t="n">
        <v>282.4647407316172</v>
      </c>
    </row>
    <row r="4571">
      <c r="A4571" s="4" t="n">
        <v>42345</v>
      </c>
      <c r="B4571" s="3" t="n">
        <v>283.9009363351722</v>
      </c>
    </row>
    <row r="4572">
      <c r="A4572" s="4" t="n">
        <v>42346</v>
      </c>
      <c r="B4572" s="3" t="n">
        <v>284.599626088253</v>
      </c>
    </row>
    <row r="4573">
      <c r="A4573" s="4" t="n">
        <v>42347</v>
      </c>
      <c r="B4573" s="3" t="n">
        <v>286.0164136431113</v>
      </c>
    </row>
    <row r="4574">
      <c r="A4574" s="4" t="n">
        <v>42348</v>
      </c>
      <c r="B4574" s="3" t="n">
        <v>284.3861375525894</v>
      </c>
    </row>
    <row r="4575">
      <c r="A4575" s="4" t="n">
        <v>42349</v>
      </c>
      <c r="B4575" s="3" t="n">
        <v>282.4259246342238</v>
      </c>
    </row>
    <row r="4576">
      <c r="A4576" s="4" t="n">
        <v>42352</v>
      </c>
      <c r="B4576" s="3" t="n">
        <v>283.7650799942954</v>
      </c>
    </row>
    <row r="4577">
      <c r="A4577" s="4" t="n">
        <v>42353</v>
      </c>
      <c r="B4577" s="3" t="n">
        <v>283.5321834099351</v>
      </c>
    </row>
    <row r="4578">
      <c r="A4578" s="4" t="n">
        <v>42354</v>
      </c>
      <c r="B4578" s="3" t="n">
        <v>282.09598780638</v>
      </c>
    </row>
    <row r="4579">
      <c r="A4579" s="4" t="n">
        <v>42355</v>
      </c>
      <c r="B4579" s="3" t="n">
        <v>281.9601314655033</v>
      </c>
    </row>
    <row r="4580">
      <c r="A4580" s="4" t="n">
        <v>42356</v>
      </c>
      <c r="B4580" s="3" t="n">
        <v>284.1144248708358</v>
      </c>
    </row>
    <row r="4581">
      <c r="A4581" s="4" t="n">
        <v>42359</v>
      </c>
      <c r="B4581" s="3" t="n">
        <v>284.9101548674001</v>
      </c>
    </row>
    <row r="4582">
      <c r="A4582" s="4" t="n">
        <v>42360</v>
      </c>
      <c r="B4582" s="3" t="n">
        <v>287.7437299771167</v>
      </c>
    </row>
    <row r="4583">
      <c r="A4583" s="4" t="n">
        <v>42361</v>
      </c>
      <c r="B4583" s="3" t="n">
        <v>286.346350470955</v>
      </c>
    </row>
    <row r="4584">
      <c r="A4584" s="4" t="n">
        <v>42366</v>
      </c>
      <c r="B4584" s="3" t="n">
        <v>288.287155340624</v>
      </c>
    </row>
    <row r="4585">
      <c r="A4585" s="4" t="n">
        <v>42367</v>
      </c>
      <c r="B4585" s="3" t="n">
        <v>287.4914253440597</v>
      </c>
    </row>
    <row r="4586">
      <c r="A4586" s="4" t="n">
        <v>42368</v>
      </c>
      <c r="B4586" s="3" t="n">
        <v>289.412822165032</v>
      </c>
    </row>
    <row r="4587">
      <c r="A4587" s="4" t="n">
        <v>42373</v>
      </c>
      <c r="B4587" s="3" t="n">
        <v>286.5812727622344</v>
      </c>
    </row>
    <row r="4588">
      <c r="A4588" s="4" t="n">
        <v>42374</v>
      </c>
      <c r="B4588" s="3" t="n">
        <v>285.8136786206454</v>
      </c>
    </row>
    <row r="4589">
      <c r="A4589" s="4" t="n">
        <v>42375</v>
      </c>
      <c r="B4589" s="3" t="n">
        <v>284.9885149184373</v>
      </c>
    </row>
    <row r="4590">
      <c r="A4590" s="4" t="n">
        <v>42376</v>
      </c>
      <c r="B4590" s="3" t="n">
        <v>284.8733757971989</v>
      </c>
    </row>
    <row r="4591">
      <c r="A4591" s="4" t="n">
        <v>42377</v>
      </c>
      <c r="B4591" s="3" t="n">
        <v>282.8200614684486</v>
      </c>
    </row>
    <row r="4592">
      <c r="A4592" s="4" t="n">
        <v>42380</v>
      </c>
      <c r="B4592" s="3" t="n">
        <v>286.4277539339166</v>
      </c>
    </row>
    <row r="4593">
      <c r="A4593" s="4" t="n">
        <v>42381</v>
      </c>
      <c r="B4593" s="3" t="n">
        <v>286.5237032016152</v>
      </c>
    </row>
    <row r="4594">
      <c r="A4594" s="4" t="n">
        <v>42382</v>
      </c>
      <c r="B4594" s="3" t="n">
        <v>285.0268946255168</v>
      </c>
    </row>
    <row r="4595">
      <c r="A4595" s="4" t="n">
        <v>42383</v>
      </c>
      <c r="B4595" s="3" t="n">
        <v>285.218793160914</v>
      </c>
    </row>
    <row r="4596">
      <c r="A4596" s="4" t="n">
        <v>42384</v>
      </c>
      <c r="B4596" s="3" t="n">
        <v>285.7177293529468</v>
      </c>
    </row>
    <row r="4597">
      <c r="A4597" s="4" t="n">
        <v>42387</v>
      </c>
      <c r="B4597" s="3" t="n">
        <v>286.8691205653303</v>
      </c>
    </row>
    <row r="4598">
      <c r="A4598" s="4" t="n">
        <v>42388</v>
      </c>
      <c r="B4598" s="3" t="n">
        <v>287.1185886613467</v>
      </c>
    </row>
    <row r="4599">
      <c r="A4599" s="4" t="n">
        <v>42389</v>
      </c>
      <c r="B4599" s="3" t="n">
        <v>287.6175248533795</v>
      </c>
    </row>
    <row r="4600">
      <c r="A4600" s="4" t="n">
        <v>42390</v>
      </c>
      <c r="B4600" s="3" t="n">
        <v>287.1953480755056</v>
      </c>
    </row>
    <row r="4601">
      <c r="A4601" s="4" t="n">
        <v>42391</v>
      </c>
      <c r="B4601" s="3" t="n">
        <v>288.7881059193027</v>
      </c>
    </row>
    <row r="4602">
      <c r="A4602" s="4" t="n">
        <v>42394</v>
      </c>
      <c r="B4602" s="3" t="n">
        <v>288.2316001666506</v>
      </c>
    </row>
    <row r="4603">
      <c r="A4603" s="4" t="n">
        <v>42395</v>
      </c>
      <c r="B4603" s="3" t="n">
        <v>288.4043088485082</v>
      </c>
    </row>
    <row r="4604">
      <c r="A4604" s="4" t="n">
        <v>42396</v>
      </c>
      <c r="B4604" s="3" t="n">
        <v>289.0183841617794</v>
      </c>
    </row>
    <row r="4605">
      <c r="A4605" s="4" t="n">
        <v>42397</v>
      </c>
      <c r="B4605" s="3" t="n">
        <v>289.8243580104477</v>
      </c>
    </row>
    <row r="4606">
      <c r="A4606" s="4" t="n">
        <v>42398</v>
      </c>
      <c r="B4606" s="3" t="n">
        <v>292.0887607281351</v>
      </c>
    </row>
    <row r="4607">
      <c r="A4607" s="4" t="n">
        <v>42401</v>
      </c>
      <c r="B4607" s="3" t="n">
        <v>289.8069954786636</v>
      </c>
    </row>
    <row r="4608">
      <c r="A4608" s="4" t="n">
        <v>42402</v>
      </c>
      <c r="B4608" s="3" t="n">
        <v>287.0409746026824</v>
      </c>
    </row>
    <row r="4609">
      <c r="A4609" s="4" t="n">
        <v>42403</v>
      </c>
      <c r="B4609" s="3" t="n">
        <v>287.8745699351699</v>
      </c>
    </row>
    <row r="4610">
      <c r="A4610" s="4" t="n">
        <v>42404</v>
      </c>
      <c r="B4610" s="3" t="n">
        <v>289.030236191573</v>
      </c>
    </row>
    <row r="4611">
      <c r="A4611" s="4" t="n">
        <v>42405</v>
      </c>
      <c r="B4611" s="3" t="n">
        <v>289.0112908431074</v>
      </c>
    </row>
    <row r="4612">
      <c r="A4612" s="4" t="n">
        <v>42410</v>
      </c>
      <c r="B4612" s="3" t="n">
        <v>287.7987885413074</v>
      </c>
    </row>
    <row r="4613">
      <c r="A4613" s="4" t="n">
        <v>42411</v>
      </c>
      <c r="B4613" s="3" t="n">
        <v>289.1249629339011</v>
      </c>
    </row>
    <row r="4614">
      <c r="A4614" s="4" t="n">
        <v>42412</v>
      </c>
      <c r="B4614" s="3" t="n">
        <v>289.1060175854355</v>
      </c>
    </row>
    <row r="4615">
      <c r="A4615" s="4" t="n">
        <v>42415</v>
      </c>
      <c r="B4615" s="3" t="n">
        <v>291.5878582344324</v>
      </c>
    </row>
    <row r="4616">
      <c r="A4616" s="4" t="n">
        <v>42416</v>
      </c>
      <c r="B4616" s="3" t="n">
        <v>293.4066116871323</v>
      </c>
    </row>
    <row r="4617">
      <c r="A4617" s="4" t="n">
        <v>42417</v>
      </c>
      <c r="B4617" s="3" t="n">
        <v>293.2929395963386</v>
      </c>
    </row>
    <row r="4618">
      <c r="A4618" s="4" t="n">
        <v>42418</v>
      </c>
      <c r="B4618" s="3" t="n">
        <v>294.0128628380323</v>
      </c>
    </row>
    <row r="4619">
      <c r="A4619" s="4" t="n">
        <v>42419</v>
      </c>
      <c r="B4619" s="3" t="n">
        <v>292.2509454307292</v>
      </c>
    </row>
    <row r="4620">
      <c r="A4620" s="4" t="n">
        <v>42422</v>
      </c>
      <c r="B4620" s="3" t="n">
        <v>294.8843488674511</v>
      </c>
    </row>
    <row r="4621">
      <c r="A4621" s="4" t="n">
        <v>42423</v>
      </c>
      <c r="B4621" s="3" t="n">
        <v>294.6001686404667</v>
      </c>
    </row>
    <row r="4622">
      <c r="A4622" s="4" t="n">
        <v>42424</v>
      </c>
      <c r="B4622" s="3" t="n">
        <v>295.0927477005729</v>
      </c>
    </row>
    <row r="4623">
      <c r="A4623" s="4" t="n">
        <v>42425</v>
      </c>
      <c r="B4623" s="3" t="n">
        <v>295.3200918821605</v>
      </c>
    </row>
    <row r="4624">
      <c r="A4624" s="4" t="n">
        <v>42426</v>
      </c>
      <c r="B4624" s="3" t="n">
        <v>294.7327860797261</v>
      </c>
    </row>
    <row r="4625">
      <c r="A4625" s="4" t="n">
        <v>42429</v>
      </c>
      <c r="B4625" s="3" t="n">
        <v>295.4337639729542</v>
      </c>
    </row>
    <row r="4626">
      <c r="A4626" s="4" t="n">
        <v>42430</v>
      </c>
      <c r="B4626" s="3" t="n">
        <v>292.9870626694934</v>
      </c>
    </row>
    <row r="4627">
      <c r="A4627" s="4" t="n">
        <v>42431</v>
      </c>
      <c r="B4627" s="3" t="n">
        <v>293.0813070926372</v>
      </c>
    </row>
    <row r="4628">
      <c r="A4628" s="4" t="n">
        <v>42432</v>
      </c>
      <c r="B4628" s="3" t="n">
        <v>293.6090758622426</v>
      </c>
    </row>
    <row r="4629">
      <c r="A4629" s="4" t="n">
        <v>42433</v>
      </c>
      <c r="B4629" s="3" t="n">
        <v>295.4751154404901</v>
      </c>
    </row>
    <row r="4630">
      <c r="A4630" s="4" t="n">
        <v>42436</v>
      </c>
      <c r="B4630" s="3" t="n">
        <v>292.8739693617208</v>
      </c>
    </row>
    <row r="4631">
      <c r="A4631" s="4" t="n">
        <v>42437</v>
      </c>
      <c r="B4631" s="3" t="n">
        <v>291.1398719758747</v>
      </c>
    </row>
    <row r="4632">
      <c r="A4632" s="4" t="n">
        <v>42438</v>
      </c>
      <c r="B4632" s="3" t="n">
        <v>288.5952725509916</v>
      </c>
    </row>
    <row r="4633">
      <c r="A4633" s="4" t="n">
        <v>42439</v>
      </c>
      <c r="B4633" s="3" t="n">
        <v>294.6269156321958</v>
      </c>
    </row>
    <row r="4634">
      <c r="A4634" s="4" t="n">
        <v>42440</v>
      </c>
      <c r="B4634" s="3" t="n">
        <v>295.5882087482627</v>
      </c>
    </row>
    <row r="4635">
      <c r="A4635" s="4" t="n">
        <v>42443</v>
      </c>
      <c r="B4635" s="3" t="n">
        <v>293.6279247468714</v>
      </c>
    </row>
    <row r="4636">
      <c r="A4636" s="4" t="n">
        <v>42444</v>
      </c>
      <c r="B4636" s="3" t="n">
        <v>292.8551204770921</v>
      </c>
    </row>
    <row r="4637">
      <c r="A4637" s="4" t="n">
        <v>42445</v>
      </c>
      <c r="B4637" s="3" t="n">
        <v>291.5922452069649</v>
      </c>
    </row>
    <row r="4638">
      <c r="A4638" s="4" t="n">
        <v>42446</v>
      </c>
      <c r="B4638" s="3" t="n">
        <v>290.9702320142158</v>
      </c>
    </row>
    <row r="4639">
      <c r="A4639" s="4" t="n">
        <v>42447</v>
      </c>
      <c r="B4639" s="3" t="n">
        <v>290.4236143599816</v>
      </c>
    </row>
    <row r="4640">
      <c r="A4640" s="4" t="n">
        <v>42450</v>
      </c>
      <c r="B4640" s="3" t="n">
        <v>292.2896539382292</v>
      </c>
    </row>
    <row r="4641">
      <c r="A4641" s="4" t="n">
        <v>42451</v>
      </c>
      <c r="B4641" s="3" t="n">
        <v>291.9503740149114</v>
      </c>
    </row>
    <row r="4642">
      <c r="A4642" s="4" t="n">
        <v>42452</v>
      </c>
      <c r="B4642" s="3" t="n">
        <v>293.4582847852125</v>
      </c>
    </row>
    <row r="4643">
      <c r="A4643" s="4" t="n">
        <v>42453</v>
      </c>
      <c r="B4643" s="3" t="n">
        <v>296.3987107872995</v>
      </c>
    </row>
    <row r="4644">
      <c r="A4644" s="4" t="n">
        <v>42457</v>
      </c>
      <c r="B4644" s="3" t="n">
        <v>296.6060485182159</v>
      </c>
    </row>
    <row r="4645">
      <c r="A4645" s="4" t="n">
        <v>42458</v>
      </c>
      <c r="B4645" s="3" t="n">
        <v>297.6050394035403</v>
      </c>
    </row>
    <row r="4646">
      <c r="A4646" s="4" t="n">
        <v>42459</v>
      </c>
      <c r="B4646" s="3" t="n">
        <v>297.2846083648514</v>
      </c>
    </row>
    <row r="4647">
      <c r="A4647" s="4" t="n">
        <v>42460</v>
      </c>
      <c r="B4647" s="3" t="n">
        <v>297.7746793651992</v>
      </c>
    </row>
    <row r="4648">
      <c r="A4648" s="4" t="n">
        <v>42461</v>
      </c>
      <c r="B4648" s="3" t="n">
        <v>296.8194673958402</v>
      </c>
    </row>
    <row r="4649">
      <c r="A4649" s="4" t="n">
        <v>42464</v>
      </c>
      <c r="B4649" s="3" t="n">
        <v>299.6375520916675</v>
      </c>
    </row>
    <row r="4650">
      <c r="A4650" s="4" t="n">
        <v>42465</v>
      </c>
      <c r="B4650" s="3" t="n">
        <v>298.6981905263918</v>
      </c>
    </row>
    <row r="4651">
      <c r="A4651" s="4" t="n">
        <v>42466</v>
      </c>
      <c r="B4651" s="3" t="n">
        <v>296.7443184706181</v>
      </c>
    </row>
    <row r="4652">
      <c r="A4652" s="4" t="n">
        <v>42467</v>
      </c>
      <c r="B4652" s="3" t="n">
        <v>297.8151906550325</v>
      </c>
    </row>
    <row r="4653">
      <c r="A4653" s="4" t="n">
        <v>42468</v>
      </c>
      <c r="B4653" s="3" t="n">
        <v>298.416382056809</v>
      </c>
    </row>
    <row r="4654">
      <c r="A4654" s="4" t="n">
        <v>42471</v>
      </c>
      <c r="B4654" s="3" t="n">
        <v>298.2285097437539</v>
      </c>
    </row>
    <row r="4655">
      <c r="A4655" s="4" t="n">
        <v>42472</v>
      </c>
      <c r="B4655" s="3" t="n">
        <v>297.7024672671994</v>
      </c>
    </row>
    <row r="4656">
      <c r="A4656" s="4" t="n">
        <v>42473</v>
      </c>
      <c r="B4656" s="3" t="n">
        <v>296.4625100010354</v>
      </c>
    </row>
    <row r="4657">
      <c r="A4657" s="4" t="n">
        <v>42474</v>
      </c>
      <c r="B4657" s="3" t="n">
        <v>296.7255312393126</v>
      </c>
    </row>
    <row r="4658">
      <c r="A4658" s="4" t="n">
        <v>42475</v>
      </c>
      <c r="B4658" s="3" t="n">
        <v>295.8988930618699</v>
      </c>
    </row>
    <row r="4659">
      <c r="A4659" s="4" t="n">
        <v>42478</v>
      </c>
      <c r="B4659" s="3" t="n">
        <v>297.2703609471725</v>
      </c>
    </row>
    <row r="4660">
      <c r="A4660" s="4" t="n">
        <v>42479</v>
      </c>
      <c r="B4660" s="3" t="n">
        <v>294.8655953400665</v>
      </c>
    </row>
    <row r="4661">
      <c r="A4661" s="4" t="n">
        <v>42480</v>
      </c>
      <c r="B4661" s="3" t="n">
        <v>294.4334890200397</v>
      </c>
    </row>
    <row r="4662">
      <c r="A4662" s="4" t="n">
        <v>42482</v>
      </c>
      <c r="B4662" s="3" t="n">
        <v>293.0432339034315</v>
      </c>
    </row>
    <row r="4663">
      <c r="A4663" s="4" t="n">
        <v>42485</v>
      </c>
      <c r="B4663" s="3" t="n">
        <v>292.949297746904</v>
      </c>
    </row>
    <row r="4664">
      <c r="A4664" s="4" t="n">
        <v>42486</v>
      </c>
      <c r="B4664" s="3" t="n">
        <v>293.1183828286536</v>
      </c>
    </row>
    <row r="4665">
      <c r="A4665" s="4" t="n">
        <v>42487</v>
      </c>
      <c r="B4665" s="3" t="n">
        <v>292.7426382025433</v>
      </c>
    </row>
    <row r="4666">
      <c r="A4666" s="4" t="n">
        <v>42488</v>
      </c>
      <c r="B4666" s="3" t="n">
        <v>291.6905532494345</v>
      </c>
    </row>
    <row r="4667">
      <c r="A4667" s="4" t="n">
        <v>42489</v>
      </c>
      <c r="B4667" s="3" t="n">
        <v>290.544532139798</v>
      </c>
    </row>
    <row r="4668">
      <c r="A4668" s="4" t="n">
        <v>42492</v>
      </c>
      <c r="B4668" s="3" t="n">
        <v>287.1050964520401</v>
      </c>
    </row>
    <row r="4669">
      <c r="A4669" s="4" t="n">
        <v>42493</v>
      </c>
      <c r="B4669" s="3" t="n">
        <v>287.0305575810199</v>
      </c>
    </row>
    <row r="4670">
      <c r="A4670" s="4" t="n">
        <v>42494</v>
      </c>
      <c r="B4670" s="3" t="n">
        <v>285.3907024185755</v>
      </c>
    </row>
    <row r="4671">
      <c r="A4671" s="4" t="n">
        <v>42495</v>
      </c>
      <c r="B4671" s="3" t="n">
        <v>286.713767379184</v>
      </c>
    </row>
    <row r="4672">
      <c r="A4672" s="4" t="n">
        <v>42496</v>
      </c>
      <c r="B4672" s="3" t="n">
        <v>287.0119228632648</v>
      </c>
    </row>
    <row r="4673">
      <c r="A4673" s="4" t="n">
        <v>42499</v>
      </c>
      <c r="B4673" s="3" t="n">
        <v>287.0305575810199</v>
      </c>
    </row>
    <row r="4674">
      <c r="A4674" s="4" t="n">
        <v>42500</v>
      </c>
      <c r="B4674" s="3" t="n">
        <v>286.6392285081638</v>
      </c>
    </row>
    <row r="4675">
      <c r="A4675" s="4" t="n">
        <v>42501</v>
      </c>
      <c r="B4675" s="3" t="n">
        <v>287.9809281865274</v>
      </c>
    </row>
    <row r="4676">
      <c r="A4676" s="4" t="n">
        <v>42502</v>
      </c>
      <c r="B4676" s="3" t="n">
        <v>286.7324020969391</v>
      </c>
    </row>
    <row r="4677">
      <c r="A4677" s="4" t="n">
        <v>42503</v>
      </c>
      <c r="B4677" s="3" t="n">
        <v>288.0181976220375</v>
      </c>
    </row>
    <row r="4678">
      <c r="A4678" s="4" t="n">
        <v>42506</v>
      </c>
      <c r="B4678" s="3" t="n">
        <v>287.4032519361208</v>
      </c>
    </row>
    <row r="4679">
      <c r="A4679" s="4" t="n">
        <v>42507</v>
      </c>
      <c r="B4679" s="3" t="n">
        <v>287.5895991136713</v>
      </c>
    </row>
    <row r="4680">
      <c r="A4680" s="4" t="n">
        <v>42508</v>
      </c>
      <c r="B4680" s="3" t="n">
        <v>286.7510368146941</v>
      </c>
    </row>
    <row r="4681">
      <c r="A4681" s="4" t="n">
        <v>42509</v>
      </c>
      <c r="B4681" s="3" t="n">
        <v>288.3163531061182</v>
      </c>
    </row>
    <row r="4682">
      <c r="A4682" s="4" t="n">
        <v>42510</v>
      </c>
      <c r="B4682" s="3" t="n">
        <v>287.5150602426511</v>
      </c>
    </row>
    <row r="4683">
      <c r="A4683" s="4" t="n">
        <v>42513</v>
      </c>
      <c r="B4683" s="3" t="n">
        <v>290.477980365704</v>
      </c>
    </row>
    <row r="4684">
      <c r="A4684" s="4" t="n">
        <v>42514</v>
      </c>
      <c r="B4684" s="3" t="n">
        <v>289.0990112518303</v>
      </c>
    </row>
    <row r="4685">
      <c r="A4685" s="4" t="n">
        <v>42515</v>
      </c>
      <c r="B4685" s="3" t="n">
        <v>289.5462444779515</v>
      </c>
    </row>
    <row r="4686">
      <c r="A4686" s="4" t="n">
        <v>42517</v>
      </c>
      <c r="B4686" s="3" t="n">
        <v>289.4903403246863</v>
      </c>
    </row>
    <row r="4687">
      <c r="A4687" s="4" t="n">
        <v>42520</v>
      </c>
      <c r="B4687" s="3" t="n">
        <v>287.3287130651007</v>
      </c>
    </row>
    <row r="4688">
      <c r="A4688" s="4" t="n">
        <v>42521</v>
      </c>
      <c r="B4688" s="3" t="n">
        <v>288.3349878238733</v>
      </c>
    </row>
    <row r="4689">
      <c r="A4689" s="4" t="n">
        <v>42522</v>
      </c>
      <c r="B4689" s="3" t="n">
        <v>286.6652950591893</v>
      </c>
    </row>
    <row r="4690">
      <c r="A4690" s="4" t="n">
        <v>42523</v>
      </c>
      <c r="B4690" s="3" t="n">
        <v>286.9218516104153</v>
      </c>
    </row>
    <row r="4691">
      <c r="A4691" s="4" t="n">
        <v>42524</v>
      </c>
      <c r="B4691" s="3" t="n">
        <v>287.2150590975308</v>
      </c>
    </row>
    <row r="4692">
      <c r="A4692" s="4" t="n">
        <v>42527</v>
      </c>
      <c r="B4692" s="3" t="n">
        <v>286.7935733348023</v>
      </c>
    </row>
    <row r="4693">
      <c r="A4693" s="4" t="n">
        <v>42528</v>
      </c>
      <c r="B4693" s="3" t="n">
        <v>286.9768280142495</v>
      </c>
    </row>
    <row r="4694">
      <c r="A4694" s="4" t="n">
        <v>42529</v>
      </c>
      <c r="B4694" s="3" t="n">
        <v>285.8589744696219</v>
      </c>
    </row>
    <row r="4695">
      <c r="A4695" s="4" t="n">
        <v>42530</v>
      </c>
      <c r="B4695" s="3" t="n">
        <v>287.3433373731438</v>
      </c>
    </row>
    <row r="4696">
      <c r="A4696" s="4" t="n">
        <v>42531</v>
      </c>
      <c r="B4696" s="3" t="n">
        <v>286.1338564887925</v>
      </c>
    </row>
    <row r="4697">
      <c r="A4697" s="4" t="n">
        <v>42534</v>
      </c>
      <c r="B4697" s="3" t="n">
        <v>285.9872527452349</v>
      </c>
    </row>
    <row r="4698">
      <c r="A4698" s="4" t="n">
        <v>42535</v>
      </c>
      <c r="B4698" s="3" t="n">
        <v>286.0972055529031</v>
      </c>
    </row>
    <row r="4699">
      <c r="A4699" s="4" t="n">
        <v>42536</v>
      </c>
      <c r="B4699" s="3" t="n">
        <v>286.811898802747</v>
      </c>
    </row>
    <row r="4700">
      <c r="A4700" s="4" t="n">
        <v>42537</v>
      </c>
      <c r="B4700" s="3" t="n">
        <v>287.7464976679276</v>
      </c>
    </row>
    <row r="4701">
      <c r="A4701" s="4" t="n">
        <v>42538</v>
      </c>
      <c r="B4701" s="3" t="n">
        <v>289.3224879111731</v>
      </c>
    </row>
    <row r="4702">
      <c r="A4702" s="4" t="n">
        <v>42541</v>
      </c>
      <c r="B4702" s="3" t="n">
        <v>289.5423935265097</v>
      </c>
    </row>
    <row r="4703">
      <c r="A4703" s="4" t="n">
        <v>42542</v>
      </c>
      <c r="B4703" s="3" t="n">
        <v>289.7439736739016</v>
      </c>
    </row>
    <row r="4704">
      <c r="A4704" s="4" t="n">
        <v>42543</v>
      </c>
      <c r="B4704" s="3" t="n">
        <v>290.0738320969065</v>
      </c>
    </row>
    <row r="4705">
      <c r="A4705" s="4" t="n">
        <v>42544</v>
      </c>
      <c r="B4705" s="3" t="n">
        <v>288.424539981882</v>
      </c>
    </row>
    <row r="4706">
      <c r="A4706" s="4" t="n">
        <v>42545</v>
      </c>
      <c r="B4706" s="3" t="n">
        <v>286.2621347644056</v>
      </c>
    </row>
    <row r="4707">
      <c r="A4707" s="4" t="n">
        <v>42548</v>
      </c>
      <c r="B4707" s="3" t="n">
        <v>285.9872527452349</v>
      </c>
    </row>
    <row r="4708">
      <c r="A4708" s="4" t="n">
        <v>42549</v>
      </c>
      <c r="B4708" s="3" t="n">
        <v>285.785672597843</v>
      </c>
    </row>
    <row r="4709">
      <c r="A4709" s="4" t="n">
        <v>42550</v>
      </c>
      <c r="B4709" s="3" t="n">
        <v>285.4924651107275</v>
      </c>
    </row>
    <row r="4710">
      <c r="A4710" s="4" t="n">
        <v>42551</v>
      </c>
      <c r="B4710" s="3" t="n">
        <v>285.0343284121096</v>
      </c>
    </row>
    <row r="4711">
      <c r="A4711" s="4" t="n">
        <v>42552</v>
      </c>
      <c r="B4711" s="3" t="n">
        <v>285.6699808291873</v>
      </c>
    </row>
    <row r="4712">
      <c r="A4712" s="4" t="n">
        <v>42555</v>
      </c>
      <c r="B4712" s="3" t="n">
        <v>284.8650705348427</v>
      </c>
    </row>
    <row r="4713">
      <c r="A4713" s="4" t="n">
        <v>42556</v>
      </c>
      <c r="B4713" s="3" t="n">
        <v>285.724861076529</v>
      </c>
    </row>
    <row r="4714">
      <c r="A4714" s="4" t="n">
        <v>42557</v>
      </c>
      <c r="B4714" s="3" t="n">
        <v>285.3772861766984</v>
      </c>
    </row>
    <row r="4715">
      <c r="A4715" s="4" t="n">
        <v>42558</v>
      </c>
      <c r="B4715" s="3" t="n">
        <v>285.2126454346733</v>
      </c>
    </row>
    <row r="4716">
      <c r="A4716" s="4" t="n">
        <v>42559</v>
      </c>
      <c r="B4716" s="3" t="n">
        <v>285.5236335029429</v>
      </c>
    </row>
    <row r="4717">
      <c r="A4717" s="4" t="n">
        <v>42562</v>
      </c>
      <c r="B4717" s="3" t="n">
        <v>286.3468372130679</v>
      </c>
    </row>
    <row r="4718">
      <c r="A4718" s="4" t="n">
        <v>42563</v>
      </c>
      <c r="B4718" s="3" t="n">
        <v>286.0907293921401</v>
      </c>
    </row>
    <row r="4719">
      <c r="A4719" s="4" t="n">
        <v>42564</v>
      </c>
      <c r="B4719" s="3" t="n">
        <v>286.2553701341651</v>
      </c>
    </row>
    <row r="4720">
      <c r="A4720" s="4" t="n">
        <v>42565</v>
      </c>
      <c r="B4720" s="3" t="n">
        <v>286.2004898868234</v>
      </c>
    </row>
    <row r="4721">
      <c r="A4721" s="4" t="n">
        <v>42566</v>
      </c>
      <c r="B4721" s="3" t="n">
        <v>285.9077952343345</v>
      </c>
    </row>
    <row r="4722">
      <c r="A4722" s="4" t="n">
        <v>42569</v>
      </c>
      <c r="B4722" s="3" t="n">
        <v>285.3224059293567</v>
      </c>
    </row>
    <row r="4723">
      <c r="A4723" s="4" t="n">
        <v>42570</v>
      </c>
      <c r="B4723" s="3" t="n">
        <v>284.2796812298649</v>
      </c>
    </row>
    <row r="4724">
      <c r="A4724" s="4" t="n">
        <v>42571</v>
      </c>
      <c r="B4724" s="3" t="n">
        <v>285.10288493999</v>
      </c>
    </row>
    <row r="4725">
      <c r="A4725" s="4" t="n">
        <v>42572</v>
      </c>
      <c r="B4725" s="3" t="n">
        <v>282.3222857413453</v>
      </c>
    </row>
    <row r="4726">
      <c r="A4726" s="4" t="n">
        <v>42573</v>
      </c>
      <c r="B4726" s="3" t="n">
        <v>284.9382441979649</v>
      </c>
    </row>
    <row r="4727">
      <c r="A4727" s="4" t="n">
        <v>42576</v>
      </c>
      <c r="B4727" s="3" t="n">
        <v>285.3772861766984</v>
      </c>
    </row>
    <row r="4728">
      <c r="A4728" s="4" t="n">
        <v>42577</v>
      </c>
      <c r="B4728" s="3" t="n">
        <v>282.9076750463231</v>
      </c>
    </row>
    <row r="4729">
      <c r="A4729" s="4" t="n">
        <v>42578</v>
      </c>
      <c r="B4729" s="3" t="n">
        <v>282.3588725729063</v>
      </c>
    </row>
    <row r="4730">
      <c r="A4730" s="4" t="n">
        <v>42579</v>
      </c>
      <c r="B4730" s="3" t="n">
        <v>280.6209980737534</v>
      </c>
    </row>
    <row r="4731">
      <c r="A4731" s="4" t="n">
        <v>42580</v>
      </c>
      <c r="B4731" s="3" t="n">
        <v>280.8771058946812</v>
      </c>
    </row>
    <row r="4732">
      <c r="A4732" s="4" t="n">
        <v>42583</v>
      </c>
      <c r="B4732" s="3" t="n">
        <v>278.6021949902533</v>
      </c>
    </row>
    <row r="4733">
      <c r="A4733" s="4" t="n">
        <v>42584</v>
      </c>
      <c r="B4733" s="3" t="n">
        <v>278.5108619863881</v>
      </c>
    </row>
    <row r="4734">
      <c r="A4734" s="4" t="n">
        <v>42585</v>
      </c>
      <c r="B4734" s="3" t="n">
        <v>277.3235329361411</v>
      </c>
    </row>
    <row r="4735">
      <c r="A4735" s="4" t="n">
        <v>42586</v>
      </c>
      <c r="B4735" s="3" t="n">
        <v>275.8987380758448</v>
      </c>
    </row>
    <row r="4736">
      <c r="A4736" s="4" t="n">
        <v>42587</v>
      </c>
      <c r="B4736" s="3" t="n">
        <v>277.4148659400063</v>
      </c>
    </row>
    <row r="4737">
      <c r="A4737" s="4" t="n">
        <v>42590</v>
      </c>
      <c r="B4737" s="3" t="n">
        <v>278.7483277964375</v>
      </c>
    </row>
    <row r="4738">
      <c r="A4738" s="4" t="n">
        <v>42591</v>
      </c>
      <c r="B4738" s="3" t="n">
        <v>277.7071315523747</v>
      </c>
    </row>
    <row r="4739">
      <c r="A4739" s="4" t="n">
        <v>42592</v>
      </c>
      <c r="B4739" s="3" t="n">
        <v>277.6888649516017</v>
      </c>
    </row>
    <row r="4740">
      <c r="A4740" s="4" t="n">
        <v>42593</v>
      </c>
      <c r="B4740" s="3" t="n">
        <v>277.9445973624241</v>
      </c>
    </row>
    <row r="4741">
      <c r="A4741" s="4" t="n">
        <v>42594</v>
      </c>
      <c r="B4741" s="3" t="n">
        <v>275.8256716727527</v>
      </c>
    </row>
    <row r="4742">
      <c r="A4742" s="4" t="n">
        <v>42597</v>
      </c>
      <c r="B4742" s="3" t="n">
        <v>277.3600661376872</v>
      </c>
    </row>
    <row r="4743">
      <c r="A4743" s="4" t="n">
        <v>42598</v>
      </c>
      <c r="B4743" s="3" t="n">
        <v>277.4148659400063</v>
      </c>
    </row>
    <row r="4744">
      <c r="A4744" s="4" t="n">
        <v>42599</v>
      </c>
      <c r="B4744" s="3" t="n">
        <v>272.8847489482948</v>
      </c>
    </row>
    <row r="4745">
      <c r="A4745" s="4" t="n">
        <v>42600</v>
      </c>
      <c r="B4745" s="3" t="n">
        <v>274.5652762194136</v>
      </c>
    </row>
    <row r="4746">
      <c r="A4746" s="4" t="n">
        <v>42601</v>
      </c>
      <c r="B4746" s="3" t="n">
        <v>274.0355447969957</v>
      </c>
    </row>
    <row r="4747">
      <c r="A4747" s="4" t="n">
        <v>42604</v>
      </c>
      <c r="B4747" s="3" t="n">
        <v>271.16768847563</v>
      </c>
    </row>
    <row r="4748">
      <c r="A4748" s="4" t="n">
        <v>42605</v>
      </c>
      <c r="B4748" s="3" t="n">
        <v>270.0716924292482</v>
      </c>
    </row>
    <row r="4749">
      <c r="A4749" s="4" t="n">
        <v>42606</v>
      </c>
      <c r="B4749" s="3" t="n">
        <v>273.9990115954496</v>
      </c>
    </row>
    <row r="4750">
      <c r="A4750" s="4" t="n">
        <v>42607</v>
      </c>
      <c r="B4750" s="3" t="n">
        <v>273.2866141653015</v>
      </c>
    </row>
    <row r="4751">
      <c r="A4751" s="4" t="n">
        <v>42608</v>
      </c>
      <c r="B4751" s="3" t="n">
        <v>273.1039481575712</v>
      </c>
    </row>
    <row r="4752">
      <c r="A4752" s="4" t="n">
        <v>42611</v>
      </c>
      <c r="B4752" s="3" t="n">
        <v>272.8482157467488</v>
      </c>
    </row>
    <row r="4753">
      <c r="A4753" s="4" t="n">
        <v>42612</v>
      </c>
      <c r="B4753" s="3" t="n">
        <v>271.3868876849064</v>
      </c>
    </row>
    <row r="4754">
      <c r="A4754" s="4" t="n">
        <v>42613</v>
      </c>
      <c r="B4754" s="3" t="n">
        <v>271.4964872895445</v>
      </c>
    </row>
    <row r="4755">
      <c r="A4755" s="4" t="n">
        <v>42614</v>
      </c>
      <c r="B4755" s="3" t="n">
        <v>270.6525779197253</v>
      </c>
    </row>
    <row r="4756">
      <c r="A4756" s="4" t="n">
        <v>42615</v>
      </c>
      <c r="B4756" s="3" t="n">
        <v>271.7828796731284</v>
      </c>
    </row>
    <row r="4757">
      <c r="A4757" s="4" t="n">
        <v>42618</v>
      </c>
      <c r="B4757" s="3" t="n">
        <v>270.1968110836756</v>
      </c>
    </row>
    <row r="4758">
      <c r="A4758" s="4" t="n">
        <v>42619</v>
      </c>
      <c r="B4758" s="3" t="n">
        <v>270.0874270430236</v>
      </c>
    </row>
    <row r="4759">
      <c r="A4759" s="4" t="n">
        <v>42621</v>
      </c>
      <c r="B4759" s="3" t="n">
        <v>271.1630367761009</v>
      </c>
    </row>
    <row r="4760">
      <c r="A4760" s="4" t="n">
        <v>42622</v>
      </c>
      <c r="B4760" s="3" t="n">
        <v>270.5431938790733</v>
      </c>
    </row>
    <row r="4761">
      <c r="A4761" s="4" t="n">
        <v>42625</v>
      </c>
      <c r="B4761" s="3" t="n">
        <v>271.8922637137803</v>
      </c>
    </row>
    <row r="4762">
      <c r="A4762" s="4" t="n">
        <v>42626</v>
      </c>
      <c r="B4762" s="3" t="n">
        <v>271.9469557341062</v>
      </c>
    </row>
    <row r="4763">
      <c r="A4763" s="4" t="n">
        <v>42627</v>
      </c>
      <c r="B4763" s="3" t="n">
        <v>273.6788697110949</v>
      </c>
    </row>
    <row r="4764">
      <c r="A4764" s="4" t="n">
        <v>42628</v>
      </c>
      <c r="B4764" s="3" t="n">
        <v>272.9314120999735</v>
      </c>
    </row>
    <row r="4765">
      <c r="A4765" s="4" t="n">
        <v>42629</v>
      </c>
      <c r="B4765" s="3" t="n">
        <v>273.1319495078353</v>
      </c>
    </row>
    <row r="4766">
      <c r="A4766" s="4" t="n">
        <v>42632</v>
      </c>
      <c r="B4766" s="3" t="n">
        <v>274.1164058737026</v>
      </c>
    </row>
    <row r="4767">
      <c r="A4767" s="4" t="n">
        <v>42633</v>
      </c>
      <c r="B4767" s="3" t="n">
        <v>274.5904033831943</v>
      </c>
    </row>
    <row r="4768">
      <c r="A4768" s="4" t="n">
        <v>42634</v>
      </c>
      <c r="B4768" s="3" t="n">
        <v>274.5904033831943</v>
      </c>
    </row>
    <row r="4769">
      <c r="A4769" s="4" t="n">
        <v>42635</v>
      </c>
      <c r="B4769" s="3" t="n">
        <v>274.790940791056</v>
      </c>
    </row>
    <row r="4770">
      <c r="A4770" s="4" t="n">
        <v>42636</v>
      </c>
      <c r="B4770" s="3" t="n">
        <v>275.6842437897134</v>
      </c>
    </row>
    <row r="4771">
      <c r="A4771" s="4" t="n">
        <v>42639</v>
      </c>
      <c r="B4771" s="3" t="n">
        <v>277.5802338276799</v>
      </c>
    </row>
    <row r="4772">
      <c r="A4772" s="4" t="n">
        <v>42640</v>
      </c>
      <c r="B4772" s="3" t="n">
        <v>276.3223173601829</v>
      </c>
    </row>
    <row r="4773">
      <c r="A4773" s="4" t="n">
        <v>42641</v>
      </c>
      <c r="B4773" s="3" t="n">
        <v>276.7416228493486</v>
      </c>
    </row>
    <row r="4774">
      <c r="A4774" s="4" t="n">
        <v>42642</v>
      </c>
      <c r="B4774" s="3" t="n">
        <v>277.2156203588402</v>
      </c>
    </row>
    <row r="4775">
      <c r="A4775" s="4" t="n">
        <v>42643</v>
      </c>
      <c r="B4775" s="3" t="n">
        <v>276.0123959116691</v>
      </c>
    </row>
    <row r="4776">
      <c r="A4776" s="4" t="n">
        <v>42646</v>
      </c>
      <c r="B4776" s="3" t="n">
        <v>278.0545123091163</v>
      </c>
    </row>
    <row r="4777">
      <c r="A4777" s="4" t="n">
        <v>42647</v>
      </c>
      <c r="B4777" s="3" t="n">
        <v>277.3992385173431</v>
      </c>
    </row>
    <row r="4778">
      <c r="A4778" s="4" t="n">
        <v>42648</v>
      </c>
      <c r="B4778" s="3" t="n">
        <v>277.5630569652864</v>
      </c>
    </row>
    <row r="4779">
      <c r="A4779" s="4" t="n">
        <v>42649</v>
      </c>
      <c r="B4779" s="3" t="n">
        <v>275.9248724858533</v>
      </c>
    </row>
    <row r="4780">
      <c r="A4780" s="4" t="n">
        <v>42650</v>
      </c>
      <c r="B4780" s="3" t="n">
        <v>276.0886909337966</v>
      </c>
    </row>
    <row r="4781">
      <c r="A4781" s="4" t="n">
        <v>42653</v>
      </c>
      <c r="B4781" s="3" t="n">
        <v>274.5779208027638</v>
      </c>
    </row>
    <row r="4782">
      <c r="A4782" s="4" t="n">
        <v>42654</v>
      </c>
      <c r="B4782" s="3" t="n">
        <v>274.9601638479648</v>
      </c>
    </row>
    <row r="4783">
      <c r="A4783" s="4" t="n">
        <v>42656</v>
      </c>
      <c r="B4783" s="3" t="n">
        <v>274.7963454000216</v>
      </c>
    </row>
    <row r="4784">
      <c r="A4784" s="4" t="n">
        <v>42657</v>
      </c>
      <c r="B4784" s="3" t="n">
        <v>274.1228695584768</v>
      </c>
    </row>
    <row r="4785">
      <c r="A4785" s="4" t="n">
        <v>42660</v>
      </c>
      <c r="B4785" s="3" t="n">
        <v>274.850951549336</v>
      </c>
    </row>
    <row r="4786">
      <c r="A4786" s="4" t="n">
        <v>42661</v>
      </c>
      <c r="B4786" s="3" t="n">
        <v>275.1603863954511</v>
      </c>
    </row>
    <row r="4787">
      <c r="A4787" s="4" t="n">
        <v>42662</v>
      </c>
      <c r="B4787" s="3" t="n">
        <v>275.2149925447656</v>
      </c>
    </row>
    <row r="4788">
      <c r="A4788" s="4" t="n">
        <v>42663</v>
      </c>
      <c r="B4788" s="3" t="n">
        <v>274.9601638479648</v>
      </c>
    </row>
    <row r="4789">
      <c r="A4789" s="4" t="n">
        <v>42664</v>
      </c>
      <c r="B4789" s="3" t="n">
        <v>274.2866880064201</v>
      </c>
    </row>
    <row r="4790">
      <c r="A4790" s="4" t="n">
        <v>42667</v>
      </c>
      <c r="B4790" s="3" t="n">
        <v>274.2502839068771</v>
      </c>
    </row>
    <row r="4791">
      <c r="A4791" s="4" t="n">
        <v>42668</v>
      </c>
      <c r="B4791" s="3" t="n">
        <v>275.8520642867674</v>
      </c>
    </row>
    <row r="4792">
      <c r="A4792" s="4" t="n">
        <v>42669</v>
      </c>
      <c r="B4792" s="3" t="n">
        <v>275.9430745356248</v>
      </c>
    </row>
    <row r="4793">
      <c r="A4793" s="4" t="n">
        <v>42670</v>
      </c>
      <c r="B4793" s="3" t="n">
        <v>275.8520642867674</v>
      </c>
    </row>
    <row r="4794">
      <c r="A4794" s="4" t="n">
        <v>42671</v>
      </c>
      <c r="B4794" s="3" t="n">
        <v>274.9419617981934</v>
      </c>
    </row>
    <row r="4795">
      <c r="A4795" s="4" t="n">
        <v>42674</v>
      </c>
      <c r="B4795" s="3" t="n">
        <v>274.1410716082483</v>
      </c>
    </row>
    <row r="4796">
      <c r="A4796" s="4" t="n">
        <v>42675</v>
      </c>
      <c r="B4796" s="3" t="n">
        <v>273.1580091888736</v>
      </c>
    </row>
    <row r="4797">
      <c r="A4797" s="4" t="n">
        <v>42677</v>
      </c>
      <c r="B4797" s="3" t="n">
        <v>272.4297334861772</v>
      </c>
    </row>
    <row r="4798">
      <c r="A4798" s="4" t="n">
        <v>42678</v>
      </c>
      <c r="B4798" s="3" t="n">
        <v>275.033319123317</v>
      </c>
    </row>
    <row r="4799">
      <c r="A4799" s="4" t="n">
        <v>42681</v>
      </c>
      <c r="B4799" s="3" t="n">
        <v>275.6159396854741</v>
      </c>
    </row>
    <row r="4800">
      <c r="A4800" s="4" t="n">
        <v>42682</v>
      </c>
      <c r="B4800" s="3" t="n">
        <v>272.5389748415816</v>
      </c>
    </row>
    <row r="4801">
      <c r="A4801" s="4" t="n">
        <v>42683</v>
      </c>
      <c r="B4801" s="3" t="n">
        <v>272.3204921307727</v>
      </c>
    </row>
    <row r="4802">
      <c r="A4802" s="4" t="n">
        <v>42684</v>
      </c>
      <c r="B4802" s="3" t="n">
        <v>272.1384232050986</v>
      </c>
    </row>
    <row r="4803">
      <c r="A4803" s="4" t="n">
        <v>42685</v>
      </c>
      <c r="B4803" s="3" t="n">
        <v>272.065595634829</v>
      </c>
    </row>
    <row r="4804">
      <c r="A4804" s="4" t="n">
        <v>42688</v>
      </c>
      <c r="B4804" s="3" t="n">
        <v>271.5558026429414</v>
      </c>
    </row>
    <row r="4805">
      <c r="A4805" s="4" t="n">
        <v>42690</v>
      </c>
      <c r="B4805" s="3" t="n">
        <v>271.5922164280763</v>
      </c>
    </row>
    <row r="4806">
      <c r="A4806" s="4" t="n">
        <v>42691</v>
      </c>
      <c r="B4806" s="3" t="n">
        <v>274.013733139542</v>
      </c>
    </row>
    <row r="4807">
      <c r="A4807" s="4" t="n">
        <v>42692</v>
      </c>
      <c r="B4807" s="3" t="n">
        <v>272.2294576679357</v>
      </c>
    </row>
    <row r="4808">
      <c r="A4808" s="4" t="n">
        <v>42695</v>
      </c>
      <c r="B4808" s="3" t="n">
        <v>271.5740095355088</v>
      </c>
    </row>
    <row r="4809">
      <c r="A4809" s="4" t="n">
        <v>42696</v>
      </c>
      <c r="B4809" s="3" t="n">
        <v>273.4493194699522</v>
      </c>
    </row>
    <row r="4810">
      <c r="A4810" s="4" t="n">
        <v>42697</v>
      </c>
      <c r="B4810" s="3" t="n">
        <v>276.1985602476313</v>
      </c>
    </row>
    <row r="4811">
      <c r="A4811" s="4" t="n">
        <v>42698</v>
      </c>
      <c r="B4811" s="3" t="n">
        <v>272.2840783456379</v>
      </c>
    </row>
    <row r="4812">
      <c r="A4812" s="4" t="n">
        <v>42699</v>
      </c>
      <c r="B4812" s="3" t="n">
        <v>272.3569059159075</v>
      </c>
    </row>
    <row r="4813">
      <c r="A4813" s="4" t="n">
        <v>42702</v>
      </c>
      <c r="B4813" s="3" t="n">
        <v>272.2294576679357</v>
      </c>
    </row>
    <row r="4814">
      <c r="A4814" s="4" t="n">
        <v>42703</v>
      </c>
      <c r="B4814" s="3" t="n">
        <v>272.5753886267165</v>
      </c>
    </row>
    <row r="4815">
      <c r="A4815" s="4" t="n">
        <v>42704</v>
      </c>
      <c r="B4815" s="3" t="n">
        <v>272.8484920152276</v>
      </c>
    </row>
    <row r="4816">
      <c r="A4816" s="4" t="n">
        <v>42705</v>
      </c>
      <c r="B4816" s="3" t="n">
        <v>270.6042752803552</v>
      </c>
    </row>
    <row r="4817">
      <c r="A4817" s="4" t="n">
        <v>42706</v>
      </c>
      <c r="B4817" s="3" t="n">
        <v>271.4735120610188</v>
      </c>
    </row>
    <row r="4818">
      <c r="A4818" s="4" t="n">
        <v>42709</v>
      </c>
      <c r="B4818" s="3" t="n">
        <v>270.8396935751182</v>
      </c>
    </row>
    <row r="4819">
      <c r="A4819" s="4" t="n">
        <v>42710</v>
      </c>
      <c r="B4819" s="3" t="n">
        <v>270.7672571767296</v>
      </c>
    </row>
    <row r="4820">
      <c r="A4820" s="4" t="n">
        <v>42711</v>
      </c>
      <c r="B4820" s="3" t="n">
        <v>270.8396935751182</v>
      </c>
    </row>
    <row r="4821">
      <c r="A4821" s="4" t="n">
        <v>42712</v>
      </c>
      <c r="B4821" s="3" t="n">
        <v>269.1555473125824</v>
      </c>
    </row>
    <row r="4822">
      <c r="A4822" s="4" t="n">
        <v>42713</v>
      </c>
      <c r="B4822" s="3" t="n">
        <v>270.9664572722983</v>
      </c>
    </row>
    <row r="4823">
      <c r="A4823" s="4" t="n">
        <v>42716</v>
      </c>
      <c r="B4823" s="3" t="n">
        <v>272.3065306424882</v>
      </c>
    </row>
    <row r="4824">
      <c r="A4824" s="4" t="n">
        <v>42717</v>
      </c>
      <c r="B4824" s="3" t="n">
        <v>270.0791113920375</v>
      </c>
    </row>
    <row r="4825">
      <c r="A4825" s="4" t="n">
        <v>42718</v>
      </c>
      <c r="B4825" s="3" t="n">
        <v>270.2783114876063</v>
      </c>
    </row>
    <row r="4826">
      <c r="A4826" s="4" t="n">
        <v>42719</v>
      </c>
      <c r="B4826" s="3" t="n">
        <v>269.6444930017057</v>
      </c>
    </row>
    <row r="4827">
      <c r="A4827" s="4" t="n">
        <v>42720</v>
      </c>
      <c r="B4827" s="3" t="n">
        <v>269.7531475992887</v>
      </c>
    </row>
    <row r="4828">
      <c r="A4828" s="4" t="n">
        <v>42723</v>
      </c>
      <c r="B4828" s="3" t="n">
        <v>269.6988203004972</v>
      </c>
    </row>
    <row r="4829">
      <c r="A4829" s="4" t="n">
        <v>42724</v>
      </c>
      <c r="B4829" s="3" t="n">
        <v>269.3004201093597</v>
      </c>
    </row>
    <row r="4830">
      <c r="A4830" s="4" t="n">
        <v>42725</v>
      </c>
      <c r="B4830" s="3" t="n">
        <v>268.1414377351414</v>
      </c>
    </row>
    <row r="4831">
      <c r="A4831" s="4" t="n">
        <v>42726</v>
      </c>
      <c r="B4831" s="3" t="n">
        <v>270.8034753759239</v>
      </c>
    </row>
    <row r="4832">
      <c r="A4832" s="4" t="n">
        <v>42727</v>
      </c>
      <c r="B4832" s="3" t="n">
        <v>269.4090747069426</v>
      </c>
    </row>
    <row r="4833">
      <c r="A4833" s="4" t="n">
        <v>42730</v>
      </c>
      <c r="B4833" s="3" t="n">
        <v>271.2743119654501</v>
      </c>
    </row>
    <row r="4834">
      <c r="A4834" s="4" t="n">
        <v>42731</v>
      </c>
      <c r="B4834" s="3" t="n">
        <v>271.7089303557819</v>
      </c>
    </row>
    <row r="4835">
      <c r="A4835" s="4" t="n">
        <v>42732</v>
      </c>
      <c r="B4835" s="3" t="n">
        <v>270.6404934795494</v>
      </c>
    </row>
    <row r="4836">
      <c r="A4836" s="4" t="n">
        <v>42733</v>
      </c>
      <c r="B4836" s="3" t="n">
        <v>270.6586025791466</v>
      </c>
    </row>
    <row r="4837">
      <c r="A4837" s="4" t="n">
        <v>42737</v>
      </c>
      <c r="B4837" s="3" t="n">
        <v>267.9814476922568</v>
      </c>
    </row>
    <row r="4838">
      <c r="A4838" s="4" t="n">
        <v>42738</v>
      </c>
      <c r="B4838" s="3" t="n">
        <v>269.744838672841</v>
      </c>
    </row>
    <row r="4839">
      <c r="A4839" s="4" t="n">
        <v>42739</v>
      </c>
      <c r="B4839" s="3" t="n">
        <v>269.0790686087429</v>
      </c>
    </row>
    <row r="4840">
      <c r="A4840" s="4" t="n">
        <v>42740</v>
      </c>
      <c r="B4840" s="3" t="n">
        <v>269.8528013859381</v>
      </c>
    </row>
    <row r="4841">
      <c r="A4841" s="4" t="n">
        <v>42741</v>
      </c>
      <c r="B4841" s="3" t="n">
        <v>270.3026460238422</v>
      </c>
    </row>
    <row r="4842">
      <c r="A4842" s="4" t="n">
        <v>42744</v>
      </c>
      <c r="B4842" s="3" t="n">
        <v>271.2023352996505</v>
      </c>
    </row>
    <row r="4843">
      <c r="A4843" s="4" t="n">
        <v>42745</v>
      </c>
      <c r="B4843" s="3" t="n">
        <v>269.0070934666782</v>
      </c>
    </row>
    <row r="4844">
      <c r="A4844" s="4" t="n">
        <v>42746</v>
      </c>
      <c r="B4844" s="3" t="n">
        <v>269.0070934666782</v>
      </c>
    </row>
    <row r="4845">
      <c r="A4845" s="4" t="n">
        <v>42747</v>
      </c>
      <c r="B4845" s="3" t="n">
        <v>268.4312923301609</v>
      </c>
    </row>
    <row r="4846">
      <c r="A4846" s="4" t="n">
        <v>42748</v>
      </c>
      <c r="B4846" s="3" t="n">
        <v>269.0430810377106</v>
      </c>
    </row>
    <row r="4847">
      <c r="A4847" s="4" t="n">
        <v>42751</v>
      </c>
      <c r="B4847" s="3" t="n">
        <v>268.9711058956459</v>
      </c>
    </row>
    <row r="4848">
      <c r="A4848" s="4" t="n">
        <v>42752</v>
      </c>
      <c r="B4848" s="3" t="n">
        <v>267.4056465557395</v>
      </c>
    </row>
    <row r="4849">
      <c r="A4849" s="4" t="n">
        <v>42753</v>
      </c>
      <c r="B4849" s="3" t="n">
        <v>267.6575595529658</v>
      </c>
    </row>
    <row r="4850">
      <c r="A4850" s="4" t="n">
        <v>42754</v>
      </c>
      <c r="B4850" s="3" t="n">
        <v>268.0354290488053</v>
      </c>
    </row>
    <row r="4851">
      <c r="A4851" s="4" t="n">
        <v>42755</v>
      </c>
      <c r="B4851" s="3" t="n">
        <v>265.9841374999624</v>
      </c>
    </row>
    <row r="4852">
      <c r="A4852" s="4" t="n">
        <v>42758</v>
      </c>
      <c r="B4852" s="3" t="n">
        <v>266.0381188565109</v>
      </c>
    </row>
    <row r="4853">
      <c r="A4853" s="4" t="n">
        <v>42759</v>
      </c>
      <c r="B4853" s="3" t="n">
        <v>262.4393617532778</v>
      </c>
    </row>
    <row r="4854">
      <c r="A4854" s="4" t="n">
        <v>42760</v>
      </c>
      <c r="B4854" s="3" t="n">
        <v>262.8532188201496</v>
      </c>
    </row>
    <row r="4855">
      <c r="A4855" s="4" t="n">
        <v>42761</v>
      </c>
      <c r="B4855" s="3" t="n">
        <v>262.6013058229232</v>
      </c>
    </row>
    <row r="4856">
      <c r="A4856" s="4" t="n">
        <v>42762</v>
      </c>
      <c r="B4856" s="3" t="n">
        <v>263.6809329538931</v>
      </c>
    </row>
    <row r="4857">
      <c r="A4857" s="4" t="n">
        <v>42765</v>
      </c>
      <c r="B4857" s="3" t="n">
        <v>262.3673866112131</v>
      </c>
    </row>
    <row r="4858">
      <c r="A4858" s="4" t="n">
        <v>42766</v>
      </c>
      <c r="B4858" s="3" t="n">
        <v>262.3313990401807</v>
      </c>
    </row>
    <row r="4859">
      <c r="A4859" s="4" t="n">
        <v>42767</v>
      </c>
      <c r="B4859" s="3" t="n">
        <v>262.0760768894714</v>
      </c>
    </row>
    <row r="4860">
      <c r="A4860" s="4" t="n">
        <v>42768</v>
      </c>
      <c r="B4860" s="3" t="n">
        <v>261.6805446337556</v>
      </c>
    </row>
    <row r="4861">
      <c r="A4861" s="4" t="n">
        <v>42769</v>
      </c>
      <c r="B4861" s="3" t="n">
        <v>261.5187359836901</v>
      </c>
    </row>
    <row r="4862">
      <c r="A4862" s="4" t="n">
        <v>42772</v>
      </c>
      <c r="B4862" s="3" t="n">
        <v>259.8467132663462</v>
      </c>
    </row>
    <row r="4863">
      <c r="A4863" s="4" t="n">
        <v>42773</v>
      </c>
      <c r="B4863" s="3" t="n">
        <v>260.4040541721275</v>
      </c>
    </row>
    <row r="4864">
      <c r="A4864" s="4" t="n">
        <v>42774</v>
      </c>
      <c r="B4864" s="3" t="n">
        <v>260.5658628221931</v>
      </c>
    </row>
    <row r="4865">
      <c r="A4865" s="4" t="n">
        <v>42775</v>
      </c>
      <c r="B4865" s="3" t="n">
        <v>260.8894801223241</v>
      </c>
    </row>
    <row r="4866">
      <c r="A4866" s="4" t="n">
        <v>42776</v>
      </c>
      <c r="B4866" s="3" t="n">
        <v>260.5658628221931</v>
      </c>
    </row>
    <row r="4867">
      <c r="A4867" s="4" t="n">
        <v>42779</v>
      </c>
      <c r="B4867" s="3" t="n">
        <v>261.5726722003786</v>
      </c>
    </row>
    <row r="4868">
      <c r="A4868" s="4" t="n">
        <v>42780</v>
      </c>
      <c r="B4868" s="3" t="n">
        <v>260.6557565166739</v>
      </c>
    </row>
    <row r="4869">
      <c r="A4869" s="4" t="n">
        <v>42781</v>
      </c>
      <c r="B4869" s="3" t="n">
        <v>260.8535226445318</v>
      </c>
    </row>
    <row r="4870">
      <c r="A4870" s="4" t="n">
        <v>42782</v>
      </c>
      <c r="B4870" s="3" t="n">
        <v>260.1343730886849</v>
      </c>
    </row>
    <row r="4871">
      <c r="A4871" s="4" t="n">
        <v>42783</v>
      </c>
      <c r="B4871" s="3" t="n">
        <v>259.1635211882918</v>
      </c>
    </row>
    <row r="4872">
      <c r="A4872" s="4" t="n">
        <v>42786</v>
      </c>
      <c r="B4872" s="3" t="n">
        <v>261.7165021115479</v>
      </c>
    </row>
    <row r="4873">
      <c r="A4873" s="4" t="n">
        <v>42787</v>
      </c>
      <c r="B4873" s="3" t="n">
        <v>259.6849046162807</v>
      </c>
    </row>
    <row r="4874">
      <c r="A4874" s="4" t="n">
        <v>42788</v>
      </c>
      <c r="B4874" s="3" t="n">
        <v>259.9006494830348</v>
      </c>
    </row>
    <row r="4875">
      <c r="A4875" s="4" t="n">
        <v>42789</v>
      </c>
      <c r="B4875" s="3" t="n">
        <v>260.2961817387505</v>
      </c>
    </row>
    <row r="4876">
      <c r="A4876" s="4" t="n">
        <v>42790</v>
      </c>
      <c r="B4876" s="3" t="n">
        <v>260.7096927333624</v>
      </c>
    </row>
    <row r="4877">
      <c r="A4877" s="4" t="n">
        <v>42795</v>
      </c>
      <c r="B4877" s="3" t="n">
        <v>259.1973016690258</v>
      </c>
    </row>
    <row r="4878">
      <c r="A4878" s="4" t="n">
        <v>42796</v>
      </c>
      <c r="B4878" s="3" t="n">
        <v>260.0062259061509</v>
      </c>
    </row>
    <row r="4879">
      <c r="A4879" s="4" t="n">
        <v>42797</v>
      </c>
      <c r="B4879" s="3" t="n">
        <v>260.5994370133759</v>
      </c>
    </row>
    <row r="4880">
      <c r="A4880" s="4" t="n">
        <v>42800</v>
      </c>
      <c r="B4880" s="3" t="n">
        <v>260.2938434126843</v>
      </c>
    </row>
    <row r="4881">
      <c r="A4881" s="4" t="n">
        <v>42801</v>
      </c>
      <c r="B4881" s="3" t="n">
        <v>260.2219390360509</v>
      </c>
    </row>
    <row r="4882">
      <c r="A4882" s="4" t="n">
        <v>42802</v>
      </c>
      <c r="B4882" s="3" t="n">
        <v>259.9702737178342</v>
      </c>
    </row>
    <row r="4883">
      <c r="A4883" s="4" t="n">
        <v>42803</v>
      </c>
      <c r="B4883" s="3" t="n">
        <v>260.0242020003092</v>
      </c>
    </row>
    <row r="4884">
      <c r="A4884" s="4" t="n">
        <v>42804</v>
      </c>
      <c r="B4884" s="3" t="n">
        <v>258.8198036917008</v>
      </c>
    </row>
    <row r="4885">
      <c r="A4885" s="4" t="n">
        <v>42807</v>
      </c>
      <c r="B4885" s="3" t="n">
        <v>259.4669430814008</v>
      </c>
    </row>
    <row r="4886">
      <c r="A4886" s="4" t="n">
        <v>42808</v>
      </c>
      <c r="B4886" s="3" t="n">
        <v>259.1253972923924</v>
      </c>
    </row>
    <row r="4887">
      <c r="A4887" s="4" t="n">
        <v>42809</v>
      </c>
      <c r="B4887" s="3" t="n">
        <v>259.0355168216008</v>
      </c>
    </row>
    <row r="4888">
      <c r="A4888" s="4" t="n">
        <v>42810</v>
      </c>
      <c r="B4888" s="3" t="n">
        <v>260.0421780944675</v>
      </c>
    </row>
    <row r="4889">
      <c r="A4889" s="4" t="n">
        <v>42811</v>
      </c>
      <c r="B4889" s="3" t="n">
        <v>260.1500346594175</v>
      </c>
    </row>
    <row r="4890">
      <c r="A4890" s="4" t="n">
        <v>42814</v>
      </c>
      <c r="B4890" s="3" t="n">
        <v>260.7971740491176</v>
      </c>
    </row>
    <row r="4891">
      <c r="A4891" s="4" t="n">
        <v>42815</v>
      </c>
      <c r="B4891" s="3" t="n">
        <v>256.3211266036923</v>
      </c>
    </row>
    <row r="4892">
      <c r="A4892" s="4" t="n">
        <v>42816</v>
      </c>
      <c r="B4892" s="3" t="n">
        <v>255.1347043892422</v>
      </c>
    </row>
    <row r="4893">
      <c r="A4893" s="4" t="n">
        <v>42817</v>
      </c>
      <c r="B4893" s="3" t="n">
        <v>256.4649353569589</v>
      </c>
    </row>
    <row r="4894">
      <c r="A4894" s="4" t="n">
        <v>42818</v>
      </c>
      <c r="B4894" s="3" t="n">
        <v>253.6966168565754</v>
      </c>
    </row>
    <row r="4895">
      <c r="A4895" s="4" t="n">
        <v>42821</v>
      </c>
      <c r="B4895" s="3" t="n">
        <v>253.3191188792504</v>
      </c>
    </row>
    <row r="4896">
      <c r="A4896" s="4" t="n">
        <v>42822</v>
      </c>
      <c r="B4896" s="3" t="n">
        <v>253.4269754442004</v>
      </c>
    </row>
    <row r="4897">
      <c r="A4897" s="4" t="n">
        <v>42823</v>
      </c>
      <c r="B4897" s="3" t="n">
        <v>254.7931586002339</v>
      </c>
    </row>
    <row r="4898">
      <c r="A4898" s="4" t="n">
        <v>42824</v>
      </c>
      <c r="B4898" s="3" t="n">
        <v>254.1280431163755</v>
      </c>
    </row>
    <row r="4899">
      <c r="A4899" s="4" t="n">
        <v>42825</v>
      </c>
      <c r="B4899" s="3" t="n">
        <v>250.9642505445086</v>
      </c>
    </row>
    <row r="4900">
      <c r="A4900" s="4" t="n">
        <v>42828</v>
      </c>
      <c r="B4900" s="3" t="n">
        <v>245.0929213626388</v>
      </c>
    </row>
    <row r="4901">
      <c r="A4901" s="4" t="n">
        <v>42829</v>
      </c>
      <c r="B4901" s="3" t="n">
        <v>242.6574410910338</v>
      </c>
    </row>
    <row r="4902">
      <c r="A4902" s="4" t="n">
        <v>42830</v>
      </c>
      <c r="B4902" s="3" t="n">
        <v>243.5116767086863</v>
      </c>
    </row>
    <row r="4903">
      <c r="A4903" s="4" t="n">
        <v>42831</v>
      </c>
      <c r="B4903" s="3" t="n">
        <v>240.6218157893938</v>
      </c>
    </row>
    <row r="4904">
      <c r="A4904" s="4" t="n">
        <v>42832</v>
      </c>
      <c r="B4904" s="3" t="n">
        <v>244.8566434258413</v>
      </c>
    </row>
    <row r="4905">
      <c r="A4905" s="4" t="n">
        <v>42835</v>
      </c>
      <c r="B4905" s="3" t="n">
        <v>246.2016101429963</v>
      </c>
    </row>
    <row r="4906">
      <c r="A4906" s="4" t="n">
        <v>42836</v>
      </c>
      <c r="B4906" s="3" t="n">
        <v>248.2735858964513</v>
      </c>
    </row>
    <row r="4907">
      <c r="A4907" s="4" t="n">
        <v>42837</v>
      </c>
      <c r="B4907" s="3" t="n">
        <v>247.9827822819313</v>
      </c>
    </row>
    <row r="4908">
      <c r="A4908" s="4" t="n">
        <v>42838</v>
      </c>
      <c r="B4908" s="3" t="n">
        <v>251.5633017857088</v>
      </c>
    </row>
    <row r="4909">
      <c r="A4909" s="4" t="n">
        <v>42842</v>
      </c>
      <c r="B4909" s="3" t="n">
        <v>251.1634468157438</v>
      </c>
    </row>
    <row r="4910">
      <c r="A4910" s="4" t="n">
        <v>42843</v>
      </c>
      <c r="B4910" s="3" t="n">
        <v>251.2543229452814</v>
      </c>
    </row>
    <row r="4911">
      <c r="A4911" s="4" t="n">
        <v>42844</v>
      </c>
      <c r="B4911" s="3" t="n">
        <v>250.7999422975938</v>
      </c>
    </row>
    <row r="4912">
      <c r="A4912" s="4" t="n">
        <v>42845</v>
      </c>
      <c r="B4912" s="3" t="n">
        <v>251.8541054002288</v>
      </c>
    </row>
    <row r="4913">
      <c r="A4913" s="4" t="n">
        <v>42849</v>
      </c>
      <c r="B4913" s="3" t="n">
        <v>250.4727882312588</v>
      </c>
    </row>
    <row r="4914">
      <c r="A4914" s="4" t="n">
        <v>42850</v>
      </c>
      <c r="B4914" s="3" t="n">
        <v>251.8177549484139</v>
      </c>
    </row>
    <row r="4915">
      <c r="A4915" s="4" t="n">
        <v>42851</v>
      </c>
      <c r="B4915" s="3" t="n">
        <v>251.7087035929688</v>
      </c>
    </row>
    <row r="4916">
      <c r="A4916" s="4" t="n">
        <v>42852</v>
      </c>
      <c r="B4916" s="3" t="n">
        <v>252.6901657919738</v>
      </c>
    </row>
    <row r="4917">
      <c r="A4917" s="4" t="n">
        <v>42853</v>
      </c>
      <c r="B4917" s="3" t="n">
        <v>252.8173923733264</v>
      </c>
    </row>
    <row r="4918">
      <c r="A4918" s="4" t="n">
        <v>42857</v>
      </c>
      <c r="B4918" s="3" t="n">
        <v>252.1683332873744</v>
      </c>
    </row>
    <row r="4919">
      <c r="A4919" s="4" t="n">
        <v>42858</v>
      </c>
      <c r="B4919" s="3" t="n">
        <v>254.6083760903734</v>
      </c>
    </row>
    <row r="4920">
      <c r="A4920" s="4" t="n">
        <v>42859</v>
      </c>
      <c r="B4920" s="3" t="n">
        <v>254.571683717396</v>
      </c>
    </row>
    <row r="4921">
      <c r="A4921" s="4" t="n">
        <v>42860</v>
      </c>
      <c r="B4921" s="3" t="n">
        <v>253.1957197307424</v>
      </c>
    </row>
    <row r="4922">
      <c r="A4922" s="4" t="n">
        <v>42863</v>
      </c>
      <c r="B4922" s="3" t="n">
        <v>252.6269879495923</v>
      </c>
    </row>
    <row r="4923">
      <c r="A4923" s="4" t="n">
        <v>42864</v>
      </c>
      <c r="B4923" s="3" t="n">
        <v>252.3151027792842</v>
      </c>
    </row>
    <row r="4924">
      <c r="A4924" s="4" t="n">
        <v>42865</v>
      </c>
      <c r="B4924" s="3" t="n">
        <v>252.260064219818</v>
      </c>
    </row>
    <row r="4925">
      <c r="A4925" s="4" t="n">
        <v>42866</v>
      </c>
      <c r="B4925" s="3" t="n">
        <v>251.9114866765325</v>
      </c>
    </row>
    <row r="4926">
      <c r="A4926" s="4" t="n">
        <v>42867</v>
      </c>
      <c r="B4926" s="3" t="n">
        <v>251.1959854034726</v>
      </c>
    </row>
    <row r="4927">
      <c r="A4927" s="4" t="n">
        <v>42870</v>
      </c>
      <c r="B4927" s="3" t="n">
        <v>249.5264824329996</v>
      </c>
    </row>
    <row r="4928">
      <c r="A4928" s="4" t="n">
        <v>42871</v>
      </c>
      <c r="B4928" s="3" t="n">
        <v>251.3794472683598</v>
      </c>
    </row>
    <row r="4929">
      <c r="A4929" s="4" t="n">
        <v>42872</v>
      </c>
      <c r="B4929" s="3" t="n">
        <v>251.3060625224049</v>
      </c>
    </row>
    <row r="4930">
      <c r="A4930" s="4" t="n">
        <v>42873</v>
      </c>
      <c r="B4930" s="3" t="n">
        <v>250.0401756546836</v>
      </c>
    </row>
    <row r="4931">
      <c r="A4931" s="4" t="n">
        <v>42874</v>
      </c>
      <c r="B4931" s="3" t="n">
        <v>250.0218294681949</v>
      </c>
    </row>
    <row r="4932">
      <c r="A4932" s="4" t="n">
        <v>42877</v>
      </c>
      <c r="B4932" s="3" t="n">
        <v>249.9667909087288</v>
      </c>
    </row>
    <row r="4933">
      <c r="A4933" s="4" t="n">
        <v>42878</v>
      </c>
      <c r="B4933" s="3" t="n">
        <v>250.2052913330821</v>
      </c>
    </row>
    <row r="4934">
      <c r="A4934" s="4" t="n">
        <v>42879</v>
      </c>
      <c r="B4934" s="3" t="n">
        <v>246.5360540353392</v>
      </c>
    </row>
    <row r="4935">
      <c r="A4935" s="4" t="n">
        <v>42880</v>
      </c>
      <c r="B4935" s="3" t="n">
        <v>240.9404671562815</v>
      </c>
    </row>
    <row r="4936">
      <c r="A4936" s="4" t="n">
        <v>42881</v>
      </c>
      <c r="B4936" s="3" t="n">
        <v>245.7104756433471</v>
      </c>
    </row>
    <row r="4937">
      <c r="A4937" s="4" t="n">
        <v>42884</v>
      </c>
      <c r="B4937" s="3" t="n">
        <v>246.1507841190762</v>
      </c>
    </row>
    <row r="4938">
      <c r="A4938" s="4" t="n">
        <v>42885</v>
      </c>
      <c r="B4938" s="3" t="n">
        <v>241.9678535996494</v>
      </c>
    </row>
    <row r="4939">
      <c r="A4939" s="4" t="n">
        <v>42886</v>
      </c>
      <c r="B4939" s="3" t="n">
        <v>243.3805099592804</v>
      </c>
    </row>
    <row r="4940">
      <c r="A4940" s="4" t="n">
        <v>42887</v>
      </c>
      <c r="B4940" s="3" t="n">
        <v>242.9997614777093</v>
      </c>
    </row>
    <row r="4941">
      <c r="A4941" s="4" t="n">
        <v>42888</v>
      </c>
      <c r="B4941" s="3" t="n">
        <v>242.5564997709779</v>
      </c>
    </row>
    <row r="4942">
      <c r="A4942" s="4" t="n">
        <v>42891</v>
      </c>
      <c r="B4942" s="3" t="n">
        <v>242.4087458687341</v>
      </c>
    </row>
    <row r="4943">
      <c r="A4943" s="4" t="n">
        <v>42892</v>
      </c>
      <c r="B4943" s="3" t="n">
        <v>240.4879451395647</v>
      </c>
    </row>
    <row r="4944">
      <c r="A4944" s="4" t="n">
        <v>42893</v>
      </c>
      <c r="B4944" s="3" t="n">
        <v>239.9892757194918</v>
      </c>
    </row>
    <row r="4945">
      <c r="A4945" s="4" t="n">
        <v>42894</v>
      </c>
      <c r="B4945" s="3" t="n">
        <v>236.4985897789821</v>
      </c>
    </row>
    <row r="4946">
      <c r="A4946" s="4" t="n">
        <v>42895</v>
      </c>
      <c r="B4946" s="3" t="n">
        <v>236.8679745345916</v>
      </c>
    </row>
    <row r="4947">
      <c r="A4947" s="4" t="n">
        <v>42898</v>
      </c>
      <c r="B4947" s="3" t="n">
        <v>239.7676448661261</v>
      </c>
    </row>
    <row r="4948">
      <c r="A4948" s="4" t="n">
        <v>42899</v>
      </c>
      <c r="B4948" s="3" t="n">
        <v>238.8441829771024</v>
      </c>
    </row>
    <row r="4949">
      <c r="A4949" s="4" t="n">
        <v>42900</v>
      </c>
      <c r="B4949" s="3" t="n">
        <v>235.5566586521778</v>
      </c>
    </row>
    <row r="4950">
      <c r="A4950" s="4" t="n">
        <v>42902</v>
      </c>
      <c r="B4950" s="3" t="n">
        <v>238.2162288925662</v>
      </c>
    </row>
    <row r="4951">
      <c r="A4951" s="4" t="n">
        <v>42905</v>
      </c>
      <c r="B4951" s="3" t="n">
        <v>236.886443772372</v>
      </c>
    </row>
    <row r="4952">
      <c r="A4952" s="4" t="n">
        <v>42906</v>
      </c>
      <c r="B4952" s="3" t="n">
        <v>234.8548276165198</v>
      </c>
    </row>
    <row r="4953">
      <c r="A4953" s="4" t="n">
        <v>42907</v>
      </c>
      <c r="B4953" s="3" t="n">
        <v>236.4801205412016</v>
      </c>
    </row>
    <row r="4954">
      <c r="A4954" s="4" t="n">
        <v>42908</v>
      </c>
      <c r="B4954" s="3" t="n">
        <v>236.0737973100311</v>
      </c>
    </row>
    <row r="4955">
      <c r="A4955" s="4" t="n">
        <v>42909</v>
      </c>
      <c r="B4955" s="3" t="n">
        <v>234.2453427697641</v>
      </c>
    </row>
    <row r="4956">
      <c r="A4956" s="4" t="n">
        <v>42912</v>
      </c>
      <c r="B4956" s="3" t="n">
        <v>235.9075741700069</v>
      </c>
    </row>
    <row r="4957">
      <c r="A4957" s="4" t="n">
        <v>42913</v>
      </c>
      <c r="B4957" s="3" t="n">
        <v>236.2954281633968</v>
      </c>
    </row>
    <row r="4958">
      <c r="A4958" s="4" t="n">
        <v>42914</v>
      </c>
      <c r="B4958" s="3" t="n">
        <v>236.886443772372</v>
      </c>
    </row>
    <row r="4959">
      <c r="A4959" s="4" t="n">
        <v>42915</v>
      </c>
      <c r="B4959" s="3" t="n">
        <v>234.3746274342275</v>
      </c>
    </row>
    <row r="4960">
      <c r="A4960" s="4" t="n">
        <v>42916</v>
      </c>
      <c r="B4960" s="3" t="n">
        <v>233.7466733496913</v>
      </c>
    </row>
    <row r="4961">
      <c r="A4961" s="4" t="n">
        <v>42919</v>
      </c>
      <c r="B4961" s="3" t="n">
        <v>235.079065902828</v>
      </c>
    </row>
    <row r="4962">
      <c r="A4962" s="4" t="n">
        <v>42920</v>
      </c>
      <c r="B4962" s="3" t="n">
        <v>232.4003141824825</v>
      </c>
    </row>
    <row r="4963">
      <c r="A4963" s="4" t="n">
        <v>42921</v>
      </c>
      <c r="B4963" s="3" t="n">
        <v>231.4143847298553</v>
      </c>
    </row>
    <row r="4964">
      <c r="A4964" s="4" t="n">
        <v>42922</v>
      </c>
      <c r="B4964" s="3" t="n">
        <v>230.9865285523001</v>
      </c>
    </row>
    <row r="4965">
      <c r="A4965" s="4" t="n">
        <v>42923</v>
      </c>
      <c r="B4965" s="3" t="n">
        <v>233.77689492766</v>
      </c>
    </row>
    <row r="4966">
      <c r="A4966" s="4" t="n">
        <v>42926</v>
      </c>
      <c r="B4966" s="3" t="n">
        <v>232.8839776875449</v>
      </c>
    </row>
    <row r="4967">
      <c r="A4967" s="4" t="n">
        <v>42927</v>
      </c>
      <c r="B4967" s="3" t="n">
        <v>233.4420509626168</v>
      </c>
    </row>
    <row r="4968">
      <c r="A4968" s="4" t="n">
        <v>42928</v>
      </c>
      <c r="B4968" s="3" t="n">
        <v>231.9724580049273</v>
      </c>
    </row>
    <row r="4969">
      <c r="A4969" s="4" t="n">
        <v>42929</v>
      </c>
      <c r="B4969" s="3" t="n">
        <v>231.0237334373049</v>
      </c>
    </row>
    <row r="4970">
      <c r="A4970" s="4" t="n">
        <v>42930</v>
      </c>
      <c r="B4970" s="3" t="n">
        <v>230.2238284097017</v>
      </c>
    </row>
    <row r="4971">
      <c r="A4971" s="4" t="n">
        <v>42933</v>
      </c>
      <c r="B4971" s="3" t="n">
        <v>231.0423358798073</v>
      </c>
    </row>
    <row r="4972">
      <c r="A4972" s="4" t="n">
        <v>42934</v>
      </c>
      <c r="B4972" s="3" t="n">
        <v>228.4379939294712</v>
      </c>
    </row>
    <row r="4973">
      <c r="A4973" s="4" t="n">
        <v>42935</v>
      </c>
      <c r="B4973" s="3" t="n">
        <v>232.9211825725496</v>
      </c>
    </row>
    <row r="4974">
      <c r="A4974" s="4" t="n">
        <v>42936</v>
      </c>
      <c r="B4974" s="3" t="n">
        <v>231.8980482349176</v>
      </c>
    </row>
    <row r="4975">
      <c r="A4975" s="4" t="n">
        <v>42937</v>
      </c>
      <c r="B4975" s="3" t="n">
        <v>231.9910604474296</v>
      </c>
    </row>
    <row r="4976">
      <c r="A4976" s="4" t="n">
        <v>42940</v>
      </c>
      <c r="B4976" s="3" t="n">
        <v>229.0146696470457</v>
      </c>
    </row>
    <row r="4977">
      <c r="A4977" s="4" t="n">
        <v>42941</v>
      </c>
      <c r="B4977" s="3" t="n">
        <v>229.1262843020601</v>
      </c>
    </row>
    <row r="4978">
      <c r="A4978" s="4" t="n">
        <v>42942</v>
      </c>
      <c r="B4978" s="3" t="n">
        <v>233.7582924851576</v>
      </c>
    </row>
    <row r="4979">
      <c r="A4979" s="4" t="n">
        <v>42943</v>
      </c>
      <c r="B4979" s="3" t="n">
        <v>229.1262843020601</v>
      </c>
    </row>
    <row r="4980">
      <c r="A4980" s="4" t="n">
        <v>42944</v>
      </c>
      <c r="B4980" s="3" t="n">
        <v>229.6471526921273</v>
      </c>
    </row>
    <row r="4981">
      <c r="A4981" s="4" t="n">
        <v>42947</v>
      </c>
      <c r="B4981" s="3" t="n">
        <v>233.5164607326265</v>
      </c>
    </row>
    <row r="4982">
      <c r="A4982" s="4" t="n">
        <v>42948</v>
      </c>
      <c r="B4982" s="3" t="n">
        <v>236.1177313802505</v>
      </c>
    </row>
    <row r="4983">
      <c r="A4983" s="4" t="n">
        <v>42949</v>
      </c>
      <c r="B4983" s="3" t="n">
        <v>236.0619774885432</v>
      </c>
    </row>
    <row r="4984">
      <c r="A4984" s="4" t="n">
        <v>42950</v>
      </c>
      <c r="B4984" s="3" t="n">
        <v>231.8804356104987</v>
      </c>
    </row>
    <row r="4985">
      <c r="A4985" s="4" t="n">
        <v>42951</v>
      </c>
      <c r="B4985" s="3" t="n">
        <v>233.7388986674074</v>
      </c>
    </row>
    <row r="4986">
      <c r="A4986" s="4" t="n">
        <v>42954</v>
      </c>
      <c r="B4986" s="3" t="n">
        <v>238.57090261537</v>
      </c>
    </row>
    <row r="4987">
      <c r="A4987" s="4" t="n">
        <v>42955</v>
      </c>
      <c r="B4987" s="3" t="n">
        <v>238.0133636982974</v>
      </c>
    </row>
    <row r="4988">
      <c r="A4988" s="4" t="n">
        <v>42956</v>
      </c>
      <c r="B4988" s="3" t="n">
        <v>236.9726243864285</v>
      </c>
    </row>
    <row r="4989">
      <c r="A4989" s="4" t="n">
        <v>42957</v>
      </c>
      <c r="B4989" s="3" t="n">
        <v>238.8496720739063</v>
      </c>
    </row>
    <row r="4990">
      <c r="A4990" s="4" t="n">
        <v>42958</v>
      </c>
      <c r="B4990" s="3" t="n">
        <v>239.8904113857752</v>
      </c>
    </row>
    <row r="4991">
      <c r="A4991" s="4" t="n">
        <v>42961</v>
      </c>
      <c r="B4991" s="3" t="n">
        <v>247.547279180239</v>
      </c>
    </row>
    <row r="4992">
      <c r="A4992" s="4" t="n">
        <v>42962</v>
      </c>
      <c r="B4992" s="3" t="n">
        <v>246.7667246963374</v>
      </c>
    </row>
    <row r="4993">
      <c r="A4993" s="4" t="n">
        <v>42963</v>
      </c>
      <c r="B4993" s="3" t="n">
        <v>245.5958929704849</v>
      </c>
    </row>
    <row r="4994">
      <c r="A4994" s="4" t="n">
        <v>42964</v>
      </c>
      <c r="B4994" s="3" t="n">
        <v>250.5951585935693</v>
      </c>
    </row>
    <row r="4995">
      <c r="A4995" s="4" t="n">
        <v>42965</v>
      </c>
      <c r="B4995" s="3" t="n">
        <v>253.2155915038106</v>
      </c>
    </row>
    <row r="4996">
      <c r="A4996" s="4" t="n">
        <v>42968</v>
      </c>
      <c r="B4996" s="3" t="n">
        <v>256.4679018534008</v>
      </c>
    </row>
    <row r="4997">
      <c r="A4997" s="4" t="n">
        <v>42969</v>
      </c>
      <c r="B4997" s="3" t="n">
        <v>252.6394679561689</v>
      </c>
    </row>
    <row r="4998">
      <c r="A4998" s="4" t="n">
        <v>42970</v>
      </c>
      <c r="B4998" s="3" t="n">
        <v>257.5458104264079</v>
      </c>
    </row>
    <row r="4999">
      <c r="A4999" s="4" t="n">
        <v>42971</v>
      </c>
      <c r="B4999" s="3" t="n">
        <v>258.6423036299839</v>
      </c>
    </row>
    <row r="5000">
      <c r="A5000" s="4" t="n">
        <v>42972</v>
      </c>
      <c r="B5000" s="3" t="n">
        <v>259.3856888527475</v>
      </c>
    </row>
    <row r="5001">
      <c r="A5001" s="4" t="n">
        <v>42975</v>
      </c>
      <c r="B5001" s="3" t="n">
        <v>260.9282131899817</v>
      </c>
    </row>
    <row r="5002">
      <c r="A5002" s="4" t="n">
        <v>42976</v>
      </c>
      <c r="B5002" s="3" t="n">
        <v>264.199108170141</v>
      </c>
    </row>
    <row r="5003">
      <c r="A5003" s="4" t="n">
        <v>42977</v>
      </c>
      <c r="B5003" s="3" t="n">
        <v>266.131909749326</v>
      </c>
    </row>
    <row r="5004">
      <c r="A5004" s="4" t="n">
        <v>42978</v>
      </c>
      <c r="B5004" s="3" t="n">
        <v>265.685878615668</v>
      </c>
    </row>
    <row r="5005">
      <c r="A5005" s="4" t="n">
        <v>42979</v>
      </c>
      <c r="B5005" s="3" t="n">
        <v>268.4803037998146</v>
      </c>
    </row>
    <row r="5006">
      <c r="A5006" s="4" t="n">
        <v>42982</v>
      </c>
      <c r="B5006" s="3" t="n">
        <v>269.7566673772011</v>
      </c>
    </row>
    <row r="5007">
      <c r="A5007" s="4" t="n">
        <v>42983</v>
      </c>
      <c r="B5007" s="3" t="n">
        <v>269.6456792400371</v>
      </c>
    </row>
    <row r="5008">
      <c r="A5008" s="4" t="n">
        <v>42984</v>
      </c>
      <c r="B5008" s="3" t="n">
        <v>267.8883670682731</v>
      </c>
    </row>
    <row r="5009">
      <c r="A5009" s="4" t="n">
        <v>42986</v>
      </c>
      <c r="B5009" s="3" t="n">
        <v>269.7751654000618</v>
      </c>
    </row>
    <row r="5010">
      <c r="A5010" s="4" t="n">
        <v>42989</v>
      </c>
      <c r="B5010" s="3" t="n">
        <v>268.9427543713314</v>
      </c>
    </row>
    <row r="5011">
      <c r="A5011" s="4" t="n">
        <v>42990</v>
      </c>
      <c r="B5011" s="3" t="n">
        <v>266.3345331479765</v>
      </c>
    </row>
    <row r="5012">
      <c r="A5012" s="4" t="n">
        <v>42991</v>
      </c>
      <c r="B5012" s="3" t="n">
        <v>266.2235450108125</v>
      </c>
    </row>
    <row r="5013">
      <c r="A5013" s="4" t="n">
        <v>42992</v>
      </c>
      <c r="B5013" s="3" t="n">
        <v>266.2975371022552</v>
      </c>
    </row>
    <row r="5014">
      <c r="A5014" s="4" t="n">
        <v>42993</v>
      </c>
      <c r="B5014" s="3" t="n">
        <v>265.7610944392956</v>
      </c>
    </row>
    <row r="5015">
      <c r="A5015" s="4" t="n">
        <v>42996</v>
      </c>
      <c r="B5015" s="3" t="n">
        <v>260.2116875810936</v>
      </c>
    </row>
    <row r="5016">
      <c r="A5016" s="4" t="n">
        <v>42997</v>
      </c>
      <c r="B5016" s="3" t="n">
        <v>261.9320037071362</v>
      </c>
    </row>
    <row r="5017">
      <c r="A5017" s="4" t="n">
        <v>42998</v>
      </c>
      <c r="B5017" s="3" t="n">
        <v>261.9320037071362</v>
      </c>
    </row>
    <row r="5018">
      <c r="A5018" s="4" t="n">
        <v>42999</v>
      </c>
      <c r="B5018" s="3" t="n">
        <v>263.5228336731542</v>
      </c>
    </row>
    <row r="5019">
      <c r="A5019" s="4" t="n">
        <v>43000</v>
      </c>
      <c r="B5019" s="3" t="n">
        <v>267.4629125424776</v>
      </c>
    </row>
    <row r="5020">
      <c r="A5020" s="4" t="n">
        <v>43003</v>
      </c>
      <c r="B5020" s="3" t="n">
        <v>262.394454278653</v>
      </c>
    </row>
    <row r="5021">
      <c r="A5021" s="4" t="n">
        <v>43004</v>
      </c>
      <c r="B5021" s="3" t="n">
        <v>262.9123989187519</v>
      </c>
    </row>
    <row r="5022">
      <c r="A5022" s="4" t="n">
        <v>43005</v>
      </c>
      <c r="B5022" s="3" t="n">
        <v>261.0256005869633</v>
      </c>
    </row>
    <row r="5023">
      <c r="A5023" s="4" t="n">
        <v>43006</v>
      </c>
      <c r="B5023" s="3" t="n">
        <v>263.189869261662</v>
      </c>
    </row>
    <row r="5024">
      <c r="A5024" s="4" t="n">
        <v>43007</v>
      </c>
      <c r="B5024" s="3" t="n">
        <v>264.0777743589744</v>
      </c>
    </row>
    <row r="5025">
      <c r="A5025" s="4" t="n">
        <v>43010</v>
      </c>
      <c r="B5025" s="3" t="n">
        <v>261.2337560431158</v>
      </c>
    </row>
    <row r="5026">
      <c r="A5026" s="4" t="n">
        <v>43011</v>
      </c>
      <c r="B5026" s="3" t="n">
        <v>262.5260785111736</v>
      </c>
    </row>
    <row r="5027">
      <c r="A5027" s="4" t="n">
        <v>43012</v>
      </c>
      <c r="B5027" s="3" t="n">
        <v>262.8030047543288</v>
      </c>
    </row>
    <row r="5028">
      <c r="A5028" s="4" t="n">
        <v>43013</v>
      </c>
      <c r="B5028" s="3" t="n">
        <v>262.2491522680183</v>
      </c>
    </row>
    <row r="5029">
      <c r="A5029" s="4" t="n">
        <v>43014</v>
      </c>
      <c r="B5029" s="3" t="n">
        <v>262.7106960066104</v>
      </c>
    </row>
    <row r="5030">
      <c r="A5030" s="4" t="n">
        <v>43017</v>
      </c>
      <c r="B5030" s="3" t="n">
        <v>264.4645622132603</v>
      </c>
    </row>
    <row r="5031">
      <c r="A5031" s="4" t="n">
        <v>43018</v>
      </c>
      <c r="B5031" s="3" t="n">
        <v>258.0952586206896</v>
      </c>
    </row>
    <row r="5032">
      <c r="A5032" s="4" t="n">
        <v>43019</v>
      </c>
      <c r="B5032" s="3" t="n">
        <v>262.5260785111736</v>
      </c>
    </row>
    <row r="5033">
      <c r="A5033" s="4" t="n">
        <v>43021</v>
      </c>
      <c r="B5033" s="3" t="n">
        <v>261.2337560431158</v>
      </c>
    </row>
    <row r="5034">
      <c r="A5034" s="4" t="n">
        <v>43024</v>
      </c>
      <c r="B5034" s="3" t="n">
        <v>260.3106685659316</v>
      </c>
    </row>
    <row r="5035">
      <c r="A5035" s="4" t="n">
        <v>43025</v>
      </c>
      <c r="B5035" s="3" t="n">
        <v>257.5414061343791</v>
      </c>
    </row>
    <row r="5036">
      <c r="A5036" s="4" t="n">
        <v>43026</v>
      </c>
      <c r="B5036" s="3" t="n">
        <v>260.40297731365</v>
      </c>
    </row>
    <row r="5037">
      <c r="A5037" s="4" t="n">
        <v>43027</v>
      </c>
      <c r="B5037" s="3" t="n">
        <v>261.4183735385526</v>
      </c>
    </row>
    <row r="5038">
      <c r="A5038" s="4" t="n">
        <v>43028</v>
      </c>
      <c r="B5038" s="3" t="n">
        <v>258.6491111070001</v>
      </c>
    </row>
    <row r="5039">
      <c r="A5039" s="4" t="n">
        <v>43031</v>
      </c>
      <c r="B5039" s="3" t="n">
        <v>257.8183323775344</v>
      </c>
    </row>
    <row r="5040">
      <c r="A5040" s="4" t="n">
        <v>43032</v>
      </c>
      <c r="B5040" s="3" t="n">
        <v>257.0798623957871</v>
      </c>
    </row>
    <row r="5041">
      <c r="A5041" s="4" t="n">
        <v>43033</v>
      </c>
      <c r="B5041" s="3" t="n">
        <v>254.5875262073898</v>
      </c>
    </row>
    <row r="5042">
      <c r="A5042" s="4" t="n">
        <v>43034</v>
      </c>
      <c r="B5042" s="3" t="n">
        <v>256.4337011617582</v>
      </c>
    </row>
    <row r="5043">
      <c r="A5043" s="4" t="n">
        <v>43035</v>
      </c>
      <c r="B5043" s="3" t="n">
        <v>259.2029635933106</v>
      </c>
    </row>
    <row r="5044">
      <c r="A5044" s="4" t="n">
        <v>43038</v>
      </c>
      <c r="B5044" s="3" t="n">
        <v>257.7260236298159</v>
      </c>
    </row>
    <row r="5045">
      <c r="A5045" s="4" t="n">
        <v>43039</v>
      </c>
      <c r="B5045" s="3" t="n">
        <v>259.1106548455922</v>
      </c>
    </row>
    <row r="5046">
      <c r="A5046" s="4" t="n">
        <v>43040</v>
      </c>
      <c r="B5046" s="3" t="n">
        <v>256.3818087852127</v>
      </c>
    </row>
    <row r="5047">
      <c r="A5047" s="4" t="n">
        <v>43042</v>
      </c>
      <c r="B5047" s="3" t="n">
        <v>256.3818087852127</v>
      </c>
    </row>
    <row r="5048">
      <c r="A5048" s="4" t="n">
        <v>43045</v>
      </c>
      <c r="B5048" s="3" t="n">
        <v>256.1981541943923</v>
      </c>
    </row>
    <row r="5049">
      <c r="A5049" s="4" t="n">
        <v>43046</v>
      </c>
      <c r="B5049" s="3" t="n">
        <v>255.7390177173415</v>
      </c>
    </row>
    <row r="5050">
      <c r="A5050" s="4" t="n">
        <v>43047</v>
      </c>
      <c r="B5050" s="3" t="n">
        <v>255.1880539448804</v>
      </c>
    </row>
    <row r="5051">
      <c r="A5051" s="4" t="n">
        <v>43048</v>
      </c>
      <c r="B5051" s="3" t="n">
        <v>258.5856638750569</v>
      </c>
    </row>
    <row r="5052">
      <c r="A5052" s="4" t="n">
        <v>43049</v>
      </c>
      <c r="B5052" s="3" t="n">
        <v>254.9125720586499</v>
      </c>
    </row>
    <row r="5053">
      <c r="A5053" s="4" t="n">
        <v>43052</v>
      </c>
      <c r="B5053" s="3" t="n">
        <v>257.3919090347246</v>
      </c>
    </row>
    <row r="5054">
      <c r="A5054" s="4" t="n">
        <v>43053</v>
      </c>
      <c r="B5054" s="3" t="n">
        <v>256.2899814898025</v>
      </c>
    </row>
    <row r="5055">
      <c r="A5055" s="4" t="n">
        <v>43055</v>
      </c>
      <c r="B5055" s="3" t="n">
        <v>258.3101819888264</v>
      </c>
    </row>
    <row r="5056">
      <c r="A5056" s="4" t="n">
        <v>43056</v>
      </c>
      <c r="B5056" s="3" t="n">
        <v>258.5856638750569</v>
      </c>
    </row>
    <row r="5057">
      <c r="A5057" s="4" t="n">
        <v>43059</v>
      </c>
      <c r="B5057" s="3" t="n">
        <v>256.2899814898025</v>
      </c>
    </row>
    <row r="5058">
      <c r="A5058" s="4" t="n">
        <v>43060</v>
      </c>
      <c r="B5058" s="3" t="n">
        <v>260.2385551924401</v>
      </c>
    </row>
    <row r="5059">
      <c r="A5059" s="4" t="n">
        <v>43061</v>
      </c>
      <c r="B5059" s="3" t="n">
        <v>258.5856638750569</v>
      </c>
    </row>
    <row r="5060">
      <c r="A5060" s="4" t="n">
        <v>43062</v>
      </c>
      <c r="B5060" s="3" t="n">
        <v>259.0448003521078</v>
      </c>
    </row>
    <row r="5061">
      <c r="A5061" s="4" t="n">
        <v>43063</v>
      </c>
      <c r="B5061" s="3" t="n">
        <v>262.4424102822844</v>
      </c>
    </row>
    <row r="5062">
      <c r="A5062" s="4" t="n">
        <v>43066</v>
      </c>
      <c r="B5062" s="3" t="n">
        <v>265.2890564399998</v>
      </c>
    </row>
    <row r="5063">
      <c r="A5063" s="4" t="n">
        <v>43067</v>
      </c>
      <c r="B5063" s="3" t="n">
        <v>264.2789561904879</v>
      </c>
    </row>
    <row r="5064">
      <c r="A5064" s="4" t="n">
        <v>43068</v>
      </c>
      <c r="B5064" s="3" t="n">
        <v>264.0034743042573</v>
      </c>
    </row>
    <row r="5065">
      <c r="A5065" s="4" t="n">
        <v>43069</v>
      </c>
      <c r="B5065" s="3" t="n">
        <v>264.9217472583591</v>
      </c>
    </row>
    <row r="5066">
      <c r="A5066" s="4" t="n">
        <v>43070</v>
      </c>
      <c r="B5066" s="3" t="n">
        <v>260.7713149778295</v>
      </c>
    </row>
    <row r="5067">
      <c r="A5067" s="4" t="n">
        <v>43073</v>
      </c>
      <c r="B5067" s="3" t="n">
        <v>261.3174329149559</v>
      </c>
    </row>
    <row r="5068">
      <c r="A5068" s="4" t="n">
        <v>43074</v>
      </c>
      <c r="B5068" s="3" t="n">
        <v>258.2227646045733</v>
      </c>
    </row>
    <row r="5069">
      <c r="A5069" s="4" t="n">
        <v>43075</v>
      </c>
      <c r="B5069" s="3" t="n">
        <v>262.1366098206454</v>
      </c>
    </row>
    <row r="5070">
      <c r="A5070" s="4" t="n">
        <v>43076</v>
      </c>
      <c r="B5070" s="3" t="n">
        <v>261.95457050827</v>
      </c>
    </row>
    <row r="5071">
      <c r="A5071" s="4" t="n">
        <v>43077</v>
      </c>
      <c r="B5071" s="3" t="n">
        <v>263.7749636320245</v>
      </c>
    </row>
    <row r="5072">
      <c r="A5072" s="4" t="n">
        <v>43080</v>
      </c>
      <c r="B5072" s="3" t="n">
        <v>262.8647670701473</v>
      </c>
    </row>
    <row r="5073">
      <c r="A5073" s="4" t="n">
        <v>43081</v>
      </c>
      <c r="B5073" s="3" t="n">
        <v>262.8647670701473</v>
      </c>
    </row>
    <row r="5074">
      <c r="A5074" s="4" t="n">
        <v>43082</v>
      </c>
      <c r="B5074" s="3" t="n">
        <v>262.9557867263349</v>
      </c>
    </row>
    <row r="5075">
      <c r="A5075" s="4" t="n">
        <v>43083</v>
      </c>
      <c r="B5075" s="3" t="n">
        <v>266.3235140052807</v>
      </c>
    </row>
    <row r="5076">
      <c r="A5076" s="4" t="n">
        <v>43084</v>
      </c>
      <c r="B5076" s="3" t="n">
        <v>266.7786122862194</v>
      </c>
    </row>
    <row r="5077">
      <c r="A5077" s="4" t="n">
        <v>43087</v>
      </c>
      <c r="B5077" s="3" t="n">
        <v>267.0516712547825</v>
      </c>
    </row>
    <row r="5078">
      <c r="A5078" s="4" t="n">
        <v>43088</v>
      </c>
      <c r="B5078" s="3" t="n">
        <v>264.5031208815263</v>
      </c>
    </row>
    <row r="5079">
      <c r="A5079" s="4" t="n">
        <v>43089</v>
      </c>
      <c r="B5079" s="3" t="n">
        <v>268.2349267852229</v>
      </c>
    </row>
    <row r="5080">
      <c r="A5080" s="4" t="n">
        <v>43090</v>
      </c>
      <c r="B5080" s="3" t="n">
        <v>267.5067695357211</v>
      </c>
    </row>
    <row r="5081">
      <c r="A5081" s="4" t="n">
        <v>43091</v>
      </c>
      <c r="B5081" s="3" t="n">
        <v>267.3247302233457</v>
      </c>
    </row>
    <row r="5082">
      <c r="A5082" s="4" t="n">
        <v>43095</v>
      </c>
      <c r="B5082" s="3" t="n">
        <v>265.4133174434035</v>
      </c>
    </row>
    <row r="5083">
      <c r="A5083" s="4" t="n">
        <v>43096</v>
      </c>
      <c r="B5083" s="3" t="n">
        <v>267.3247302233457</v>
      </c>
    </row>
    <row r="5084">
      <c r="A5084" s="4" t="n">
        <v>43097</v>
      </c>
      <c r="B5084" s="3" t="n">
        <v>265.7773960681544</v>
      </c>
    </row>
    <row r="5085">
      <c r="A5085" s="4" t="n">
        <v>43102</v>
      </c>
      <c r="B5085" s="3" t="n">
        <v>263.6050725228039</v>
      </c>
    </row>
    <row r="5086">
      <c r="A5086" s="4" t="n">
        <v>43103</v>
      </c>
      <c r="B5086" s="3" t="n">
        <v>265.4118242193275</v>
      </c>
    </row>
    <row r="5087">
      <c r="A5087" s="4" t="n">
        <v>43104</v>
      </c>
      <c r="B5087" s="3" t="n">
        <v>261.6176456566279</v>
      </c>
    </row>
    <row r="5088">
      <c r="A5088" s="4" t="n">
        <v>43105</v>
      </c>
      <c r="B5088" s="3" t="n">
        <v>264.8697987103704</v>
      </c>
    </row>
    <row r="5089">
      <c r="A5089" s="4" t="n">
        <v>43108</v>
      </c>
      <c r="B5089" s="3" t="n">
        <v>265.8635121434584</v>
      </c>
    </row>
    <row r="5090">
      <c r="A5090" s="4" t="n">
        <v>43109</v>
      </c>
      <c r="B5090" s="3" t="n">
        <v>264.6891235407181</v>
      </c>
    </row>
    <row r="5091">
      <c r="A5091" s="4" t="n">
        <v>43110</v>
      </c>
      <c r="B5091" s="3" t="n">
        <v>268.6639772730701</v>
      </c>
    </row>
    <row r="5092">
      <c r="A5092" s="4" t="n">
        <v>43111</v>
      </c>
      <c r="B5092" s="3" t="n">
        <v>267.3089135006774</v>
      </c>
    </row>
    <row r="5093">
      <c r="A5093" s="4" t="n">
        <v>43112</v>
      </c>
      <c r="B5093" s="3" t="n">
        <v>263.0630470138468</v>
      </c>
    </row>
    <row r="5094">
      <c r="A5094" s="4" t="n">
        <v>43115</v>
      </c>
      <c r="B5094" s="3" t="n">
        <v>265.3214866345013</v>
      </c>
    </row>
    <row r="5095">
      <c r="A5095" s="4" t="n">
        <v>43116</v>
      </c>
      <c r="B5095" s="3" t="n">
        <v>267.4895886703298</v>
      </c>
    </row>
    <row r="5096">
      <c r="A5096" s="4" t="n">
        <v>43117</v>
      </c>
      <c r="B5096" s="3" t="n">
        <v>265.9538497282846</v>
      </c>
    </row>
    <row r="5097">
      <c r="A5097" s="4" t="n">
        <v>43118</v>
      </c>
      <c r="B5097" s="3" t="n">
        <v>265.5924993889799</v>
      </c>
    </row>
    <row r="5098">
      <c r="A5098" s="4" t="n">
        <v>43119</v>
      </c>
      <c r="B5098" s="3" t="n">
        <v>266.7668879917203</v>
      </c>
    </row>
    <row r="5099">
      <c r="A5099" s="4" t="n">
        <v>43122</v>
      </c>
      <c r="B5099" s="3" t="n">
        <v>266.9475631613727</v>
      </c>
    </row>
    <row r="5100">
      <c r="A5100" s="4" t="n">
        <v>43123</v>
      </c>
      <c r="B5100" s="3" t="n">
        <v>263.1533845986729</v>
      </c>
    </row>
    <row r="5101">
      <c r="A5101" s="4" t="n">
        <v>43124</v>
      </c>
      <c r="B5101" s="3" t="n">
        <v>261.9789959959326</v>
      </c>
    </row>
    <row r="5102">
      <c r="A5102" s="4" t="n">
        <v>43125</v>
      </c>
      <c r="B5102" s="3" t="n">
        <v>262.3403463352373</v>
      </c>
    </row>
    <row r="5103">
      <c r="A5103" s="4" t="n">
        <v>43126</v>
      </c>
      <c r="B5103" s="3" t="n">
        <v>262.3403463352373</v>
      </c>
    </row>
    <row r="5104">
      <c r="A5104" s="4" t="n">
        <v>43129</v>
      </c>
      <c r="B5104" s="3" t="n">
        <v>264.4181107862395</v>
      </c>
    </row>
    <row r="5105">
      <c r="A5105" s="4" t="n">
        <v>43130</v>
      </c>
      <c r="B5105" s="3" t="n">
        <v>263.1533845986729</v>
      </c>
    </row>
    <row r="5106">
      <c r="A5106" s="4" t="n">
        <v>43131</v>
      </c>
      <c r="B5106" s="3" t="n">
        <v>263.7857476924562</v>
      </c>
    </row>
    <row r="5107">
      <c r="A5107" s="4" t="n">
        <v>43132</v>
      </c>
      <c r="B5107" s="3" t="n">
        <v>260.7041837086977</v>
      </c>
    </row>
    <row r="5108">
      <c r="A5108" s="4" t="n">
        <v>43133</v>
      </c>
      <c r="B5108" s="3" t="n">
        <v>263.5928727248606</v>
      </c>
    </row>
    <row r="5109">
      <c r="A5109" s="4" t="n">
        <v>43136</v>
      </c>
      <c r="B5109" s="3" t="n">
        <v>260.7041837086977</v>
      </c>
    </row>
    <row r="5110">
      <c r="A5110" s="4" t="n">
        <v>43137</v>
      </c>
      <c r="B5110" s="3" t="n">
        <v>261.6068990262486</v>
      </c>
    </row>
    <row r="5111">
      <c r="A5111" s="4" t="n">
        <v>43138</v>
      </c>
      <c r="B5111" s="3" t="n">
        <v>260.0722829864121</v>
      </c>
    </row>
    <row r="5112">
      <c r="A5112" s="4" t="n">
        <v>43139</v>
      </c>
      <c r="B5112" s="3" t="n">
        <v>261.9679851532689</v>
      </c>
    </row>
    <row r="5113">
      <c r="A5113" s="4" t="n">
        <v>43140</v>
      </c>
      <c r="B5113" s="3" t="n">
        <v>261.9679851532689</v>
      </c>
    </row>
    <row r="5114">
      <c r="A5114" s="4" t="n">
        <v>43145</v>
      </c>
      <c r="B5114" s="3" t="n">
        <v>259.982011454657</v>
      </c>
    </row>
    <row r="5115">
      <c r="A5115" s="4" t="n">
        <v>43146</v>
      </c>
      <c r="B5115" s="3" t="n">
        <v>259.982011454657</v>
      </c>
    </row>
    <row r="5116">
      <c r="A5116" s="4" t="n">
        <v>43147</v>
      </c>
      <c r="B5116" s="3" t="n">
        <v>260.4333691134324</v>
      </c>
    </row>
    <row r="5117">
      <c r="A5117" s="4" t="n">
        <v>43150</v>
      </c>
      <c r="B5117" s="3" t="n">
        <v>259.8014683911468</v>
      </c>
    </row>
    <row r="5118">
      <c r="A5118" s="4" t="n">
        <v>43151</v>
      </c>
      <c r="B5118" s="3" t="n">
        <v>261.8777136215139</v>
      </c>
    </row>
    <row r="5119">
      <c r="A5119" s="4" t="n">
        <v>43152</v>
      </c>
      <c r="B5119" s="3" t="n">
        <v>264.4955880424114</v>
      </c>
    </row>
    <row r="5120">
      <c r="A5120" s="4" t="n">
        <v>43153</v>
      </c>
      <c r="B5120" s="3" t="n">
        <v>264.6761311059216</v>
      </c>
    </row>
    <row r="5121">
      <c r="A5121" s="4" t="n">
        <v>43154</v>
      </c>
      <c r="B5121" s="3" t="n">
        <v>264.3150449789013</v>
      </c>
    </row>
    <row r="5122">
      <c r="A5122" s="4" t="n">
        <v>43157</v>
      </c>
      <c r="B5122" s="3" t="n">
        <v>263.4123296613504</v>
      </c>
    </row>
    <row r="5123">
      <c r="A5123" s="4" t="n">
        <v>43158</v>
      </c>
      <c r="B5123" s="3" t="n">
        <v>263.5928727248606</v>
      </c>
    </row>
    <row r="5124">
      <c r="A5124" s="4" t="n">
        <v>43159</v>
      </c>
      <c r="B5124" s="3" t="n">
        <v>262.058256685024</v>
      </c>
    </row>
    <row r="5125">
      <c r="A5125" s="4" t="n">
        <v>43160</v>
      </c>
      <c r="B5125" s="3" t="n">
        <v>260.1352011313451</v>
      </c>
    </row>
    <row r="5126">
      <c r="A5126" s="4" t="n">
        <v>43161</v>
      </c>
      <c r="B5126" s="3" t="n">
        <v>260.8528154792936</v>
      </c>
    </row>
    <row r="5127">
      <c r="A5127" s="4" t="n">
        <v>43164</v>
      </c>
      <c r="B5127" s="3" t="n">
        <v>261.6601316207357</v>
      </c>
    </row>
    <row r="5128">
      <c r="A5128" s="4" t="n">
        <v>43165</v>
      </c>
      <c r="B5128" s="3" t="n">
        <v>259.327884989903</v>
      </c>
    </row>
    <row r="5129">
      <c r="A5129" s="4" t="n">
        <v>43166</v>
      </c>
      <c r="B5129" s="3" t="n">
        <v>262.1086405882035</v>
      </c>
    </row>
    <row r="5130">
      <c r="A5130" s="4" t="n">
        <v>43167</v>
      </c>
      <c r="B5130" s="3" t="n">
        <v>260.6734118923065</v>
      </c>
    </row>
    <row r="5131">
      <c r="A5131" s="4" t="n">
        <v>43168</v>
      </c>
      <c r="B5131" s="3" t="n">
        <v>259.4175867833965</v>
      </c>
    </row>
    <row r="5132">
      <c r="A5132" s="4" t="n">
        <v>43171</v>
      </c>
      <c r="B5132" s="3" t="n">
        <v>263.0953603166328</v>
      </c>
    </row>
    <row r="5133">
      <c r="A5133" s="4" t="n">
        <v>43172</v>
      </c>
      <c r="B5133" s="3" t="n">
        <v>261.3013244467614</v>
      </c>
    </row>
    <row r="5134">
      <c r="A5134" s="4" t="n">
        <v>43173</v>
      </c>
      <c r="B5134" s="3" t="n">
        <v>260.1352011313451</v>
      </c>
    </row>
    <row r="5135">
      <c r="A5135" s="4" t="n">
        <v>43174</v>
      </c>
      <c r="B5135" s="3" t="n">
        <v>259.5969903703837</v>
      </c>
    </row>
    <row r="5136">
      <c r="A5136" s="4" t="n">
        <v>43175</v>
      </c>
      <c r="B5136" s="3" t="n">
        <v>260.5837100988129</v>
      </c>
    </row>
    <row r="5137">
      <c r="A5137" s="4" t="n">
        <v>43178</v>
      </c>
      <c r="B5137" s="3" t="n">
        <v>261.4807280337486</v>
      </c>
    </row>
    <row r="5138">
      <c r="A5138" s="4" t="n">
        <v>43179</v>
      </c>
      <c r="B5138" s="3" t="n">
        <v>259.4175867833965</v>
      </c>
    </row>
    <row r="5139">
      <c r="A5139" s="4" t="n">
        <v>43180</v>
      </c>
      <c r="B5139" s="3" t="n">
        <v>259.0587796094223</v>
      </c>
    </row>
    <row r="5140">
      <c r="A5140" s="4" t="n">
        <v>43181</v>
      </c>
      <c r="B5140" s="3" t="n">
        <v>258.9690778159286</v>
      </c>
    </row>
    <row r="5141">
      <c r="A5141" s="4" t="n">
        <v>43182</v>
      </c>
      <c r="B5141" s="3" t="n">
        <v>257.0853401525638</v>
      </c>
    </row>
    <row r="5142">
      <c r="A5142" s="4" t="n">
        <v>43185</v>
      </c>
      <c r="B5142" s="3" t="n">
        <v>258.1617616744866</v>
      </c>
    </row>
    <row r="5143">
      <c r="A5143" s="4" t="n">
        <v>43186</v>
      </c>
      <c r="B5143" s="3" t="n">
        <v>258.3411652614737</v>
      </c>
    </row>
    <row r="5144">
      <c r="A5144" s="4" t="n">
        <v>43187</v>
      </c>
      <c r="B5144" s="3" t="n">
        <v>256.5471293916024</v>
      </c>
    </row>
    <row r="5145">
      <c r="A5145" s="4" t="n">
        <v>43188</v>
      </c>
      <c r="B5145" s="3" t="n">
        <v>257.4441473265381</v>
      </c>
    </row>
    <row r="5146">
      <c r="A5146" s="4" t="n">
        <v>43192</v>
      </c>
      <c r="B5146" s="3" t="n">
        <v>255.8965584580986</v>
      </c>
    </row>
    <row r="5147">
      <c r="A5147" s="4" t="n">
        <v>43193</v>
      </c>
      <c r="B5147" s="3" t="n">
        <v>256.9668821602587</v>
      </c>
    </row>
    <row r="5148">
      <c r="A5148" s="4" t="n">
        <v>43194</v>
      </c>
      <c r="B5148" s="3" t="n">
        <v>257.412850369492</v>
      </c>
    </row>
    <row r="5149">
      <c r="A5149" s="4" t="n">
        <v>43195</v>
      </c>
      <c r="B5149" s="3" t="n">
        <v>257.412850369492</v>
      </c>
    </row>
    <row r="5150">
      <c r="A5150" s="4" t="n">
        <v>43196</v>
      </c>
      <c r="B5150" s="3" t="n">
        <v>259.1967232064255</v>
      </c>
    </row>
    <row r="5151">
      <c r="A5151" s="4" t="n">
        <v>43199</v>
      </c>
      <c r="B5151" s="3" t="n">
        <v>257.6804312950321</v>
      </c>
    </row>
    <row r="5152">
      <c r="A5152" s="4" t="n">
        <v>43200</v>
      </c>
      <c r="B5152" s="3" t="n">
        <v>257.5912376531854</v>
      </c>
    </row>
    <row r="5153">
      <c r="A5153" s="4" t="n">
        <v>43201</v>
      </c>
      <c r="B5153" s="3" t="n">
        <v>255.2722029651719</v>
      </c>
    </row>
    <row r="5154">
      <c r="A5154" s="4" t="n">
        <v>43202</v>
      </c>
      <c r="B5154" s="3" t="n">
        <v>257.2344630857987</v>
      </c>
    </row>
    <row r="5155">
      <c r="A5155" s="4" t="n">
        <v>43203</v>
      </c>
      <c r="B5155" s="3" t="n">
        <v>255.3613966070186</v>
      </c>
    </row>
    <row r="5156">
      <c r="A5156" s="4" t="n">
        <v>43206</v>
      </c>
      <c r="B5156" s="3" t="n">
        <v>255.4505902488652</v>
      </c>
    </row>
    <row r="5157">
      <c r="A5157" s="4" t="n">
        <v>43207</v>
      </c>
      <c r="B5157" s="3" t="n">
        <v>255.9857520999453</v>
      </c>
    </row>
    <row r="5158">
      <c r="A5158" s="4" t="n">
        <v>43208</v>
      </c>
      <c r="B5158" s="3" t="n">
        <v>256.5209139510254</v>
      </c>
    </row>
    <row r="5159">
      <c r="A5159" s="4" t="n">
        <v>43209</v>
      </c>
      <c r="B5159" s="3" t="n">
        <v>255.7181711744053</v>
      </c>
    </row>
    <row r="5160">
      <c r="A5160" s="4" t="n">
        <v>43210</v>
      </c>
      <c r="B5160" s="3" t="n">
        <v>255.539783890712</v>
      </c>
    </row>
    <row r="5161">
      <c r="A5161" s="4" t="n">
        <v>43213</v>
      </c>
      <c r="B5161" s="3" t="n">
        <v>255.4505902488652</v>
      </c>
    </row>
    <row r="5162">
      <c r="A5162" s="4" t="n">
        <v>43214</v>
      </c>
      <c r="B5162" s="3" t="n">
        <v>250.5449399472984</v>
      </c>
    </row>
    <row r="5163">
      <c r="A5163" s="4" t="n">
        <v>43215</v>
      </c>
      <c r="B5163" s="3" t="n">
        <v>253.4883301282385</v>
      </c>
    </row>
    <row r="5164">
      <c r="A5164" s="4" t="n">
        <v>43216</v>
      </c>
      <c r="B5164" s="3" t="n">
        <v>250.9017145146851</v>
      </c>
    </row>
    <row r="5165">
      <c r="A5165" s="4" t="n">
        <v>43217</v>
      </c>
      <c r="B5165" s="3" t="n">
        <v>252.6855873516185</v>
      </c>
    </row>
    <row r="5166">
      <c r="A5166" s="4" t="n">
        <v>43220</v>
      </c>
      <c r="B5166" s="3" t="n">
        <v>250.6341335891451</v>
      </c>
    </row>
    <row r="5167">
      <c r="A5167" s="4" t="n">
        <v>43222</v>
      </c>
      <c r="B5167" s="3" t="n">
        <v>253.5615765399755</v>
      </c>
    </row>
    <row r="5168">
      <c r="A5168" s="4" t="n">
        <v>43223</v>
      </c>
      <c r="B5168" s="3" t="n">
        <v>248.9865585038621</v>
      </c>
    </row>
    <row r="5169">
      <c r="A5169" s="4" t="n">
        <v>43224</v>
      </c>
      <c r="B5169" s="3" t="n">
        <v>255.3211988615575</v>
      </c>
    </row>
    <row r="5170">
      <c r="A5170" s="4" t="n">
        <v>43227</v>
      </c>
      <c r="B5170" s="3" t="n">
        <v>248.8105962717039</v>
      </c>
    </row>
    <row r="5171">
      <c r="A5171" s="4" t="n">
        <v>43228</v>
      </c>
      <c r="B5171" s="3" t="n">
        <v>247.3149172983592</v>
      </c>
    </row>
    <row r="5172">
      <c r="A5172" s="4" t="n">
        <v>43229</v>
      </c>
      <c r="B5172" s="3" t="n">
        <v>245.9072194410935</v>
      </c>
    </row>
    <row r="5173">
      <c r="A5173" s="4" t="n">
        <v>43230</v>
      </c>
      <c r="B5173" s="3" t="n">
        <v>245.8192383250144</v>
      </c>
    </row>
    <row r="5174">
      <c r="A5174" s="4" t="n">
        <v>43231</v>
      </c>
      <c r="B5174" s="3" t="n">
        <v>243.707691539116</v>
      </c>
    </row>
    <row r="5175">
      <c r="A5175" s="4" t="n">
        <v>43234</v>
      </c>
      <c r="B5175" s="3" t="n">
        <v>243.9716348873533</v>
      </c>
    </row>
    <row r="5176">
      <c r="A5176" s="4" t="n">
        <v>43235</v>
      </c>
      <c r="B5176" s="3" t="n">
        <v>243.707691539116</v>
      </c>
    </row>
    <row r="5177">
      <c r="A5177" s="4" t="n">
        <v>43236</v>
      </c>
      <c r="B5177" s="3" t="n">
        <v>245.1153893963816</v>
      </c>
    </row>
    <row r="5178">
      <c r="A5178" s="4" t="n">
        <v>43237</v>
      </c>
      <c r="B5178" s="3" t="n">
        <v>245.1153893963816</v>
      </c>
    </row>
    <row r="5179">
      <c r="A5179" s="4" t="n">
        <v>43238</v>
      </c>
      <c r="B5179" s="3" t="n">
        <v>246.4351061375682</v>
      </c>
    </row>
    <row r="5180">
      <c r="A5180" s="4" t="n">
        <v>43241</v>
      </c>
      <c r="B5180" s="3" t="n">
        <v>244.4995215838279</v>
      </c>
    </row>
    <row r="5181">
      <c r="A5181" s="4" t="n">
        <v>43242</v>
      </c>
      <c r="B5181" s="3" t="n">
        <v>245.9952005571726</v>
      </c>
    </row>
    <row r="5182">
      <c r="A5182" s="4" t="n">
        <v>43243</v>
      </c>
      <c r="B5182" s="3" t="n">
        <v>244.8514460481443</v>
      </c>
    </row>
    <row r="5183">
      <c r="A5183" s="4" t="n">
        <v>43244</v>
      </c>
      <c r="B5183" s="3" t="n">
        <v>246.8750117179637</v>
      </c>
    </row>
    <row r="5184">
      <c r="A5184" s="4" t="n">
        <v>43245</v>
      </c>
      <c r="B5184" s="3" t="n">
        <v>250.4822374772069</v>
      </c>
    </row>
    <row r="5185">
      <c r="A5185" s="4" t="n">
        <v>43248</v>
      </c>
      <c r="B5185" s="3" t="n">
        <v>250.4822374772069</v>
      </c>
    </row>
    <row r="5186">
      <c r="A5186" s="4" t="n">
        <v>43249</v>
      </c>
      <c r="B5186" s="3" t="n">
        <v>248.2827095752293</v>
      </c>
    </row>
    <row r="5187">
      <c r="A5187" s="4" t="n">
        <v>43250</v>
      </c>
      <c r="B5187" s="3" t="n">
        <v>249.8663696646532</v>
      </c>
    </row>
    <row r="5188">
      <c r="A5188" s="4" t="n">
        <v>43252</v>
      </c>
      <c r="B5188" s="3" t="n">
        <v>242.3497752013236</v>
      </c>
    </row>
    <row r="5189">
      <c r="A5189" s="4" t="n">
        <v>43255</v>
      </c>
      <c r="B5189" s="3" t="n">
        <v>240.0178279702345</v>
      </c>
    </row>
    <row r="5190">
      <c r="A5190" s="4" t="n">
        <v>43256</v>
      </c>
      <c r="B5190" s="3" t="n">
        <v>239.1541438105719</v>
      </c>
    </row>
    <row r="5191">
      <c r="A5191" s="4" t="n">
        <v>43257</v>
      </c>
      <c r="B5191" s="3" t="n">
        <v>237.2540386593142</v>
      </c>
    </row>
    <row r="5192">
      <c r="A5192" s="4" t="n">
        <v>43258</v>
      </c>
      <c r="B5192" s="3" t="n">
        <v>237.9449859870443</v>
      </c>
    </row>
    <row r="5193">
      <c r="A5193" s="4" t="n">
        <v>43259</v>
      </c>
      <c r="B5193" s="3" t="n">
        <v>238.3768280668756</v>
      </c>
    </row>
    <row r="5194">
      <c r="A5194" s="4" t="n">
        <v>43262</v>
      </c>
      <c r="B5194" s="3" t="n">
        <v>239.5859858904032</v>
      </c>
    </row>
    <row r="5195">
      <c r="A5195" s="4" t="n">
        <v>43263</v>
      </c>
      <c r="B5195" s="3" t="n">
        <v>237.513143907213</v>
      </c>
    </row>
    <row r="5196">
      <c r="A5196" s="4" t="n">
        <v>43264</v>
      </c>
      <c r="B5196" s="3" t="n">
        <v>238.0313544030106</v>
      </c>
    </row>
    <row r="5197">
      <c r="A5197" s="4" t="n">
        <v>43265</v>
      </c>
      <c r="B5197" s="3" t="n">
        <v>239.0677753946057</v>
      </c>
    </row>
    <row r="5198">
      <c r="A5198" s="4" t="n">
        <v>43266</v>
      </c>
      <c r="B5198" s="3" t="n">
        <v>236.3039860836854</v>
      </c>
    </row>
    <row r="5199">
      <c r="A5199" s="4" t="n">
        <v>43269</v>
      </c>
      <c r="B5199" s="3" t="n">
        <v>239.5859858904032</v>
      </c>
    </row>
    <row r="5200">
      <c r="A5200" s="4" t="n">
        <v>43270</v>
      </c>
      <c r="B5200" s="3" t="n">
        <v>238.1177228189768</v>
      </c>
    </row>
    <row r="5201">
      <c r="A5201" s="4" t="n">
        <v>43271</v>
      </c>
      <c r="B5201" s="3" t="n">
        <v>238.7223017307406</v>
      </c>
    </row>
    <row r="5202">
      <c r="A5202" s="4" t="n">
        <v>43272</v>
      </c>
      <c r="B5202" s="3" t="n">
        <v>239.7587227223358</v>
      </c>
    </row>
    <row r="5203">
      <c r="A5203" s="4" t="n">
        <v>43273</v>
      </c>
      <c r="B5203" s="3" t="n">
        <v>241.7451962895597</v>
      </c>
    </row>
    <row r="5204">
      <c r="A5204" s="4" t="n">
        <v>43276</v>
      </c>
      <c r="B5204" s="3" t="n">
        <v>240.190564802167</v>
      </c>
    </row>
    <row r="5205">
      <c r="A5205" s="4" t="n">
        <v>43277</v>
      </c>
      <c r="B5205" s="3" t="n">
        <v>238.0313544030106</v>
      </c>
    </row>
    <row r="5206">
      <c r="A5206" s="4" t="n">
        <v>43278</v>
      </c>
      <c r="B5206" s="3" t="n">
        <v>240.5360384660321</v>
      </c>
    </row>
    <row r="5207">
      <c r="A5207" s="4" t="n">
        <v>43279</v>
      </c>
      <c r="B5207" s="3" t="n">
        <v>241.9179331214922</v>
      </c>
    </row>
    <row r="5208">
      <c r="A5208" s="4" t="n">
        <v>43280</v>
      </c>
      <c r="B5208" s="3" t="n">
        <v>240.7951437139309</v>
      </c>
    </row>
    <row r="5209">
      <c r="A5209" s="4" t="n">
        <v>43283</v>
      </c>
      <c r="B5209" s="3" t="n">
        <v>239.9248783008037</v>
      </c>
    </row>
    <row r="5210">
      <c r="A5210" s="4" t="n">
        <v>43284</v>
      </c>
      <c r="B5210" s="3" t="n">
        <v>239.2374144661308</v>
      </c>
    </row>
    <row r="5211">
      <c r="A5211" s="4" t="n">
        <v>43285</v>
      </c>
      <c r="B5211" s="3" t="n">
        <v>239.7530123421355</v>
      </c>
    </row>
    <row r="5212">
      <c r="A5212" s="4" t="n">
        <v>43286</v>
      </c>
      <c r="B5212" s="3" t="n">
        <v>241.7294708668198</v>
      </c>
    </row>
    <row r="5213">
      <c r="A5213" s="4" t="n">
        <v>43287</v>
      </c>
      <c r="B5213" s="3" t="n">
        <v>238.8936825487945</v>
      </c>
    </row>
    <row r="5214">
      <c r="A5214" s="4" t="n">
        <v>43291</v>
      </c>
      <c r="B5214" s="3" t="n">
        <v>241.1279400114811</v>
      </c>
    </row>
    <row r="5215">
      <c r="A5215" s="4" t="n">
        <v>43292</v>
      </c>
      <c r="B5215" s="3" t="n">
        <v>242.5028676808266</v>
      </c>
    </row>
    <row r="5216">
      <c r="A5216" s="4" t="n">
        <v>43293</v>
      </c>
      <c r="B5216" s="3" t="n">
        <v>241.5576049081516</v>
      </c>
    </row>
    <row r="5217">
      <c r="A5217" s="4" t="n">
        <v>43294</v>
      </c>
      <c r="B5217" s="3" t="n">
        <v>243.5340634328358</v>
      </c>
    </row>
    <row r="5218">
      <c r="A5218" s="4" t="n">
        <v>43297</v>
      </c>
      <c r="B5218" s="3" t="n">
        <v>243.705929391504</v>
      </c>
    </row>
    <row r="5219">
      <c r="A5219" s="4" t="n">
        <v>43298</v>
      </c>
      <c r="B5219" s="3" t="n">
        <v>241.8154038461538</v>
      </c>
    </row>
    <row r="5220">
      <c r="A5220" s="4" t="n">
        <v>43299</v>
      </c>
      <c r="B5220" s="3" t="n">
        <v>244.9089911021814</v>
      </c>
    </row>
    <row r="5221">
      <c r="A5221" s="4" t="n">
        <v>43300</v>
      </c>
      <c r="B5221" s="3" t="n">
        <v>243.9637283295063</v>
      </c>
    </row>
    <row r="5222">
      <c r="A5222" s="4" t="n">
        <v>43301</v>
      </c>
      <c r="B5222" s="3" t="n">
        <v>248.5181762342135</v>
      </c>
    </row>
    <row r="5223">
      <c r="A5223" s="4" t="n">
        <v>43304</v>
      </c>
      <c r="B5223" s="3" t="n">
        <v>247.7447794202067</v>
      </c>
    </row>
    <row r="5224">
      <c r="A5224" s="4" t="n">
        <v>43305</v>
      </c>
      <c r="B5224" s="3" t="n">
        <v>245.5105219575201</v>
      </c>
    </row>
    <row r="5225">
      <c r="A5225" s="4" t="n">
        <v>43306</v>
      </c>
      <c r="B5225" s="3" t="n">
        <v>246.9713826061997</v>
      </c>
    </row>
    <row r="5226">
      <c r="A5226" s="4" t="n">
        <v>43307</v>
      </c>
      <c r="B5226" s="3" t="n">
        <v>246.7995166475316</v>
      </c>
    </row>
    <row r="5227">
      <c r="A5227" s="4" t="n">
        <v>43308</v>
      </c>
      <c r="B5227" s="3" t="n">
        <v>246.7135836681975</v>
      </c>
    </row>
    <row r="5228">
      <c r="A5228" s="4" t="n">
        <v>43311</v>
      </c>
      <c r="B5228" s="3" t="n">
        <v>246.6276506888634</v>
      </c>
    </row>
    <row r="5229">
      <c r="A5229" s="4" t="n">
        <v>43312</v>
      </c>
      <c r="B5229" s="3" t="n">
        <v>243.5340634328358</v>
      </c>
    </row>
    <row r="5230">
      <c r="A5230" s="4" t="n">
        <v>43313</v>
      </c>
      <c r="B5230" s="3" t="n">
        <v>247.3882026915518</v>
      </c>
    </row>
    <row r="5231">
      <c r="A5231" s="4" t="n">
        <v>43314</v>
      </c>
      <c r="B5231" s="3" t="n">
        <v>246.5348456626054</v>
      </c>
    </row>
    <row r="5232">
      <c r="A5232" s="4" t="n">
        <v>43315</v>
      </c>
      <c r="B5232" s="3" t="n">
        <v>245.8521600394483</v>
      </c>
    </row>
    <row r="5233">
      <c r="A5233" s="4" t="n">
        <v>43318</v>
      </c>
      <c r="B5233" s="3" t="n">
        <v>245.937495742343</v>
      </c>
    </row>
    <row r="5234">
      <c r="A5234" s="4" t="n">
        <v>43319</v>
      </c>
      <c r="B5234" s="3" t="n">
        <v>245.2548101191859</v>
      </c>
    </row>
    <row r="5235">
      <c r="A5235" s="4" t="n">
        <v>43320</v>
      </c>
      <c r="B5235" s="3" t="n">
        <v>247.3882026915518</v>
      </c>
    </row>
    <row r="5236">
      <c r="A5236" s="4" t="n">
        <v>43321</v>
      </c>
      <c r="B5236" s="3" t="n">
        <v>247.2175312857625</v>
      </c>
    </row>
    <row r="5237">
      <c r="A5237" s="4" t="n">
        <v>43322</v>
      </c>
      <c r="B5237" s="3" t="n">
        <v>248.2415597204981</v>
      </c>
    </row>
    <row r="5238">
      <c r="A5238" s="4" t="n">
        <v>43325</v>
      </c>
      <c r="B5238" s="3" t="n">
        <v>247.2175312857625</v>
      </c>
    </row>
    <row r="5239">
      <c r="A5239" s="4" t="n">
        <v>43326</v>
      </c>
      <c r="B5239" s="3" t="n">
        <v>246.2788385539215</v>
      </c>
    </row>
    <row r="5240">
      <c r="A5240" s="4" t="n">
        <v>43327</v>
      </c>
      <c r="B5240" s="3" t="n">
        <v>243.4627603583985</v>
      </c>
    </row>
    <row r="5241">
      <c r="A5241" s="4" t="n">
        <v>43328</v>
      </c>
      <c r="B5241" s="3" t="n">
        <v>247.1321955828679</v>
      </c>
    </row>
    <row r="5242">
      <c r="A5242" s="4" t="n">
        <v>43329</v>
      </c>
      <c r="B5242" s="3" t="n">
        <v>247.3882026915518</v>
      </c>
    </row>
    <row r="5243">
      <c r="A5243" s="4" t="n">
        <v>43332</v>
      </c>
      <c r="B5243" s="3" t="n">
        <v>246.4495099597108</v>
      </c>
    </row>
    <row r="5244">
      <c r="A5244" s="4" t="n">
        <v>43333</v>
      </c>
      <c r="B5244" s="3" t="n">
        <v>243.2920889526092</v>
      </c>
    </row>
    <row r="5245">
      <c r="A5245" s="4" t="n">
        <v>43334</v>
      </c>
      <c r="B5245" s="3" t="n">
        <v>247.0468598799732</v>
      </c>
    </row>
    <row r="5246">
      <c r="A5246" s="4" t="n">
        <v>43335</v>
      </c>
      <c r="B5246" s="3" t="n">
        <v>244.8281316047127</v>
      </c>
    </row>
    <row r="5247">
      <c r="A5247" s="4" t="n">
        <v>43336</v>
      </c>
      <c r="B5247" s="3" t="n">
        <v>249.1802524523392</v>
      </c>
    </row>
    <row r="5248">
      <c r="A5248" s="4" t="n">
        <v>43339</v>
      </c>
      <c r="B5248" s="3" t="n">
        <v>249.6069309668123</v>
      </c>
    </row>
    <row r="5249">
      <c r="A5249" s="4" t="n">
        <v>43340</v>
      </c>
      <c r="B5249" s="3" t="n">
        <v>249.3509238581284</v>
      </c>
    </row>
    <row r="5250">
      <c r="A5250" s="4" t="n">
        <v>43341</v>
      </c>
      <c r="B5250" s="3" t="n">
        <v>249.1802524523392</v>
      </c>
    </row>
    <row r="5251">
      <c r="A5251" s="4" t="n">
        <v>43342</v>
      </c>
      <c r="B5251" s="3" t="n">
        <v>249.5215952639177</v>
      </c>
    </row>
    <row r="5252">
      <c r="A5252" s="4" t="n">
        <v>43343</v>
      </c>
      <c r="B5252" s="3" t="n">
        <v>250.5456236986533</v>
      </c>
    </row>
    <row r="5253">
      <c r="A5253" s="4" t="n">
        <v>43346</v>
      </c>
      <c r="B5253" s="3" t="n">
        <v>248.5489226851663</v>
      </c>
    </row>
    <row r="5254">
      <c r="A5254" s="4" t="n">
        <v>43347</v>
      </c>
      <c r="B5254" s="3" t="n">
        <v>248.1286505805245</v>
      </c>
    </row>
    <row r="5255">
      <c r="A5255" s="4" t="n">
        <v>43348</v>
      </c>
      <c r="B5255" s="3" t="n">
        <v>246.5316165828856</v>
      </c>
    </row>
    <row r="5256">
      <c r="A5256" s="4" t="n">
        <v>43349</v>
      </c>
      <c r="B5256" s="3" t="n">
        <v>249.1373036316648</v>
      </c>
    </row>
    <row r="5257">
      <c r="A5257" s="4" t="n">
        <v>43353</v>
      </c>
      <c r="B5257" s="3" t="n">
        <v>248.2127050014529</v>
      </c>
    </row>
    <row r="5258">
      <c r="A5258" s="4" t="n">
        <v>43354</v>
      </c>
      <c r="B5258" s="3" t="n">
        <v>250.3140655246619</v>
      </c>
    </row>
    <row r="5259">
      <c r="A5259" s="4" t="n">
        <v>43355</v>
      </c>
      <c r="B5259" s="3" t="n">
        <v>250.4821743665186</v>
      </c>
    </row>
    <row r="5260">
      <c r="A5260" s="4" t="n">
        <v>43356</v>
      </c>
      <c r="B5260" s="3" t="n">
        <v>251.8270451013724</v>
      </c>
    </row>
    <row r="5261">
      <c r="A5261" s="4" t="n">
        <v>43357</v>
      </c>
      <c r="B5261" s="3" t="n">
        <v>251.3227185758022</v>
      </c>
    </row>
    <row r="5262">
      <c r="A5262" s="4" t="n">
        <v>43360</v>
      </c>
      <c r="B5262" s="3" t="n">
        <v>251.8270451013724</v>
      </c>
    </row>
    <row r="5263">
      <c r="A5263" s="4" t="n">
        <v>43361</v>
      </c>
      <c r="B5263" s="3" t="n">
        <v>253.1719158362262</v>
      </c>
    </row>
    <row r="5264">
      <c r="A5264" s="4" t="n">
        <v>43362</v>
      </c>
      <c r="B5264" s="3" t="n">
        <v>253.8443512036531</v>
      </c>
    </row>
    <row r="5265">
      <c r="A5265" s="4" t="n">
        <v>43363</v>
      </c>
      <c r="B5265" s="3" t="n">
        <v>251.9951539432291</v>
      </c>
    </row>
    <row r="5266">
      <c r="A5266" s="4" t="n">
        <v>43364</v>
      </c>
      <c r="B5266" s="3" t="n">
        <v>253.8443512036531</v>
      </c>
    </row>
    <row r="5267">
      <c r="A5267" s="4" t="n">
        <v>43367</v>
      </c>
      <c r="B5267" s="3" t="n">
        <v>252.3313716269426</v>
      </c>
    </row>
    <row r="5268">
      <c r="A5268" s="4" t="n">
        <v>43368</v>
      </c>
      <c r="B5268" s="3" t="n">
        <v>253.8443512036531</v>
      </c>
    </row>
    <row r="5269">
      <c r="A5269" s="4" t="n">
        <v>43369</v>
      </c>
      <c r="B5269" s="3" t="n">
        <v>254.51678657108</v>
      </c>
    </row>
    <row r="5270">
      <c r="A5270" s="4" t="n">
        <v>43370</v>
      </c>
      <c r="B5270" s="3" t="n">
        <v>255.6935484640771</v>
      </c>
    </row>
    <row r="5271">
      <c r="A5271" s="4" t="n">
        <v>43371</v>
      </c>
      <c r="B5271" s="3" t="n">
        <v>255.1892219385069</v>
      </c>
    </row>
    <row r="5272">
      <c r="A5272" s="4" t="n">
        <v>43374</v>
      </c>
      <c r="B5272" s="3" t="n">
        <v>253.2815869005015</v>
      </c>
    </row>
    <row r="5273">
      <c r="A5273" s="4" t="n">
        <v>43375</v>
      </c>
      <c r="B5273" s="3" t="n">
        <v>251.0320464905299</v>
      </c>
    </row>
    <row r="5274">
      <c r="A5274" s="4" t="n">
        <v>43376</v>
      </c>
      <c r="B5274" s="3" t="n">
        <v>248.2826082116758</v>
      </c>
    </row>
    <row r="5275">
      <c r="A5275" s="4" t="n">
        <v>43377</v>
      </c>
      <c r="B5275" s="3" t="n">
        <v>250.9487301790495</v>
      </c>
    </row>
    <row r="5276">
      <c r="A5276" s="4" t="n">
        <v>43378</v>
      </c>
      <c r="B5276" s="3" t="n">
        <v>248.6991897690779</v>
      </c>
    </row>
    <row r="5277">
      <c r="A5277" s="4" t="n">
        <v>43381</v>
      </c>
      <c r="B5277" s="3" t="n">
        <v>250.0322507527648</v>
      </c>
    </row>
    <row r="5278">
      <c r="A5278" s="4" t="n">
        <v>43382</v>
      </c>
      <c r="B5278" s="3" t="n">
        <v>250.9487301790495</v>
      </c>
    </row>
    <row r="5279">
      <c r="A5279" s="4" t="n">
        <v>43383</v>
      </c>
      <c r="B5279" s="3" t="n">
        <v>246.6995982935477</v>
      </c>
    </row>
    <row r="5280">
      <c r="A5280" s="4" t="n">
        <v>43384</v>
      </c>
      <c r="B5280" s="3" t="n">
        <v>244.6166905065369</v>
      </c>
    </row>
    <row r="5281">
      <c r="A5281" s="4" t="n">
        <v>43388</v>
      </c>
      <c r="B5281" s="3" t="n">
        <v>248.6991897690779</v>
      </c>
    </row>
    <row r="5282">
      <c r="A5282" s="4" t="n">
        <v>43389</v>
      </c>
      <c r="B5282" s="3" t="n">
        <v>250.6154649331278</v>
      </c>
    </row>
    <row r="5283">
      <c r="A5283" s="4" t="n">
        <v>43390</v>
      </c>
      <c r="B5283" s="3" t="n">
        <v>247.5327614083519</v>
      </c>
    </row>
    <row r="5284">
      <c r="A5284" s="4" t="n">
        <v>43391</v>
      </c>
      <c r="B5284" s="3" t="n">
        <v>248.7825060805584</v>
      </c>
    </row>
    <row r="5285">
      <c r="A5285" s="4" t="n">
        <v>43392</v>
      </c>
      <c r="B5285" s="3" t="n">
        <v>244.4500578835761</v>
      </c>
    </row>
    <row r="5286">
      <c r="A5286" s="4" t="n">
        <v>43395</v>
      </c>
      <c r="B5286" s="3" t="n">
        <v>246.5329656705868</v>
      </c>
    </row>
    <row r="5287">
      <c r="A5287" s="4" t="n">
        <v>43396</v>
      </c>
      <c r="B5287" s="3" t="n">
        <v>243.3669458343305</v>
      </c>
    </row>
    <row r="5288">
      <c r="A5288" s="4" t="n">
        <v>43397</v>
      </c>
      <c r="B5288" s="3" t="n">
        <v>245.4498536213412</v>
      </c>
    </row>
    <row r="5289">
      <c r="A5289" s="4" t="n">
        <v>43398</v>
      </c>
      <c r="B5289" s="3" t="n">
        <v>246.5329656705868</v>
      </c>
    </row>
    <row r="5290">
      <c r="A5290" s="4" t="n">
        <v>43399</v>
      </c>
      <c r="B5290" s="3" t="n">
        <v>245.7831188672629</v>
      </c>
    </row>
    <row r="5291">
      <c r="A5291" s="4" t="n">
        <v>43402</v>
      </c>
      <c r="B5291" s="3" t="n">
        <v>245.8664351787434</v>
      </c>
    </row>
    <row r="5292">
      <c r="A5292" s="4" t="n">
        <v>43403</v>
      </c>
      <c r="B5292" s="3" t="n">
        <v>246.0330678017042</v>
      </c>
    </row>
    <row r="5293">
      <c r="A5293" s="4" t="n">
        <v>43404</v>
      </c>
      <c r="B5293" s="3" t="n">
        <v>241.8672522276828</v>
      </c>
    </row>
    <row r="5294">
      <c r="A5294" s="4" t="n">
        <v>43405</v>
      </c>
      <c r="B5294" s="3" t="n">
        <v>242.9733043796824</v>
      </c>
    </row>
    <row r="5295">
      <c r="A5295" s="4" t="n">
        <v>43409</v>
      </c>
      <c r="B5295" s="3" t="n">
        <v>244.6478274973921</v>
      </c>
    </row>
    <row r="5296">
      <c r="A5296" s="4" t="n">
        <v>43410</v>
      </c>
      <c r="B5296" s="3" t="n">
        <v>242.7221259120259</v>
      </c>
    </row>
    <row r="5297">
      <c r="A5297" s="4" t="n">
        <v>43411</v>
      </c>
      <c r="B5297" s="3" t="n">
        <v>244.7315536532777</v>
      </c>
    </row>
    <row r="5298">
      <c r="A5298" s="4" t="n">
        <v>43412</v>
      </c>
      <c r="B5298" s="3" t="n">
        <v>242.3034951325985</v>
      </c>
    </row>
    <row r="5299">
      <c r="A5299" s="4" t="n">
        <v>43413</v>
      </c>
      <c r="B5299" s="3" t="n">
        <v>243.5593874708808</v>
      </c>
    </row>
    <row r="5300">
      <c r="A5300" s="4" t="n">
        <v>43416</v>
      </c>
      <c r="B5300" s="3" t="n">
        <v>242.6383997561405</v>
      </c>
    </row>
    <row r="5301">
      <c r="A5301" s="4" t="n">
        <v>43417</v>
      </c>
      <c r="B5301" s="3" t="n">
        <v>242.889578223797</v>
      </c>
    </row>
    <row r="5302">
      <c r="A5302" s="4" t="n">
        <v>43418</v>
      </c>
      <c r="B5302" s="3" t="n">
        <v>242.1360428208276</v>
      </c>
    </row>
    <row r="5303">
      <c r="A5303" s="4" t="n">
        <v>43420</v>
      </c>
      <c r="B5303" s="3" t="n">
        <v>245.652541368018</v>
      </c>
    </row>
    <row r="5304">
      <c r="A5304" s="4" t="n">
        <v>43423</v>
      </c>
      <c r="B5304" s="3" t="n">
        <v>246.3223506151019</v>
      </c>
    </row>
    <row r="5305">
      <c r="A5305" s="4" t="n">
        <v>43424</v>
      </c>
      <c r="B5305" s="3" t="n">
        <v>244.9827321209341</v>
      </c>
    </row>
    <row r="5306">
      <c r="A5306" s="4" t="n">
        <v>43425</v>
      </c>
      <c r="B5306" s="3" t="n">
        <v>243.3082090032244</v>
      </c>
    </row>
    <row r="5307">
      <c r="A5307" s="4" t="n">
        <v>43426</v>
      </c>
      <c r="B5307" s="3" t="n">
        <v>245.1501844327051</v>
      </c>
    </row>
    <row r="5308">
      <c r="A5308" s="4" t="n">
        <v>43427</v>
      </c>
      <c r="B5308" s="3" t="n">
        <v>247.7456952651552</v>
      </c>
    </row>
    <row r="5309">
      <c r="A5309" s="4" t="n">
        <v>43430</v>
      </c>
      <c r="B5309" s="3" t="n">
        <v>247.4107906416133</v>
      </c>
    </row>
    <row r="5310">
      <c r="A5310" s="4" t="n">
        <v>43431</v>
      </c>
      <c r="B5310" s="3" t="n">
        <v>248.750409135781</v>
      </c>
    </row>
    <row r="5311">
      <c r="A5311" s="4" t="n">
        <v>43432</v>
      </c>
      <c r="B5311" s="3" t="n">
        <v>244.9827321209341</v>
      </c>
    </row>
    <row r="5312">
      <c r="A5312" s="4" t="n">
        <v>43433</v>
      </c>
      <c r="B5312" s="3" t="n">
        <v>246.9921598621858</v>
      </c>
    </row>
    <row r="5313">
      <c r="A5313" s="4" t="n">
        <v>43434</v>
      </c>
      <c r="B5313" s="3" t="n">
        <v>248.3317783563536</v>
      </c>
    </row>
    <row r="5314">
      <c r="A5314" s="4" t="n">
        <v>43437</v>
      </c>
      <c r="B5314" s="3" t="n">
        <v>249.7738653824135</v>
      </c>
    </row>
    <row r="5315">
      <c r="A5315" s="4" t="n">
        <v>43438</v>
      </c>
      <c r="B5315" s="3" t="n">
        <v>249.5199441366842</v>
      </c>
    </row>
    <row r="5316">
      <c r="A5316" s="4" t="n">
        <v>43439</v>
      </c>
      <c r="B5316" s="3" t="n">
        <v>251.8898757634912</v>
      </c>
    </row>
    <row r="5317">
      <c r="A5317" s="4" t="n">
        <v>43440</v>
      </c>
      <c r="B5317" s="3" t="n">
        <v>252.6516395006792</v>
      </c>
    </row>
    <row r="5318">
      <c r="A5318" s="4" t="n">
        <v>43441</v>
      </c>
      <c r="B5318" s="3" t="n">
        <v>253.3287628226241</v>
      </c>
    </row>
    <row r="5319">
      <c r="A5319" s="4" t="n">
        <v>43444</v>
      </c>
      <c r="B5319" s="3" t="n">
        <v>253.3287628226241</v>
      </c>
    </row>
    <row r="5320">
      <c r="A5320" s="4" t="n">
        <v>43445</v>
      </c>
      <c r="B5320" s="3" t="n">
        <v>254.3444478055414</v>
      </c>
    </row>
    <row r="5321">
      <c r="A5321" s="4" t="n">
        <v>43446</v>
      </c>
      <c r="B5321" s="3" t="n">
        <v>253.9212457293258</v>
      </c>
    </row>
    <row r="5322">
      <c r="A5322" s="4" t="n">
        <v>43447</v>
      </c>
      <c r="B5322" s="3" t="n">
        <v>252.566999085436</v>
      </c>
    </row>
    <row r="5323">
      <c r="A5323" s="4" t="n">
        <v>43448</v>
      </c>
      <c r="B5323" s="3" t="n">
        <v>254.852290297</v>
      </c>
    </row>
    <row r="5324">
      <c r="A5324" s="4" t="n">
        <v>43451</v>
      </c>
      <c r="B5324" s="3" t="n">
        <v>253.7519648988396</v>
      </c>
    </row>
    <row r="5325">
      <c r="A5325" s="4" t="n">
        <v>43452</v>
      </c>
      <c r="B5325" s="3" t="n">
        <v>252.3130778397068</v>
      </c>
    </row>
    <row r="5326">
      <c r="A5326" s="4" t="n">
        <v>43453</v>
      </c>
      <c r="B5326" s="3" t="n">
        <v>255.7833348646742</v>
      </c>
    </row>
    <row r="5327">
      <c r="A5327" s="4" t="n">
        <v>43454</v>
      </c>
      <c r="B5327" s="3" t="n">
        <v>259.8460747963434</v>
      </c>
    </row>
    <row r="5328">
      <c r="A5328" s="4" t="n">
        <v>43455</v>
      </c>
      <c r="B5328" s="3" t="n">
        <v>257.5607835847795</v>
      </c>
    </row>
    <row r="5329">
      <c r="A5329" s="4" t="n">
        <v>43460</v>
      </c>
      <c r="B5329" s="3" t="n">
        <v>255.614054034188</v>
      </c>
    </row>
    <row r="5330">
      <c r="A5330" s="4" t="n">
        <v>43461</v>
      </c>
      <c r="B5330" s="3" t="n">
        <v>256.1218965256467</v>
      </c>
    </row>
    <row r="5331">
      <c r="A5331" s="4" t="n">
        <v>43462</v>
      </c>
      <c r="B5331" s="3" t="n">
        <v>259.6767939658572</v>
      </c>
    </row>
    <row r="5332">
      <c r="A5332" s="4" t="n">
        <v>43467</v>
      </c>
      <c r="B5332" s="3" t="n">
        <v>252.2116813288706</v>
      </c>
    </row>
    <row r="5333">
      <c r="A5333" s="4" t="n">
        <v>43468</v>
      </c>
      <c r="B5333" s="3" t="n">
        <v>254.9199946854222</v>
      </c>
    </row>
    <row r="5334">
      <c r="A5334" s="4" t="n">
        <v>43469</v>
      </c>
      <c r="B5334" s="3" t="n">
        <v>261.8600476615857</v>
      </c>
    </row>
    <row r="5335">
      <c r="A5335" s="4" t="n">
        <v>43472</v>
      </c>
      <c r="B5335" s="3" t="n">
        <v>258.4746559658961</v>
      </c>
    </row>
    <row r="5336">
      <c r="A5336" s="4" t="n">
        <v>43473</v>
      </c>
      <c r="B5336" s="3" t="n">
        <v>255.8509774017368</v>
      </c>
    </row>
    <row r="5337">
      <c r="A5337" s="4" t="n">
        <v>43474</v>
      </c>
      <c r="B5337" s="3" t="n">
        <v>259.1517343050341</v>
      </c>
    </row>
    <row r="5338">
      <c r="A5338" s="4" t="n">
        <v>43475</v>
      </c>
      <c r="B5338" s="3" t="n">
        <v>252.2963161212628</v>
      </c>
    </row>
    <row r="5339">
      <c r="A5339" s="4" t="n">
        <v>43476</v>
      </c>
      <c r="B5339" s="3" t="n">
        <v>255.7663426093445</v>
      </c>
    </row>
    <row r="5340">
      <c r="A5340" s="4" t="n">
        <v>43479</v>
      </c>
      <c r="B5340" s="3" t="n">
        <v>257.0358644952281</v>
      </c>
    </row>
    <row r="5341">
      <c r="A5341" s="4" t="n">
        <v>43480</v>
      </c>
      <c r="B5341" s="3" t="n">
        <v>258.051482003935</v>
      </c>
    </row>
    <row r="5342">
      <c r="A5342" s="4" t="n">
        <v>43481</v>
      </c>
      <c r="B5342" s="3" t="n">
        <v>256.3587861560902</v>
      </c>
    </row>
    <row r="5343">
      <c r="A5343" s="4" t="n">
        <v>43482</v>
      </c>
      <c r="B5343" s="3" t="n">
        <v>259.490273474603</v>
      </c>
    </row>
    <row r="5344">
      <c r="A5344" s="4" t="n">
        <v>43483</v>
      </c>
      <c r="B5344" s="3" t="n">
        <v>260.7597953604867</v>
      </c>
    </row>
    <row r="5345">
      <c r="A5345" s="4" t="n">
        <v>43486</v>
      </c>
      <c r="B5345" s="3" t="n">
        <v>259.0670995126419</v>
      </c>
    </row>
    <row r="5346">
      <c r="A5346" s="4" t="n">
        <v>43487</v>
      </c>
      <c r="B5346" s="3" t="n">
        <v>256.4434209484825</v>
      </c>
    </row>
    <row r="5347">
      <c r="A5347" s="4" t="n">
        <v>43488</v>
      </c>
      <c r="B5347" s="3" t="n">
        <v>259.9980822289565</v>
      </c>
    </row>
    <row r="5348">
      <c r="A5348" s="4" t="n">
        <v>43489</v>
      </c>
      <c r="B5348" s="3" t="n">
        <v>261.8600476615857</v>
      </c>
    </row>
    <row r="5349">
      <c r="A5349" s="4" t="n">
        <v>43490</v>
      </c>
      <c r="B5349" s="3" t="n">
        <v>258.2207515887195</v>
      </c>
    </row>
    <row r="5350">
      <c r="A5350" s="4" t="n">
        <v>43493</v>
      </c>
      <c r="B5350" s="3" t="n">
        <v>256.612690533267</v>
      </c>
    </row>
    <row r="5351">
      <c r="A5351" s="4" t="n">
        <v>43494</v>
      </c>
      <c r="B5351" s="3" t="n">
        <v>257.2897688724049</v>
      </c>
    </row>
    <row r="5352">
      <c r="A5352" s="4" t="n">
        <v>43495</v>
      </c>
      <c r="B5352" s="3" t="n">
        <v>257.8822124191505</v>
      </c>
    </row>
    <row r="5353">
      <c r="A5353" s="4" t="n">
        <v>43496</v>
      </c>
      <c r="B5353" s="3" t="n">
        <v>259.490273474603</v>
      </c>
    </row>
    <row r="5354">
      <c r="A5354" s="4" t="n">
        <v>43497</v>
      </c>
      <c r="B5354" s="3" t="n">
        <v>252.0134058707077</v>
      </c>
    </row>
    <row r="5355">
      <c r="A5355" s="4" t="n">
        <v>43500</v>
      </c>
      <c r="B5355" s="3" t="n">
        <v>250.5872314699746</v>
      </c>
    </row>
    <row r="5356">
      <c r="A5356" s="4" t="n">
        <v>43501</v>
      </c>
      <c r="B5356" s="3" t="n">
        <v>249.1610570692416</v>
      </c>
    </row>
    <row r="5357">
      <c r="A5357" s="4" t="n">
        <v>43502</v>
      </c>
      <c r="B5357" s="3" t="n">
        <v>255.5368955666364</v>
      </c>
    </row>
    <row r="5358">
      <c r="A5358" s="4" t="n">
        <v>43503</v>
      </c>
      <c r="B5358" s="3" t="n">
        <v>250.1677684109355</v>
      </c>
    </row>
    <row r="5359">
      <c r="A5359" s="4" t="n">
        <v>43504</v>
      </c>
      <c r="B5359" s="3" t="n">
        <v>251.0066945290138</v>
      </c>
    </row>
    <row r="5360">
      <c r="A5360" s="4" t="n">
        <v>43507</v>
      </c>
      <c r="B5360" s="3" t="n">
        <v>249.1610570692416</v>
      </c>
    </row>
    <row r="5361">
      <c r="A5361" s="4" t="n">
        <v>43508</v>
      </c>
      <c r="B5361" s="3" t="n">
        <v>254.3623990013268</v>
      </c>
    </row>
    <row r="5362">
      <c r="A5362" s="4" t="n">
        <v>43509</v>
      </c>
      <c r="B5362" s="3" t="n">
        <v>254.1946137777111</v>
      </c>
    </row>
    <row r="5363">
      <c r="A5363" s="4" t="n">
        <v>43510</v>
      </c>
      <c r="B5363" s="3" t="n">
        <v>251.0905871408216</v>
      </c>
    </row>
    <row r="5364">
      <c r="A5364" s="4" t="n">
        <v>43511</v>
      </c>
      <c r="B5364" s="3" t="n">
        <v>252.0134058707077</v>
      </c>
    </row>
    <row r="5365">
      <c r="A5365" s="4" t="n">
        <v>43514</v>
      </c>
      <c r="B5365" s="3" t="n">
        <v>253.1879024360173</v>
      </c>
    </row>
    <row r="5366">
      <c r="A5366" s="4" t="n">
        <v>43515</v>
      </c>
      <c r="B5366" s="3" t="n">
        <v>251.0905871408216</v>
      </c>
    </row>
    <row r="5367">
      <c r="A5367" s="4" t="n">
        <v>43516</v>
      </c>
      <c r="B5367" s="3" t="n">
        <v>251.1744797526294</v>
      </c>
    </row>
    <row r="5368">
      <c r="A5368" s="4" t="n">
        <v>43517</v>
      </c>
      <c r="B5368" s="3" t="n">
        <v>253.8590433304799</v>
      </c>
    </row>
    <row r="5369">
      <c r="A5369" s="4" t="n">
        <v>43518</v>
      </c>
      <c r="B5369" s="3" t="n">
        <v>251.1744797526294</v>
      </c>
    </row>
    <row r="5370">
      <c r="A5370" s="4" t="n">
        <v>43521</v>
      </c>
      <c r="B5370" s="3" t="n">
        <v>254.8657546721738</v>
      </c>
    </row>
    <row r="5371">
      <c r="A5371" s="4" t="n">
        <v>43522</v>
      </c>
      <c r="B5371" s="3" t="n">
        <v>253.271795047825</v>
      </c>
    </row>
    <row r="5372">
      <c r="A5372" s="4" t="n">
        <v>43523</v>
      </c>
      <c r="B5372" s="3" t="n">
        <v>256.2919290729068</v>
      </c>
    </row>
    <row r="5373">
      <c r="A5373" s="4" t="n">
        <v>43524</v>
      </c>
      <c r="B5373" s="3" t="n">
        <v>252.0134058707077</v>
      </c>
    </row>
    <row r="5374">
      <c r="A5374" s="4" t="n">
        <v>43525</v>
      </c>
      <c r="B5374" s="3" t="n">
        <v>248.6404284170487</v>
      </c>
    </row>
    <row r="5375">
      <c r="A5375" s="4" t="n">
        <v>43530</v>
      </c>
      <c r="B5375" s="3" t="n">
        <v>249.0546910435349</v>
      </c>
    </row>
    <row r="5376">
      <c r="A5376" s="4" t="n">
        <v>43531</v>
      </c>
      <c r="B5376" s="3" t="n">
        <v>250.7945940747772</v>
      </c>
    </row>
    <row r="5377">
      <c r="A5377" s="4" t="n">
        <v>43532</v>
      </c>
      <c r="B5377" s="3" t="n">
        <v>251.1260041759662</v>
      </c>
    </row>
    <row r="5378">
      <c r="A5378" s="4" t="n">
        <v>43535</v>
      </c>
      <c r="B5378" s="3" t="n">
        <v>250.2146263976964</v>
      </c>
    </row>
    <row r="5379">
      <c r="A5379" s="4" t="n">
        <v>43536</v>
      </c>
      <c r="B5379" s="3" t="n">
        <v>251.7059718530469</v>
      </c>
    </row>
    <row r="5380">
      <c r="A5380" s="4" t="n">
        <v>43537</v>
      </c>
      <c r="B5380" s="3" t="n">
        <v>251.8716769036415</v>
      </c>
    </row>
    <row r="5381">
      <c r="A5381" s="4" t="n">
        <v>43538</v>
      </c>
      <c r="B5381" s="3" t="n">
        <v>252.2030870048304</v>
      </c>
    </row>
    <row r="5382">
      <c r="A5382" s="4" t="n">
        <v>43539</v>
      </c>
      <c r="B5382" s="3" t="n">
        <v>251.8716769036415</v>
      </c>
    </row>
    <row r="5383">
      <c r="A5383" s="4" t="n">
        <v>43542</v>
      </c>
      <c r="B5383" s="3" t="n">
        <v>255.682893067315</v>
      </c>
    </row>
    <row r="5384">
      <c r="A5384" s="4" t="n">
        <v>43543</v>
      </c>
      <c r="B5384" s="3" t="n">
        <v>252.5344971060194</v>
      </c>
    </row>
    <row r="5385">
      <c r="A5385" s="4" t="n">
        <v>43544</v>
      </c>
      <c r="B5385" s="3" t="n">
        <v>253.1973173083975</v>
      </c>
    </row>
    <row r="5386">
      <c r="A5386" s="4" t="n">
        <v>43545</v>
      </c>
      <c r="B5386" s="3" t="n">
        <v>252.8659072072084</v>
      </c>
    </row>
    <row r="5387">
      <c r="A5387" s="4" t="n">
        <v>43546</v>
      </c>
      <c r="B5387" s="3" t="n">
        <v>250.5460364988854</v>
      </c>
    </row>
    <row r="5388">
      <c r="A5388" s="4" t="n">
        <v>43549</v>
      </c>
      <c r="B5388" s="3" t="n">
        <v>257.33994357326</v>
      </c>
    </row>
    <row r="5389">
      <c r="A5389" s="4" t="n">
        <v>43550</v>
      </c>
      <c r="B5389" s="3" t="n">
        <v>258.7484365033133</v>
      </c>
    </row>
    <row r="5390">
      <c r="A5390" s="4" t="n">
        <v>43551</v>
      </c>
      <c r="B5390" s="3" t="n">
        <v>256.4285657949902</v>
      </c>
    </row>
    <row r="5391">
      <c r="A5391" s="4" t="n">
        <v>43552</v>
      </c>
      <c r="B5391" s="3" t="n">
        <v>259.1626991297995</v>
      </c>
    </row>
    <row r="5392">
      <c r="A5392" s="4" t="n">
        <v>43553</v>
      </c>
      <c r="B5392" s="3" t="n">
        <v>260.2397819586637</v>
      </c>
    </row>
    <row r="5393">
      <c r="A5393" s="4" t="n">
        <v>43556</v>
      </c>
      <c r="B5393" s="3" t="n">
        <v>258.5276904240237</v>
      </c>
    </row>
    <row r="5394">
      <c r="A5394" s="4" t="n">
        <v>43557</v>
      </c>
      <c r="B5394" s="3" t="n">
        <v>257.5425102763297</v>
      </c>
    </row>
    <row r="5395">
      <c r="A5395" s="4" t="n">
        <v>43558</v>
      </c>
      <c r="B5395" s="3" t="n">
        <v>256.8036251655593</v>
      </c>
    </row>
    <row r="5396">
      <c r="A5396" s="4" t="n">
        <v>43559</v>
      </c>
      <c r="B5396" s="3" t="n">
        <v>260.5801490650528</v>
      </c>
    </row>
    <row r="5397">
      <c r="A5397" s="4" t="n">
        <v>43560</v>
      </c>
      <c r="B5397" s="3" t="n">
        <v>261.2369358301821</v>
      </c>
    </row>
    <row r="5398">
      <c r="A5398" s="4" t="n">
        <v>43563</v>
      </c>
      <c r="B5398" s="3" t="n">
        <v>258.9381821522295</v>
      </c>
    </row>
    <row r="5399">
      <c r="A5399" s="4" t="n">
        <v>43564</v>
      </c>
      <c r="B5399" s="3" t="n">
        <v>260.2517556824881</v>
      </c>
    </row>
    <row r="5400">
      <c r="A5400" s="4" t="n">
        <v>43565</v>
      </c>
      <c r="B5400" s="3" t="n">
        <v>260.7443457563351</v>
      </c>
    </row>
    <row r="5401">
      <c r="A5401" s="4" t="n">
        <v>43566</v>
      </c>
      <c r="B5401" s="3" t="n">
        <v>260.7443457563351</v>
      </c>
    </row>
    <row r="5402">
      <c r="A5402" s="4" t="n">
        <v>43567</v>
      </c>
      <c r="B5402" s="3" t="n">
        <v>259.5949689173588</v>
      </c>
    </row>
    <row r="5403">
      <c r="A5403" s="4" t="n">
        <v>43570</v>
      </c>
      <c r="B5403" s="3" t="n">
        <v>259.4307722260765</v>
      </c>
    </row>
    <row r="5404">
      <c r="A5404" s="4" t="n">
        <v>43571</v>
      </c>
      <c r="B5404" s="3" t="n">
        <v>257.6246086219709</v>
      </c>
    </row>
    <row r="5405">
      <c r="A5405" s="4" t="n">
        <v>43572</v>
      </c>
      <c r="B5405" s="3" t="n">
        <v>252.8629045747834</v>
      </c>
    </row>
    <row r="5406">
      <c r="A5406" s="4" t="n">
        <v>43573</v>
      </c>
      <c r="B5406" s="3" t="n">
        <v>261.4011325214644</v>
      </c>
    </row>
    <row r="5407">
      <c r="A5407" s="4" t="n">
        <v>43577</v>
      </c>
      <c r="B5407" s="3" t="n">
        <v>260.0054606455647</v>
      </c>
    </row>
    <row r="5408">
      <c r="A5408" s="4" t="n">
        <v>43578</v>
      </c>
      <c r="B5408" s="3" t="n">
        <v>255.9826417091476</v>
      </c>
    </row>
    <row r="5409">
      <c r="A5409" s="4" t="n">
        <v>43579</v>
      </c>
      <c r="B5409" s="3" t="n">
        <v>259.3486738804353</v>
      </c>
    </row>
    <row r="5410">
      <c r="A5410" s="4" t="n">
        <v>43580</v>
      </c>
      <c r="B5410" s="3" t="n">
        <v>258.0351003501767</v>
      </c>
    </row>
    <row r="5411">
      <c r="A5411" s="4" t="n">
        <v>43581</v>
      </c>
      <c r="B5411" s="3" t="n">
        <v>256.3110350917123</v>
      </c>
    </row>
    <row r="5412">
      <c r="A5412" s="4" t="n">
        <v>43584</v>
      </c>
      <c r="B5412" s="3" t="n">
        <v>253.2733963029892</v>
      </c>
    </row>
    <row r="5413">
      <c r="A5413" s="4" t="n">
        <v>43585</v>
      </c>
      <c r="B5413" s="3" t="n">
        <v>254.4227731419655</v>
      </c>
    </row>
    <row r="5414">
      <c r="A5414" s="4" t="n">
        <v>43587</v>
      </c>
      <c r="B5414" s="3" t="n">
        <v>250.106792975655</v>
      </c>
    </row>
    <row r="5415">
      <c r="A5415" s="4" t="n">
        <v>43588</v>
      </c>
      <c r="B5415" s="3" t="n">
        <v>252.8040230959807</v>
      </c>
    </row>
    <row r="5416">
      <c r="A5416" s="4" t="n">
        <v>43591</v>
      </c>
      <c r="B5416" s="3" t="n">
        <v>248.4721080542455</v>
      </c>
    </row>
    <row r="5417">
      <c r="A5417" s="4" t="n">
        <v>43592</v>
      </c>
      <c r="B5417" s="3" t="n">
        <v>248.8807792845978</v>
      </c>
    </row>
    <row r="5418">
      <c r="A5418" s="4" t="n">
        <v>43593</v>
      </c>
      <c r="B5418" s="3" t="n">
        <v>248.9625135306684</v>
      </c>
    </row>
    <row r="5419">
      <c r="A5419" s="4" t="n">
        <v>43594</v>
      </c>
      <c r="B5419" s="3" t="n">
        <v>250.9241354363598</v>
      </c>
    </row>
    <row r="5420">
      <c r="A5420" s="4" t="n">
        <v>43595</v>
      </c>
      <c r="B5420" s="3" t="n">
        <v>247.2460943631883</v>
      </c>
    </row>
    <row r="5421">
      <c r="A5421" s="4" t="n">
        <v>43598</v>
      </c>
      <c r="B5421" s="3" t="n">
        <v>245.9383464260607</v>
      </c>
    </row>
    <row r="5422">
      <c r="A5422" s="4" t="n">
        <v>43599</v>
      </c>
      <c r="B5422" s="3" t="n">
        <v>252.7222888499102</v>
      </c>
    </row>
    <row r="5423">
      <c r="A5423" s="4" t="n">
        <v>43600</v>
      </c>
      <c r="B5423" s="3" t="n">
        <v>253.2126943263331</v>
      </c>
    </row>
    <row r="5424">
      <c r="A5424" s="4" t="n">
        <v>43601</v>
      </c>
      <c r="B5424" s="3" t="n">
        <v>246.4287519024836</v>
      </c>
    </row>
    <row r="5425">
      <c r="A5425" s="4" t="n">
        <v>43602</v>
      </c>
      <c r="B5425" s="3" t="n">
        <v>250.7606669442188</v>
      </c>
    </row>
    <row r="5426">
      <c r="A5426" s="4" t="n">
        <v>43605</v>
      </c>
      <c r="B5426" s="3" t="n">
        <v>252.2318833734874</v>
      </c>
    </row>
    <row r="5427">
      <c r="A5427" s="4" t="n">
        <v>43606</v>
      </c>
      <c r="B5427" s="3" t="n">
        <v>250.5971984520779</v>
      </c>
    </row>
    <row r="5428">
      <c r="A5428" s="4" t="n">
        <v>43607</v>
      </c>
      <c r="B5428" s="3" t="n">
        <v>246.9191573789065</v>
      </c>
    </row>
    <row r="5429">
      <c r="A5429" s="4" t="n">
        <v>43608</v>
      </c>
      <c r="B5429" s="3" t="n">
        <v>251.3328066667121</v>
      </c>
    </row>
    <row r="5430">
      <c r="A5430" s="4" t="n">
        <v>43609</v>
      </c>
      <c r="B5430" s="3" t="n">
        <v>246.5104861485541</v>
      </c>
    </row>
    <row r="5431">
      <c r="A5431" s="4" t="n">
        <v>43612</v>
      </c>
      <c r="B5431" s="3" t="n">
        <v>248.4721080542455</v>
      </c>
    </row>
    <row r="5432">
      <c r="A5432" s="4" t="n">
        <v>43613</v>
      </c>
      <c r="B5432" s="3" t="n">
        <v>247.5730313474702</v>
      </c>
    </row>
    <row r="5433">
      <c r="A5433" s="4" t="n">
        <v>43614</v>
      </c>
      <c r="B5433" s="3" t="n">
        <v>252.3136176195578</v>
      </c>
    </row>
    <row r="5434">
      <c r="A5434" s="4" t="n">
        <v>43615</v>
      </c>
      <c r="B5434" s="3" t="n">
        <v>250.5154642060074</v>
      </c>
    </row>
    <row r="5435">
      <c r="A5435" s="4" t="n">
        <v>43616</v>
      </c>
      <c r="B5435" s="3" t="n">
        <v>250.3519957138664</v>
      </c>
    </row>
    <row r="5436">
      <c r="A5436" s="4" t="n">
        <v>43619</v>
      </c>
      <c r="B5436" s="3" t="n">
        <v>250.4850903481888</v>
      </c>
    </row>
    <row r="5437">
      <c r="A5437" s="4" t="n">
        <v>43620</v>
      </c>
      <c r="B5437" s="3" t="n">
        <v>243.1870462784779</v>
      </c>
    </row>
    <row r="5438">
      <c r="A5438" s="4" t="n">
        <v>43621</v>
      </c>
      <c r="B5438" s="3" t="n">
        <v>235.9700915873194</v>
      </c>
    </row>
    <row r="5439">
      <c r="A5439" s="4" t="n">
        <v>43622</v>
      </c>
      <c r="B5439" s="3" t="n">
        <v>235.2402871803483</v>
      </c>
    </row>
    <row r="5440">
      <c r="A5440" s="4" t="n">
        <v>43623</v>
      </c>
      <c r="B5440" s="3" t="n">
        <v>234.9159296661389</v>
      </c>
    </row>
    <row r="5441">
      <c r="A5441" s="4" t="n">
        <v>43626</v>
      </c>
      <c r="B5441" s="3" t="n">
        <v>236.9431641299475</v>
      </c>
    </row>
    <row r="5442">
      <c r="A5442" s="4" t="n">
        <v>43627</v>
      </c>
      <c r="B5442" s="3" t="n">
        <v>236.6998959942904</v>
      </c>
    </row>
    <row r="5443">
      <c r="A5443" s="4" t="n">
        <v>43628</v>
      </c>
      <c r="B5443" s="3" t="n">
        <v>236.7809853728428</v>
      </c>
    </row>
    <row r="5444">
      <c r="A5444" s="4" t="n">
        <v>43629</v>
      </c>
      <c r="B5444" s="3" t="n">
        <v>239.0514879723085</v>
      </c>
    </row>
    <row r="5445">
      <c r="A5445" s="4" t="n">
        <v>43630</v>
      </c>
      <c r="B5445" s="3" t="n">
        <v>241.9707056001928</v>
      </c>
    </row>
    <row r="5446">
      <c r="A5446" s="4" t="n">
        <v>43633</v>
      </c>
      <c r="B5446" s="3" t="n">
        <v>243.8357613068967</v>
      </c>
    </row>
    <row r="5447">
      <c r="A5447" s="4" t="n">
        <v>43634</v>
      </c>
      <c r="B5447" s="3" t="n">
        <v>244.9710126066295</v>
      </c>
    </row>
    <row r="5448">
      <c r="A5448" s="4" t="n">
        <v>43635</v>
      </c>
      <c r="B5448" s="3" t="n">
        <v>245.7008170136006</v>
      </c>
    </row>
    <row r="5449">
      <c r="A5449" s="4" t="n">
        <v>43637</v>
      </c>
      <c r="B5449" s="3" t="n">
        <v>246.3495320420194</v>
      </c>
    </row>
    <row r="5450">
      <c r="A5450" s="4" t="n">
        <v>43640</v>
      </c>
      <c r="B5450" s="3" t="n">
        <v>245.1331913637342</v>
      </c>
    </row>
    <row r="5451">
      <c r="A5451" s="4" t="n">
        <v>43641</v>
      </c>
      <c r="B5451" s="3" t="n">
        <v>248.9443921556943</v>
      </c>
    </row>
    <row r="5452">
      <c r="A5452" s="4" t="n">
        <v>43642</v>
      </c>
      <c r="B5452" s="3" t="n">
        <v>249.6741965626654</v>
      </c>
    </row>
    <row r="5453">
      <c r="A5453" s="4" t="n">
        <v>43643</v>
      </c>
      <c r="B5453" s="3" t="n">
        <v>250.4040009696365</v>
      </c>
    </row>
    <row r="5454">
      <c r="A5454" s="4" t="n">
        <v>43644</v>
      </c>
      <c r="B5454" s="3" t="n">
        <v>254.3773805187014</v>
      </c>
    </row>
    <row r="5455">
      <c r="A5455" s="4" t="n">
        <v>43647</v>
      </c>
      <c r="B5455" s="3" t="n">
        <v>249.0121782541485</v>
      </c>
    </row>
    <row r="5456">
      <c r="A5456" s="4" t="n">
        <v>43648</v>
      </c>
      <c r="B5456" s="3" t="n">
        <v>246.1852479139295</v>
      </c>
    </row>
    <row r="5457">
      <c r="A5457" s="4" t="n">
        <v>43649</v>
      </c>
      <c r="B5457" s="3" t="n">
        <v>248.5275616243967</v>
      </c>
    </row>
    <row r="5458">
      <c r="A5458" s="4" t="n">
        <v>43650</v>
      </c>
      <c r="B5458" s="3" t="n">
        <v>244.892936901258</v>
      </c>
    </row>
    <row r="5459">
      <c r="A5459" s="4" t="n">
        <v>43651</v>
      </c>
      <c r="B5459" s="3" t="n">
        <v>248.0429449946449</v>
      </c>
    </row>
    <row r="5460">
      <c r="A5460" s="4" t="n">
        <v>43654</v>
      </c>
      <c r="B5460" s="3" t="n">
        <v>247.639097803185</v>
      </c>
    </row>
    <row r="5461">
      <c r="A5461" s="4" t="n">
        <v>43656</v>
      </c>
      <c r="B5461" s="3" t="n">
        <v>246.0237090373456</v>
      </c>
    </row>
    <row r="5462">
      <c r="A5462" s="4" t="n">
        <v>43657</v>
      </c>
      <c r="B5462" s="3" t="n">
        <v>245.3775535310098</v>
      </c>
    </row>
    <row r="5463">
      <c r="A5463" s="4" t="n">
        <v>43658</v>
      </c>
      <c r="B5463" s="3" t="n">
        <v>245.6198618458857</v>
      </c>
    </row>
    <row r="5464">
      <c r="A5464" s="4" t="n">
        <v>43661</v>
      </c>
      <c r="B5464" s="3" t="n">
        <v>249.5775643221923</v>
      </c>
    </row>
    <row r="5465">
      <c r="A5465" s="4" t="n">
        <v>43662</v>
      </c>
      <c r="B5465" s="3" t="n">
        <v>247.800636679769</v>
      </c>
    </row>
    <row r="5466">
      <c r="A5466" s="4" t="n">
        <v>43663</v>
      </c>
      <c r="B5466" s="3" t="n">
        <v>246.9929422968492</v>
      </c>
    </row>
    <row r="5467">
      <c r="A5467" s="4" t="n">
        <v>43664</v>
      </c>
      <c r="B5467" s="3" t="n">
        <v>246.8314034202653</v>
      </c>
    </row>
    <row r="5468">
      <c r="A5468" s="4" t="n">
        <v>43665</v>
      </c>
      <c r="B5468" s="3" t="n">
        <v>248.5275616243967</v>
      </c>
    </row>
    <row r="5469">
      <c r="A5469" s="4" t="n">
        <v>43668</v>
      </c>
      <c r="B5469" s="3" t="n">
        <v>247.2352506117252</v>
      </c>
    </row>
    <row r="5470">
      <c r="A5470" s="4" t="n">
        <v>43669</v>
      </c>
      <c r="B5470" s="3" t="n">
        <v>248.6083310626886</v>
      </c>
    </row>
    <row r="5471">
      <c r="A5471" s="4" t="n">
        <v>43670</v>
      </c>
      <c r="B5471" s="3" t="n">
        <v>244.9737063395499</v>
      </c>
    </row>
    <row r="5472">
      <c r="A5472" s="4" t="n">
        <v>43671</v>
      </c>
      <c r="B5472" s="3" t="n">
        <v>248.2852533095208</v>
      </c>
    </row>
    <row r="5473">
      <c r="A5473" s="4" t="n">
        <v>43672</v>
      </c>
      <c r="B5473" s="3" t="n">
        <v>249.4160254456084</v>
      </c>
    </row>
    <row r="5474">
      <c r="A5474" s="4" t="n">
        <v>43675</v>
      </c>
      <c r="B5474" s="3" t="n">
        <v>246.6698645436813</v>
      </c>
    </row>
    <row r="5475">
      <c r="A5475" s="4" t="n">
        <v>43676</v>
      </c>
      <c r="B5475" s="3" t="n">
        <v>248.5275616243967</v>
      </c>
    </row>
    <row r="5476">
      <c r="A5476" s="4" t="n">
        <v>43677</v>
      </c>
      <c r="B5476" s="3" t="n">
        <v>246.8314034202653</v>
      </c>
    </row>
    <row r="5477">
      <c r="A5477" s="4" t="n">
        <v>43678</v>
      </c>
      <c r="B5477" s="3" t="n">
        <v>247.4315092843311</v>
      </c>
    </row>
    <row r="5478">
      <c r="A5478" s="4" t="n">
        <v>43679</v>
      </c>
      <c r="B5478" s="3" t="n">
        <v>249.7082369412359</v>
      </c>
    </row>
    <row r="5479">
      <c r="A5479" s="4" t="n">
        <v>43682</v>
      </c>
      <c r="B5479" s="3" t="n">
        <v>248.2446263046542</v>
      </c>
    </row>
    <row r="5480">
      <c r="A5480" s="4" t="n">
        <v>43683</v>
      </c>
      <c r="B5480" s="3" t="n">
        <v>250.521353961559</v>
      </c>
    </row>
    <row r="5481">
      <c r="A5481" s="4" t="n">
        <v>43684</v>
      </c>
      <c r="B5481" s="3" t="n">
        <v>249.3016784310743</v>
      </c>
    </row>
    <row r="5482">
      <c r="A5482" s="4" t="n">
        <v>43685</v>
      </c>
      <c r="B5482" s="3" t="n">
        <v>248.6511848148158</v>
      </c>
    </row>
    <row r="5483">
      <c r="A5483" s="4" t="n">
        <v>43686</v>
      </c>
      <c r="B5483" s="3" t="n">
        <v>248.0820029005896</v>
      </c>
    </row>
    <row r="5484">
      <c r="A5484" s="4" t="n">
        <v>43689</v>
      </c>
      <c r="B5484" s="3" t="n">
        <v>249.7895486432681</v>
      </c>
    </row>
    <row r="5485">
      <c r="A5485" s="4" t="n">
        <v>43690</v>
      </c>
      <c r="B5485" s="3" t="n">
        <v>250.7652890676559</v>
      </c>
    </row>
    <row r="5486">
      <c r="A5486" s="4" t="n">
        <v>43691</v>
      </c>
      <c r="B5486" s="3" t="n">
        <v>247.9193794965249</v>
      </c>
    </row>
    <row r="5487">
      <c r="A5487" s="4" t="n">
        <v>43692</v>
      </c>
      <c r="B5487" s="3" t="n">
        <v>249.1390550270097</v>
      </c>
    </row>
    <row r="5488">
      <c r="A5488" s="4" t="n">
        <v>43693</v>
      </c>
      <c r="B5488" s="3" t="n">
        <v>250.7652890676559</v>
      </c>
    </row>
    <row r="5489">
      <c r="A5489" s="4" t="n">
        <v>43696</v>
      </c>
      <c r="B5489" s="3" t="n">
        <v>249.7895486432681</v>
      </c>
    </row>
    <row r="5490">
      <c r="A5490" s="4" t="n">
        <v>43697</v>
      </c>
      <c r="B5490" s="3" t="n">
        <v>251.2531592798499</v>
      </c>
    </row>
    <row r="5491">
      <c r="A5491" s="4" t="n">
        <v>43698</v>
      </c>
      <c r="B5491" s="3" t="n">
        <v>251.5784060879791</v>
      </c>
    </row>
    <row r="5492">
      <c r="A5492" s="4" t="n">
        <v>43699</v>
      </c>
      <c r="B5492" s="3" t="n">
        <v>252.1475880022053</v>
      </c>
    </row>
    <row r="5493">
      <c r="A5493" s="4" t="n">
        <v>43700</v>
      </c>
      <c r="B5493" s="3" t="n">
        <v>253.8551337448839</v>
      </c>
    </row>
    <row r="5494">
      <c r="A5494" s="4" t="n">
        <v>43703</v>
      </c>
      <c r="B5494" s="3" t="n">
        <v>253.6925103408192</v>
      </c>
    </row>
    <row r="5495">
      <c r="A5495" s="4" t="n">
        <v>43704</v>
      </c>
      <c r="B5495" s="3" t="n">
        <v>255.1561209774009</v>
      </c>
    </row>
    <row r="5496">
      <c r="A5496" s="4" t="n">
        <v>43705</v>
      </c>
      <c r="B5496" s="3" t="n">
        <v>256.4571082099179</v>
      </c>
    </row>
    <row r="5497">
      <c r="A5497" s="4" t="n">
        <v>43706</v>
      </c>
      <c r="B5497" s="3" t="n">
        <v>254.5869390631747</v>
      </c>
    </row>
    <row r="5498">
      <c r="A5498" s="4" t="n">
        <v>43707</v>
      </c>
      <c r="B5498" s="3" t="n">
        <v>255.4000560834978</v>
      </c>
    </row>
    <row r="5499">
      <c r="A5499" s="4" t="n">
        <v>43710</v>
      </c>
      <c r="B5499" s="3" t="n">
        <v>253.2183944853211</v>
      </c>
    </row>
    <row r="5500">
      <c r="A5500" s="4" t="n">
        <v>43711</v>
      </c>
      <c r="B5500" s="3" t="n">
        <v>255.4139296976216</v>
      </c>
    </row>
    <row r="5501">
      <c r="A5501" s="4" t="n">
        <v>43712</v>
      </c>
      <c r="B5501" s="3" t="n">
        <v>254.7634007458288</v>
      </c>
    </row>
    <row r="5502">
      <c r="A5502" s="4" t="n">
        <v>43713</v>
      </c>
      <c r="B5502" s="3" t="n">
        <v>254.8447168648029</v>
      </c>
    </row>
    <row r="5503">
      <c r="A5503" s="4" t="n">
        <v>43714</v>
      </c>
      <c r="B5503" s="3" t="n">
        <v>252.9744461283988</v>
      </c>
    </row>
    <row r="5504">
      <c r="A5504" s="4" t="n">
        <v>43717</v>
      </c>
      <c r="B5504" s="3" t="n">
        <v>253.3810267232693</v>
      </c>
    </row>
    <row r="5505">
      <c r="A5505" s="4" t="n">
        <v>43718</v>
      </c>
      <c r="B5505" s="3" t="n">
        <v>257.1215681960775</v>
      </c>
    </row>
    <row r="5506">
      <c r="A5506" s="4" t="n">
        <v>43719</v>
      </c>
      <c r="B5506" s="3" t="n">
        <v>256.7963037201811</v>
      </c>
    </row>
    <row r="5507">
      <c r="A5507" s="4" t="n">
        <v>43720</v>
      </c>
      <c r="B5507" s="3" t="n">
        <v>258.3413099806888</v>
      </c>
    </row>
    <row r="5508">
      <c r="A5508" s="4" t="n">
        <v>43721</v>
      </c>
      <c r="B5508" s="3" t="n">
        <v>255.820510292492</v>
      </c>
    </row>
    <row r="5509">
      <c r="A5509" s="4" t="n">
        <v>43724</v>
      </c>
      <c r="B5509" s="3" t="n">
        <v>257.2842004340256</v>
      </c>
    </row>
    <row r="5510">
      <c r="A5510" s="4" t="n">
        <v>43725</v>
      </c>
      <c r="B5510" s="3" t="n">
        <v>260.8621096688857</v>
      </c>
    </row>
    <row r="5511">
      <c r="A5511" s="4" t="n">
        <v>43726</v>
      </c>
      <c r="B5511" s="3" t="n">
        <v>256.7963037201811</v>
      </c>
    </row>
    <row r="5512">
      <c r="A5512" s="4" t="n">
        <v>43727</v>
      </c>
      <c r="B5512" s="3" t="n">
        <v>257.6907810288961</v>
      </c>
    </row>
    <row r="5513">
      <c r="A5513" s="4" t="n">
        <v>43728</v>
      </c>
      <c r="B5513" s="3" t="n">
        <v>254.6820846268547</v>
      </c>
    </row>
    <row r="5514">
      <c r="A5514" s="4" t="n">
        <v>43731</v>
      </c>
      <c r="B5514" s="3" t="n">
        <v>261.187374144782</v>
      </c>
    </row>
    <row r="5515">
      <c r="A5515" s="4" t="n">
        <v>43732</v>
      </c>
      <c r="B5515" s="3" t="n">
        <v>261.106058025808</v>
      </c>
    </row>
    <row r="5516">
      <c r="A5516" s="4" t="n">
        <v>43733</v>
      </c>
      <c r="B5516" s="3" t="n">
        <v>257.9347293858183</v>
      </c>
    </row>
    <row r="5517">
      <c r="A5517" s="4" t="n">
        <v>43734</v>
      </c>
      <c r="B5517" s="3" t="n">
        <v>261.3500063827302</v>
      </c>
    </row>
    <row r="5518">
      <c r="A5518" s="4" t="n">
        <v>43735</v>
      </c>
      <c r="B5518" s="3" t="n">
        <v>261.3500063827302</v>
      </c>
    </row>
    <row r="5519">
      <c r="A5519" s="4" t="n">
        <v>43738</v>
      </c>
      <c r="B5519" s="3" t="n">
        <v>263.7894899519529</v>
      </c>
    </row>
    <row r="5520">
      <c r="A5520" s="4" t="n">
        <v>43739</v>
      </c>
      <c r="B5520" s="3" t="n">
        <v>261.051402271314</v>
      </c>
    </row>
    <row r="5521">
      <c r="A5521" s="4" t="n">
        <v>43740</v>
      </c>
      <c r="B5521" s="3" t="n">
        <v>258.2244223581035</v>
      </c>
    </row>
    <row r="5522">
      <c r="A5522" s="4" t="n">
        <v>43741</v>
      </c>
      <c r="B5522" s="3" t="n">
        <v>258.951360050072</v>
      </c>
    </row>
    <row r="5523">
      <c r="A5523" s="4" t="n">
        <v>43742</v>
      </c>
      <c r="B5523" s="3" t="n">
        <v>257.7397972301247</v>
      </c>
    </row>
    <row r="5524">
      <c r="A5524" s="4" t="n">
        <v>43745</v>
      </c>
      <c r="B5524" s="3" t="n">
        <v>257.9821097941141</v>
      </c>
    </row>
    <row r="5525">
      <c r="A5525" s="4" t="n">
        <v>43746</v>
      </c>
      <c r="B5525" s="3" t="n">
        <v>259.3552143233878</v>
      </c>
    </row>
    <row r="5526">
      <c r="A5526" s="4" t="n">
        <v>43747</v>
      </c>
      <c r="B5526" s="3" t="n">
        <v>259.0321309047351</v>
      </c>
    </row>
    <row r="5527">
      <c r="A5527" s="4" t="n">
        <v>43748</v>
      </c>
      <c r="B5527" s="3" t="n">
        <v>262.8283610739033</v>
      </c>
    </row>
    <row r="5528">
      <c r="A5528" s="4" t="n">
        <v>43749</v>
      </c>
      <c r="B5528" s="3" t="n">
        <v>258.3859640674299</v>
      </c>
    </row>
    <row r="5529">
      <c r="A5529" s="4" t="n">
        <v>43752</v>
      </c>
      <c r="B5529" s="3" t="n">
        <v>264.3630073125033</v>
      </c>
    </row>
    <row r="5530">
      <c r="A5530" s="4" t="n">
        <v>43753</v>
      </c>
      <c r="B5530" s="3" t="n">
        <v>261.1321731259771</v>
      </c>
    </row>
    <row r="5531">
      <c r="A5531" s="4" t="n">
        <v>43754</v>
      </c>
      <c r="B5531" s="3" t="n">
        <v>260.7283188526613</v>
      </c>
    </row>
    <row r="5532">
      <c r="A5532" s="4" t="n">
        <v>43755</v>
      </c>
      <c r="B5532" s="3" t="n">
        <v>263.5552987658717</v>
      </c>
    </row>
    <row r="5533">
      <c r="A5533" s="4" t="n">
        <v>43756</v>
      </c>
      <c r="B5533" s="3" t="n">
        <v>265.8976535511032</v>
      </c>
    </row>
    <row r="5534">
      <c r="A5534" s="4" t="n">
        <v>43759</v>
      </c>
      <c r="B5534" s="3" t="n">
        <v>264.7668615858191</v>
      </c>
    </row>
    <row r="5535">
      <c r="A5535" s="4" t="n">
        <v>43760</v>
      </c>
      <c r="B5535" s="3" t="n">
        <v>268.5630917549873</v>
      </c>
    </row>
    <row r="5536">
      <c r="A5536" s="4" t="n">
        <v>43761</v>
      </c>
      <c r="B5536" s="3" t="n">
        <v>268.8861751736399</v>
      </c>
    </row>
    <row r="5537">
      <c r="A5537" s="4" t="n">
        <v>43762</v>
      </c>
      <c r="B5537" s="3" t="n">
        <v>263.6360696205349</v>
      </c>
    </row>
    <row r="5538">
      <c r="A5538" s="4" t="n">
        <v>43763</v>
      </c>
      <c r="B5538" s="3" t="n">
        <v>268.966946028303</v>
      </c>
    </row>
    <row r="5539">
      <c r="A5539" s="4" t="n">
        <v>43766</v>
      </c>
      <c r="B5539" s="3" t="n">
        <v>265.8976535511032</v>
      </c>
    </row>
    <row r="5540">
      <c r="A5540" s="4" t="n">
        <v>43767</v>
      </c>
      <c r="B5540" s="3" t="n">
        <v>269.6131128656083</v>
      </c>
    </row>
    <row r="5541">
      <c r="A5541" s="4" t="n">
        <v>43768</v>
      </c>
      <c r="B5541" s="3" t="n">
        <v>270.4208214122398</v>
      </c>
    </row>
    <row r="5542">
      <c r="A5542" s="4" t="n">
        <v>43769</v>
      </c>
      <c r="B5542" s="3" t="n">
        <v>275.751697820008</v>
      </c>
    </row>
    <row r="5543">
      <c r="A5543" s="4" t="n">
        <v>43770</v>
      </c>
      <c r="B5543" s="3" t="n">
        <v>273.0743763095817</v>
      </c>
    </row>
    <row r="5544">
      <c r="A5544" s="4" t="n">
        <v>43773</v>
      </c>
      <c r="B5544" s="3" t="n">
        <v>269.3700350208053</v>
      </c>
    </row>
    <row r="5545">
      <c r="A5545" s="4" t="n">
        <v>43774</v>
      </c>
      <c r="B5545" s="3" t="n">
        <v>282.979462799136</v>
      </c>
    </row>
    <row r="5546">
      <c r="A5546" s="4" t="n">
        <v>43775</v>
      </c>
      <c r="B5546" s="3" t="n">
        <v>285.7979833449442</v>
      </c>
    </row>
    <row r="5547">
      <c r="A5547" s="4" t="n">
        <v>43776</v>
      </c>
      <c r="B5547" s="3" t="n">
        <v>287.489095672429</v>
      </c>
    </row>
    <row r="5548">
      <c r="A5548" s="4" t="n">
        <v>43777</v>
      </c>
      <c r="B5548" s="3" t="n">
        <v>292.965078447142</v>
      </c>
    </row>
    <row r="5549">
      <c r="A5549" s="4" t="n">
        <v>43780</v>
      </c>
      <c r="B5549" s="3" t="n">
        <v>295.2198948837885</v>
      </c>
    </row>
    <row r="5550">
      <c r="A5550" s="4" t="n">
        <v>43781</v>
      </c>
      <c r="B5550" s="3" t="n">
        <v>296.74994889437</v>
      </c>
    </row>
    <row r="5551">
      <c r="A5551" s="4" t="n">
        <v>43782</v>
      </c>
      <c r="B5551" s="3" t="n">
        <v>307.5408561268925</v>
      </c>
    </row>
    <row r="5552">
      <c r="A5552" s="4" t="n">
        <v>43783</v>
      </c>
      <c r="B5552" s="3" t="n">
        <v>320.9086964298683</v>
      </c>
    </row>
    <row r="5553">
      <c r="A5553" s="4" t="n">
        <v>43787</v>
      </c>
      <c r="B5553" s="3" t="n">
        <v>325.6599167785162</v>
      </c>
    </row>
    <row r="5554">
      <c r="A5554" s="4" t="n">
        <v>43788</v>
      </c>
      <c r="B5554" s="3" t="n">
        <v>328.6394956412277</v>
      </c>
    </row>
    <row r="5555">
      <c r="A5555" s="4" t="n">
        <v>43789</v>
      </c>
      <c r="B5555" s="3" t="n">
        <v>327.4315582644528</v>
      </c>
    </row>
    <row r="5556">
      <c r="A5556" s="4" t="n">
        <v>43790</v>
      </c>
      <c r="B5556" s="3" t="n">
        <v>366.2466126381533</v>
      </c>
    </row>
    <row r="5557">
      <c r="A5557" s="4" t="n">
        <v>43791</v>
      </c>
      <c r="B5557" s="3" t="n">
        <v>368.5014290747998</v>
      </c>
    </row>
    <row r="5558">
      <c r="A5558" s="4" t="n">
        <v>43794</v>
      </c>
      <c r="B5558" s="3" t="n">
        <v>368.9846040255097</v>
      </c>
    </row>
    <row r="5559">
      <c r="A5559" s="4" t="n">
        <v>43795</v>
      </c>
      <c r="B5559" s="3" t="n">
        <v>368.5819582332515</v>
      </c>
    </row>
    <row r="5560">
      <c r="A5560" s="4" t="n">
        <v>43796</v>
      </c>
      <c r="B5560" s="3" t="n">
        <v>372.0447120466729</v>
      </c>
    </row>
    <row r="5561">
      <c r="A5561" s="4" t="n">
        <v>43797</v>
      </c>
      <c r="B5561" s="3" t="n">
        <v>368.7430165501547</v>
      </c>
    </row>
    <row r="5562">
      <c r="A5562" s="4" t="n">
        <v>43798</v>
      </c>
      <c r="B5562" s="3" t="n">
        <v>372.6084161558344</v>
      </c>
    </row>
    <row r="5563">
      <c r="A5563" s="4" t="n">
        <v>43801</v>
      </c>
      <c r="B5563" s="3" t="n">
        <v>359.3733514949046</v>
      </c>
    </row>
    <row r="5564">
      <c r="A5564" s="4" t="n">
        <v>43802</v>
      </c>
      <c r="B5564" s="3" t="n">
        <v>346.2005354941036</v>
      </c>
    </row>
    <row r="5565">
      <c r="A5565" s="4" t="n">
        <v>43803</v>
      </c>
      <c r="B5565" s="3" t="n">
        <v>341.5466663680722</v>
      </c>
    </row>
    <row r="5566">
      <c r="A5566" s="4" t="n">
        <v>43804</v>
      </c>
      <c r="B5566" s="3" t="n">
        <v>329.7147957086701</v>
      </c>
    </row>
    <row r="5567">
      <c r="A5567" s="4" t="n">
        <v>43805</v>
      </c>
      <c r="B5567" s="3" t="n">
        <v>333.8165108705961</v>
      </c>
    </row>
    <row r="5568">
      <c r="A5568" s="4" t="n">
        <v>43808</v>
      </c>
      <c r="B5568" s="3" t="n">
        <v>329.5570374332114</v>
      </c>
    </row>
    <row r="5569">
      <c r="A5569" s="4" t="n">
        <v>43809</v>
      </c>
      <c r="B5569" s="3" t="n">
        <v>329.6359165709408</v>
      </c>
    </row>
    <row r="5570">
      <c r="A5570" s="4" t="n">
        <v>43810</v>
      </c>
      <c r="B5570" s="3" t="n">
        <v>327.190663301331</v>
      </c>
    </row>
    <row r="5571">
      <c r="A5571" s="4" t="n">
        <v>43811</v>
      </c>
      <c r="B5571" s="3" t="n">
        <v>328.4527295050005</v>
      </c>
    </row>
    <row r="5572">
      <c r="A5572" s="4" t="n">
        <v>43812</v>
      </c>
      <c r="B5572" s="3" t="n">
        <v>341.7833037812602</v>
      </c>
    </row>
    <row r="5573">
      <c r="A5573" s="4" t="n">
        <v>43815</v>
      </c>
      <c r="B5573" s="3" t="n">
        <v>348.4091513505253</v>
      </c>
    </row>
    <row r="5574">
      <c r="A5574" s="4" t="n">
        <v>43816</v>
      </c>
      <c r="B5574" s="3" t="n">
        <v>341.4677872303428</v>
      </c>
    </row>
    <row r="5575">
      <c r="A5575" s="4" t="n">
        <v>43817</v>
      </c>
      <c r="B5575" s="3" t="n">
        <v>352.9841413388275</v>
      </c>
    </row>
    <row r="5576">
      <c r="A5576" s="4" t="n">
        <v>43818</v>
      </c>
      <c r="B5576" s="3" t="n">
        <v>322.3001567621116</v>
      </c>
    </row>
    <row r="5577">
      <c r="A5577" s="4" t="n">
        <v>43819</v>
      </c>
      <c r="B5577" s="3" t="n">
        <v>318.3561998756442</v>
      </c>
    </row>
    <row r="5578">
      <c r="A5578" s="4" t="n">
        <v>43822</v>
      </c>
      <c r="B5578" s="3" t="n">
        <v>330.6613453614223</v>
      </c>
    </row>
    <row r="5579">
      <c r="A5579" s="4" t="n">
        <v>43825</v>
      </c>
      <c r="B5579" s="3" t="n">
        <v>331.9234115650918</v>
      </c>
    </row>
    <row r="5580">
      <c r="A5580" s="4" t="n">
        <v>43826</v>
      </c>
      <c r="B5580" s="3" t="n">
        <v>313.7023307496127</v>
      </c>
    </row>
    <row r="5581">
      <c r="A5581" s="4" t="n">
        <v>43829</v>
      </c>
      <c r="B5581" s="3" t="n">
        <v>326.4807510617669</v>
      </c>
    </row>
    <row r="5582">
      <c r="A5582" s="4" t="n">
        <v>43832</v>
      </c>
      <c r="B5582" s="3" t="n">
        <v>302.9495090680487</v>
      </c>
    </row>
    <row r="5583">
      <c r="A5583" s="4" t="n">
        <v>43833</v>
      </c>
      <c r="B5583" s="3" t="n">
        <v>308.8373590758496</v>
      </c>
    </row>
    <row r="5584">
      <c r="A5584" s="4" t="n">
        <v>43836</v>
      </c>
      <c r="B5584" s="3" t="n">
        <v>308.3663310752256</v>
      </c>
    </row>
    <row r="5585">
      <c r="A5585" s="4" t="n">
        <v>43837</v>
      </c>
      <c r="B5585" s="3" t="n">
        <v>308.6803497423082</v>
      </c>
    </row>
    <row r="5586">
      <c r="A5586" s="4" t="n">
        <v>43838</v>
      </c>
      <c r="B5586" s="3" t="n">
        <v>308.8373590758496</v>
      </c>
    </row>
    <row r="5587">
      <c r="A5587" s="4" t="n">
        <v>43839</v>
      </c>
      <c r="B5587" s="3" t="n">
        <v>311.5850224128233</v>
      </c>
    </row>
    <row r="5588">
      <c r="A5588" s="4" t="n">
        <v>43840</v>
      </c>
      <c r="B5588" s="3" t="n">
        <v>308.1308170749135</v>
      </c>
    </row>
    <row r="5589">
      <c r="A5589" s="4" t="n">
        <v>43843</v>
      </c>
      <c r="B5589" s="3" t="n">
        <v>308.2093217416842</v>
      </c>
    </row>
    <row r="5590">
      <c r="A5590" s="4" t="n">
        <v>43844</v>
      </c>
      <c r="B5590" s="3" t="n">
        <v>304.5196024034623</v>
      </c>
    </row>
    <row r="5591">
      <c r="A5591" s="4" t="n">
        <v>43845</v>
      </c>
      <c r="B5591" s="3" t="n">
        <v>304.9906304040863</v>
      </c>
    </row>
    <row r="5592">
      <c r="A5592" s="4" t="n">
        <v>43846</v>
      </c>
      <c r="B5592" s="3" t="n">
        <v>301.6934343997179</v>
      </c>
    </row>
    <row r="5593">
      <c r="A5593" s="4" t="n">
        <v>43847</v>
      </c>
      <c r="B5593" s="3" t="n">
        <v>302.2429670671126</v>
      </c>
    </row>
    <row r="5594">
      <c r="A5594" s="4" t="n">
        <v>43850</v>
      </c>
      <c r="B5594" s="3" t="n">
        <v>302.3999764006539</v>
      </c>
    </row>
    <row r="5595">
      <c r="A5595" s="4" t="n">
        <v>43851</v>
      </c>
      <c r="B5595" s="3" t="n">
        <v>299.2597897298268</v>
      </c>
    </row>
    <row r="5596">
      <c r="A5596" s="4" t="n">
        <v>43852</v>
      </c>
      <c r="B5596" s="3" t="n">
        <v>304.6766117370037</v>
      </c>
    </row>
    <row r="5597">
      <c r="A5597" s="4" t="n">
        <v>43853</v>
      </c>
      <c r="B5597" s="3" t="n">
        <v>300.2018457310749</v>
      </c>
    </row>
    <row r="5598">
      <c r="A5598" s="4" t="n">
        <v>43854</v>
      </c>
      <c r="B5598" s="3" t="n">
        <v>293.6074537223379</v>
      </c>
    </row>
    <row r="5599">
      <c r="A5599" s="4" t="n">
        <v>43857</v>
      </c>
      <c r="B5599" s="3" t="n">
        <v>299.4167990633682</v>
      </c>
    </row>
    <row r="5600">
      <c r="A5600" s="4" t="n">
        <v>43858</v>
      </c>
      <c r="B5600" s="3" t="n">
        <v>297.8467057279546</v>
      </c>
    </row>
    <row r="5601">
      <c r="A5601" s="4" t="n">
        <v>43859</v>
      </c>
      <c r="B5601" s="3" t="n">
        <v>292.1943697204657</v>
      </c>
    </row>
    <row r="5602">
      <c r="A5602" s="4" t="n">
        <v>43860</v>
      </c>
      <c r="B5602" s="3" t="n">
        <v>300.0448363975336</v>
      </c>
    </row>
    <row r="5603">
      <c r="A5603" s="4" t="n">
        <v>43861</v>
      </c>
      <c r="B5603" s="3" t="n">
        <v>299.5738083969096</v>
      </c>
    </row>
    <row r="5604">
      <c r="A5604" s="4" t="n">
        <v>43864</v>
      </c>
      <c r="B5604" s="3" t="n">
        <v>308.1775659968285</v>
      </c>
    </row>
    <row r="5605">
      <c r="A5605" s="4" t="n">
        <v>43865</v>
      </c>
      <c r="B5605" s="3" t="n">
        <v>303.8580537313276</v>
      </c>
    </row>
    <row r="5606">
      <c r="A5606" s="4" t="n">
        <v>43866</v>
      </c>
      <c r="B5606" s="3" t="n">
        <v>302.9156146915819</v>
      </c>
    </row>
    <row r="5607">
      <c r="A5607" s="4" t="n">
        <v>43867</v>
      </c>
      <c r="B5607" s="3" t="n">
        <v>305.5073220508825</v>
      </c>
    </row>
    <row r="5608">
      <c r="A5608" s="4" t="n">
        <v>43868</v>
      </c>
      <c r="B5608" s="3" t="n">
        <v>306.920980610501</v>
      </c>
    </row>
    <row r="5609">
      <c r="A5609" s="4" t="n">
        <v>43871</v>
      </c>
      <c r="B5609" s="3" t="n">
        <v>307.3922001303738</v>
      </c>
    </row>
    <row r="5610">
      <c r="A5610" s="4" t="n">
        <v>43872</v>
      </c>
      <c r="B5610" s="3" t="n">
        <v>304.9575659443642</v>
      </c>
    </row>
    <row r="5611">
      <c r="A5611" s="4" t="n">
        <v>43873</v>
      </c>
      <c r="B5611" s="3" t="n">
        <v>310.2980538362563</v>
      </c>
    </row>
    <row r="5612">
      <c r="A5612" s="4" t="n">
        <v>43874</v>
      </c>
      <c r="B5612" s="3" t="n">
        <v>307.1565903704374</v>
      </c>
    </row>
    <row r="5613">
      <c r="A5613" s="4" t="n">
        <v>43875</v>
      </c>
      <c r="B5613" s="3" t="n">
        <v>308.7273221033468</v>
      </c>
    </row>
    <row r="5614">
      <c r="A5614" s="4" t="n">
        <v>43878</v>
      </c>
      <c r="B5614" s="3" t="n">
        <v>309.5126879698015</v>
      </c>
    </row>
    <row r="5615">
      <c r="A5615" s="4" t="n">
        <v>43879</v>
      </c>
      <c r="B5615" s="3" t="n">
        <v>309.5126879698015</v>
      </c>
    </row>
    <row r="5616">
      <c r="A5616" s="4" t="n">
        <v>43880</v>
      </c>
      <c r="B5616" s="3" t="n">
        <v>303.3082976248093</v>
      </c>
    </row>
    <row r="5617">
      <c r="A5617" s="4" t="n">
        <v>43881</v>
      </c>
      <c r="B5617" s="3" t="n">
        <v>318.6229320206762</v>
      </c>
    </row>
    <row r="5618">
      <c r="A5618" s="4" t="n">
        <v>43882</v>
      </c>
      <c r="B5618" s="3" t="n">
        <v>311.6331758092293</v>
      </c>
    </row>
    <row r="5619">
      <c r="A5619" s="4" t="n">
        <v>43887</v>
      </c>
      <c r="B5619" s="3" t="n">
        <v>318.5443954340307</v>
      </c>
    </row>
    <row r="5620">
      <c r="A5620" s="4" t="n">
        <v>43888</v>
      </c>
      <c r="B5620" s="3" t="n">
        <v>317.3663466343486</v>
      </c>
    </row>
    <row r="5621">
      <c r="A5621" s="4" t="n">
        <v>43889</v>
      </c>
      <c r="B5621" s="3" t="n">
        <v>316.8951271144758</v>
      </c>
    </row>
    <row r="5622">
      <c r="A5622" s="4" t="n">
        <v>43892</v>
      </c>
      <c r="B5622" s="3" t="n">
        <v>316.7246385579629</v>
      </c>
    </row>
    <row r="5623">
      <c r="A5623" s="4" t="n">
        <v>43893</v>
      </c>
      <c r="B5623" s="3" t="n">
        <v>313.544205008887</v>
      </c>
    </row>
    <row r="5624">
      <c r="A5624" s="4" t="n">
        <v>43894</v>
      </c>
      <c r="B5624" s="3" t="n">
        <v>313.3890619089321</v>
      </c>
    </row>
    <row r="5625">
      <c r="A5625" s="4" t="n">
        <v>43895</v>
      </c>
      <c r="B5625" s="3" t="n">
        <v>312.1479171092928</v>
      </c>
    </row>
    <row r="5626">
      <c r="A5626" s="4" t="n">
        <v>43896</v>
      </c>
      <c r="B5626" s="3" t="n">
        <v>315.3283506583686</v>
      </c>
    </row>
    <row r="5627">
      <c r="A5627" s="4" t="n">
        <v>43899</v>
      </c>
      <c r="B5627" s="3" t="n">
        <v>309.3553413101043</v>
      </c>
    </row>
    <row r="5628">
      <c r="A5628" s="4" t="n">
        <v>43900</v>
      </c>
      <c r="B5628" s="3" t="n">
        <v>314.4750636086166</v>
      </c>
    </row>
    <row r="5629">
      <c r="A5629" s="4" t="n">
        <v>43901</v>
      </c>
      <c r="B5629" s="3" t="n">
        <v>315.3283506583686</v>
      </c>
    </row>
    <row r="5630">
      <c r="A5630" s="4" t="n">
        <v>43902</v>
      </c>
      <c r="B5630" s="3" t="n">
        <v>317.0349247578727</v>
      </c>
    </row>
    <row r="5631">
      <c r="A5631" s="4" t="n">
        <v>43903</v>
      </c>
      <c r="B5631" s="3" t="n">
        <v>317.5779256077149</v>
      </c>
    </row>
    <row r="5632">
      <c r="A5632" s="4" t="n">
        <v>43906</v>
      </c>
      <c r="B5632" s="3" t="n">
        <v>317.5779256077149</v>
      </c>
    </row>
    <row r="5633">
      <c r="A5633" s="4" t="n">
        <v>43907</v>
      </c>
      <c r="B5633" s="3" t="n">
        <v>309.3553413101043</v>
      </c>
    </row>
    <row r="5634">
      <c r="A5634" s="4" t="n">
        <v>43908</v>
      </c>
      <c r="B5634" s="3" t="n">
        <v>290.7381693155143</v>
      </c>
    </row>
    <row r="5635">
      <c r="A5635" s="4" t="n">
        <v>43909</v>
      </c>
      <c r="B5635" s="3" t="n">
        <v>293.6083166646802</v>
      </c>
    </row>
    <row r="5636">
      <c r="A5636" s="4" t="n">
        <v>43910</v>
      </c>
      <c r="B5636" s="3" t="n">
        <v>306.9506232608031</v>
      </c>
    </row>
    <row r="5637">
      <c r="A5637" s="4" t="n">
        <v>43913</v>
      </c>
      <c r="B5637" s="3" t="n">
        <v>309.7431990599916</v>
      </c>
    </row>
    <row r="5638">
      <c r="A5638" s="4" t="n">
        <v>43914</v>
      </c>
      <c r="B5638" s="3" t="n">
        <v>302.6066164620654</v>
      </c>
    </row>
    <row r="5639">
      <c r="A5639" s="4" t="n">
        <v>43915</v>
      </c>
      <c r="B5639" s="3" t="n">
        <v>309.5104844100592</v>
      </c>
    </row>
    <row r="5640">
      <c r="A5640" s="4" t="n">
        <v>43916</v>
      </c>
      <c r="B5640" s="3" t="n">
        <v>313.1563472589997</v>
      </c>
    </row>
    <row r="5641">
      <c r="A5641" s="4" t="n">
        <v>43917</v>
      </c>
      <c r="B5641" s="3" t="n">
        <v>311.0619154096084</v>
      </c>
    </row>
    <row r="5642">
      <c r="A5642" s="4" t="n">
        <v>43920</v>
      </c>
      <c r="B5642" s="3" t="n">
        <v>314.1647774087067</v>
      </c>
    </row>
    <row r="5643">
      <c r="A5643" s="4" t="n">
        <v>43921</v>
      </c>
      <c r="B5643" s="3" t="n">
        <v>315.1732075584137</v>
      </c>
    </row>
    <row r="5644">
      <c r="A5644" s="4" t="n">
        <v>43922</v>
      </c>
      <c r="B5644" s="3" t="n">
        <v>312.4338434213553</v>
      </c>
    </row>
    <row r="5645">
      <c r="A5645" s="4" t="n">
        <v>43923</v>
      </c>
      <c r="B5645" s="3" t="n">
        <v>300.736812830211</v>
      </c>
    </row>
    <row r="5646">
      <c r="A5646" s="4" t="n">
        <v>43924</v>
      </c>
      <c r="B5646" s="3" t="n">
        <v>308.8169984359357</v>
      </c>
    </row>
    <row r="5647">
      <c r="A5647" s="4" t="n">
        <v>43927</v>
      </c>
      <c r="B5647" s="3" t="n">
        <v>309.3556774763173</v>
      </c>
    </row>
    <row r="5648">
      <c r="A5648" s="4" t="n">
        <v>43928</v>
      </c>
      <c r="B5648" s="3" t="n">
        <v>307.6626862065464</v>
      </c>
    </row>
    <row r="5649">
      <c r="A5649" s="4" t="n">
        <v>43929</v>
      </c>
      <c r="B5649" s="3" t="n">
        <v>310.5869438543326</v>
      </c>
    </row>
    <row r="5650">
      <c r="A5650" s="4" t="n">
        <v>43930</v>
      </c>
      <c r="B5650" s="3" t="n">
        <v>304.8153827073863</v>
      </c>
    </row>
    <row r="5651">
      <c r="A5651" s="4" t="n">
        <v>43934</v>
      </c>
      <c r="B5651" s="3" t="n">
        <v>311.356485340592</v>
      </c>
    </row>
    <row r="5652">
      <c r="A5652" s="4" t="n">
        <v>43935</v>
      </c>
      <c r="B5652" s="3" t="n">
        <v>306.4314198285312</v>
      </c>
    </row>
    <row r="5653">
      <c r="A5653" s="4" t="n">
        <v>43936</v>
      </c>
      <c r="B5653" s="3" t="n">
        <v>305.5079700450198</v>
      </c>
    </row>
    <row r="5654">
      <c r="A5654" s="4" t="n">
        <v>43937</v>
      </c>
      <c r="B5654" s="3" t="n">
        <v>308.6630901386838</v>
      </c>
    </row>
    <row r="5655">
      <c r="A5655" s="4" t="n">
        <v>43938</v>
      </c>
      <c r="B5655" s="3" t="n">
        <v>310.1252189625768</v>
      </c>
    </row>
    <row r="5656">
      <c r="A5656" s="4" t="n">
        <v>43941</v>
      </c>
      <c r="B5656" s="3" t="n">
        <v>302.3528499513559</v>
      </c>
    </row>
    <row r="5657">
      <c r="A5657" s="4" t="n">
        <v>43943</v>
      </c>
      <c r="B5657" s="3" t="n">
        <v>309.3556774763173</v>
      </c>
    </row>
    <row r="5658">
      <c r="A5658" s="4" t="n">
        <v>43944</v>
      </c>
      <c r="B5658" s="3" t="n">
        <v>302.7376206944857</v>
      </c>
    </row>
    <row r="5659">
      <c r="A5659" s="4" t="n">
        <v>43945</v>
      </c>
      <c r="B5659" s="3" t="n">
        <v>307.7396403551724</v>
      </c>
    </row>
    <row r="5660">
      <c r="A5660" s="4" t="n">
        <v>43948</v>
      </c>
      <c r="B5660" s="3" t="n">
        <v>307.8935486524243</v>
      </c>
    </row>
    <row r="5661">
      <c r="A5661" s="4" t="n">
        <v>43949</v>
      </c>
      <c r="B5661" s="3" t="n">
        <v>306.1236032340274</v>
      </c>
    </row>
    <row r="5662">
      <c r="A5662" s="4" t="n">
        <v>43950</v>
      </c>
      <c r="B5662" s="3" t="n">
        <v>304.2767036670047</v>
      </c>
    </row>
    <row r="5663">
      <c r="A5663" s="4" t="n">
        <v>43951</v>
      </c>
      <c r="B5663" s="3" t="n">
        <v>306.0466490854015</v>
      </c>
    </row>
    <row r="5664">
      <c r="A5664" s="4" t="n">
        <v>43955</v>
      </c>
      <c r="B5664" s="3" t="n">
        <v>307.4941645306813</v>
      </c>
    </row>
    <row r="5665">
      <c r="A5665" s="4" t="n">
        <v>43956</v>
      </c>
      <c r="B5665" s="3" t="n">
        <v>309.8730812016199</v>
      </c>
    </row>
    <row r="5666">
      <c r="A5666" s="4" t="n">
        <v>43957</v>
      </c>
      <c r="B5666" s="3" t="n">
        <v>306.8802505510842</v>
      </c>
    </row>
    <row r="5667">
      <c r="A5667" s="4" t="n">
        <v>43958</v>
      </c>
      <c r="B5667" s="3" t="n">
        <v>306.5732935612857</v>
      </c>
    </row>
    <row r="5668">
      <c r="A5668" s="4" t="n">
        <v>43959</v>
      </c>
      <c r="B5668" s="3" t="n">
        <v>308.9522102322243</v>
      </c>
    </row>
    <row r="5669">
      <c r="A5669" s="4" t="n">
        <v>43962</v>
      </c>
      <c r="B5669" s="3" t="n">
        <v>307.340686035782</v>
      </c>
    </row>
    <row r="5670">
      <c r="A5670" s="4" t="n">
        <v>43963</v>
      </c>
      <c r="B5670" s="3" t="n">
        <v>304.9617693648433</v>
      </c>
    </row>
    <row r="5671">
      <c r="A5671" s="4" t="n">
        <v>43964</v>
      </c>
      <c r="B5671" s="3" t="n">
        <v>306.8035113036346</v>
      </c>
    </row>
    <row r="5672">
      <c r="A5672" s="4" t="n">
        <v>43965</v>
      </c>
      <c r="B5672" s="3" t="n">
        <v>305.9593795816886</v>
      </c>
    </row>
    <row r="5673">
      <c r="A5673" s="4" t="n">
        <v>43966</v>
      </c>
      <c r="B5673" s="3" t="n">
        <v>299.1295865586712</v>
      </c>
    </row>
    <row r="5674">
      <c r="A5674" s="4" t="n">
        <v>43969</v>
      </c>
      <c r="B5674" s="3" t="n">
        <v>299.1295865586712</v>
      </c>
    </row>
    <row r="5675">
      <c r="A5675" s="4" t="n">
        <v>43970</v>
      </c>
      <c r="B5675" s="3" t="n">
        <v>307.7243822730302</v>
      </c>
    </row>
    <row r="5676">
      <c r="A5676" s="4" t="n">
        <v>43971</v>
      </c>
      <c r="B5676" s="3" t="n">
        <v>310.2567774388681</v>
      </c>
    </row>
    <row r="5677">
      <c r="A5677" s="4" t="n">
        <v>43972</v>
      </c>
      <c r="B5677" s="3" t="n">
        <v>310.0265596965192</v>
      </c>
    </row>
    <row r="5678">
      <c r="A5678" s="4" t="n">
        <v>43973</v>
      </c>
      <c r="B5678" s="3" t="n">
        <v>312.4054763674578</v>
      </c>
    </row>
    <row r="5679">
      <c r="A5679" s="4" t="n">
        <v>43976</v>
      </c>
      <c r="B5679" s="3" t="n">
        <v>317.1633097093351</v>
      </c>
    </row>
    <row r="5680">
      <c r="A5680" s="4" t="n">
        <v>43977</v>
      </c>
      <c r="B5680" s="3" t="n">
        <v>313.5565650792024</v>
      </c>
    </row>
    <row r="5681">
      <c r="A5681" s="4" t="n">
        <v>43978</v>
      </c>
      <c r="B5681" s="3" t="n">
        <v>315.6285247603424</v>
      </c>
    </row>
    <row r="5682">
      <c r="A5682" s="4" t="n">
        <v>43979</v>
      </c>
      <c r="B5682" s="3" t="n">
        <v>312.1752586251089</v>
      </c>
    </row>
    <row r="5683">
      <c r="A5683" s="4" t="n">
        <v>43980</v>
      </c>
      <c r="B5683" s="3" t="n">
        <v>314.247218306249</v>
      </c>
    </row>
    <row r="5684">
      <c r="A5684" s="4" t="n">
        <v>43983</v>
      </c>
      <c r="B5684" s="3" t="n">
        <v>308.2959457566545</v>
      </c>
    </row>
    <row r="5685">
      <c r="A5685" s="4" t="n">
        <v>43984</v>
      </c>
      <c r="B5685" s="3" t="n">
        <v>306.0290638025615</v>
      </c>
    </row>
    <row r="5686">
      <c r="A5686" s="4" t="n">
        <v>43985</v>
      </c>
      <c r="B5686" s="3" t="n">
        <v>307.7670066340328</v>
      </c>
    </row>
    <row r="5687">
      <c r="A5687" s="4" t="n">
        <v>43986</v>
      </c>
      <c r="B5687" s="3" t="n">
        <v>310.4872649789445</v>
      </c>
    </row>
    <row r="5688">
      <c r="A5688" s="4" t="n">
        <v>43987</v>
      </c>
      <c r="B5688" s="3" t="n">
        <v>306.2557519979708</v>
      </c>
    </row>
    <row r="5689">
      <c r="A5689" s="4" t="n">
        <v>43990</v>
      </c>
      <c r="B5689" s="3" t="n">
        <v>310.109451319929</v>
      </c>
    </row>
    <row r="5690">
      <c r="A5690" s="4" t="n">
        <v>43991</v>
      </c>
      <c r="B5690" s="3" t="n">
        <v>311.9229568832034</v>
      </c>
    </row>
    <row r="5691">
      <c r="A5691" s="4" t="n">
        <v>43992</v>
      </c>
      <c r="B5691" s="3" t="n">
        <v>311.9229568832034</v>
      </c>
    </row>
    <row r="5692">
      <c r="A5692" s="4" t="n">
        <v>43994</v>
      </c>
      <c r="B5692" s="3" t="n">
        <v>310.185014051732</v>
      </c>
    </row>
    <row r="5693">
      <c r="A5693" s="4" t="n">
        <v>43997</v>
      </c>
      <c r="B5693" s="3" t="n">
        <v>317.2879108412236</v>
      </c>
    </row>
    <row r="5694">
      <c r="A5694" s="4" t="n">
        <v>43998</v>
      </c>
      <c r="B5694" s="3" t="n">
        <v>315.2477170825399</v>
      </c>
    </row>
    <row r="5695">
      <c r="A5695" s="4" t="n">
        <v>43999</v>
      </c>
      <c r="B5695" s="3" t="n">
        <v>311.9229568832034</v>
      </c>
    </row>
    <row r="5696">
      <c r="A5696" s="4" t="n">
        <v>44000</v>
      </c>
      <c r="B5696" s="3" t="n">
        <v>320.9149219677725</v>
      </c>
    </row>
    <row r="5697">
      <c r="A5697" s="4" t="n">
        <v>44001</v>
      </c>
      <c r="B5697" s="3" t="n">
        <v>317.9679754274515</v>
      </c>
    </row>
    <row r="5698">
      <c r="A5698" s="4" t="n">
        <v>44004</v>
      </c>
      <c r="B5698" s="3" t="n">
        <v>323.4084921172749</v>
      </c>
    </row>
    <row r="5699">
      <c r="A5699" s="4" t="n">
        <v>44005</v>
      </c>
      <c r="B5699" s="3" t="n">
        <v>319.3281045999074</v>
      </c>
    </row>
    <row r="5700">
      <c r="A5700" s="4" t="n">
        <v>44006</v>
      </c>
      <c r="B5700" s="3" t="n">
        <v>330.8892025657819</v>
      </c>
    </row>
    <row r="5701">
      <c r="A5701" s="4" t="n">
        <v>44007</v>
      </c>
      <c r="B5701" s="3" t="n">
        <v>328.4711951480826</v>
      </c>
    </row>
    <row r="5702">
      <c r="A5702" s="4" t="n">
        <v>44008</v>
      </c>
      <c r="B5702" s="3" t="n">
        <v>329.9824497841446</v>
      </c>
    </row>
    <row r="5703">
      <c r="A5703" s="4" t="n">
        <v>44011</v>
      </c>
      <c r="B5703" s="3" t="n">
        <v>331.9470808110253</v>
      </c>
    </row>
    <row r="5704">
      <c r="A5704" s="4" t="n">
        <v>44012</v>
      </c>
      <c r="B5704" s="3" t="n">
        <v>330.0580125159478</v>
      </c>
    </row>
    <row r="5705">
      <c r="A5705" s="4" t="n">
        <v>44013</v>
      </c>
      <c r="B5705" s="3" t="n">
        <v>325.0825949933526</v>
      </c>
    </row>
    <row r="5706">
      <c r="A5706" s="4" t="n">
        <v>44014</v>
      </c>
      <c r="B5706" s="3" t="n">
        <v>324.7130149626643</v>
      </c>
    </row>
    <row r="5707">
      <c r="A5707" s="4" t="n">
        <v>44015</v>
      </c>
      <c r="B5707" s="3" t="n">
        <v>326.634831122243</v>
      </c>
    </row>
    <row r="5708">
      <c r="A5708" s="4" t="n">
        <v>44018</v>
      </c>
      <c r="B5708" s="3" t="n">
        <v>326.634831122243</v>
      </c>
    </row>
    <row r="5709">
      <c r="A5709" s="4" t="n">
        <v>44019</v>
      </c>
      <c r="B5709" s="3" t="n">
        <v>324.565182950389</v>
      </c>
    </row>
    <row r="5710">
      <c r="A5710" s="4" t="n">
        <v>44020</v>
      </c>
      <c r="B5710" s="3" t="n">
        <v>323.3825268521867</v>
      </c>
    </row>
    <row r="5711">
      <c r="A5711" s="4" t="n">
        <v>44021</v>
      </c>
      <c r="B5711" s="3" t="n">
        <v>323.1607788337738</v>
      </c>
    </row>
    <row r="5712">
      <c r="A5712" s="4" t="n">
        <v>44022</v>
      </c>
      <c r="B5712" s="3" t="n">
        <v>323.1607788337738</v>
      </c>
    </row>
    <row r="5713">
      <c r="A5713" s="4" t="n">
        <v>44025</v>
      </c>
      <c r="B5713" s="3" t="n">
        <v>322.1998707539844</v>
      </c>
    </row>
    <row r="5714">
      <c r="A5714" s="4" t="n">
        <v>44026</v>
      </c>
      <c r="B5714" s="3" t="n">
        <v>328.0392352388582</v>
      </c>
    </row>
    <row r="5715">
      <c r="A5715" s="4" t="n">
        <v>44027</v>
      </c>
      <c r="B5715" s="3" t="n">
        <v>322.0520387417092</v>
      </c>
    </row>
    <row r="5716">
      <c r="A5716" s="4" t="n">
        <v>44028</v>
      </c>
      <c r="B5716" s="3" t="n">
        <v>328.5566472818218</v>
      </c>
    </row>
    <row r="5717">
      <c r="A5717" s="4" t="n">
        <v>44029</v>
      </c>
      <c r="B5717" s="3" t="n">
        <v>329.0001433186476</v>
      </c>
    </row>
    <row r="5718">
      <c r="A5718" s="4" t="n">
        <v>44032</v>
      </c>
      <c r="B5718" s="3" t="n">
        <v>318.2823224286894</v>
      </c>
    </row>
    <row r="5719">
      <c r="A5719" s="4" t="n">
        <v>44033</v>
      </c>
      <c r="B5719" s="3" t="n">
        <v>326.9304951467936</v>
      </c>
    </row>
    <row r="5720">
      <c r="A5720" s="4" t="n">
        <v>44034</v>
      </c>
      <c r="B5720" s="3" t="n">
        <v>327.66965520817</v>
      </c>
    </row>
    <row r="5721">
      <c r="A5721" s="4" t="n">
        <v>44035</v>
      </c>
      <c r="B5721" s="3" t="n">
        <v>328.7783953002346</v>
      </c>
    </row>
    <row r="5722">
      <c r="A5722" s="4" t="n">
        <v>44036</v>
      </c>
      <c r="B5722" s="3" t="n">
        <v>330.3306314291252</v>
      </c>
    </row>
    <row r="5723">
      <c r="A5723" s="4" t="n">
        <v>44039</v>
      </c>
      <c r="B5723" s="3" t="n">
        <v>324.7130149626643</v>
      </c>
    </row>
    <row r="5724">
      <c r="A5724" s="4" t="n">
        <v>44040</v>
      </c>
      <c r="B5724" s="3" t="n">
        <v>334.6916757912461</v>
      </c>
    </row>
    <row r="5725">
      <c r="A5725" s="4" t="n">
        <v>44041</v>
      </c>
      <c r="B5725" s="3" t="n">
        <v>334.9873398157966</v>
      </c>
    </row>
    <row r="5726">
      <c r="A5726" s="4" t="n">
        <v>44042</v>
      </c>
      <c r="B5726" s="3" t="n">
        <v>335.5786678648977</v>
      </c>
    </row>
    <row r="5727">
      <c r="A5727" s="4" t="n">
        <v>44043</v>
      </c>
      <c r="B5727" s="3" t="n">
        <v>337.5004840244765</v>
      </c>
    </row>
    <row r="5728">
      <c r="A5728" s="4" t="n">
        <v>44046</v>
      </c>
      <c r="B5728" s="3" t="n">
        <v>327.7668660708171</v>
      </c>
    </row>
    <row r="5729">
      <c r="A5729" s="4" t="n">
        <v>44047</v>
      </c>
      <c r="B5729" s="3" t="n">
        <v>326.3999717654296</v>
      </c>
    </row>
    <row r="5730">
      <c r="A5730" s="4" t="n">
        <v>44048</v>
      </c>
      <c r="B5730" s="3" t="n">
        <v>325.536670098869</v>
      </c>
    </row>
    <row r="5731">
      <c r="A5731" s="4" t="n">
        <v>44049</v>
      </c>
      <c r="B5731" s="3" t="n">
        <v>327.1913316264434</v>
      </c>
    </row>
    <row r="5732">
      <c r="A5732" s="4" t="n">
        <v>44050</v>
      </c>
      <c r="B5732" s="3" t="n">
        <v>324.3856012101216</v>
      </c>
    </row>
    <row r="5733">
      <c r="A5733" s="4" t="n">
        <v>44053</v>
      </c>
      <c r="B5733" s="3" t="n">
        <v>328.774051348471</v>
      </c>
    </row>
    <row r="5734">
      <c r="A5734" s="4" t="n">
        <v>44054</v>
      </c>
      <c r="B5734" s="3" t="n">
        <v>326.9035644042565</v>
      </c>
    </row>
    <row r="5735">
      <c r="A5735" s="4" t="n">
        <v>44055</v>
      </c>
      <c r="B5735" s="3" t="n">
        <v>325.6086119044158</v>
      </c>
    </row>
    <row r="5736">
      <c r="A5736" s="4" t="n">
        <v>44056</v>
      </c>
      <c r="B5736" s="3" t="n">
        <v>327.8388078763638</v>
      </c>
    </row>
    <row r="5737">
      <c r="A5737" s="4" t="n">
        <v>44057</v>
      </c>
      <c r="B5737" s="3" t="n">
        <v>323.3784159324677</v>
      </c>
    </row>
    <row r="5738">
      <c r="A5738" s="4" t="n">
        <v>44060</v>
      </c>
      <c r="B5738" s="3" t="n">
        <v>327.1913316264434</v>
      </c>
    </row>
    <row r="5739">
      <c r="A5739" s="4" t="n">
        <v>44061</v>
      </c>
      <c r="B5739" s="3" t="n">
        <v>325.4647282933223</v>
      </c>
    </row>
    <row r="5740">
      <c r="A5740" s="4" t="n">
        <v>44062</v>
      </c>
      <c r="B5740" s="3" t="n">
        <v>326.9035644042565</v>
      </c>
    </row>
    <row r="5741">
      <c r="A5741" s="4" t="n">
        <v>44063</v>
      </c>
      <c r="B5741" s="3" t="n">
        <v>324.0258921823881</v>
      </c>
    </row>
    <row r="5742">
      <c r="A5742" s="4" t="n">
        <v>44064</v>
      </c>
      <c r="B5742" s="3" t="n">
        <v>329.8531784316717</v>
      </c>
    </row>
    <row r="5743">
      <c r="A5743" s="4" t="n">
        <v>44067</v>
      </c>
      <c r="B5743" s="3" t="n">
        <v>330.1409456538585</v>
      </c>
    </row>
    <row r="5744">
      <c r="A5744" s="4" t="n">
        <v>44068</v>
      </c>
      <c r="B5744" s="3" t="n">
        <v>328.9179349595644</v>
      </c>
    </row>
    <row r="5745">
      <c r="A5745" s="4" t="n">
        <v>44069</v>
      </c>
      <c r="B5745" s="3" t="n">
        <v>327.8388078763638</v>
      </c>
    </row>
    <row r="5746">
      <c r="A5746" s="4" t="n">
        <v>44070</v>
      </c>
      <c r="B5746" s="3" t="n">
        <v>337.0473589863428</v>
      </c>
    </row>
    <row r="5747">
      <c r="A5747" s="4" t="n">
        <v>44071</v>
      </c>
      <c r="B5747" s="3" t="n">
        <v>340.500565652585</v>
      </c>
    </row>
    <row r="5748">
      <c r="A5748" s="4" t="n">
        <v>44074</v>
      </c>
      <c r="B5748" s="3" t="n">
        <v>341.8674599579725</v>
      </c>
    </row>
    <row r="5749">
      <c r="A5749" s="4" t="n">
        <v>44075</v>
      </c>
      <c r="B5749" s="3" t="n">
        <v>327.6450600040072</v>
      </c>
    </row>
    <row r="5750">
      <c r="A5750" s="4" t="n">
        <v>44076</v>
      </c>
      <c r="B5750" s="3" t="n">
        <v>329.5066796631208</v>
      </c>
    </row>
    <row r="5751">
      <c r="A5751" s="4" t="n">
        <v>44077</v>
      </c>
      <c r="B5751" s="3" t="n">
        <v>330.7477594358633</v>
      </c>
    </row>
    <row r="5752">
      <c r="A5752" s="4" t="n">
        <v>44078</v>
      </c>
      <c r="B5752" s="3" t="n">
        <v>331.5751459510249</v>
      </c>
    </row>
    <row r="5753">
      <c r="A5753" s="4" t="n">
        <v>44082</v>
      </c>
      <c r="B5753" s="3" t="n">
        <v>336.3326184132043</v>
      </c>
    </row>
    <row r="5754">
      <c r="A5754" s="4" t="n">
        <v>44083</v>
      </c>
      <c r="B5754" s="3" t="n">
        <v>340.7453464940663</v>
      </c>
    </row>
    <row r="5755">
      <c r="A5755" s="4" t="n">
        <v>44084</v>
      </c>
      <c r="B5755" s="3" t="n">
        <v>341.2279886279106</v>
      </c>
    </row>
    <row r="5756">
      <c r="A5756" s="4" t="n">
        <v>44085</v>
      </c>
      <c r="B5756" s="3" t="n">
        <v>338.7458290824258</v>
      </c>
    </row>
    <row r="5757">
      <c r="A5757" s="4" t="n">
        <v>44088</v>
      </c>
      <c r="B5757" s="3" t="n">
        <v>342.8138127819704</v>
      </c>
    </row>
    <row r="5758">
      <c r="A5758" s="4" t="n">
        <v>44089</v>
      </c>
      <c r="B5758" s="3" t="n">
        <v>341.2969375041741</v>
      </c>
    </row>
    <row r="5759">
      <c r="A5759" s="4" t="n">
        <v>44090</v>
      </c>
      <c r="B5759" s="3" t="n">
        <v>345.98546109009</v>
      </c>
    </row>
    <row r="5760">
      <c r="A5760" s="4" t="n">
        <v>44091</v>
      </c>
      <c r="B5760" s="3" t="n">
        <v>345.4338700799823</v>
      </c>
    </row>
    <row r="5761">
      <c r="A5761" s="4" t="n">
        <v>44092</v>
      </c>
      <c r="B5761" s="3" t="n">
        <v>341.9864262668088</v>
      </c>
    </row>
    <row r="5762">
      <c r="A5762" s="4" t="n">
        <v>44095</v>
      </c>
      <c r="B5762" s="3" t="n">
        <v>344.5375346885572</v>
      </c>
    </row>
    <row r="5763">
      <c r="A5763" s="4" t="n">
        <v>44096</v>
      </c>
      <c r="B5763" s="3" t="n">
        <v>346.5370521001978</v>
      </c>
    </row>
    <row r="5764">
      <c r="A5764" s="4" t="n">
        <v>44097</v>
      </c>
      <c r="B5764" s="3" t="n">
        <v>350.536086923479</v>
      </c>
    </row>
    <row r="5765">
      <c r="A5765" s="4" t="n">
        <v>44098</v>
      </c>
      <c r="B5765" s="3" t="n">
        <v>348.2607740067846</v>
      </c>
    </row>
    <row r="5766">
      <c r="A5766" s="4" t="n">
        <v>44099</v>
      </c>
      <c r="B5766" s="3" t="n">
        <v>352.5356043351197</v>
      </c>
    </row>
    <row r="5767">
      <c r="A5767" s="4" t="n">
        <v>44102</v>
      </c>
      <c r="B5767" s="3" t="n">
        <v>352.6045532113831</v>
      </c>
    </row>
    <row r="5768">
      <c r="A5768" s="4" t="n">
        <v>44103</v>
      </c>
      <c r="B5768" s="3" t="n">
        <v>353.0182464689639</v>
      </c>
    </row>
    <row r="5769">
      <c r="A5769" s="4" t="n">
        <v>44104</v>
      </c>
      <c r="B5769" s="3" t="n">
        <v>353.9835307366525</v>
      </c>
    </row>
    <row r="5770">
      <c r="A5770" s="4" t="n">
        <v>44105</v>
      </c>
      <c r="B5770" s="3" t="n">
        <v>343.0364823397527</v>
      </c>
    </row>
    <row r="5771">
      <c r="A5771" s="4" t="n">
        <v>44106</v>
      </c>
      <c r="B5771" s="3" t="n">
        <v>344.7062471486495</v>
      </c>
    </row>
    <row r="5772">
      <c r="A5772" s="4" t="n">
        <v>44109</v>
      </c>
      <c r="B5772" s="3" t="n">
        <v>344.2387130021584</v>
      </c>
    </row>
    <row r="5773">
      <c r="A5773" s="4" t="n">
        <v>44110</v>
      </c>
      <c r="B5773" s="3" t="n">
        <v>338.6950938366211</v>
      </c>
    </row>
    <row r="5774">
      <c r="A5774" s="4" t="n">
        <v>44111</v>
      </c>
      <c r="B5774" s="3" t="n">
        <v>344.6394565562936</v>
      </c>
    </row>
    <row r="5775">
      <c r="A5775" s="4" t="n">
        <v>44112</v>
      </c>
      <c r="B5775" s="3" t="n">
        <v>341.0327645690766</v>
      </c>
    </row>
    <row r="5776">
      <c r="A5776" s="4" t="n">
        <v>44113</v>
      </c>
      <c r="B5776" s="3" t="n">
        <v>349.4483792059163</v>
      </c>
    </row>
    <row r="5777">
      <c r="A5777" s="4" t="n">
        <v>44117</v>
      </c>
      <c r="B5777" s="3" t="n">
        <v>349.8491227600515</v>
      </c>
    </row>
    <row r="5778">
      <c r="A5778" s="4" t="n">
        <v>44118</v>
      </c>
      <c r="B5778" s="3" t="n">
        <v>351.7860499383718</v>
      </c>
    </row>
    <row r="5779">
      <c r="A5779" s="4" t="n">
        <v>44119</v>
      </c>
      <c r="B5779" s="3" t="n">
        <v>349.2480074288487</v>
      </c>
    </row>
    <row r="5780">
      <c r="A5780" s="4" t="n">
        <v>44120</v>
      </c>
      <c r="B5780" s="3" t="n">
        <v>352.1867934925069</v>
      </c>
    </row>
    <row r="5781">
      <c r="A5781" s="4" t="n">
        <v>44123</v>
      </c>
      <c r="B5781" s="3" t="n">
        <v>353.0550711931333</v>
      </c>
    </row>
    <row r="5782">
      <c r="A5782" s="4" t="n">
        <v>44124</v>
      </c>
      <c r="B5782" s="3" t="n">
        <v>355.9270666644358</v>
      </c>
    </row>
    <row r="5783">
      <c r="A5783" s="4" t="n">
        <v>44125</v>
      </c>
      <c r="B5783" s="3" t="n">
        <v>358.9326433204499</v>
      </c>
    </row>
    <row r="5784">
      <c r="A5784" s="4" t="n">
        <v>44126</v>
      </c>
      <c r="B5784" s="3" t="n">
        <v>360.2016645752115</v>
      </c>
    </row>
    <row r="5785">
      <c r="A5785" s="4" t="n">
        <v>44127</v>
      </c>
      <c r="B5785" s="3" t="n">
        <v>359.466968059297</v>
      </c>
    </row>
    <row r="5786">
      <c r="A5786" s="4" t="n">
        <v>44130</v>
      </c>
      <c r="B5786" s="3" t="n">
        <v>361.3371046452613</v>
      </c>
    </row>
    <row r="5787">
      <c r="A5787" s="4" t="n">
        <v>44131</v>
      </c>
      <c r="B5787" s="3" t="n">
        <v>366.9475144031545</v>
      </c>
    </row>
    <row r="5788">
      <c r="A5788" s="4" t="n">
        <v>44132</v>
      </c>
      <c r="B5788" s="3" t="n">
        <v>359.0662245051617</v>
      </c>
    </row>
    <row r="5789">
      <c r="A5789" s="4" t="n">
        <v>44133</v>
      </c>
      <c r="B5789" s="3" t="n">
        <v>368.1497450655602</v>
      </c>
    </row>
    <row r="5790">
      <c r="A5790" s="4" t="n">
        <v>44134</v>
      </c>
      <c r="B5790" s="3" t="n">
        <v>371.8900182374888</v>
      </c>
    </row>
    <row r="5791">
      <c r="A5791" s="4" t="n">
        <v>44138</v>
      </c>
      <c r="B5791" s="3" t="n">
        <v>358.2130388481532</v>
      </c>
    </row>
    <row r="5792">
      <c r="A5792" s="4" t="n">
        <v>44139</v>
      </c>
      <c r="B5792" s="3" t="n">
        <v>359.1184337829562</v>
      </c>
    </row>
    <row r="5793">
      <c r="A5793" s="4" t="n">
        <v>44140</v>
      </c>
      <c r="B5793" s="3" t="n">
        <v>362.0286317876803</v>
      </c>
    </row>
    <row r="5794">
      <c r="A5794" s="4" t="n">
        <v>44141</v>
      </c>
      <c r="B5794" s="3" t="n">
        <v>372.3113314043723</v>
      </c>
    </row>
    <row r="5795">
      <c r="A5795" s="4" t="n">
        <v>44144</v>
      </c>
      <c r="B5795" s="3" t="n">
        <v>371.5352786031125</v>
      </c>
    </row>
    <row r="5796">
      <c r="A5796" s="4" t="n">
        <v>44145</v>
      </c>
      <c r="B5796" s="3" t="n">
        <v>372.5053446046872</v>
      </c>
    </row>
    <row r="5797">
      <c r="A5797" s="4" t="n">
        <v>44146</v>
      </c>
      <c r="B5797" s="3" t="n">
        <v>377.679029946419</v>
      </c>
    </row>
    <row r="5798">
      <c r="A5798" s="4" t="n">
        <v>44147</v>
      </c>
      <c r="B5798" s="3" t="n">
        <v>373.2167263391753</v>
      </c>
    </row>
    <row r="5799">
      <c r="A5799" s="4" t="n">
        <v>44148</v>
      </c>
      <c r="B5799" s="3" t="n">
        <v>377.4203456793323</v>
      </c>
    </row>
    <row r="5800">
      <c r="A5800" s="4" t="n">
        <v>44151</v>
      </c>
      <c r="B5800" s="3" t="n">
        <v>375.8035690100412</v>
      </c>
    </row>
    <row r="5801">
      <c r="A5801" s="4" t="n">
        <v>44152</v>
      </c>
      <c r="B5801" s="3" t="n">
        <v>369.2071201993332</v>
      </c>
    </row>
    <row r="5802">
      <c r="A5802" s="4" t="n">
        <v>44153</v>
      </c>
      <c r="B5802" s="3" t="n">
        <v>364.9388297924045</v>
      </c>
    </row>
    <row r="5803">
      <c r="A5803" s="4" t="n">
        <v>44154</v>
      </c>
      <c r="B5803" s="3" t="n">
        <v>372.0526471372856</v>
      </c>
    </row>
    <row r="5804">
      <c r="A5804" s="4" t="n">
        <v>44155</v>
      </c>
      <c r="B5804" s="3" t="n">
        <v>371.2765943360259</v>
      </c>
    </row>
    <row r="5805">
      <c r="A5805" s="4" t="n">
        <v>44158</v>
      </c>
      <c r="B5805" s="3" t="n">
        <v>374.7041608749232</v>
      </c>
    </row>
    <row r="5806">
      <c r="A5806" s="4" t="n">
        <v>44159</v>
      </c>
      <c r="B5806" s="3" t="n">
        <v>371.0825811357109</v>
      </c>
    </row>
    <row r="5807">
      <c r="A5807" s="4" t="n">
        <v>44160</v>
      </c>
      <c r="B5807" s="3" t="n">
        <v>359.9591576509877</v>
      </c>
    </row>
    <row r="5808">
      <c r="A5808" s="4" t="n">
        <v>44161</v>
      </c>
      <c r="B5808" s="3" t="n">
        <v>368.9484359322466</v>
      </c>
    </row>
    <row r="5809">
      <c r="A5809" s="4" t="n">
        <v>44162</v>
      </c>
      <c r="B5809" s="3" t="n">
        <v>361.8992896541371</v>
      </c>
    </row>
    <row r="5810">
      <c r="A5810" s="4" t="n">
        <v>44165</v>
      </c>
      <c r="B5810" s="3" t="n">
        <v>367.0083039290972</v>
      </c>
    </row>
    <row r="5811">
      <c r="A5811" s="4" t="n">
        <v>44166</v>
      </c>
      <c r="B5811" s="3" t="n">
        <v>347.959406819733</v>
      </c>
    </row>
    <row r="5812">
      <c r="A5812" s="4" t="n">
        <v>44167</v>
      </c>
      <c r="B5812" s="3" t="n">
        <v>351.4185025429041</v>
      </c>
    </row>
    <row r="5813">
      <c r="A5813" s="4" t="n">
        <v>44168</v>
      </c>
      <c r="B5813" s="3" t="n">
        <v>352.7637064352484</v>
      </c>
    </row>
    <row r="5814">
      <c r="A5814" s="4" t="n">
        <v>44169</v>
      </c>
      <c r="B5814" s="3" t="n">
        <v>347.1907188812505</v>
      </c>
    </row>
    <row r="5815">
      <c r="A5815" s="4" t="n">
        <v>44172</v>
      </c>
      <c r="B5815" s="3" t="n">
        <v>346.2298589581474</v>
      </c>
    </row>
    <row r="5816">
      <c r="A5816" s="4" t="n">
        <v>44173</v>
      </c>
      <c r="B5816" s="3" t="n">
        <v>341.8099033118732</v>
      </c>
    </row>
    <row r="5817">
      <c r="A5817" s="4" t="n">
        <v>44174</v>
      </c>
      <c r="B5817" s="3" t="n">
        <v>339.8881834656671</v>
      </c>
    </row>
    <row r="5818">
      <c r="A5818" s="4" t="n">
        <v>44175</v>
      </c>
      <c r="B5818" s="3" t="n">
        <v>336.9415463681509</v>
      </c>
    </row>
    <row r="5819">
      <c r="A5819" s="4" t="n">
        <v>44176</v>
      </c>
      <c r="B5819" s="3" t="n">
        <v>336.9415463681509</v>
      </c>
    </row>
    <row r="5820">
      <c r="A5820" s="4" t="n">
        <v>44179</v>
      </c>
      <c r="B5820" s="3" t="n">
        <v>332.7137627064973</v>
      </c>
    </row>
    <row r="5821">
      <c r="A5821" s="4" t="n">
        <v>44180</v>
      </c>
      <c r="B5821" s="3" t="n">
        <v>336.365030414289</v>
      </c>
    </row>
    <row r="5822">
      <c r="A5822" s="4" t="n">
        <v>44181</v>
      </c>
      <c r="B5822" s="3" t="n">
        <v>339.6960114810464</v>
      </c>
    </row>
    <row r="5823">
      <c r="A5823" s="4" t="n">
        <v>44182</v>
      </c>
      <c r="B5823" s="3" t="n">
        <v>331.816960111601</v>
      </c>
    </row>
    <row r="5824">
      <c r="A5824" s="4" t="n">
        <v>44183</v>
      </c>
      <c r="B5824" s="3" t="n">
        <v>327.0767178242925</v>
      </c>
    </row>
    <row r="5825">
      <c r="A5825" s="4" t="n">
        <v>44186</v>
      </c>
      <c r="B5825" s="3" t="n">
        <v>334.5714252244965</v>
      </c>
    </row>
    <row r="5826">
      <c r="A5826" s="4" t="n">
        <v>44187</v>
      </c>
      <c r="B5826" s="3" t="n">
        <v>336.6853170553234</v>
      </c>
    </row>
    <row r="5827">
      <c r="A5827" s="4" t="n">
        <v>44188</v>
      </c>
      <c r="B5827" s="3" t="n">
        <v>341.1693300298045</v>
      </c>
    </row>
    <row r="5828">
      <c r="A5828" s="4" t="n">
        <v>44193</v>
      </c>
      <c r="B5828" s="3" t="n">
        <v>346.2939162863543</v>
      </c>
    </row>
    <row r="5829">
      <c r="A5829" s="4" t="n">
        <v>44194</v>
      </c>
      <c r="B5829" s="3" t="n">
        <v>349.1124387274567</v>
      </c>
    </row>
    <row r="5830">
      <c r="A5830" s="4" t="n">
        <v>44195</v>
      </c>
      <c r="B5830" s="3" t="n">
        <v>342.2583046093213</v>
      </c>
    </row>
    <row r="5831">
      <c r="A5831" s="4" t="n">
        <v>44200</v>
      </c>
      <c r="B5831" s="3" t="n">
        <v>341.8415502417494</v>
      </c>
    </row>
    <row r="5832">
      <c r="A5832" s="4" t="n">
        <v>44201</v>
      </c>
      <c r="B5832" s="3" t="n">
        <v>345.8382362511524</v>
      </c>
    </row>
    <row r="5833">
      <c r="A5833" s="4" t="n">
        <v>44202</v>
      </c>
      <c r="B5833" s="3" t="n">
        <v>347.5867863802662</v>
      </c>
    </row>
    <row r="5834">
      <c r="A5834" s="4" t="n">
        <v>44203</v>
      </c>
      <c r="B5834" s="3" t="n">
        <v>349.8349222605554</v>
      </c>
    </row>
    <row r="5835">
      <c r="A5835" s="4" t="n">
        <v>44204</v>
      </c>
      <c r="B5835" s="3" t="n">
        <v>349.0855436337923</v>
      </c>
    </row>
    <row r="5836">
      <c r="A5836" s="4" t="n">
        <v>44207</v>
      </c>
      <c r="B5836" s="3" t="n">
        <v>355.5801583990722</v>
      </c>
    </row>
    <row r="5837">
      <c r="A5837" s="4" t="n">
        <v>44208</v>
      </c>
      <c r="B5837" s="3" t="n">
        <v>354.6434351156183</v>
      </c>
    </row>
    <row r="5838">
      <c r="A5838" s="4" t="n">
        <v>44209</v>
      </c>
      <c r="B5838" s="3" t="n">
        <v>357.1413638714952</v>
      </c>
    </row>
    <row r="5839">
      <c r="A5839" s="4" t="n">
        <v>44210</v>
      </c>
      <c r="B5839" s="3" t="n">
        <v>362.4494624777335</v>
      </c>
    </row>
    <row r="5840">
      <c r="A5840" s="4" t="n">
        <v>44211</v>
      </c>
      <c r="B5840" s="3" t="n">
        <v>359.5768444084752</v>
      </c>
    </row>
    <row r="5841">
      <c r="A5841" s="4" t="n">
        <v>44214</v>
      </c>
      <c r="B5841" s="3" t="n">
        <v>361.8249802887643</v>
      </c>
    </row>
    <row r="5842">
      <c r="A5842" s="4" t="n">
        <v>44215</v>
      </c>
      <c r="B5842" s="3" t="n">
        <v>365.1347358903012</v>
      </c>
    </row>
    <row r="5843">
      <c r="A5843" s="4" t="n">
        <v>44216</v>
      </c>
      <c r="B5843" s="3" t="n">
        <v>367.9449057406627</v>
      </c>
    </row>
    <row r="5844">
      <c r="A5844" s="4" t="n">
        <v>44217</v>
      </c>
      <c r="B5844" s="3" t="n">
        <v>371.0048684666118</v>
      </c>
    </row>
    <row r="5845">
      <c r="A5845" s="4" t="n">
        <v>44218</v>
      </c>
      <c r="B5845" s="3" t="n">
        <v>368.3820432729411</v>
      </c>
    </row>
    <row r="5846">
      <c r="A5846" s="4" t="n">
        <v>44221</v>
      </c>
      <c r="B5846" s="3" t="n">
        <v>368.3820432729411</v>
      </c>
    </row>
    <row r="5847">
      <c r="A5847" s="4" t="n">
        <v>44222</v>
      </c>
      <c r="B5847" s="3" t="n">
        <v>372.1913846256533</v>
      </c>
    </row>
    <row r="5848">
      <c r="A5848" s="4" t="n">
        <v>44223</v>
      </c>
      <c r="B5848" s="3" t="n">
        <v>372.0040399689626</v>
      </c>
    </row>
    <row r="5849">
      <c r="A5849" s="4" t="n">
        <v>44224</v>
      </c>
      <c r="B5849" s="3" t="n">
        <v>374.3146240681486</v>
      </c>
    </row>
    <row r="5850">
      <c r="A5850" s="4" t="n">
        <v>44225</v>
      </c>
      <c r="B5850" s="3" t="n">
        <v>374.5019687248395</v>
      </c>
    </row>
    <row r="5851">
      <c r="A5851" s="4" t="n">
        <v>44228</v>
      </c>
      <c r="B5851" s="3" t="n">
        <v>366.676562946627</v>
      </c>
    </row>
    <row r="5852">
      <c r="A5852" s="4" t="n">
        <v>44229</v>
      </c>
      <c r="B5852" s="3" t="n">
        <v>366.7374726746912</v>
      </c>
    </row>
    <row r="5853">
      <c r="A5853" s="4" t="n">
        <v>44230</v>
      </c>
      <c r="B5853" s="3" t="n">
        <v>367.772938051783</v>
      </c>
    </row>
    <row r="5854">
      <c r="A5854" s="4" t="n">
        <v>44231</v>
      </c>
      <c r="B5854" s="3" t="n">
        <v>365.580187841471</v>
      </c>
    </row>
    <row r="5855">
      <c r="A5855" s="4" t="n">
        <v>44232</v>
      </c>
      <c r="B5855" s="3" t="n">
        <v>367.5292991395261</v>
      </c>
    </row>
    <row r="5856">
      <c r="A5856" s="4" t="n">
        <v>44235</v>
      </c>
      <c r="B5856" s="3" t="n">
        <v>367.2856602272693</v>
      </c>
    </row>
    <row r="5857">
      <c r="A5857" s="4" t="n">
        <v>44236</v>
      </c>
      <c r="B5857" s="3" t="n">
        <v>368.1383964201683</v>
      </c>
    </row>
    <row r="5858">
      <c r="A5858" s="4" t="n">
        <v>44237</v>
      </c>
      <c r="B5858" s="3" t="n">
        <v>365.3974586572783</v>
      </c>
    </row>
    <row r="5859">
      <c r="A5859" s="4" t="n">
        <v>44238</v>
      </c>
      <c r="B5859" s="3" t="n">
        <v>366.9202018588839</v>
      </c>
    </row>
    <row r="5860">
      <c r="A5860" s="4" t="n">
        <v>44239</v>
      </c>
      <c r="B5860" s="3" t="n">
        <v>369.112952069196</v>
      </c>
    </row>
    <row r="5861">
      <c r="A5861" s="4" t="n">
        <v>44244</v>
      </c>
      <c r="B5861" s="3" t="n">
        <v>368.1993061482326</v>
      </c>
    </row>
    <row r="5862">
      <c r="A5862" s="4" t="n">
        <v>44245</v>
      </c>
      <c r="B5862" s="3" t="n">
        <v>370.0265979901593</v>
      </c>
    </row>
    <row r="5863">
      <c r="A5863" s="4" t="n">
        <v>44246</v>
      </c>
      <c r="B5863" s="3" t="n">
        <v>369.1738617972602</v>
      </c>
    </row>
    <row r="5864">
      <c r="A5864" s="4" t="n">
        <v>44249</v>
      </c>
      <c r="B5864" s="3" t="n">
        <v>368.4429450604895</v>
      </c>
    </row>
    <row r="5865">
      <c r="A5865" s="4" t="n">
        <v>44250</v>
      </c>
      <c r="B5865" s="3" t="n">
        <v>366.4329240343702</v>
      </c>
    </row>
    <row r="5866">
      <c r="A5866" s="4" t="n">
        <v>44251</v>
      </c>
      <c r="B5866" s="3" t="n">
        <v>364.8492711047003</v>
      </c>
    </row>
    <row r="5867">
      <c r="A5867" s="4" t="n">
        <v>44252</v>
      </c>
      <c r="B5867" s="3" t="n">
        <v>368.5647645166179</v>
      </c>
    </row>
    <row r="5868">
      <c r="A5868" s="4" t="n">
        <v>44253</v>
      </c>
      <c r="B5868" s="3" t="n">
        <v>369.2956812533886</v>
      </c>
    </row>
    <row r="5869">
      <c r="A5869" s="4" t="n">
        <v>44256</v>
      </c>
      <c r="B5869" s="3" t="n">
        <v>354.7900560107831</v>
      </c>
    </row>
    <row r="5870">
      <c r="A5870" s="4" t="n">
        <v>44257</v>
      </c>
      <c r="B5870" s="3" t="n">
        <v>356.801874206975</v>
      </c>
    </row>
    <row r="5871">
      <c r="A5871" s="4" t="n">
        <v>44258</v>
      </c>
      <c r="B5871" s="3" t="n">
        <v>352.8374089380087</v>
      </c>
    </row>
    <row r="5872">
      <c r="A5872" s="4" t="n">
        <v>44259</v>
      </c>
      <c r="B5872" s="3" t="n">
        <v>359.7012592544281</v>
      </c>
    </row>
    <row r="5873">
      <c r="A5873" s="4" t="n">
        <v>44260</v>
      </c>
      <c r="B5873" s="3" t="n">
        <v>356.3285052196358</v>
      </c>
    </row>
    <row r="5874">
      <c r="A5874" s="4" t="n">
        <v>44263</v>
      </c>
      <c r="B5874" s="3" t="n">
        <v>363.9024090170641</v>
      </c>
    </row>
    <row r="5875">
      <c r="A5875" s="4" t="n">
        <v>44264</v>
      </c>
      <c r="B5875" s="3" t="n">
        <v>362.304788684794</v>
      </c>
    </row>
    <row r="5876">
      <c r="A5876" s="4" t="n">
        <v>44265</v>
      </c>
      <c r="B5876" s="3" t="n">
        <v>365.4408582259168</v>
      </c>
    </row>
    <row r="5877">
      <c r="A5877" s="4" t="n">
        <v>44266</v>
      </c>
      <c r="B5877" s="3" t="n">
        <v>365.4408582259168</v>
      </c>
    </row>
    <row r="5878">
      <c r="A5878" s="4" t="n">
        <v>44267</v>
      </c>
      <c r="B5878" s="3" t="n">
        <v>367.4526764221087</v>
      </c>
    </row>
    <row r="5879">
      <c r="A5879" s="4" t="n">
        <v>44270</v>
      </c>
      <c r="B5879" s="3" t="n">
        <v>366.3875962005953</v>
      </c>
    </row>
    <row r="5880">
      <c r="A5880" s="4" t="n">
        <v>44271</v>
      </c>
      <c r="B5880" s="3" t="n">
        <v>366.7426229410997</v>
      </c>
    </row>
    <row r="5881">
      <c r="A5881" s="4" t="n">
        <v>44272</v>
      </c>
      <c r="B5881" s="3" t="n">
        <v>366.2692539537604</v>
      </c>
    </row>
    <row r="5882">
      <c r="A5882" s="4" t="n">
        <v>44273</v>
      </c>
      <c r="B5882" s="3" t="n">
        <v>371.0029438271532</v>
      </c>
    </row>
    <row r="5883">
      <c r="A5883" s="4" t="n">
        <v>44274</v>
      </c>
      <c r="B5883" s="3" t="n">
        <v>368.6360988904568</v>
      </c>
    </row>
    <row r="5884">
      <c r="A5884" s="4" t="n">
        <v>44277</v>
      </c>
      <c r="B5884" s="3" t="n">
        <v>373.014762023345</v>
      </c>
    </row>
    <row r="5885">
      <c r="A5885" s="4" t="n">
        <v>44278</v>
      </c>
      <c r="B5885" s="3" t="n">
        <v>371.3579705676576</v>
      </c>
    </row>
    <row r="5886">
      <c r="A5886" s="4" t="n">
        <v>44279</v>
      </c>
      <c r="B5886" s="3" t="n">
        <v>367.8077031626131</v>
      </c>
    </row>
    <row r="5887">
      <c r="A5887" s="4" t="n">
        <v>44280</v>
      </c>
      <c r="B5887" s="3" t="n">
        <v>373.724815504354</v>
      </c>
    </row>
    <row r="5888">
      <c r="A5888" s="4" t="n">
        <v>44281</v>
      </c>
      <c r="B5888" s="3" t="n">
        <v>372.1271951720839</v>
      </c>
    </row>
    <row r="5889">
      <c r="A5889" s="4" t="n">
        <v>44284</v>
      </c>
      <c r="B5889" s="3" t="n">
        <v>373.4881310106844</v>
      </c>
    </row>
    <row r="5890">
      <c r="A5890" s="4" t="n">
        <v>44285</v>
      </c>
      <c r="B5890" s="3" t="n">
        <v>370.5295748398139</v>
      </c>
    </row>
    <row r="5891">
      <c r="A5891" s="4" t="n">
        <v>44286</v>
      </c>
      <c r="B5891" s="3" t="n">
        <v>373.724815504354</v>
      </c>
    </row>
    <row r="5892">
      <c r="A5892" s="4" t="n">
        <v>44287</v>
      </c>
      <c r="B5892" s="3" t="n">
        <v>368.5215094075122</v>
      </c>
    </row>
    <row r="5893">
      <c r="A5893" s="4" t="n">
        <v>44291</v>
      </c>
      <c r="B5893" s="3" t="n">
        <v>370.0953912097904</v>
      </c>
    </row>
    <row r="5894">
      <c r="A5894" s="4" t="n">
        <v>44292</v>
      </c>
      <c r="B5894" s="3" t="n">
        <v>371.8441487678772</v>
      </c>
    </row>
    <row r="5895">
      <c r="A5895" s="4" t="n">
        <v>44293</v>
      </c>
      <c r="B5895" s="3" t="n">
        <v>368.7546770819237</v>
      </c>
    </row>
    <row r="5896">
      <c r="A5896" s="4" t="n">
        <v>44294</v>
      </c>
      <c r="B5896" s="3" t="n">
        <v>369.3375962679527</v>
      </c>
    </row>
    <row r="5897">
      <c r="A5897" s="4" t="n">
        <v>44295</v>
      </c>
      <c r="B5897" s="3" t="n">
        <v>372.3687760353033</v>
      </c>
    </row>
    <row r="5898">
      <c r="A5898" s="4" t="n">
        <v>44298</v>
      </c>
      <c r="B5898" s="3" t="n">
        <v>368.9295528377324</v>
      </c>
    </row>
    <row r="5899">
      <c r="A5899" s="4" t="n">
        <v>44299</v>
      </c>
      <c r="B5899" s="3" t="n">
        <v>369.2210124307469</v>
      </c>
    </row>
    <row r="5900">
      <c r="A5900" s="4" t="n">
        <v>44300</v>
      </c>
      <c r="B5900" s="3" t="n">
        <v>373.0682790585381</v>
      </c>
    </row>
    <row r="5901">
      <c r="A5901" s="4" t="n">
        <v>44301</v>
      </c>
      <c r="B5901" s="3" t="n">
        <v>372.3687760353033</v>
      </c>
    </row>
    <row r="5902">
      <c r="A5902" s="4" t="n">
        <v>44302</v>
      </c>
      <c r="B5902" s="3" t="n">
        <v>364.4410751053094</v>
      </c>
    </row>
    <row r="5903">
      <c r="A5903" s="4" t="n">
        <v>44305</v>
      </c>
      <c r="B5903" s="3" t="n">
        <v>367.7054225470716</v>
      </c>
    </row>
    <row r="5904">
      <c r="A5904" s="4" t="n">
        <v>44306</v>
      </c>
      <c r="B5904" s="3" t="n">
        <v>368.2300498144976</v>
      </c>
    </row>
    <row r="5905">
      <c r="A5905" s="4" t="n">
        <v>44308</v>
      </c>
      <c r="B5905" s="3" t="n">
        <v>369.162720512144</v>
      </c>
    </row>
    <row r="5906">
      <c r="A5906" s="4" t="n">
        <v>44309</v>
      </c>
      <c r="B5906" s="3" t="n">
        <v>367.7054225470716</v>
      </c>
    </row>
    <row r="5907">
      <c r="A5907" s="4" t="n">
        <v>44312</v>
      </c>
      <c r="B5907" s="3" t="n">
        <v>367.9385902214832</v>
      </c>
    </row>
    <row r="5908">
      <c r="A5908" s="4" t="n">
        <v>44313</v>
      </c>
      <c r="B5908" s="3" t="n">
        <v>365.3737458029557</v>
      </c>
    </row>
    <row r="5909">
      <c r="A5909" s="4" t="n">
        <v>44314</v>
      </c>
      <c r="B5909" s="3" t="n">
        <v>363.8581559192804</v>
      </c>
    </row>
    <row r="5910">
      <c r="A5910" s="4" t="n">
        <v>44315</v>
      </c>
      <c r="B5910" s="3" t="n">
        <v>365.7234973145731</v>
      </c>
    </row>
    <row r="5911">
      <c r="A5911" s="4" t="n">
        <v>44316</v>
      </c>
      <c r="B5911" s="3" t="n">
        <v>364.8491185355296</v>
      </c>
    </row>
    <row r="5912">
      <c r="A5912" s="4" t="n">
        <v>44319</v>
      </c>
      <c r="B5912" s="3" t="n">
        <v>351.8917527441131</v>
      </c>
    </row>
    <row r="5913">
      <c r="A5913" s="4" t="n">
        <v>44320</v>
      </c>
      <c r="B5913" s="3" t="n">
        <v>350.6597956212025</v>
      </c>
    </row>
    <row r="5914">
      <c r="A5914" s="4" t="n">
        <v>44321</v>
      </c>
      <c r="B5914" s="3" t="n">
        <v>344.3880139045664</v>
      </c>
    </row>
    <row r="5915">
      <c r="A5915" s="4" t="n">
        <v>44322</v>
      </c>
      <c r="B5915" s="3" t="n">
        <v>346.739932048305</v>
      </c>
    </row>
    <row r="5916">
      <c r="A5916" s="4" t="n">
        <v>44323</v>
      </c>
      <c r="B5916" s="3" t="n">
        <v>348.8118599368365</v>
      </c>
    </row>
    <row r="5917">
      <c r="A5917" s="4" t="n">
        <v>44326</v>
      </c>
      <c r="B5917" s="3" t="n">
        <v>348.7558618857951</v>
      </c>
    </row>
    <row r="5918">
      <c r="A5918" s="4" t="n">
        <v>44327</v>
      </c>
      <c r="B5918" s="3" t="n">
        <v>349.5398346003747</v>
      </c>
    </row>
    <row r="5919">
      <c r="A5919" s="4" t="n">
        <v>44328</v>
      </c>
      <c r="B5919" s="3" t="n">
        <v>344.612006108732</v>
      </c>
    </row>
    <row r="5920">
      <c r="A5920" s="4" t="n">
        <v>44329</v>
      </c>
      <c r="B5920" s="3" t="n">
        <v>349.2598443451677</v>
      </c>
    </row>
    <row r="5921">
      <c r="A5921" s="4" t="n">
        <v>44330</v>
      </c>
      <c r="B5921" s="3" t="n">
        <v>343.8280333941526</v>
      </c>
    </row>
    <row r="5922">
      <c r="A5922" s="4" t="n">
        <v>44333</v>
      </c>
      <c r="B5922" s="3" t="n">
        <v>339.5721815150067</v>
      </c>
    </row>
    <row r="5923">
      <c r="A5923" s="4" t="n">
        <v>44334</v>
      </c>
      <c r="B5923" s="3" t="n">
        <v>343.32405093478</v>
      </c>
    </row>
    <row r="5924">
      <c r="A5924" s="4" t="n">
        <v>44335</v>
      </c>
      <c r="B5924" s="3" t="n">
        <v>346.459941793098</v>
      </c>
    </row>
    <row r="5925">
      <c r="A5925" s="4" t="n">
        <v>44336</v>
      </c>
      <c r="B5925" s="3" t="n">
        <v>342.0920938118693</v>
      </c>
    </row>
    <row r="5926">
      <c r="A5926" s="4" t="n">
        <v>44337</v>
      </c>
      <c r="B5926" s="3" t="n">
        <v>349.8758229066229</v>
      </c>
    </row>
    <row r="5927">
      <c r="A5927" s="4" t="n">
        <v>44340</v>
      </c>
      <c r="B5927" s="3" t="n">
        <v>344.3880139045664</v>
      </c>
    </row>
    <row r="5928">
      <c r="A5928" s="4" t="n">
        <v>44341</v>
      </c>
      <c r="B5928" s="3" t="n">
        <v>346.0679554358083</v>
      </c>
    </row>
    <row r="5929">
      <c r="A5929" s="4" t="n">
        <v>44342</v>
      </c>
      <c r="B5929" s="3" t="n">
        <v>350.2678092639127</v>
      </c>
    </row>
    <row r="5930">
      <c r="A5930" s="4" t="n">
        <v>44343</v>
      </c>
      <c r="B5930" s="3" t="n">
        <v>352.3397371524443</v>
      </c>
    </row>
    <row r="5931">
      <c r="A5931" s="4" t="n">
        <v>44344</v>
      </c>
      <c r="B5931" s="3" t="n">
        <v>355.1396397045139</v>
      </c>
    </row>
    <row r="5932">
      <c r="A5932" s="4" t="n">
        <v>44347</v>
      </c>
      <c r="B5932" s="3" t="n">
        <v>354.0756767347274</v>
      </c>
    </row>
    <row r="5933">
      <c r="A5933" s="4" t="n">
        <v>44348</v>
      </c>
      <c r="B5933" s="3" t="n">
        <v>348.4479011055717</v>
      </c>
    </row>
    <row r="5934">
      <c r="A5934" s="4" t="n">
        <v>44349</v>
      </c>
      <c r="B5934" s="3" t="n">
        <v>342.7703154965033</v>
      </c>
    </row>
    <row r="5935">
      <c r="A5935" s="4" t="n">
        <v>44351</v>
      </c>
      <c r="B5935" s="3" t="n">
        <v>346.722360381247</v>
      </c>
    </row>
    <row r="5936">
      <c r="A5936" s="4" t="n">
        <v>44354</v>
      </c>
      <c r="B5936" s="3" t="n">
        <v>343.7165797646813</v>
      </c>
    </row>
    <row r="5937">
      <c r="A5937" s="4" t="n">
        <v>44355</v>
      </c>
      <c r="B5937" s="3" t="n">
        <v>352.5669338023469</v>
      </c>
    </row>
    <row r="5938">
      <c r="A5938" s="4" t="n">
        <v>44356</v>
      </c>
      <c r="B5938" s="3" t="n">
        <v>351.6206695341688</v>
      </c>
    </row>
    <row r="5939">
      <c r="A5939" s="4" t="n">
        <v>44357</v>
      </c>
      <c r="B5939" s="3" t="n">
        <v>353.2905476544831</v>
      </c>
    </row>
    <row r="5940">
      <c r="A5940" s="4" t="n">
        <v>44358</v>
      </c>
      <c r="B5940" s="3" t="n">
        <v>355.628377022923</v>
      </c>
    </row>
    <row r="5941">
      <c r="A5941" s="4" t="n">
        <v>44361</v>
      </c>
      <c r="B5941" s="3" t="n">
        <v>355.628377022923</v>
      </c>
    </row>
    <row r="5942">
      <c r="A5942" s="4" t="n">
        <v>44362</v>
      </c>
      <c r="B5942" s="3" t="n">
        <v>353.2905476544831</v>
      </c>
    </row>
    <row r="5943">
      <c r="A5943" s="4" t="n">
        <v>44363</v>
      </c>
      <c r="B5943" s="3" t="n">
        <v>355.8510274389648</v>
      </c>
    </row>
    <row r="5944">
      <c r="A5944" s="4" t="n">
        <v>44364</v>
      </c>
      <c r="B5944" s="3" t="n">
        <v>355.0160883788077</v>
      </c>
    </row>
    <row r="5945">
      <c r="A5945" s="4" t="n">
        <v>44365</v>
      </c>
      <c r="B5945" s="3" t="n">
        <v>357.2425925392267</v>
      </c>
    </row>
    <row r="5946">
      <c r="A5946" s="4" t="n">
        <v>44368</v>
      </c>
      <c r="B5946" s="3" t="n">
        <v>354.2924745266716</v>
      </c>
    </row>
    <row r="5947">
      <c r="A5947" s="4" t="n">
        <v>44369</v>
      </c>
      <c r="B5947" s="3" t="n">
        <v>355.7397022309439</v>
      </c>
    </row>
    <row r="5948">
      <c r="A5948" s="4" t="n">
        <v>44370</v>
      </c>
      <c r="B5948" s="3" t="n">
        <v>356.1293404590172</v>
      </c>
    </row>
    <row r="5949">
      <c r="A5949" s="4" t="n">
        <v>44371</v>
      </c>
      <c r="B5949" s="3" t="n">
        <v>355.0160883788077</v>
      </c>
    </row>
    <row r="5950">
      <c r="A5950" s="4" t="n">
        <v>44372</v>
      </c>
      <c r="B5950" s="3" t="n">
        <v>355.628377022923</v>
      </c>
    </row>
    <row r="5951">
      <c r="A5951" s="4" t="n">
        <v>44375</v>
      </c>
      <c r="B5951" s="3" t="n">
        <v>358.3558446194362</v>
      </c>
    </row>
    <row r="5952">
      <c r="A5952" s="4" t="n">
        <v>44376</v>
      </c>
      <c r="B5952" s="3" t="n">
        <v>355.8510274389648</v>
      </c>
    </row>
    <row r="5953">
      <c r="A5953" s="4" t="n">
        <v>44377</v>
      </c>
      <c r="B5953" s="3" t="n">
        <v>354.5707875467239</v>
      </c>
    </row>
    <row r="5954">
      <c r="A5954" s="4" t="n">
        <v>44378</v>
      </c>
      <c r="B5954" s="3" t="n">
        <v>349.2951304083129</v>
      </c>
    </row>
    <row r="5955">
      <c r="A5955" s="4" t="n">
        <v>44379</v>
      </c>
      <c r="B5955" s="3" t="n">
        <v>349.1294306310793</v>
      </c>
    </row>
    <row r="5956">
      <c r="A5956" s="4" t="n">
        <v>44382</v>
      </c>
      <c r="B5956" s="3" t="n">
        <v>351.2835277351154</v>
      </c>
    </row>
    <row r="5957">
      <c r="A5957" s="4" t="n">
        <v>44383</v>
      </c>
      <c r="B5957" s="3" t="n">
        <v>353.1062252846844</v>
      </c>
    </row>
    <row r="5958">
      <c r="A5958" s="4" t="n">
        <v>44384</v>
      </c>
      <c r="B5958" s="3" t="n">
        <v>352.6091259529838</v>
      </c>
    </row>
    <row r="5959">
      <c r="A5959" s="4" t="n">
        <v>44385</v>
      </c>
      <c r="B5959" s="3" t="n">
        <v>352.9405255074508</v>
      </c>
    </row>
    <row r="5960">
      <c r="A5960" s="4" t="n">
        <v>44389</v>
      </c>
      <c r="B5960" s="3" t="n">
        <v>352.5538926939059</v>
      </c>
    </row>
    <row r="5961">
      <c r="A5961" s="4" t="n">
        <v>44390</v>
      </c>
      <c r="B5961" s="3" t="n">
        <v>351.2835277351154</v>
      </c>
    </row>
    <row r="5962">
      <c r="A5962" s="4" t="n">
        <v>44391</v>
      </c>
      <c r="B5962" s="3" t="n">
        <v>354.2661237253192</v>
      </c>
    </row>
    <row r="5963">
      <c r="A5963" s="4" t="n">
        <v>44392</v>
      </c>
      <c r="B5963" s="3" t="n">
        <v>354.1004239480857</v>
      </c>
    </row>
    <row r="5964">
      <c r="A5964" s="4" t="n">
        <v>44393</v>
      </c>
      <c r="B5964" s="3" t="n">
        <v>355.5364886841098</v>
      </c>
    </row>
    <row r="5965">
      <c r="A5965" s="4" t="n">
        <v>44396</v>
      </c>
      <c r="B5965" s="3" t="n">
        <v>352.6643592120616</v>
      </c>
    </row>
    <row r="5966">
      <c r="A5966" s="4" t="n">
        <v>44397</v>
      </c>
      <c r="B5966" s="3" t="n">
        <v>352.9405255074508</v>
      </c>
    </row>
    <row r="5967">
      <c r="A5967" s="4" t="n">
        <v>44398</v>
      </c>
      <c r="B5967" s="3" t="n">
        <v>347.417199599666</v>
      </c>
    </row>
    <row r="5968">
      <c r="A5968" s="4" t="n">
        <v>44399</v>
      </c>
      <c r="B5968" s="3" t="n">
        <v>350.7311951443369</v>
      </c>
    </row>
    <row r="5969">
      <c r="A5969" s="4" t="n">
        <v>44400</v>
      </c>
      <c r="B5969" s="3" t="n">
        <v>354.1556572071636</v>
      </c>
    </row>
    <row r="5970">
      <c r="A5970" s="4" t="n">
        <v>44403</v>
      </c>
      <c r="B5970" s="3" t="n">
        <v>355.1498558705648</v>
      </c>
    </row>
    <row r="5971">
      <c r="A5971" s="4" t="n">
        <v>44404</v>
      </c>
      <c r="B5971" s="3" t="n">
        <v>350.344562330792</v>
      </c>
    </row>
    <row r="5972">
      <c r="A5972" s="4" t="n">
        <v>44405</v>
      </c>
      <c r="B5972" s="3" t="n">
        <v>350.013162776325</v>
      </c>
    </row>
    <row r="5973">
      <c r="A5973" s="4" t="n">
        <v>44406</v>
      </c>
      <c r="B5973" s="3" t="n">
        <v>348.5770980403008</v>
      </c>
    </row>
    <row r="5974">
      <c r="A5974" s="4" t="n">
        <v>44407</v>
      </c>
      <c r="B5974" s="3" t="n">
        <v>353.3823915800737</v>
      </c>
    </row>
    <row r="5975">
      <c r="A5975" s="4" t="n">
        <v>44410</v>
      </c>
      <c r="B5975" s="3" t="n">
        <v>346.9921875944982</v>
      </c>
    </row>
    <row r="5976">
      <c r="A5976" s="4" t="n">
        <v>44411</v>
      </c>
      <c r="B5976" s="3" t="n">
        <v>346.1142819965361</v>
      </c>
    </row>
    <row r="5977">
      <c r="A5977" s="4" t="n">
        <v>44412</v>
      </c>
      <c r="B5977" s="3" t="n">
        <v>347.5408785932245</v>
      </c>
    </row>
    <row r="5978">
      <c r="A5978" s="4" t="n">
        <v>44413</v>
      </c>
      <c r="B5978" s="3" t="n">
        <v>350.2843335868559</v>
      </c>
    </row>
    <row r="5979">
      <c r="A5979" s="4" t="n">
        <v>44414</v>
      </c>
      <c r="B5979" s="3" t="n">
        <v>343.4256961027774</v>
      </c>
    </row>
    <row r="5980">
      <c r="A5980" s="4" t="n">
        <v>44417</v>
      </c>
      <c r="B5980" s="3" t="n">
        <v>349.6259043883844</v>
      </c>
    </row>
    <row r="5981">
      <c r="A5981" s="4" t="n">
        <v>44418</v>
      </c>
      <c r="B5981" s="3" t="n">
        <v>347.2665330938614</v>
      </c>
    </row>
    <row r="5982">
      <c r="A5982" s="4" t="n">
        <v>44419</v>
      </c>
      <c r="B5982" s="3" t="n">
        <v>349.680773488257</v>
      </c>
    </row>
    <row r="5983">
      <c r="A5983" s="4" t="n">
        <v>44420</v>
      </c>
      <c r="B5983" s="3" t="n">
        <v>344.9071617993384</v>
      </c>
    </row>
    <row r="5984">
      <c r="A5984" s="4" t="n">
        <v>44421</v>
      </c>
      <c r="B5984" s="3" t="n">
        <v>348.2541768915687</v>
      </c>
    </row>
    <row r="5985">
      <c r="A5985" s="4" t="n">
        <v>44424</v>
      </c>
      <c r="B5985" s="3" t="n">
        <v>343.7549107020132</v>
      </c>
    </row>
    <row r="5986">
      <c r="A5986" s="4" t="n">
        <v>44425</v>
      </c>
      <c r="B5986" s="3" t="n">
        <v>350.3940717866012</v>
      </c>
    </row>
    <row r="5987">
      <c r="A5987" s="4" t="n">
        <v>44426</v>
      </c>
      <c r="B5987" s="3" t="n">
        <v>342.602659604688</v>
      </c>
    </row>
    <row r="5988">
      <c r="A5988" s="4" t="n">
        <v>44427</v>
      </c>
      <c r="B5988" s="3" t="n">
        <v>345.3461145983194</v>
      </c>
    </row>
    <row r="5989">
      <c r="A5989" s="4" t="n">
        <v>44428</v>
      </c>
      <c r="B5989" s="3" t="n">
        <v>343.919518001631</v>
      </c>
    </row>
    <row r="5990">
      <c r="A5990" s="4" t="n">
        <v>44431</v>
      </c>
      <c r="B5990" s="3" t="n">
        <v>344.3036017007395</v>
      </c>
    </row>
    <row r="5991">
      <c r="A5991" s="4" t="n">
        <v>44432</v>
      </c>
      <c r="B5991" s="3" t="n">
        <v>343.48056520265</v>
      </c>
    </row>
    <row r="5992">
      <c r="A5992" s="4" t="n">
        <v>44433</v>
      </c>
      <c r="B5992" s="3" t="n">
        <v>343.919518001631</v>
      </c>
    </row>
    <row r="5993">
      <c r="A5993" s="4" t="n">
        <v>44434</v>
      </c>
      <c r="B5993" s="3" t="n">
        <v>342.8770051040511</v>
      </c>
    </row>
    <row r="5994">
      <c r="A5994" s="4" t="n">
        <v>44435</v>
      </c>
      <c r="B5994" s="3" t="n">
        <v>341.1211939081271</v>
      </c>
    </row>
    <row r="5995">
      <c r="A5995" s="4" t="n">
        <v>44438</v>
      </c>
      <c r="B5995" s="3" t="n">
        <v>348.1993077916961</v>
      </c>
    </row>
    <row r="5996">
      <c r="A5996" s="4" t="n">
        <v>44439</v>
      </c>
      <c r="B5996" s="3" t="n">
        <v>343.919518001631</v>
      </c>
    </row>
    <row r="5997">
      <c r="A5997" s="4" t="n">
        <v>44440</v>
      </c>
      <c r="B5997" s="3" t="n">
        <v>337.4076750972045</v>
      </c>
    </row>
    <row r="5998">
      <c r="A5998" s="4" t="n">
        <v>44441</v>
      </c>
      <c r="B5998" s="3" t="n">
        <v>336.9658974538694</v>
      </c>
    </row>
    <row r="5999">
      <c r="A5999" s="4" t="n">
        <v>44442</v>
      </c>
      <c r="B5999" s="3" t="n">
        <v>336.9658974538694</v>
      </c>
    </row>
    <row r="6000">
      <c r="A6000" s="4" t="n">
        <v>44445</v>
      </c>
      <c r="B6000" s="3" t="n">
        <v>336.9658974538694</v>
      </c>
    </row>
    <row r="6001">
      <c r="A6001" s="4" t="n">
        <v>44447</v>
      </c>
      <c r="B6001" s="3" t="n">
        <v>344.8626728284848</v>
      </c>
    </row>
    <row r="6002">
      <c r="A6002" s="4" t="n">
        <v>44448</v>
      </c>
      <c r="B6002" s="3" t="n">
        <v>337.9046749459565</v>
      </c>
    </row>
    <row r="6003">
      <c r="A6003" s="4" t="n">
        <v>44449</v>
      </c>
      <c r="B6003" s="3" t="n">
        <v>337.13156407012</v>
      </c>
    </row>
    <row r="6004">
      <c r="A6004" s="4" t="n">
        <v>44452</v>
      </c>
      <c r="B6004" s="3" t="n">
        <v>343.0403400497274</v>
      </c>
    </row>
    <row r="6005">
      <c r="A6005" s="4" t="n">
        <v>44453</v>
      </c>
      <c r="B6005" s="3" t="n">
        <v>334.7570092371938</v>
      </c>
    </row>
    <row r="6006">
      <c r="A6006" s="4" t="n">
        <v>44454</v>
      </c>
      <c r="B6006" s="3" t="n">
        <v>325.8110119596574</v>
      </c>
    </row>
    <row r="6007">
      <c r="A6007" s="4" t="n">
        <v>44455</v>
      </c>
      <c r="B6007" s="3" t="n">
        <v>334.0391205667742</v>
      </c>
    </row>
    <row r="6008">
      <c r="A6008" s="4" t="n">
        <v>44456</v>
      </c>
      <c r="B6008" s="3" t="n">
        <v>334.3704537992755</v>
      </c>
    </row>
    <row r="6009">
      <c r="A6009" s="4" t="n">
        <v>44459</v>
      </c>
      <c r="B6009" s="3" t="n">
        <v>331.7750101446816</v>
      </c>
    </row>
    <row r="6010">
      <c r="A6010" s="4" t="n">
        <v>44460</v>
      </c>
      <c r="B6010" s="3" t="n">
        <v>331.9958989663492</v>
      </c>
    </row>
    <row r="6011">
      <c r="A6011" s="4" t="n">
        <v>44461</v>
      </c>
      <c r="B6011" s="3" t="n">
        <v>330.56012162551</v>
      </c>
    </row>
    <row r="6012">
      <c r="A6012" s="4" t="n">
        <v>44462</v>
      </c>
      <c r="B6012" s="3" t="n">
        <v>330.0078995713411</v>
      </c>
    </row>
    <row r="6013">
      <c r="A6013" s="4" t="n">
        <v>44463</v>
      </c>
      <c r="B6013" s="3" t="n">
        <v>331.6093435284309</v>
      </c>
    </row>
    <row r="6014">
      <c r="A6014" s="4" t="n">
        <v>44466</v>
      </c>
      <c r="B6014" s="3" t="n">
        <v>336.2480087834497</v>
      </c>
    </row>
    <row r="6015">
      <c r="A6015" s="4" t="n">
        <v>44467</v>
      </c>
      <c r="B6015" s="3" t="n">
        <v>325.479678727156</v>
      </c>
    </row>
    <row r="6016">
      <c r="A6016" s="4" t="n">
        <v>44468</v>
      </c>
      <c r="B6016" s="3" t="n">
        <v>325.5901231379898</v>
      </c>
    </row>
    <row r="6017">
      <c r="A6017" s="4" t="n">
        <v>44469</v>
      </c>
      <c r="B6017" s="3" t="n">
        <v>322.0559019913088</v>
      </c>
    </row>
    <row r="6018">
      <c r="A6018" s="4" t="n">
        <v>44470</v>
      </c>
      <c r="B6018" s="3" t="n">
        <v>320.7119459388628</v>
      </c>
    </row>
    <row r="6019">
      <c r="A6019" s="4" t="n">
        <v>44473</v>
      </c>
      <c r="B6019" s="3" t="n">
        <v>314.4568284303888</v>
      </c>
    </row>
    <row r="6020">
      <c r="A6020" s="4" t="n">
        <v>44474</v>
      </c>
      <c r="B6020" s="3" t="n">
        <v>310.5610973505497</v>
      </c>
    </row>
    <row r="6021">
      <c r="A6021" s="4" t="n">
        <v>44475</v>
      </c>
      <c r="B6021" s="3" t="n">
        <v>308.2565803737435</v>
      </c>
    </row>
    <row r="6022">
      <c r="A6022" s="4" t="n">
        <v>44476</v>
      </c>
      <c r="B6022" s="3" t="n">
        <v>310.2318806395775</v>
      </c>
    </row>
    <row r="6023">
      <c r="A6023" s="4" t="n">
        <v>44477</v>
      </c>
      <c r="B6023" s="3" t="n">
        <v>297.6667761708007</v>
      </c>
    </row>
    <row r="6024">
      <c r="A6024" s="4" t="n">
        <v>44480</v>
      </c>
      <c r="B6024" s="3" t="n">
        <v>297.6667761708007</v>
      </c>
    </row>
    <row r="6025">
      <c r="A6025" s="4" t="n">
        <v>44482</v>
      </c>
      <c r="B6025" s="3" t="n">
        <v>296.84373439337</v>
      </c>
    </row>
    <row r="6026">
      <c r="A6026" s="4" t="n">
        <v>44483</v>
      </c>
      <c r="B6026" s="3" t="n">
        <v>297.9959928817731</v>
      </c>
    </row>
    <row r="6027">
      <c r="A6027" s="4" t="n">
        <v>44484</v>
      </c>
      <c r="B6027" s="3" t="n">
        <v>292.7833949580448</v>
      </c>
    </row>
    <row r="6028">
      <c r="A6028" s="4" t="n">
        <v>44487</v>
      </c>
      <c r="B6028" s="3" t="n">
        <v>293.8807839946192</v>
      </c>
    </row>
    <row r="6029">
      <c r="A6029" s="4" t="n">
        <v>44488</v>
      </c>
      <c r="B6029" s="3" t="n">
        <v>299.0933819183475</v>
      </c>
    </row>
    <row r="6030">
      <c r="A6030" s="4" t="n">
        <v>44489</v>
      </c>
      <c r="B6030" s="3" t="n">
        <v>288.5035777154047</v>
      </c>
    </row>
    <row r="6031">
      <c r="A6031" s="4" t="n">
        <v>44490</v>
      </c>
      <c r="B6031" s="3" t="n">
        <v>288.3938388117473</v>
      </c>
    </row>
    <row r="6032">
      <c r="A6032" s="4" t="n">
        <v>44491</v>
      </c>
      <c r="B6032" s="3" t="n">
        <v>285.5406273166539</v>
      </c>
    </row>
    <row r="6033">
      <c r="A6033" s="4" t="n">
        <v>44494</v>
      </c>
      <c r="B6033" s="3" t="n">
        <v>288.9974027818632</v>
      </c>
    </row>
    <row r="6034">
      <c r="A6034" s="4" t="n">
        <v>44495</v>
      </c>
      <c r="B6034" s="3" t="n">
        <v>282.3033296587595</v>
      </c>
    </row>
    <row r="6035">
      <c r="A6035" s="4" t="n">
        <v>44496</v>
      </c>
      <c r="B6035" s="3" t="n">
        <v>281.4254184294999</v>
      </c>
    </row>
    <row r="6036">
      <c r="A6036" s="4" t="n">
        <v>44497</v>
      </c>
      <c r="B6036" s="3" t="n">
        <v>278.8465541935502</v>
      </c>
    </row>
    <row r="6037">
      <c r="A6037" s="4" t="n">
        <v>44498</v>
      </c>
      <c r="B6037" s="3" t="n">
        <v>282.1387213032733</v>
      </c>
    </row>
    <row r="6038">
      <c r="A6038" s="4" t="n">
        <v>44501</v>
      </c>
      <c r="B6038" s="3" t="n">
        <v>289.6027605560508</v>
      </c>
    </row>
    <row r="6039">
      <c r="A6039" s="4" t="n">
        <v>44503</v>
      </c>
      <c r="B6039" s="3" t="n">
        <v>281.5932884891473</v>
      </c>
    </row>
    <row r="6040">
      <c r="A6040" s="4" t="n">
        <v>44504</v>
      </c>
      <c r="B6040" s="3" t="n">
        <v>293.7720747826581</v>
      </c>
    </row>
    <row r="6041">
      <c r="A6041" s="4" t="n">
        <v>44505</v>
      </c>
      <c r="B6041" s="3" t="n">
        <v>290.3159327263915</v>
      </c>
    </row>
    <row r="6042">
      <c r="A6042" s="4" t="n">
        <v>44508</v>
      </c>
      <c r="B6042" s="3" t="n">
        <v>293.8817935780951</v>
      </c>
    </row>
    <row r="6043">
      <c r="A6043" s="4" t="n">
        <v>44509</v>
      </c>
      <c r="B6043" s="3" t="n">
        <v>307.980658791754</v>
      </c>
    </row>
    <row r="6044">
      <c r="A6044" s="4" t="n">
        <v>44510</v>
      </c>
      <c r="B6044" s="3" t="n">
        <v>319.5011323126425</v>
      </c>
    </row>
    <row r="6045">
      <c r="A6045" s="4" t="n">
        <v>44511</v>
      </c>
      <c r="B6045" s="3" t="n">
        <v>323.4510089483757</v>
      </c>
    </row>
    <row r="6046">
      <c r="A6046" s="4" t="n">
        <v>44512</v>
      </c>
      <c r="B6046" s="3" t="n">
        <v>330.2535742654718</v>
      </c>
    </row>
    <row r="6047">
      <c r="A6047" s="4" t="n">
        <v>44516</v>
      </c>
      <c r="B6047" s="3" t="n">
        <v>332.612528367368</v>
      </c>
    </row>
    <row r="6048">
      <c r="A6048" s="4" t="n">
        <v>44517</v>
      </c>
      <c r="B6048" s="3" t="n">
        <v>334.4228884920791</v>
      </c>
    </row>
    <row r="6049">
      <c r="A6049" s="4" t="n">
        <v>44518</v>
      </c>
      <c r="B6049" s="3" t="n">
        <v>343.4198297179159</v>
      </c>
    </row>
    <row r="6050">
      <c r="A6050" s="4" t="n">
        <v>44519</v>
      </c>
      <c r="B6050" s="3" t="n">
        <v>344.6815958654417</v>
      </c>
    </row>
    <row r="6051">
      <c r="A6051" s="4" t="n">
        <v>44522</v>
      </c>
      <c r="B6051" s="3" t="n">
        <v>346.6016747855899</v>
      </c>
    </row>
    <row r="6052">
      <c r="A6052" s="4" t="n">
        <v>44523</v>
      </c>
      <c r="B6052" s="3" t="n">
        <v>347.6988627399601</v>
      </c>
    </row>
    <row r="6053">
      <c r="A6053" s="4" t="n">
        <v>44524</v>
      </c>
      <c r="B6053" s="3" t="n">
        <v>347.4245657513676</v>
      </c>
    </row>
    <row r="6054">
      <c r="A6054" s="4" t="n">
        <v>44525</v>
      </c>
      <c r="B6054" s="3" t="n">
        <v>348.7960506943305</v>
      </c>
    </row>
    <row r="6055">
      <c r="A6055" s="4" t="n">
        <v>44526</v>
      </c>
      <c r="B6055" s="3" t="n">
        <v>349.0154882852046</v>
      </c>
    </row>
    <row r="6056">
      <c r="A6056" s="4" t="n">
        <v>44529</v>
      </c>
      <c r="B6056" s="3" t="n">
        <v>353.0750837163749</v>
      </c>
    </row>
    <row r="6057">
      <c r="A6057" s="4" t="n">
        <v>44530</v>
      </c>
      <c r="B6057" s="3" t="n">
        <v>353.6236776935601</v>
      </c>
    </row>
    <row r="6058">
      <c r="A6058" s="4" t="n">
        <v>44531</v>
      </c>
      <c r="B6058" s="3" t="n">
        <v>349.809388658187</v>
      </c>
    </row>
    <row r="6059">
      <c r="A6059" s="4" t="n">
        <v>44532</v>
      </c>
      <c r="B6059" s="3" t="n">
        <v>352.8006070002579</v>
      </c>
    </row>
    <row r="6060">
      <c r="A6060" s="4" t="n">
        <v>44533</v>
      </c>
      <c r="B6060" s="3" t="n">
        <v>340.4006473276729</v>
      </c>
    </row>
    <row r="6061">
      <c r="A6061" s="4" t="n">
        <v>44536</v>
      </c>
      <c r="B6061" s="3" t="n">
        <v>350.3532465385635</v>
      </c>
    </row>
    <row r="6062">
      <c r="A6062" s="4" t="n">
        <v>44537</v>
      </c>
      <c r="B6062" s="3" t="n">
        <v>344.2620382783463</v>
      </c>
    </row>
    <row r="6063">
      <c r="A6063" s="4" t="n">
        <v>44538</v>
      </c>
      <c r="B6063" s="3" t="n">
        <v>347.5251855606055</v>
      </c>
    </row>
    <row r="6064">
      <c r="A6064" s="4" t="n">
        <v>44539</v>
      </c>
      <c r="B6064" s="3" t="n">
        <v>339.6392462951458</v>
      </c>
    </row>
    <row r="6065">
      <c r="A6065" s="4" t="n">
        <v>44540</v>
      </c>
      <c r="B6065" s="3" t="n">
        <v>338.497144746355</v>
      </c>
    </row>
    <row r="6066">
      <c r="A6066" s="4" t="n">
        <v>44543</v>
      </c>
      <c r="B6066" s="3" t="n">
        <v>344.0988809142333</v>
      </c>
    </row>
    <row r="6067">
      <c r="A6067" s="4" t="n">
        <v>44544</v>
      </c>
      <c r="B6067" s="3" t="n">
        <v>337.6269721377525</v>
      </c>
    </row>
    <row r="6068">
      <c r="A6068" s="4" t="n">
        <v>44545</v>
      </c>
      <c r="B6068" s="3" t="n">
        <v>335.0164543119452</v>
      </c>
    </row>
    <row r="6069">
      <c r="A6069" s="4" t="n">
        <v>44546</v>
      </c>
      <c r="B6069" s="3" t="n">
        <v>344.4251956424592</v>
      </c>
    </row>
    <row r="6070">
      <c r="A6070" s="4" t="n">
        <v>44547</v>
      </c>
      <c r="B6070" s="3" t="n">
        <v>346.818170316116</v>
      </c>
    </row>
    <row r="6071">
      <c r="A6071" s="4" t="n">
        <v>44550</v>
      </c>
      <c r="B6071" s="3" t="n">
        <v>345.56729719125</v>
      </c>
    </row>
    <row r="6072">
      <c r="A6072" s="4" t="n">
        <v>44551</v>
      </c>
      <c r="B6072" s="3" t="n">
        <v>356.4988405868183</v>
      </c>
    </row>
    <row r="6073">
      <c r="A6073" s="4" t="n">
        <v>44552</v>
      </c>
      <c r="B6073" s="3" t="n">
        <v>350.6795612667894</v>
      </c>
    </row>
    <row r="6074">
      <c r="A6074" s="4" t="n">
        <v>44553</v>
      </c>
      <c r="B6074" s="3" t="n">
        <v>356.2269116466301</v>
      </c>
    </row>
    <row r="6075">
      <c r="A6075" s="4" t="n">
        <v>44557</v>
      </c>
      <c r="B6075" s="3" t="n">
        <v>357.967256863835</v>
      </c>
    </row>
    <row r="6076">
      <c r="A6076" s="4" t="n">
        <v>44558</v>
      </c>
      <c r="B6076" s="3" t="n">
        <v>360.469003113567</v>
      </c>
    </row>
    <row r="6077">
      <c r="A6077" s="4" t="n">
        <v>44559</v>
      </c>
      <c r="B6077" s="3" t="n">
        <v>365.3093382489183</v>
      </c>
    </row>
    <row r="6078">
      <c r="A6078" s="4" t="n">
        <v>44560</v>
      </c>
      <c r="B6078" s="3" t="n">
        <v>366.0163534934077</v>
      </c>
    </row>
    <row r="6079">
      <c r="A6079" s="4" t="n">
        <v>44564</v>
      </c>
      <c r="B6079" s="3" t="n">
        <v>357.3459824674241</v>
      </c>
    </row>
    <row r="6080">
      <c r="A6080" s="4" t="n">
        <v>44565</v>
      </c>
      <c r="B6080" s="3" t="n">
        <v>362.8477218088508</v>
      </c>
    </row>
    <row r="6081">
      <c r="A6081" s="4" t="n">
        <v>44566</v>
      </c>
      <c r="B6081" s="3" t="n">
        <v>368.8301956558391</v>
      </c>
    </row>
    <row r="6082">
      <c r="A6082" s="4" t="n">
        <v>44567</v>
      </c>
      <c r="B6082" s="3" t="n">
        <v>360.6577090612926</v>
      </c>
    </row>
    <row r="6083">
      <c r="A6083" s="4" t="n">
        <v>44568</v>
      </c>
      <c r="B6083" s="3" t="n">
        <v>354.0342558735556</v>
      </c>
    </row>
    <row r="6084">
      <c r="A6084" s="4" t="n">
        <v>44571</v>
      </c>
      <c r="B6084" s="3" t="n">
        <v>362.1533275230397</v>
      </c>
    </row>
    <row r="6085">
      <c r="A6085" s="4" t="n">
        <v>44572</v>
      </c>
      <c r="B6085" s="3" t="n">
        <v>356.4913433464258</v>
      </c>
    </row>
    <row r="6086">
      <c r="A6086" s="4" t="n">
        <v>44573</v>
      </c>
      <c r="B6086" s="3" t="n">
        <v>357.9335468631105</v>
      </c>
    </row>
    <row r="6087">
      <c r="A6087" s="4" t="n">
        <v>44574</v>
      </c>
      <c r="B6087" s="3" t="n">
        <v>356.4913433464258</v>
      </c>
    </row>
    <row r="6088">
      <c r="A6088" s="4" t="n">
        <v>44575</v>
      </c>
      <c r="B6088" s="3" t="n">
        <v>358.4142813686721</v>
      </c>
    </row>
    <row r="6089">
      <c r="A6089" s="4" t="n">
        <v>44578</v>
      </c>
      <c r="B6089" s="3" t="n">
        <v>360.176974555731</v>
      </c>
    </row>
    <row r="6090">
      <c r="A6090" s="4" t="n">
        <v>44579</v>
      </c>
      <c r="B6090" s="3" t="n">
        <v>356.7584180717378</v>
      </c>
    </row>
    <row r="6091">
      <c r="A6091" s="4" t="n">
        <v>44580</v>
      </c>
      <c r="B6091" s="3" t="n">
        <v>360.2303895007935</v>
      </c>
    </row>
    <row r="6092">
      <c r="A6092" s="4" t="n">
        <v>44581</v>
      </c>
      <c r="B6092" s="3" t="n">
        <v>362.4204022483516</v>
      </c>
    </row>
    <row r="6093">
      <c r="A6093" s="4" t="n">
        <v>44582</v>
      </c>
      <c r="B6093" s="3" t="n">
        <v>367.7084818095287</v>
      </c>
    </row>
    <row r="6094">
      <c r="A6094" s="4" t="n">
        <v>44585</v>
      </c>
      <c r="B6094" s="3" t="n">
        <v>361.2986884020414</v>
      </c>
    </row>
    <row r="6095">
      <c r="A6095" s="4" t="n">
        <v>44586</v>
      </c>
      <c r="B6095" s="3" t="n">
        <v>366.5333530181561</v>
      </c>
    </row>
    <row r="6096">
      <c r="A6096" s="4" t="n">
        <v>44587</v>
      </c>
      <c r="B6096" s="3" t="n">
        <v>365.6787138971578</v>
      </c>
    </row>
    <row r="6097">
      <c r="A6097" s="4" t="n">
        <v>44588</v>
      </c>
      <c r="B6097" s="3" t="n">
        <v>367.1743323589048</v>
      </c>
    </row>
    <row r="6098">
      <c r="A6098" s="4" t="n">
        <v>44589</v>
      </c>
      <c r="B6098" s="3" t="n">
        <v>362.5806470835388</v>
      </c>
    </row>
    <row r="6099">
      <c r="A6099" s="4" t="n">
        <v>44592</v>
      </c>
      <c r="B6099" s="3" t="n">
        <v>367.2811622490296</v>
      </c>
    </row>
    <row r="6100">
      <c r="A6100" s="4" t="n">
        <v>44593</v>
      </c>
      <c r="B6100" s="3" t="n">
        <v>350.2845717999975</v>
      </c>
    </row>
    <row r="6101">
      <c r="A6101" s="4" t="n">
        <v>44594</v>
      </c>
      <c r="B6101" s="3" t="n">
        <v>351.1238280367151</v>
      </c>
    </row>
    <row r="6102">
      <c r="A6102" s="4" t="n">
        <v>44595</v>
      </c>
      <c r="B6102" s="3" t="n">
        <v>350.3894788295872</v>
      </c>
    </row>
    <row r="6103">
      <c r="A6103" s="4" t="n">
        <v>44596</v>
      </c>
      <c r="B6103" s="3" t="n">
        <v>360.7752747589672</v>
      </c>
    </row>
    <row r="6104">
      <c r="A6104" s="4" t="n">
        <v>44599</v>
      </c>
      <c r="B6104" s="3" t="n">
        <v>346.5079187347685</v>
      </c>
    </row>
    <row r="6105">
      <c r="A6105" s="4" t="n">
        <v>44600</v>
      </c>
      <c r="B6105" s="3" t="n">
        <v>356.002004912636</v>
      </c>
    </row>
    <row r="6106">
      <c r="A6106" s="4" t="n">
        <v>44601</v>
      </c>
      <c r="B6106" s="3" t="n">
        <v>357.7854244156608</v>
      </c>
    </row>
    <row r="6107">
      <c r="A6107" s="4" t="n">
        <v>44602</v>
      </c>
      <c r="B6107" s="3" t="n">
        <v>358.8869482263526</v>
      </c>
    </row>
    <row r="6108">
      <c r="A6108" s="4" t="n">
        <v>44603</v>
      </c>
      <c r="B6108" s="3" t="n">
        <v>358.8344947115578</v>
      </c>
    </row>
    <row r="6109">
      <c r="A6109" s="4" t="n">
        <v>44606</v>
      </c>
      <c r="B6109" s="3" t="n">
        <v>355.5299232794823</v>
      </c>
    </row>
    <row r="6110">
      <c r="A6110" s="4" t="n">
        <v>44607</v>
      </c>
      <c r="B6110" s="3" t="n">
        <v>354.7431205575596</v>
      </c>
    </row>
    <row r="6111">
      <c r="A6111" s="4" t="n">
        <v>44608</v>
      </c>
      <c r="B6111" s="3" t="n">
        <v>357.365796297302</v>
      </c>
    </row>
    <row r="6112">
      <c r="A6112" s="4" t="n">
        <v>44609</v>
      </c>
      <c r="B6112" s="3" t="n">
        <v>362.8734153507611</v>
      </c>
    </row>
    <row r="6113">
      <c r="A6113" s="4" t="n">
        <v>44610</v>
      </c>
      <c r="B6113" s="3" t="n">
        <v>357.6280638712763</v>
      </c>
    </row>
    <row r="6114">
      <c r="A6114" s="4" t="n">
        <v>44613</v>
      </c>
      <c r="B6114" s="3" t="n">
        <v>360.4605536701981</v>
      </c>
    </row>
    <row r="6115">
      <c r="A6115" s="4" t="n">
        <v>44614</v>
      </c>
      <c r="B6115" s="3" t="n">
        <v>365.4960910905035</v>
      </c>
    </row>
    <row r="6116">
      <c r="A6116" s="4" t="n">
        <v>44615</v>
      </c>
      <c r="B6116" s="3" t="n">
        <v>360.827728273762</v>
      </c>
    </row>
    <row r="6117">
      <c r="A6117" s="4" t="n">
        <v>44616</v>
      </c>
      <c r="B6117" s="3" t="n">
        <v>357.4182498120969</v>
      </c>
    </row>
    <row r="6118">
      <c r="A6118" s="4" t="n">
        <v>44617</v>
      </c>
      <c r="B6118" s="3" t="n">
        <v>359.8835650074548</v>
      </c>
    </row>
    <row r="6119">
      <c r="A6119" s="4" t="n">
        <v>44622</v>
      </c>
      <c r="B6119" s="3" t="n">
        <v>350.4263285914288</v>
      </c>
    </row>
    <row r="6120">
      <c r="A6120" s="4" t="n">
        <v>44623</v>
      </c>
      <c r="B6120" s="3" t="n">
        <v>353.004130037592</v>
      </c>
    </row>
    <row r="6121">
      <c r="A6121" s="4" t="n">
        <v>44624</v>
      </c>
      <c r="B6121" s="3" t="n">
        <v>351.7667853434336</v>
      </c>
    </row>
    <row r="6122">
      <c r="A6122" s="4" t="n">
        <v>44627</v>
      </c>
      <c r="B6122" s="3" t="n">
        <v>356.0974917729879</v>
      </c>
    </row>
    <row r="6123">
      <c r="A6123" s="4" t="n">
        <v>44628</v>
      </c>
      <c r="B6123" s="3" t="n">
        <v>361.2530946653143</v>
      </c>
    </row>
    <row r="6124">
      <c r="A6124" s="4" t="n">
        <v>44629</v>
      </c>
      <c r="B6124" s="3" t="n">
        <v>353.4681342979014</v>
      </c>
    </row>
    <row r="6125">
      <c r="A6125" s="4" t="n">
        <v>44630</v>
      </c>
      <c r="B6125" s="3" t="n">
        <v>355.942823686218</v>
      </c>
    </row>
    <row r="6126">
      <c r="A6126" s="4" t="n">
        <v>44631</v>
      </c>
      <c r="B6126" s="3" t="n">
        <v>357.7988407274556</v>
      </c>
    </row>
    <row r="6127">
      <c r="A6127" s="4" t="n">
        <v>44634</v>
      </c>
      <c r="B6127" s="3" t="n">
        <v>355.7881555994483</v>
      </c>
    </row>
    <row r="6128">
      <c r="A6128" s="4" t="n">
        <v>44635</v>
      </c>
      <c r="B6128" s="3" t="n">
        <v>351.7152293145104</v>
      </c>
    </row>
    <row r="6129">
      <c r="A6129" s="4" t="n">
        <v>44636</v>
      </c>
      <c r="B6129" s="3" t="n">
        <v>353.983694587134</v>
      </c>
    </row>
    <row r="6130">
      <c r="A6130" s="4" t="n">
        <v>44637</v>
      </c>
      <c r="B6130" s="3" t="n">
        <v>360.3250861446955</v>
      </c>
    </row>
    <row r="6131">
      <c r="A6131" s="4" t="n">
        <v>44638</v>
      </c>
      <c r="B6131" s="3" t="n">
        <v>359.9126379133094</v>
      </c>
    </row>
    <row r="6132">
      <c r="A6132" s="4" t="n">
        <v>44641</v>
      </c>
      <c r="B6132" s="3" t="n">
        <v>356.7677201489903</v>
      </c>
    </row>
    <row r="6133">
      <c r="A6133" s="4" t="n">
        <v>44642</v>
      </c>
      <c r="B6133" s="3" t="n">
        <v>359.9641939422327</v>
      </c>
    </row>
    <row r="6134">
      <c r="A6134" s="4" t="n">
        <v>44643</v>
      </c>
      <c r="B6134" s="3" t="n">
        <v>356.0459357440646</v>
      </c>
    </row>
    <row r="6135">
      <c r="A6135" s="4" t="n">
        <v>44644</v>
      </c>
      <c r="B6135" s="3" t="n">
        <v>363.0059996487053</v>
      </c>
    </row>
    <row r="6136">
      <c r="A6136" s="4" t="n">
        <v>44645</v>
      </c>
      <c r="B6136" s="3" t="n">
        <v>357.7988407274556</v>
      </c>
    </row>
    <row r="6137">
      <c r="A6137" s="4" t="n">
        <v>44648</v>
      </c>
      <c r="B6137" s="3" t="n">
        <v>360.8406464339282</v>
      </c>
    </row>
    <row r="6138">
      <c r="A6138" s="4" t="n">
        <v>44649</v>
      </c>
      <c r="B6138" s="3" t="n">
        <v>352.2307896037431</v>
      </c>
    </row>
    <row r="6139">
      <c r="A6139" s="4" t="n">
        <v>44650</v>
      </c>
      <c r="B6139" s="3" t="n">
        <v>358.1597329299184</v>
      </c>
    </row>
    <row r="6140">
      <c r="A6140" s="4" t="n">
        <v>44651</v>
      </c>
      <c r="B6140" s="3" t="n">
        <v>333.309726988905</v>
      </c>
    </row>
    <row r="6141">
      <c r="A6141" s="4" t="n">
        <v>44652</v>
      </c>
      <c r="B6141" s="3" t="n">
        <v>347.3289635246462</v>
      </c>
    </row>
    <row r="6142">
      <c r="A6142" s="4" t="n">
        <v>44655</v>
      </c>
      <c r="B6142" s="3" t="n">
        <v>341.0249835075126</v>
      </c>
    </row>
    <row r="6143">
      <c r="A6143" s="4" t="n">
        <v>44656</v>
      </c>
      <c r="B6143" s="3" t="n">
        <v>338.9914415665019</v>
      </c>
    </row>
    <row r="6144">
      <c r="A6144" s="4" t="n">
        <v>44657</v>
      </c>
      <c r="B6144" s="3" t="n">
        <v>342.3467857691697</v>
      </c>
    </row>
    <row r="6145">
      <c r="A6145" s="4" t="n">
        <v>44658</v>
      </c>
      <c r="B6145" s="3" t="n">
        <v>332.8908157434694</v>
      </c>
    </row>
    <row r="6146">
      <c r="A6146" s="4" t="n">
        <v>44659</v>
      </c>
      <c r="B6146" s="3" t="n">
        <v>351.7519172463446</v>
      </c>
    </row>
    <row r="6147">
      <c r="A6147" s="4" t="n">
        <v>44662</v>
      </c>
      <c r="B6147" s="3" t="n">
        <v>344.27865061313</v>
      </c>
    </row>
    <row r="6148">
      <c r="A6148" s="4" t="n">
        <v>44663</v>
      </c>
      <c r="B6148" s="3" t="n">
        <v>342.7534941573718</v>
      </c>
    </row>
    <row r="6149">
      <c r="A6149" s="4" t="n">
        <v>44664</v>
      </c>
      <c r="B6149" s="3" t="n">
        <v>341.9400773809676</v>
      </c>
    </row>
    <row r="6150">
      <c r="A6150" s="4" t="n">
        <v>44665</v>
      </c>
      <c r="B6150" s="3" t="n">
        <v>344.5836819042815</v>
      </c>
    </row>
    <row r="6151">
      <c r="A6151" s="4" t="n">
        <v>44669</v>
      </c>
      <c r="B6151" s="3" t="n">
        <v>334.314295102177</v>
      </c>
    </row>
    <row r="6152">
      <c r="A6152" s="4" t="n">
        <v>44670</v>
      </c>
      <c r="B6152" s="3" t="n">
        <v>345.9563227144639</v>
      </c>
    </row>
    <row r="6153">
      <c r="A6153" s="4" t="n">
        <v>44671</v>
      </c>
      <c r="B6153" s="3" t="n">
        <v>336.9578996254911</v>
      </c>
    </row>
    <row r="6154">
      <c r="A6154" s="4" t="n">
        <v>44673</v>
      </c>
      <c r="B6154" s="3" t="n">
        <v>333.2466855831463</v>
      </c>
    </row>
    <row r="6155">
      <c r="A6155" s="4" t="n">
        <v>44676</v>
      </c>
      <c r="B6155" s="3" t="n">
        <v>334.4159721992275</v>
      </c>
    </row>
    <row r="6156">
      <c r="A6156" s="4" t="n">
        <v>44677</v>
      </c>
      <c r="B6156" s="3" t="n">
        <v>339.6015041488051</v>
      </c>
    </row>
    <row r="6157">
      <c r="A6157" s="4" t="n">
        <v>44678</v>
      </c>
      <c r="B6157" s="3" t="n">
        <v>341.2283377016137</v>
      </c>
    </row>
    <row r="6158">
      <c r="A6158" s="4" t="n">
        <v>44679</v>
      </c>
      <c r="B6158" s="3" t="n">
        <v>338.8897644694513</v>
      </c>
    </row>
    <row r="6159">
      <c r="A6159" s="4" t="n">
        <v>44680</v>
      </c>
      <c r="B6159" s="3" t="n">
        <v>340.4657594737347</v>
      </c>
    </row>
    <row r="6160">
      <c r="A6160" s="4" t="n">
        <v>44683</v>
      </c>
      <c r="B6160" s="3" t="n">
        <v>332.6805555625941</v>
      </c>
    </row>
    <row r="6161">
      <c r="A6161" s="4" t="n">
        <v>44684</v>
      </c>
      <c r="B6161" s="3" t="n">
        <v>343.2000988214904</v>
      </c>
    </row>
    <row r="6162">
      <c r="A6162" s="4" t="n">
        <v>44685</v>
      </c>
      <c r="B6162" s="3" t="n">
        <v>335.7656139221742</v>
      </c>
    </row>
    <row r="6163">
      <c r="A6163" s="4" t="n">
        <v>44686</v>
      </c>
      <c r="B6163" s="3" t="n">
        <v>337.0805568295363</v>
      </c>
    </row>
    <row r="6164">
      <c r="A6164" s="4" t="n">
        <v>44687</v>
      </c>
      <c r="B6164" s="3" t="n">
        <v>337.0805568295363</v>
      </c>
    </row>
    <row r="6165">
      <c r="A6165" s="4" t="n">
        <v>44690</v>
      </c>
      <c r="B6165" s="3" t="n">
        <v>335.1081424684933</v>
      </c>
    </row>
    <row r="6166">
      <c r="A6166" s="4" t="n">
        <v>44691</v>
      </c>
      <c r="B6166" s="3" t="n">
        <v>334.2989468331936</v>
      </c>
    </row>
    <row r="6167">
      <c r="A6167" s="4" t="n">
        <v>44692</v>
      </c>
      <c r="B6167" s="3" t="n">
        <v>314.7265274043817</v>
      </c>
    </row>
    <row r="6168">
      <c r="A6168" s="4" t="n">
        <v>44693</v>
      </c>
      <c r="B6168" s="3" t="n">
        <v>329.1403246581578</v>
      </c>
    </row>
    <row r="6169">
      <c r="A6169" s="4" t="n">
        <v>44694</v>
      </c>
      <c r="B6169" s="3" t="n">
        <v>331.2138884736134</v>
      </c>
    </row>
    <row r="6170">
      <c r="A6170" s="4" t="n">
        <v>44697</v>
      </c>
      <c r="B6170" s="3" t="n">
        <v>338.6483733729295</v>
      </c>
    </row>
    <row r="6171">
      <c r="A6171" s="4" t="n">
        <v>44698</v>
      </c>
      <c r="B6171" s="3" t="n">
        <v>327.1173355699086</v>
      </c>
    </row>
    <row r="6172">
      <c r="A6172" s="4" t="n">
        <v>44699</v>
      </c>
      <c r="B6172" s="3" t="n">
        <v>310.7816986822957</v>
      </c>
    </row>
    <row r="6173">
      <c r="A6173" s="4" t="n">
        <v>44700</v>
      </c>
      <c r="B6173" s="3" t="n">
        <v>315.0805504948254</v>
      </c>
    </row>
    <row r="6174">
      <c r="A6174" s="4" t="n">
        <v>44701</v>
      </c>
      <c r="B6174" s="3" t="n">
        <v>328.1794048412395</v>
      </c>
    </row>
    <row r="6175">
      <c r="A6175" s="4" t="n">
        <v>44704</v>
      </c>
      <c r="B6175" s="3" t="n">
        <v>308.7081348668402</v>
      </c>
    </row>
    <row r="6176">
      <c r="A6176" s="4" t="n">
        <v>44705</v>
      </c>
      <c r="B6176" s="3" t="n">
        <v>317.7610110367557</v>
      </c>
    </row>
    <row r="6177">
      <c r="A6177" s="4" t="n">
        <v>44706</v>
      </c>
      <c r="B6177" s="3" t="n">
        <v>321.8575639404605</v>
      </c>
    </row>
    <row r="6178">
      <c r="A6178" s="4" t="n">
        <v>44707</v>
      </c>
      <c r="B6178" s="3" t="n">
        <v>322.7679090301726</v>
      </c>
    </row>
    <row r="6179">
      <c r="A6179" s="4" t="n">
        <v>44708</v>
      </c>
      <c r="B6179" s="3" t="n">
        <v>319.4299770345613</v>
      </c>
    </row>
    <row r="6180">
      <c r="A6180" s="4" t="n">
        <v>44711</v>
      </c>
      <c r="B6180" s="3" t="n">
        <v>324.0828519375346</v>
      </c>
    </row>
    <row r="6181">
      <c r="A6181" s="4" t="n">
        <v>44712</v>
      </c>
      <c r="B6181" s="3" t="n">
        <v>325.0943464816593</v>
      </c>
    </row>
    <row r="6182">
      <c r="A6182" s="4" t="n">
        <v>44713</v>
      </c>
      <c r="B6182" s="3" t="n">
        <v>316.3646819752083</v>
      </c>
    </row>
    <row r="6183">
      <c r="A6183" s="4" t="n">
        <v>44714</v>
      </c>
      <c r="B6183" s="3" t="n">
        <v>310.3813067121679</v>
      </c>
    </row>
    <row r="6184">
      <c r="A6184" s="4" t="n">
        <v>44715</v>
      </c>
      <c r="B6184" s="3" t="n">
        <v>314.2529024706058</v>
      </c>
    </row>
    <row r="6185">
      <c r="A6185" s="4" t="n">
        <v>44718</v>
      </c>
      <c r="B6185" s="3" t="n">
        <v>313.1467322539092</v>
      </c>
    </row>
    <row r="6186">
      <c r="A6186" s="4" t="n">
        <v>44719</v>
      </c>
      <c r="B6186" s="3" t="n">
        <v>316.9177670835565</v>
      </c>
    </row>
    <row r="6187">
      <c r="A6187" s="4" t="n">
        <v>44720</v>
      </c>
      <c r="B6187" s="3" t="n">
        <v>317.9233763714624</v>
      </c>
    </row>
    <row r="6188">
      <c r="A6188" s="4" t="n">
        <v>44721</v>
      </c>
      <c r="B6188" s="3" t="n">
        <v>313.8506587554434</v>
      </c>
    </row>
    <row r="6189">
      <c r="A6189" s="4" t="n">
        <v>44722</v>
      </c>
      <c r="B6189" s="3" t="n">
        <v>316.1635601176271</v>
      </c>
    </row>
    <row r="6190">
      <c r="A6190" s="4" t="n">
        <v>44725</v>
      </c>
      <c r="B6190" s="3" t="n">
        <v>312.7947690031422</v>
      </c>
    </row>
    <row r="6191">
      <c r="A6191" s="4" t="n">
        <v>44726</v>
      </c>
      <c r="B6191" s="3" t="n">
        <v>321.5435698079239</v>
      </c>
    </row>
    <row r="6192">
      <c r="A6192" s="4" t="n">
        <v>44727</v>
      </c>
      <c r="B6192" s="3" t="n">
        <v>319.4820707677167</v>
      </c>
    </row>
    <row r="6193">
      <c r="A6193" s="4" t="n">
        <v>44729</v>
      </c>
      <c r="B6193" s="3" t="n">
        <v>322.2977767738533</v>
      </c>
    </row>
    <row r="6194">
      <c r="A6194" s="4" t="n">
        <v>44732</v>
      </c>
      <c r="B6194" s="3" t="n">
        <v>325.4151655663617</v>
      </c>
    </row>
    <row r="6195">
      <c r="A6195" s="4" t="n">
        <v>44733</v>
      </c>
      <c r="B6195" s="3" t="n">
        <v>323.2028251329686</v>
      </c>
    </row>
    <row r="6196">
      <c r="A6196" s="4" t="n">
        <v>44734</v>
      </c>
      <c r="B6196" s="3" t="n">
        <v>323.3033860617592</v>
      </c>
    </row>
    <row r="6197">
      <c r="A6197" s="4" t="n">
        <v>44735</v>
      </c>
      <c r="B6197" s="3" t="n">
        <v>323.5547883837357</v>
      </c>
    </row>
    <row r="6198">
      <c r="A6198" s="4" t="n">
        <v>44736</v>
      </c>
      <c r="B6198" s="3" t="n">
        <v>324.7112390648275</v>
      </c>
    </row>
    <row r="6199">
      <c r="A6199" s="4" t="n">
        <v>44739</v>
      </c>
      <c r="B6199" s="3" t="n">
        <v>328.0800301793124</v>
      </c>
    </row>
    <row r="6200">
      <c r="A6200" s="4" t="n">
        <v>44740</v>
      </c>
      <c r="B6200" s="3" t="n">
        <v>327.8286278573359</v>
      </c>
    </row>
    <row r="6201">
      <c r="A6201" s="4" t="n">
        <v>44741</v>
      </c>
      <c r="B6201" s="3" t="n">
        <v>321.4430088791332</v>
      </c>
    </row>
    <row r="6202">
      <c r="A6202" s="4" t="n">
        <v>44742</v>
      </c>
      <c r="B6202" s="3" t="n">
        <v>322.0463744518768</v>
      </c>
    </row>
    <row r="6203">
      <c r="A6203" s="4" t="n">
        <v>44743</v>
      </c>
      <c r="B6203" s="3" t="n">
        <v>315.8643698301486</v>
      </c>
    </row>
    <row r="6204">
      <c r="A6204" s="4" t="n">
        <v>44746</v>
      </c>
      <c r="B6204" s="3" t="n">
        <v>326.1004828476783</v>
      </c>
    </row>
    <row r="6205">
      <c r="A6205" s="4" t="n">
        <v>44747</v>
      </c>
      <c r="B6205" s="3" t="n">
        <v>324.6955261589978</v>
      </c>
    </row>
    <row r="6206">
      <c r="A6206" s="4" t="n">
        <v>44748</v>
      </c>
      <c r="B6206" s="3" t="n">
        <v>317.1187954450419</v>
      </c>
    </row>
    <row r="6207">
      <c r="A6207" s="4" t="n">
        <v>44749</v>
      </c>
      <c r="B6207" s="3" t="n">
        <v>325.9499517738911</v>
      </c>
    </row>
    <row r="6208">
      <c r="A6208" s="4" t="n">
        <v>44750</v>
      </c>
      <c r="B6208" s="3" t="n">
        <v>326.1004828476783</v>
      </c>
    </row>
    <row r="6209">
      <c r="A6209" s="4" t="n">
        <v>44753</v>
      </c>
      <c r="B6209" s="3" t="n">
        <v>335.1825242995063</v>
      </c>
    </row>
    <row r="6210">
      <c r="A6210" s="4" t="n">
        <v>44754</v>
      </c>
      <c r="B6210" s="3" t="n">
        <v>325.8495977246997</v>
      </c>
    </row>
    <row r="6211">
      <c r="A6211" s="4" t="n">
        <v>44755</v>
      </c>
      <c r="B6211" s="3" t="n">
        <v>331.5196015040177</v>
      </c>
    </row>
    <row r="6212">
      <c r="A6212" s="4" t="n">
        <v>44756</v>
      </c>
      <c r="B6212" s="3" t="n">
        <v>325.799420700104</v>
      </c>
    </row>
    <row r="6213">
      <c r="A6213" s="4" t="n">
        <v>44757</v>
      </c>
      <c r="B6213" s="3" t="n">
        <v>327.1040233395931</v>
      </c>
    </row>
    <row r="6214">
      <c r="A6214" s="4" t="n">
        <v>44760</v>
      </c>
      <c r="B6214" s="3" t="n">
        <v>328.2079178806993</v>
      </c>
    </row>
    <row r="6215">
      <c r="A6215" s="4" t="n">
        <v>44761</v>
      </c>
      <c r="B6215" s="3" t="n">
        <v>322.5379141013812</v>
      </c>
    </row>
    <row r="6216">
      <c r="A6216" s="4" t="n">
        <v>44762</v>
      </c>
      <c r="B6216" s="3" t="n">
        <v>324.846057232785</v>
      </c>
    </row>
    <row r="6217">
      <c r="A6217" s="4" t="n">
        <v>44763</v>
      </c>
      <c r="B6217" s="3" t="n">
        <v>321.7852587324452</v>
      </c>
    </row>
    <row r="6218">
      <c r="A6218" s="4" t="n">
        <v>44764</v>
      </c>
      <c r="B6218" s="3" t="n">
        <v>325.2474734295509</v>
      </c>
    </row>
    <row r="6219">
      <c r="A6219" s="4" t="n">
        <v>44767</v>
      </c>
      <c r="B6219" s="3" t="n">
        <v>331.1683623318476</v>
      </c>
    </row>
    <row r="6220">
      <c r="A6220" s="4" t="n">
        <v>44768</v>
      </c>
      <c r="B6220" s="3" t="n">
        <v>323.892693765466</v>
      </c>
    </row>
    <row r="6221">
      <c r="A6221" s="4" t="n">
        <v>44769</v>
      </c>
      <c r="B6221" s="3" t="n">
        <v>326.2008368968699</v>
      </c>
    </row>
    <row r="6222">
      <c r="A6222" s="4" t="n">
        <v>44770</v>
      </c>
      <c r="B6222" s="3" t="n">
        <v>324.6453491344021</v>
      </c>
    </row>
    <row r="6223">
      <c r="A6223" s="4" t="n">
        <v>44771</v>
      </c>
      <c r="B6223" s="3" t="n">
        <v>326.8531382166144</v>
      </c>
    </row>
    <row r="6224">
      <c r="A6224" s="4" t="n">
        <v>44774</v>
      </c>
      <c r="B6224" s="3" t="n">
        <v>330.1116513530756</v>
      </c>
    </row>
    <row r="6225">
      <c r="A6225" s="4" t="n">
        <v>44775</v>
      </c>
      <c r="B6225" s="3" t="n">
        <v>325.9176720078582</v>
      </c>
    </row>
    <row r="6226">
      <c r="A6226" s="4" t="n">
        <v>44776</v>
      </c>
      <c r="B6226" s="3" t="n">
        <v>302.7244609300897</v>
      </c>
    </row>
    <row r="6227">
      <c r="A6227" s="4" t="n">
        <v>44777</v>
      </c>
      <c r="B6227" s="3" t="n">
        <v>300.7537959365538</v>
      </c>
    </row>
    <row r="6228">
      <c r="A6228" s="4" t="n">
        <v>44778</v>
      </c>
      <c r="B6228" s="3" t="n">
        <v>313.9420924317555</v>
      </c>
    </row>
    <row r="6229">
      <c r="A6229" s="4" t="n">
        <v>44781</v>
      </c>
      <c r="B6229" s="3" t="n">
        <v>319.0961393379263</v>
      </c>
    </row>
    <row r="6230">
      <c r="A6230" s="4" t="n">
        <v>44782</v>
      </c>
      <c r="B6230" s="3" t="n">
        <v>320.3593861286544</v>
      </c>
    </row>
    <row r="6231">
      <c r="A6231" s="4" t="n">
        <v>44783</v>
      </c>
      <c r="B6231" s="3" t="n">
        <v>314.4979210196759</v>
      </c>
    </row>
    <row r="6232">
      <c r="A6232" s="4" t="n">
        <v>44784</v>
      </c>
      <c r="B6232" s="3" t="n">
        <v>311.0618897488953</v>
      </c>
    </row>
    <row r="6233">
      <c r="A6233" s="4" t="n">
        <v>44785</v>
      </c>
      <c r="B6233" s="3" t="n">
        <v>319.8540874123632</v>
      </c>
    </row>
    <row r="6234">
      <c r="A6234" s="4" t="n">
        <v>44788</v>
      </c>
      <c r="B6234" s="3" t="n">
        <v>316.8222951146157</v>
      </c>
    </row>
    <row r="6235">
      <c r="A6235" s="4" t="n">
        <v>44789</v>
      </c>
      <c r="B6235" s="3" t="n">
        <v>317.5297133174234</v>
      </c>
    </row>
    <row r="6236">
      <c r="A6236" s="4" t="n">
        <v>44790</v>
      </c>
      <c r="B6236" s="3" t="n">
        <v>319.9551471556214</v>
      </c>
    </row>
    <row r="6237">
      <c r="A6237" s="4" t="n">
        <v>44791</v>
      </c>
      <c r="B6237" s="3" t="n">
        <v>316.3169963983244</v>
      </c>
    </row>
    <row r="6238">
      <c r="A6238" s="4" t="n">
        <v>44792</v>
      </c>
      <c r="B6238" s="3" t="n">
        <v>321.7236926626408</v>
      </c>
    </row>
    <row r="6239">
      <c r="A6239" s="4" t="n">
        <v>44795</v>
      </c>
      <c r="B6239" s="3" t="n">
        <v>330.0611214814465</v>
      </c>
    </row>
    <row r="6240">
      <c r="A6240" s="4" t="n">
        <v>44796</v>
      </c>
      <c r="B6240" s="3" t="n">
        <v>306.4131415590159</v>
      </c>
    </row>
    <row r="6241">
      <c r="A6241" s="4" t="n">
        <v>44797</v>
      </c>
      <c r="B6241" s="3" t="n">
        <v>311.1629494921536</v>
      </c>
    </row>
    <row r="6242">
      <c r="A6242" s="4" t="n">
        <v>44798</v>
      </c>
      <c r="B6242" s="3" t="n">
        <v>316.7717652429865</v>
      </c>
    </row>
    <row r="6243">
      <c r="A6243" s="4" t="n">
        <v>44799</v>
      </c>
      <c r="B6243" s="3" t="n">
        <v>327.029329183699</v>
      </c>
    </row>
    <row r="6244">
      <c r="A6244" s="4" t="n">
        <v>44802</v>
      </c>
      <c r="B6244" s="3" t="n">
        <v>314.6495106345633</v>
      </c>
    </row>
    <row r="6245">
      <c r="A6245" s="4" t="n">
        <v>44803</v>
      </c>
      <c r="B6245" s="3" t="n">
        <v>315.3063989657419</v>
      </c>
    </row>
    <row r="6246">
      <c r="A6246" s="4" t="n">
        <v>44804</v>
      </c>
      <c r="B6246" s="3" t="n">
        <v>312.3756664112527</v>
      </c>
    </row>
    <row r="6247">
      <c r="A6247" s="4" t="n">
        <v>44805</v>
      </c>
      <c r="B6247" s="3" t="n">
        <v>321.1236048434434</v>
      </c>
    </row>
    <row r="6248">
      <c r="A6248" s="4" t="n">
        <v>44806</v>
      </c>
      <c r="B6248" s="3" t="n">
        <v>316.5324810251893</v>
      </c>
    </row>
    <row r="6249">
      <c r="A6249" s="4" t="n">
        <v>44809</v>
      </c>
      <c r="B6249" s="3" t="n">
        <v>321.3276547909214</v>
      </c>
    </row>
    <row r="6250">
      <c r="A6250" s="4" t="n">
        <v>44810</v>
      </c>
      <c r="B6250" s="3" t="n">
        <v>310.1049076796335</v>
      </c>
    </row>
    <row r="6251">
      <c r="A6251" s="4" t="n">
        <v>44812</v>
      </c>
      <c r="B6251" s="3" t="n">
        <v>313.2166693786724</v>
      </c>
    </row>
    <row r="6252">
      <c r="A6252" s="4" t="n">
        <v>44813</v>
      </c>
      <c r="B6252" s="3" t="n">
        <v>298.2189982390422</v>
      </c>
    </row>
    <row r="6253">
      <c r="A6253" s="4" t="n">
        <v>44816</v>
      </c>
      <c r="B6253" s="3" t="n">
        <v>312.4514820756301</v>
      </c>
    </row>
    <row r="6254">
      <c r="A6254" s="4" t="n">
        <v>44817</v>
      </c>
      <c r="B6254" s="3" t="n">
        <v>314.6450190110181</v>
      </c>
    </row>
    <row r="6255">
      <c r="A6255" s="4" t="n">
        <v>44818</v>
      </c>
      <c r="B6255" s="3" t="n">
        <v>302.4020221623404</v>
      </c>
    </row>
    <row r="6256">
      <c r="A6256" s="4" t="n">
        <v>44819</v>
      </c>
      <c r="B6256" s="3" t="n">
        <v>297.5048234228693</v>
      </c>
    </row>
    <row r="6257">
      <c r="A6257" s="4" t="n">
        <v>44820</v>
      </c>
      <c r="B6257" s="3" t="n">
        <v>300.5145601481693</v>
      </c>
    </row>
    <row r="6258">
      <c r="A6258" s="4" t="n">
        <v>44823</v>
      </c>
      <c r="B6258" s="3" t="n">
        <v>314.2879316029317</v>
      </c>
    </row>
    <row r="6259">
      <c r="A6259" s="4" t="n">
        <v>44824</v>
      </c>
      <c r="B6259" s="3" t="n">
        <v>314.2369191160622</v>
      </c>
    </row>
    <row r="6260">
      <c r="A6260" s="4" t="n">
        <v>44825</v>
      </c>
      <c r="B6260" s="3" t="n">
        <v>303.5242968734692</v>
      </c>
    </row>
    <row r="6261">
      <c r="A6261" s="4" t="n">
        <v>44826</v>
      </c>
      <c r="B6261" s="3" t="n">
        <v>305.1056839664234</v>
      </c>
    </row>
    <row r="6262">
      <c r="A6262" s="4" t="n">
        <v>44827</v>
      </c>
      <c r="B6262" s="3" t="n">
        <v>306.6870710593776</v>
      </c>
    </row>
    <row r="6263">
      <c r="A6263" s="4" t="n">
        <v>44830</v>
      </c>
      <c r="B6263" s="3" t="n">
        <v>307.9113707442454</v>
      </c>
    </row>
    <row r="6264">
      <c r="A6264" s="4" t="n">
        <v>44831</v>
      </c>
      <c r="B6264" s="3" t="n">
        <v>312.9105944574554</v>
      </c>
    </row>
    <row r="6265">
      <c r="A6265" s="4" t="n">
        <v>44832</v>
      </c>
      <c r="B6265" s="3" t="n">
        <v>308.0133957179843</v>
      </c>
    </row>
    <row r="6266">
      <c r="A6266" s="4" t="n">
        <v>44833</v>
      </c>
      <c r="B6266" s="3" t="n">
        <v>308.4214956129403</v>
      </c>
    </row>
    <row r="6267">
      <c r="A6267" s="4" t="n">
        <v>44834</v>
      </c>
      <c r="B6267" s="3" t="n">
        <v>310.1049076796335</v>
      </c>
    </row>
    <row r="6268">
      <c r="A6268" s="4" t="n">
        <v>44837</v>
      </c>
      <c r="B6268" s="3" t="n">
        <v>298.8776893489368</v>
      </c>
    </row>
    <row r="6269">
      <c r="A6269" s="4" t="n">
        <v>44838</v>
      </c>
      <c r="B6269" s="3" t="n">
        <v>303.8229251602945</v>
      </c>
    </row>
    <row r="6270">
      <c r="A6270" s="4" t="n">
        <v>44839</v>
      </c>
      <c r="B6270" s="3" t="n">
        <v>303.9259509063645</v>
      </c>
    </row>
    <row r="6271">
      <c r="A6271" s="4" t="n">
        <v>44840</v>
      </c>
      <c r="B6271" s="3" t="n">
        <v>310.6741372739465</v>
      </c>
    </row>
    <row r="6272">
      <c r="A6272" s="4" t="n">
        <v>44841</v>
      </c>
      <c r="B6272" s="3" t="n">
        <v>312.6831393223106</v>
      </c>
    </row>
    <row r="6273">
      <c r="A6273" s="4" t="n">
        <v>44844</v>
      </c>
      <c r="B6273" s="3" t="n">
        <v>313.2497809256953</v>
      </c>
    </row>
    <row r="6274">
      <c r="A6274" s="4" t="n">
        <v>44845</v>
      </c>
      <c r="B6274" s="3" t="n">
        <v>311.4468303694712</v>
      </c>
    </row>
    <row r="6275">
      <c r="A6275" s="4" t="n">
        <v>44847</v>
      </c>
      <c r="B6275" s="3" t="n">
        <v>315.5678602122693</v>
      </c>
    </row>
    <row r="6276">
      <c r="A6276" s="4" t="n">
        <v>44848</v>
      </c>
      <c r="B6276" s="3" t="n">
        <v>306.3985688120434</v>
      </c>
    </row>
    <row r="6277">
      <c r="A6277" s="4" t="n">
        <v>44851</v>
      </c>
      <c r="B6277" s="3" t="n">
        <v>295.0657367443484</v>
      </c>
    </row>
    <row r="6278">
      <c r="A6278" s="4" t="n">
        <v>44852</v>
      </c>
      <c r="B6278" s="3" t="n">
        <v>311.6013689885761</v>
      </c>
    </row>
    <row r="6279">
      <c r="A6279" s="4" t="n">
        <v>44853</v>
      </c>
      <c r="B6279" s="3" t="n">
        <v>304.6471311288541</v>
      </c>
    </row>
    <row r="6280">
      <c r="A6280" s="4" t="n">
        <v>44854</v>
      </c>
      <c r="B6280" s="3" t="n">
        <v>308.7681609716523</v>
      </c>
    </row>
    <row r="6281">
      <c r="A6281" s="4" t="n">
        <v>44855</v>
      </c>
      <c r="B6281" s="3" t="n">
        <v>304.2350281445744</v>
      </c>
    </row>
    <row r="6282">
      <c r="A6282" s="4" t="n">
        <v>44858</v>
      </c>
      <c r="B6282" s="3" t="n">
        <v>320.2040187854173</v>
      </c>
    </row>
    <row r="6283">
      <c r="A6283" s="4" t="n">
        <v>44859</v>
      </c>
      <c r="B6283" s="3" t="n">
        <v>301.6593844928255</v>
      </c>
    </row>
    <row r="6284">
      <c r="A6284" s="4" t="n">
        <v>44860</v>
      </c>
      <c r="B6284" s="3" t="n">
        <v>292.7991703308094</v>
      </c>
    </row>
    <row r="6285">
      <c r="A6285" s="4" t="n">
        <v>44861</v>
      </c>
      <c r="B6285" s="3" t="n">
        <v>303.8229251602945</v>
      </c>
    </row>
    <row r="6286">
      <c r="A6286" s="4" t="n">
        <v>44862</v>
      </c>
      <c r="B6286" s="3" t="n">
        <v>294.0354792836489</v>
      </c>
    </row>
    <row r="6287">
      <c r="A6287" s="4" t="n">
        <v>44865</v>
      </c>
      <c r="B6287" s="3" t="n">
        <v>300.8351785242659</v>
      </c>
    </row>
    <row r="6288">
      <c r="A6288" s="4" t="n">
        <v>44866</v>
      </c>
      <c r="B6288" s="3" t="n">
        <v>291.5085784315846</v>
      </c>
    </row>
    <row r="6289">
      <c r="A6289" s="4" t="n">
        <v>44868</v>
      </c>
      <c r="B6289" s="3" t="n">
        <v>299.7456255207301</v>
      </c>
    </row>
    <row r="6290">
      <c r="A6290" s="4" t="n">
        <v>44869</v>
      </c>
      <c r="B6290" s="3" t="n">
        <v>298.0878550373801</v>
      </c>
    </row>
    <row r="6291">
      <c r="A6291" s="4" t="n">
        <v>44872</v>
      </c>
      <c r="B6291" s="3" t="n">
        <v>298.3986870030082</v>
      </c>
    </row>
    <row r="6292">
      <c r="A6292" s="4" t="n">
        <v>44873</v>
      </c>
      <c r="B6292" s="3" t="n">
        <v>294.0470394842144</v>
      </c>
    </row>
    <row r="6293">
      <c r="A6293" s="4" t="n">
        <v>44874</v>
      </c>
      <c r="B6293" s="3" t="n">
        <v>302.8539451770115</v>
      </c>
    </row>
    <row r="6294">
      <c r="A6294" s="4" t="n">
        <v>44875</v>
      </c>
      <c r="B6294" s="3" t="n">
        <v>289.1773386893736</v>
      </c>
    </row>
    <row r="6295">
      <c r="A6295" s="4" t="n">
        <v>44876</v>
      </c>
      <c r="B6295" s="3" t="n">
        <v>280.2668223413671</v>
      </c>
    </row>
    <row r="6296">
      <c r="A6296" s="4" t="n">
        <v>44879</v>
      </c>
      <c r="B6296" s="3" t="n">
        <v>280.2668223413671</v>
      </c>
    </row>
    <row r="6297">
      <c r="A6297" s="4" t="n">
        <v>44881</v>
      </c>
      <c r="B6297" s="3" t="n">
        <v>277.7801666163421</v>
      </c>
    </row>
    <row r="6298">
      <c r="A6298" s="4" t="n">
        <v>44882</v>
      </c>
      <c r="B6298" s="3" t="n">
        <v>296.7927218472628</v>
      </c>
    </row>
    <row r="6299">
      <c r="A6299" s="4" t="n">
        <v>44883</v>
      </c>
      <c r="B6299" s="3" t="n">
        <v>289.1255333617689</v>
      </c>
    </row>
    <row r="6300">
      <c r="A6300" s="4" t="n">
        <v>44886</v>
      </c>
      <c r="B6300" s="3" t="n">
        <v>301.9214492801271</v>
      </c>
    </row>
    <row r="6301">
      <c r="A6301" s="4" t="n">
        <v>44887</v>
      </c>
      <c r="B6301" s="3" t="n">
        <v>291.1459411383518</v>
      </c>
    </row>
    <row r="6302">
      <c r="A6302" s="4" t="n">
        <v>44888</v>
      </c>
      <c r="B6302" s="3" t="n">
        <v>293.8916235014003</v>
      </c>
    </row>
    <row r="6303">
      <c r="A6303" s="4" t="n">
        <v>44889</v>
      </c>
      <c r="B6303" s="3" t="n">
        <v>304.5635209879662</v>
      </c>
    </row>
    <row r="6304">
      <c r="A6304" s="4" t="n">
        <v>44890</v>
      </c>
      <c r="B6304" s="3" t="n">
        <v>298.1396603649848</v>
      </c>
    </row>
    <row r="6305">
      <c r="A6305" s="4" t="n">
        <v>44893</v>
      </c>
      <c r="B6305" s="3" t="n">
        <v>298.1396603649848</v>
      </c>
    </row>
    <row r="6306">
      <c r="A6306" s="4" t="n">
        <v>44894</v>
      </c>
      <c r="B6306" s="3" t="n">
        <v>290.5760825347002</v>
      </c>
    </row>
    <row r="6307">
      <c r="A6307" s="4" t="n">
        <v>44895</v>
      </c>
      <c r="B6307" s="3" t="n">
        <v>295.1867566915175</v>
      </c>
    </row>
    <row r="6308">
      <c r="A6308" s="4" t="n">
        <v>44896</v>
      </c>
      <c r="B6308" s="3" t="n">
        <v>299.8531216892935</v>
      </c>
    </row>
    <row r="6309">
      <c r="A6309" s="4" t="n">
        <v>44897</v>
      </c>
      <c r="B6309" s="3" t="n">
        <v>299.8531216892935</v>
      </c>
    </row>
    <row r="6310">
      <c r="A6310" s="4" t="n">
        <v>44900</v>
      </c>
      <c r="B6310" s="3" t="n">
        <v>302.7412838521075</v>
      </c>
    </row>
    <row r="6311">
      <c r="A6311" s="4" t="n">
        <v>44901</v>
      </c>
      <c r="B6311" s="3" t="n">
        <v>299.6468243919497</v>
      </c>
    </row>
    <row r="6312">
      <c r="A6312" s="4" t="n">
        <v>44902</v>
      </c>
      <c r="B6312" s="3" t="n">
        <v>293.8705000663217</v>
      </c>
    </row>
    <row r="6313">
      <c r="A6313" s="4" t="n">
        <v>44903</v>
      </c>
      <c r="B6313" s="3" t="n">
        <v>289.4866824977648</v>
      </c>
    </row>
    <row r="6314">
      <c r="A6314" s="4" t="n">
        <v>44904</v>
      </c>
      <c r="B6314" s="3" t="n">
        <v>305.1652770958978</v>
      </c>
    </row>
    <row r="6315">
      <c r="A6315" s="4" t="n">
        <v>44907</v>
      </c>
      <c r="B6315" s="3" t="n">
        <v>308.2081622317197</v>
      </c>
    </row>
    <row r="6316">
      <c r="A6316" s="4" t="n">
        <v>44908</v>
      </c>
      <c r="B6316" s="3" t="n">
        <v>300.4204392569892</v>
      </c>
    </row>
    <row r="6317">
      <c r="A6317" s="4" t="n">
        <v>44909</v>
      </c>
      <c r="B6317" s="3" t="n">
        <v>302.9475811494514</v>
      </c>
    </row>
    <row r="6318">
      <c r="A6318" s="4" t="n">
        <v>44910</v>
      </c>
      <c r="B6318" s="3" t="n">
        <v>305.7841689879294</v>
      </c>
    </row>
    <row r="6319">
      <c r="A6319" s="4" t="n">
        <v>44911</v>
      </c>
      <c r="B6319" s="3" t="n">
        <v>306.5577838529688</v>
      </c>
    </row>
    <row r="6320">
      <c r="A6320" s="4" t="n">
        <v>44914</v>
      </c>
      <c r="B6320" s="3" t="n">
        <v>314.1392095303555</v>
      </c>
    </row>
    <row r="6321">
      <c r="A6321" s="4" t="n">
        <v>44915</v>
      </c>
      <c r="B6321" s="3" t="n">
        <v>299.4405270946058</v>
      </c>
    </row>
    <row r="6322">
      <c r="A6322" s="4" t="n">
        <v>44916</v>
      </c>
      <c r="B6322" s="3" t="n">
        <v>297.3775541211673</v>
      </c>
    </row>
    <row r="6323">
      <c r="A6323" s="4" t="n">
        <v>44917</v>
      </c>
      <c r="B6323" s="3" t="n">
        <v>306.4546352042969</v>
      </c>
    </row>
    <row r="6324">
      <c r="A6324" s="4" t="n">
        <v>44918</v>
      </c>
      <c r="B6324" s="3" t="n">
        <v>299.1310811485901</v>
      </c>
    </row>
    <row r="6325">
      <c r="A6325" s="4" t="n">
        <v>44921</v>
      </c>
      <c r="B6325" s="3" t="n">
        <v>307.0735270963285</v>
      </c>
    </row>
    <row r="6326">
      <c r="A6326" s="4" t="n">
        <v>44922</v>
      </c>
      <c r="B6326" s="3" t="n">
        <v>295.6240270937445</v>
      </c>
    </row>
    <row r="6327">
      <c r="A6327" s="4" t="n">
        <v>44923</v>
      </c>
      <c r="B6327" s="3" t="n">
        <v>297.5322770941752</v>
      </c>
    </row>
    <row r="6328">
      <c r="A6328" s="4" t="n">
        <v>44924</v>
      </c>
      <c r="B6328" s="3" t="n">
        <v>295.8818987154244</v>
      </c>
    </row>
    <row r="6329">
      <c r="A6329" s="4" t="n">
        <v>44928</v>
      </c>
      <c r="B6329" s="3" t="n">
        <v>295.2565480697744</v>
      </c>
    </row>
    <row r="6330">
      <c r="A6330" s="4" t="n">
        <v>44929</v>
      </c>
      <c r="B6330" s="3" t="n">
        <v>302.0499704761209</v>
      </c>
    </row>
    <row r="6331">
      <c r="A6331" s="4" t="n">
        <v>44930</v>
      </c>
      <c r="B6331" s="3" t="n">
        <v>296.6461117437998</v>
      </c>
    </row>
    <row r="6332">
      <c r="A6332" s="4" t="n">
        <v>44931</v>
      </c>
      <c r="B6332" s="3" t="n">
        <v>293.3008658618867</v>
      </c>
    </row>
    <row r="6333">
      <c r="A6333" s="4" t="n">
        <v>44932</v>
      </c>
      <c r="B6333" s="3" t="n">
        <v>298.241536702866</v>
      </c>
    </row>
    <row r="6334">
      <c r="A6334" s="4" t="n">
        <v>44935</v>
      </c>
      <c r="B6334" s="3" t="n">
        <v>279.816951691714</v>
      </c>
    </row>
    <row r="6335">
      <c r="A6335" s="4" t="n">
        <v>44936</v>
      </c>
      <c r="B6335" s="3" t="n">
        <v>295.9255972461569</v>
      </c>
    </row>
    <row r="6336">
      <c r="A6336" s="4" t="n">
        <v>44937</v>
      </c>
      <c r="B6336" s="3" t="n">
        <v>295.5653399973355</v>
      </c>
    </row>
    <row r="6337">
      <c r="A6337" s="4" t="n">
        <v>44938</v>
      </c>
      <c r="B6337" s="3" t="n">
        <v>298.2930020241262</v>
      </c>
    </row>
    <row r="6338">
      <c r="A6338" s="4" t="n">
        <v>44939</v>
      </c>
      <c r="B6338" s="3" t="n">
        <v>297.212230277662</v>
      </c>
    </row>
    <row r="6339">
      <c r="A6339" s="4" t="n">
        <v>44942</v>
      </c>
      <c r="B6339" s="3" t="n">
        <v>296.0285278886774</v>
      </c>
    </row>
    <row r="6340">
      <c r="A6340" s="4" t="n">
        <v>44943</v>
      </c>
      <c r="B6340" s="3" t="n">
        <v>287.6911458445247</v>
      </c>
    </row>
    <row r="6341">
      <c r="A6341" s="4" t="n">
        <v>44944</v>
      </c>
      <c r="B6341" s="3" t="n">
        <v>295.410944033555</v>
      </c>
    </row>
    <row r="6342">
      <c r="A6342" s="4" t="n">
        <v>44945</v>
      </c>
      <c r="B6342" s="3" t="n">
        <v>293.2494005406264</v>
      </c>
    </row>
    <row r="6343">
      <c r="A6343" s="4" t="n">
        <v>44946</v>
      </c>
      <c r="B6343" s="3" t="n">
        <v>285.6325329941167</v>
      </c>
    </row>
    <row r="6344">
      <c r="A6344" s="4" t="n">
        <v>44949</v>
      </c>
      <c r="B6344" s="3" t="n">
        <v>295.1021521059938</v>
      </c>
    </row>
    <row r="6345">
      <c r="A6345" s="4" t="n">
        <v>44950</v>
      </c>
      <c r="B6345" s="3" t="n">
        <v>285.0664144602545</v>
      </c>
    </row>
    <row r="6346">
      <c r="A6346" s="4" t="n">
        <v>44951</v>
      </c>
      <c r="B6346" s="3" t="n">
        <v>293.0435392555857</v>
      </c>
    </row>
    <row r="6347">
      <c r="A6347" s="4" t="n">
        <v>44952</v>
      </c>
      <c r="B6347" s="3" t="n">
        <v>298.5503286304273</v>
      </c>
    </row>
    <row r="6348">
      <c r="A6348" s="4" t="n">
        <v>44953</v>
      </c>
      <c r="B6348" s="3" t="n">
        <v>298.7047245942078</v>
      </c>
    </row>
    <row r="6349">
      <c r="A6349" s="4" t="n">
        <v>44956</v>
      </c>
      <c r="B6349" s="3" t="n">
        <v>297.8298141327844</v>
      </c>
    </row>
    <row r="6350">
      <c r="A6350" s="4" t="n">
        <v>44957</v>
      </c>
      <c r="B6350" s="3" t="n">
        <v>297.1607649564017</v>
      </c>
    </row>
    <row r="6351">
      <c r="A6351" s="4" t="n">
        <v>44958</v>
      </c>
      <c r="B6351" s="3" t="n">
        <v>299.812513663599</v>
      </c>
    </row>
    <row r="6352">
      <c r="A6352" s="4" t="n">
        <v>44959</v>
      </c>
      <c r="B6352" s="3" t="n">
        <v>298.7825840391964</v>
      </c>
    </row>
    <row r="6353">
      <c r="A6353" s="4" t="n">
        <v>44960</v>
      </c>
      <c r="B6353" s="3" t="n">
        <v>294.9718444289066</v>
      </c>
    </row>
    <row r="6354">
      <c r="A6354" s="4" t="n">
        <v>44963</v>
      </c>
      <c r="B6354" s="3" t="n">
        <v>301.8723729124042</v>
      </c>
    </row>
    <row r="6355">
      <c r="A6355" s="4" t="n">
        <v>44964</v>
      </c>
      <c r="B6355" s="3" t="n">
        <v>297.9071438584542</v>
      </c>
    </row>
    <row r="6356">
      <c r="A6356" s="4" t="n">
        <v>44965</v>
      </c>
      <c r="B6356" s="3" t="n">
        <v>305.4771265978133</v>
      </c>
    </row>
    <row r="6357">
      <c r="A6357" s="4" t="n">
        <v>44966</v>
      </c>
      <c r="B6357" s="3" t="n">
        <v>303.9837286424295</v>
      </c>
    </row>
    <row r="6358">
      <c r="A6358" s="4" t="n">
        <v>44967</v>
      </c>
      <c r="B6358" s="3" t="n">
        <v>303.8292391987691</v>
      </c>
    </row>
    <row r="6359">
      <c r="A6359" s="4" t="n">
        <v>44970</v>
      </c>
      <c r="B6359" s="3" t="n">
        <v>311.7596973066692</v>
      </c>
    </row>
    <row r="6360">
      <c r="A6360" s="4" t="n">
        <v>44971</v>
      </c>
      <c r="B6360" s="3" t="n">
        <v>309.9058239827445</v>
      </c>
    </row>
    <row r="6361">
      <c r="A6361" s="4" t="n">
        <v>44972</v>
      </c>
      <c r="B6361" s="3" t="n">
        <v>304.8591688231717</v>
      </c>
    </row>
    <row r="6362">
      <c r="A6362" s="4" t="n">
        <v>44973</v>
      </c>
      <c r="B6362" s="3" t="n">
        <v>312.0171797127698</v>
      </c>
    </row>
    <row r="6363">
      <c r="A6363" s="4" t="n">
        <v>44974</v>
      </c>
      <c r="B6363" s="3" t="n">
        <v>303.4172673490081</v>
      </c>
    </row>
    <row r="6364">
      <c r="A6364" s="4" t="n">
        <v>44979</v>
      </c>
      <c r="B6364" s="3" t="n">
        <v>308.4639225085808</v>
      </c>
    </row>
    <row r="6365">
      <c r="A6365" s="4" t="n">
        <v>44980</v>
      </c>
      <c r="B6365" s="3" t="n">
        <v>275.4546780464773</v>
      </c>
    </row>
    <row r="6366">
      <c r="A6366" s="4" t="n">
        <v>44981</v>
      </c>
      <c r="B6366" s="3" t="n">
        <v>281.273780424352</v>
      </c>
    </row>
    <row r="6367">
      <c r="A6367" s="4" t="n">
        <v>44984</v>
      </c>
      <c r="B6367" s="3" t="n">
        <v>281.273780424352</v>
      </c>
    </row>
    <row r="6368">
      <c r="A6368" s="4" t="n">
        <v>44985</v>
      </c>
      <c r="B6368" s="3" t="n">
        <v>275.9696428586786</v>
      </c>
    </row>
    <row r="6369">
      <c r="A6369" s="4" t="n">
        <v>44986</v>
      </c>
      <c r="B6369" s="3" t="n">
        <v>281.9012477661668</v>
      </c>
    </row>
    <row r="6370">
      <c r="A6370" s="4" t="n">
        <v>44987</v>
      </c>
      <c r="B6370" s="3" t="n">
        <v>281.9012477661668</v>
      </c>
    </row>
    <row r="6371">
      <c r="A6371" s="4" t="n">
        <v>44988</v>
      </c>
      <c r="B6371" s="3" t="n">
        <v>281.9012477661668</v>
      </c>
    </row>
    <row r="6372">
      <c r="A6372" s="4" t="n">
        <v>44991</v>
      </c>
      <c r="B6372" s="3" t="n">
        <v>281.9012477661668</v>
      </c>
    </row>
    <row r="6373">
      <c r="A6373" s="4" t="n">
        <v>44992</v>
      </c>
      <c r="B6373" s="3" t="n">
        <v>274.7983863106745</v>
      </c>
    </row>
    <row r="6374">
      <c r="A6374" s="4" t="n">
        <v>44993</v>
      </c>
      <c r="B6374" s="3" t="n">
        <v>274.7983863106745</v>
      </c>
    </row>
    <row r="6375">
      <c r="A6375" s="4" t="n">
        <v>44994</v>
      </c>
      <c r="B6375" s="3" t="n">
        <v>284.9379783884424</v>
      </c>
    </row>
    <row r="6376">
      <c r="A6376" s="4" t="n">
        <v>44995</v>
      </c>
      <c r="B6376" s="3" t="n">
        <v>290.4967395275233</v>
      </c>
    </row>
    <row r="6377">
      <c r="A6377" s="4" t="n">
        <v>44998</v>
      </c>
      <c r="B6377" s="3" t="n">
        <v>288.4379391056415</v>
      </c>
    </row>
    <row r="6378">
      <c r="A6378" s="4" t="n">
        <v>44999</v>
      </c>
      <c r="B6378" s="3" t="n">
        <v>284.3718082724249</v>
      </c>
    </row>
    <row r="6379">
      <c r="A6379" s="4" t="n">
        <v>45000</v>
      </c>
      <c r="B6379" s="3" t="n">
        <v>284.1659282302368</v>
      </c>
    </row>
    <row r="6380">
      <c r="A6380" s="4" t="n">
        <v>45001</v>
      </c>
      <c r="B6380" s="3" t="n">
        <v>287.0997188314183</v>
      </c>
    </row>
    <row r="6381">
      <c r="A6381" s="4" t="n">
        <v>45002</v>
      </c>
      <c r="B6381" s="3" t="n">
        <v>287.0997188314183</v>
      </c>
    </row>
    <row r="6382">
      <c r="A6382" s="4" t="n">
        <v>45005</v>
      </c>
      <c r="B6382" s="3" t="n">
        <v>285.9673785993833</v>
      </c>
    </row>
    <row r="6383">
      <c r="A6383" s="4" t="n">
        <v>45006</v>
      </c>
      <c r="B6383" s="3" t="n">
        <v>287.871768989624</v>
      </c>
    </row>
    <row r="6384">
      <c r="A6384" s="4" t="n">
        <v>45007</v>
      </c>
      <c r="B6384" s="3" t="n">
        <v>284.3718082724249</v>
      </c>
    </row>
    <row r="6385">
      <c r="A6385" s="4" t="n">
        <v>45008</v>
      </c>
      <c r="B6385" s="3" t="n">
        <v>301.511321784591</v>
      </c>
    </row>
    <row r="6386">
      <c r="A6386" s="4" t="n">
        <v>45009</v>
      </c>
      <c r="B6386" s="3" t="n">
        <v>307.5847830291423</v>
      </c>
    </row>
    <row r="6387">
      <c r="A6387" s="4" t="n">
        <v>45012</v>
      </c>
      <c r="B6387" s="3" t="n">
        <v>304.0333523013962</v>
      </c>
    </row>
    <row r="6388">
      <c r="A6388" s="4" t="n">
        <v>45013</v>
      </c>
      <c r="B6388" s="3" t="n">
        <v>303.878942269755</v>
      </c>
    </row>
    <row r="6389">
      <c r="A6389" s="4" t="n">
        <v>45014</v>
      </c>
      <c r="B6389" s="3" t="n">
        <v>304.4451123857726</v>
      </c>
    </row>
    <row r="6390">
      <c r="A6390" s="4" t="n">
        <v>45015</v>
      </c>
      <c r="B6390" s="3" t="n">
        <v>303.776002248661</v>
      </c>
    </row>
    <row r="6391">
      <c r="A6391" s="4" t="n">
        <v>45016</v>
      </c>
      <c r="B6391" s="3" t="n">
        <v>304.6509924279608</v>
      </c>
    </row>
    <row r="6392">
      <c r="A6392" s="4" t="n">
        <v>45019</v>
      </c>
      <c r="B6392" s="3" t="n">
        <v>308.5083052519858</v>
      </c>
    </row>
    <row r="6393">
      <c r="A6393" s="4" t="n">
        <v>45020</v>
      </c>
      <c r="B6393" s="3" t="n">
        <v>305.8061944429739</v>
      </c>
    </row>
    <row r="6394">
      <c r="A6394" s="4" t="n">
        <v>45021</v>
      </c>
      <c r="B6394" s="3" t="n">
        <v>301.7010645600521</v>
      </c>
    </row>
    <row r="6395">
      <c r="A6395" s="4" t="n">
        <v>45022</v>
      </c>
      <c r="B6395" s="3" t="n">
        <v>305.7022671041657</v>
      </c>
    </row>
    <row r="6396">
      <c r="A6396" s="4" t="n">
        <v>45026</v>
      </c>
      <c r="B6396" s="3" t="n">
        <v>296.0889882644121</v>
      </c>
    </row>
    <row r="6397">
      <c r="A6397" s="4" t="n">
        <v>45027</v>
      </c>
      <c r="B6397" s="3" t="n">
        <v>304.5071027078721</v>
      </c>
    </row>
    <row r="6398">
      <c r="A6398" s="4" t="n">
        <v>45028</v>
      </c>
      <c r="B6398" s="3" t="n">
        <v>303.000156295154</v>
      </c>
    </row>
    <row r="6399">
      <c r="A6399" s="4" t="n">
        <v>45029</v>
      </c>
      <c r="B6399" s="3" t="n">
        <v>296.5566612890489</v>
      </c>
    </row>
    <row r="6400">
      <c r="A6400" s="4" t="n">
        <v>45030</v>
      </c>
      <c r="B6400" s="3" t="n">
        <v>297.1282616524936</v>
      </c>
    </row>
    <row r="6401">
      <c r="A6401" s="4" t="n">
        <v>45033</v>
      </c>
      <c r="B6401" s="3" t="n">
        <v>298.063607701767</v>
      </c>
    </row>
    <row r="6402">
      <c r="A6402" s="4" t="n">
        <v>45034</v>
      </c>
      <c r="B6402" s="3" t="n">
        <v>295.5693515703714</v>
      </c>
    </row>
    <row r="6403">
      <c r="A6403" s="4" t="n">
        <v>45035</v>
      </c>
      <c r="B6403" s="3" t="n">
        <v>289.3337112418825</v>
      </c>
    </row>
    <row r="6404">
      <c r="A6404" s="4" t="n">
        <v>45036</v>
      </c>
      <c r="B6404" s="3" t="n">
        <v>296.6086249584529</v>
      </c>
    </row>
    <row r="6405">
      <c r="A6405" s="4" t="n">
        <v>45040</v>
      </c>
      <c r="B6405" s="3" t="n">
        <v>294.0104414882492</v>
      </c>
    </row>
    <row r="6406">
      <c r="A6406" s="4" t="n">
        <v>45041</v>
      </c>
      <c r="B6406" s="3" t="n">
        <v>292.6593860837433</v>
      </c>
    </row>
    <row r="6407">
      <c r="A6407" s="4" t="n">
        <v>45042</v>
      </c>
      <c r="B6407" s="3" t="n">
        <v>290.1131662829436</v>
      </c>
    </row>
    <row r="6408">
      <c r="A6408" s="4" t="n">
        <v>45043</v>
      </c>
      <c r="B6408" s="3" t="n">
        <v>289.1258565642663</v>
      </c>
    </row>
    <row r="6409">
      <c r="A6409" s="4" t="n">
        <v>45044</v>
      </c>
      <c r="B6409" s="3" t="n">
        <v>282.0587975253122</v>
      </c>
    </row>
    <row r="6410">
      <c r="A6410" s="4" t="n">
        <v>45048</v>
      </c>
      <c r="B6410" s="3" t="n">
        <v>289.4224457985355</v>
      </c>
    </row>
    <row r="6411">
      <c r="A6411" s="4" t="n">
        <v>45049</v>
      </c>
      <c r="B6411" s="3" t="n">
        <v>277.7227273932901</v>
      </c>
    </row>
    <row r="6412">
      <c r="A6412" s="4" t="n">
        <v>45050</v>
      </c>
      <c r="B6412" s="3" t="n">
        <v>275.7639510087016</v>
      </c>
    </row>
    <row r="6413">
      <c r="A6413" s="4" t="n">
        <v>45051</v>
      </c>
      <c r="B6413" s="3" t="n">
        <v>285.4519531270722</v>
      </c>
    </row>
    <row r="6414">
      <c r="A6414" s="4" t="n">
        <v>45054</v>
      </c>
      <c r="B6414" s="3" t="n">
        <v>290.4812438442591</v>
      </c>
    </row>
    <row r="6415">
      <c r="A6415" s="4" t="n">
        <v>45055</v>
      </c>
      <c r="B6415" s="3" t="n">
        <v>288.5754073619566</v>
      </c>
    </row>
    <row r="6416">
      <c r="A6416" s="4" t="n">
        <v>45056</v>
      </c>
      <c r="B6416" s="3" t="n">
        <v>290.8518231602623</v>
      </c>
    </row>
    <row r="6417">
      <c r="A6417" s="4" t="n">
        <v>45057</v>
      </c>
      <c r="B6417" s="3" t="n">
        <v>287.198969902516</v>
      </c>
    </row>
    <row r="6418">
      <c r="A6418" s="4" t="n">
        <v>45058</v>
      </c>
      <c r="B6418" s="3" t="n">
        <v>288.5754073619566</v>
      </c>
    </row>
    <row r="6419">
      <c r="A6419" s="4" t="n">
        <v>45061</v>
      </c>
      <c r="B6419" s="3" t="n">
        <v>289.6871453099664</v>
      </c>
    </row>
    <row r="6420">
      <c r="A6420" s="4" t="n">
        <v>45062</v>
      </c>
      <c r="B6420" s="3" t="n">
        <v>282.9108378173356</v>
      </c>
    </row>
    <row r="6421">
      <c r="A6421" s="4" t="n">
        <v>45063</v>
      </c>
      <c r="B6421" s="3" t="n">
        <v>283.4931767424836</v>
      </c>
    </row>
    <row r="6422">
      <c r="A6422" s="4" t="n">
        <v>45064</v>
      </c>
      <c r="B6422" s="3" t="n">
        <v>283.016717621908</v>
      </c>
    </row>
    <row r="6423">
      <c r="A6423" s="4" t="n">
        <v>45065</v>
      </c>
      <c r="B6423" s="3" t="n">
        <v>279.0991648527308</v>
      </c>
    </row>
    <row r="6424">
      <c r="A6424" s="4" t="n">
        <v>45068</v>
      </c>
      <c r="B6424" s="3" t="n">
        <v>279.0462249504446</v>
      </c>
    </row>
    <row r="6425">
      <c r="A6425" s="4" t="n">
        <v>45069</v>
      </c>
      <c r="B6425" s="3" t="n">
        <v>277.2462682727145</v>
      </c>
    </row>
    <row r="6426">
      <c r="A6426" s="4" t="n">
        <v>45070</v>
      </c>
      <c r="B6426" s="3" t="n">
        <v>272.4287371646723</v>
      </c>
    </row>
    <row r="6427">
      <c r="A6427" s="4" t="n">
        <v>45071</v>
      </c>
      <c r="B6427" s="3" t="n">
        <v>270.8934799983732</v>
      </c>
    </row>
    <row r="6428">
      <c r="A6428" s="4" t="n">
        <v>45072</v>
      </c>
      <c r="B6428" s="3" t="n">
        <v>268.1935449817781</v>
      </c>
    </row>
    <row r="6429">
      <c r="A6429" s="4" t="n">
        <v>45075</v>
      </c>
      <c r="B6429" s="3" t="n">
        <v>272.0052179463829</v>
      </c>
    </row>
    <row r="6430">
      <c r="A6430" s="4" t="n">
        <v>45076</v>
      </c>
      <c r="B6430" s="3" t="n">
        <v>255.964427553671</v>
      </c>
    </row>
    <row r="6431">
      <c r="A6431" s="4" t="n">
        <v>45077</v>
      </c>
      <c r="B6431" s="3" t="n">
        <v>257.5526246222563</v>
      </c>
    </row>
    <row r="6432">
      <c r="A6432" s="4" t="n">
        <v>45078</v>
      </c>
      <c r="B6432" s="3" t="n">
        <v>263.3226398492648</v>
      </c>
    </row>
    <row r="6433">
      <c r="A6433" s="4" t="n">
        <v>45079</v>
      </c>
      <c r="B6433" s="3" t="n">
        <v>268.0730277760248</v>
      </c>
    </row>
    <row r="6434">
      <c r="A6434" s="4" t="n">
        <v>45082</v>
      </c>
      <c r="B6434" s="3" t="n">
        <v>268.6668262668698</v>
      </c>
    </row>
    <row r="6435">
      <c r="A6435" s="4" t="n">
        <v>45083</v>
      </c>
      <c r="B6435" s="3" t="n">
        <v>264.402273468983</v>
      </c>
    </row>
    <row r="6436">
      <c r="A6436" s="4" t="n">
        <v>45084</v>
      </c>
      <c r="B6436" s="3" t="n">
        <v>263.8624566591239</v>
      </c>
    </row>
    <row r="6437">
      <c r="A6437" s="4" t="n">
        <v>45086</v>
      </c>
      <c r="B6437" s="3" t="n">
        <v>271.0960019112357</v>
      </c>
    </row>
    <row r="6438">
      <c r="A6438" s="4" t="n">
        <v>45089</v>
      </c>
      <c r="B6438" s="3" t="n">
        <v>256.5749297260261</v>
      </c>
    </row>
    <row r="6439">
      <c r="A6439" s="4" t="n">
        <v>45090</v>
      </c>
      <c r="B6439" s="3" t="n">
        <v>263.0527314443352</v>
      </c>
    </row>
    <row r="6440">
      <c r="A6440" s="4" t="n">
        <v>45091</v>
      </c>
      <c r="B6440" s="3" t="n">
        <v>269.2606247577148</v>
      </c>
    </row>
    <row r="6441">
      <c r="A6441" s="4" t="n">
        <v>45092</v>
      </c>
      <c r="B6441" s="3" t="n">
        <v>254.9554792964489</v>
      </c>
    </row>
    <row r="6442">
      <c r="A6442" s="4" t="n">
        <v>45093</v>
      </c>
      <c r="B6442" s="3" t="n">
        <v>263.6465299351802</v>
      </c>
    </row>
    <row r="6443">
      <c r="A6443" s="4" t="n">
        <v>45096</v>
      </c>
      <c r="B6443" s="3" t="n">
        <v>262.5129146344761</v>
      </c>
    </row>
    <row r="6444">
      <c r="A6444" s="4" t="n">
        <v>45097</v>
      </c>
      <c r="B6444" s="3" t="n">
        <v>271.6358187210948</v>
      </c>
    </row>
    <row r="6445">
      <c r="A6445" s="4" t="n">
        <v>45098</v>
      </c>
      <c r="B6445" s="3" t="n">
        <v>273.0933241077143</v>
      </c>
    </row>
    <row r="6446">
      <c r="A6446" s="4" t="n">
        <v>45099</v>
      </c>
      <c r="B6446" s="3" t="n">
        <v>269.8004415675739</v>
      </c>
    </row>
    <row r="6447">
      <c r="A6447" s="4" t="n">
        <v>45100</v>
      </c>
      <c r="B6447" s="3" t="n">
        <v>272.4995256168693</v>
      </c>
    </row>
    <row r="6448">
      <c r="A6448" s="4" t="n">
        <v>45103</v>
      </c>
      <c r="B6448" s="3" t="n">
        <v>278.3295471633475</v>
      </c>
    </row>
    <row r="6449">
      <c r="A6449" s="4" t="n">
        <v>45104</v>
      </c>
      <c r="B6449" s="3" t="n">
        <v>278.5454738872912</v>
      </c>
    </row>
    <row r="6450">
      <c r="A6450" s="4" t="n">
        <v>45105</v>
      </c>
      <c r="B6450" s="3" t="n">
        <v>272.2835988929257</v>
      </c>
    </row>
    <row r="6451">
      <c r="A6451" s="4" t="n">
        <v>45106</v>
      </c>
      <c r="B6451" s="3" t="n">
        <v>280.7047411267275</v>
      </c>
    </row>
    <row r="6452">
      <c r="A6452" s="4" t="n">
        <v>45107</v>
      </c>
      <c r="B6452" s="3" t="n">
        <v>274.442866132362</v>
      </c>
    </row>
    <row r="6453">
      <c r="A6453" s="4" t="n">
        <v>45110</v>
      </c>
      <c r="B6453" s="3" t="n">
        <v>281.7174983926684</v>
      </c>
    </row>
    <row r="6454">
      <c r="A6454" s="4" t="n">
        <v>45111</v>
      </c>
      <c r="B6454" s="3" t="n">
        <v>281.2824974300855</v>
      </c>
    </row>
    <row r="6455">
      <c r="A6455" s="4" t="n">
        <v>45112</v>
      </c>
      <c r="B6455" s="3" t="n">
        <v>266.1118388600113</v>
      </c>
    </row>
    <row r="6456">
      <c r="A6456" s="4" t="n">
        <v>45113</v>
      </c>
      <c r="B6456" s="3" t="n">
        <v>279.8143691813688</v>
      </c>
    </row>
    <row r="6457">
      <c r="A6457" s="4" t="n">
        <v>45114</v>
      </c>
      <c r="B6457" s="3" t="n">
        <v>278.672491654589</v>
      </c>
    </row>
    <row r="6458">
      <c r="A6458" s="4" t="n">
        <v>45117</v>
      </c>
      <c r="B6458" s="3" t="n">
        <v>276.9868629245807</v>
      </c>
    </row>
    <row r="6459">
      <c r="A6459" s="4" t="n">
        <v>45118</v>
      </c>
      <c r="B6459" s="3" t="n">
        <v>279.6512438204002</v>
      </c>
    </row>
    <row r="6460">
      <c r="A6460" s="4" t="n">
        <v>45119</v>
      </c>
      <c r="B6460" s="3" t="n">
        <v>280.5756208658886</v>
      </c>
    </row>
    <row r="6461">
      <c r="A6461" s="4" t="n">
        <v>45120</v>
      </c>
      <c r="B6461" s="3" t="n">
        <v>275.3556093148953</v>
      </c>
    </row>
    <row r="6462">
      <c r="A6462" s="4" t="n">
        <v>45121</v>
      </c>
      <c r="B6462" s="3" t="n">
        <v>277.2043634058721</v>
      </c>
    </row>
    <row r="6463">
      <c r="A6463" s="4" t="n">
        <v>45124</v>
      </c>
      <c r="B6463" s="3" t="n">
        <v>279.4881184594316</v>
      </c>
    </row>
    <row r="6464">
      <c r="A6464" s="4" t="n">
        <v>45125</v>
      </c>
      <c r="B6464" s="3" t="n">
        <v>269.9180972826106</v>
      </c>
    </row>
    <row r="6465">
      <c r="A6465" s="4" t="n">
        <v>45126</v>
      </c>
      <c r="B6465" s="3" t="n">
        <v>267.6887173493739</v>
      </c>
    </row>
    <row r="6466">
      <c r="A6466" s="4" t="n">
        <v>45127</v>
      </c>
      <c r="B6466" s="3" t="n">
        <v>272.8543537800444</v>
      </c>
    </row>
    <row r="6467">
      <c r="A6467" s="4" t="n">
        <v>45128</v>
      </c>
      <c r="B6467" s="3" t="n">
        <v>267.9062178306653</v>
      </c>
    </row>
    <row r="6468">
      <c r="A6468" s="4" t="n">
        <v>45131</v>
      </c>
      <c r="B6468" s="3" t="n">
        <v>268.721844635508</v>
      </c>
    </row>
    <row r="6469">
      <c r="A6469" s="4" t="n">
        <v>45132</v>
      </c>
      <c r="B6469" s="3" t="n">
        <v>264.9155862129087</v>
      </c>
    </row>
    <row r="6470">
      <c r="A6470" s="4" t="n">
        <v>45133</v>
      </c>
      <c r="B6470" s="3" t="n">
        <v>264.8068359722631</v>
      </c>
    </row>
    <row r="6471">
      <c r="A6471" s="4" t="n">
        <v>45134</v>
      </c>
      <c r="B6471" s="3" t="n">
        <v>262.5230809187036</v>
      </c>
    </row>
    <row r="6472">
      <c r="A6472" s="4" t="n">
        <v>45135</v>
      </c>
      <c r="B6472" s="3" t="n">
        <v>266.4924647022713</v>
      </c>
    </row>
    <row r="6473">
      <c r="A6473" s="4" t="n">
        <v>45138</v>
      </c>
      <c r="B6473" s="3" t="n">
        <v>265.187461814523</v>
      </c>
    </row>
    <row r="6474">
      <c r="A6474" s="4" t="n">
        <v>45139</v>
      </c>
      <c r="B6474" s="3" t="n">
        <v>261.4640552509297</v>
      </c>
    </row>
    <row r="6475">
      <c r="A6475" s="4" t="n">
        <v>45140</v>
      </c>
      <c r="B6475" s="3" t="n">
        <v>263.6420148948359</v>
      </c>
    </row>
    <row r="6476">
      <c r="A6476" s="4" t="n">
        <v>45141</v>
      </c>
      <c r="B6476" s="3" t="n">
        <v>253.0789106218912</v>
      </c>
    </row>
    <row r="6477">
      <c r="A6477" s="4" t="n">
        <v>45142</v>
      </c>
      <c r="B6477" s="3" t="n">
        <v>261.572953233125</v>
      </c>
    </row>
    <row r="6478">
      <c r="A6478" s="4" t="n">
        <v>45145</v>
      </c>
      <c r="B6478" s="3" t="n">
        <v>258.8505036782424</v>
      </c>
    </row>
    <row r="6479">
      <c r="A6479" s="4" t="n">
        <v>45146</v>
      </c>
      <c r="B6479" s="3" t="n">
        <v>259.1771976248284</v>
      </c>
    </row>
    <row r="6480">
      <c r="A6480" s="4" t="n">
        <v>45147</v>
      </c>
      <c r="B6480" s="3" t="n">
        <v>258.4693607405588</v>
      </c>
    </row>
    <row r="6481">
      <c r="A6481" s="4" t="n">
        <v>45148</v>
      </c>
      <c r="B6481" s="3" t="n">
        <v>254.7668293459184</v>
      </c>
    </row>
    <row r="6482">
      <c r="A6482" s="4" t="n">
        <v>45149</v>
      </c>
      <c r="B6482" s="3" t="n">
        <v>250.5742570313991</v>
      </c>
    </row>
    <row r="6483">
      <c r="A6483" s="4" t="n">
        <v>45152</v>
      </c>
      <c r="B6483" s="3" t="n">
        <v>250.9009509779851</v>
      </c>
    </row>
    <row r="6484">
      <c r="A6484" s="4" t="n">
        <v>45153</v>
      </c>
      <c r="B6484" s="3" t="n">
        <v>240.8823366160169</v>
      </c>
    </row>
    <row r="6485">
      <c r="A6485" s="4" t="n">
        <v>45154</v>
      </c>
      <c r="B6485" s="3" t="n">
        <v>236.471968337107</v>
      </c>
    </row>
    <row r="6486">
      <c r="A6486" s="4" t="n">
        <v>45155</v>
      </c>
      <c r="B6486" s="3" t="n">
        <v>238.5410299988179</v>
      </c>
    </row>
    <row r="6487">
      <c r="A6487" s="4" t="n">
        <v>45156</v>
      </c>
      <c r="B6487" s="3" t="n">
        <v>230.7003752807558</v>
      </c>
    </row>
    <row r="6488">
      <c r="A6488" s="4" t="n">
        <v>45159</v>
      </c>
      <c r="B6488" s="3" t="n">
        <v>234.2395597021032</v>
      </c>
    </row>
    <row r="6489">
      <c r="A6489" s="4" t="n">
        <v>45160</v>
      </c>
      <c r="B6489" s="3" t="n">
        <v>234.0762127288103</v>
      </c>
    </row>
    <row r="6490">
      <c r="A6490" s="4" t="n">
        <v>45161</v>
      </c>
      <c r="B6490" s="3" t="n">
        <v>223.5675574469633</v>
      </c>
    </row>
    <row r="6491">
      <c r="A6491" s="4" t="n">
        <v>45162</v>
      </c>
      <c r="B6491" s="3" t="n">
        <v>217.5237194351238</v>
      </c>
    </row>
    <row r="6492">
      <c r="A6492" s="4" t="n">
        <v>45163</v>
      </c>
      <c r="B6492" s="3" t="n">
        <v>217.6870664084167</v>
      </c>
    </row>
    <row r="6493">
      <c r="A6493" s="4" t="n">
        <v>45166</v>
      </c>
      <c r="B6493" s="3" t="n">
        <v>216.9792295241472</v>
      </c>
    </row>
    <row r="6494">
      <c r="A6494" s="4" t="n">
        <v>45167</v>
      </c>
      <c r="B6494" s="3" t="n">
        <v>221.0084548653736</v>
      </c>
    </row>
    <row r="6495">
      <c r="A6495" s="4" t="n">
        <v>45168</v>
      </c>
      <c r="B6495" s="3" t="n">
        <v>217.5237194351238</v>
      </c>
    </row>
    <row r="6496">
      <c r="A6496" s="4" t="n">
        <v>45169</v>
      </c>
      <c r="B6496" s="3" t="n">
        <v>217.5781684262215</v>
      </c>
    </row>
    <row r="6497">
      <c r="A6497" s="4" t="n">
        <v>45170</v>
      </c>
      <c r="B6497" s="3" t="n">
        <v>216.6209916284632</v>
      </c>
    </row>
    <row r="6498">
      <c r="A6498" s="4" t="n">
        <v>45173</v>
      </c>
      <c r="B6498" s="3" t="n">
        <v>216.1327399568739</v>
      </c>
    </row>
    <row r="6499">
      <c r="A6499" s="4" t="n">
        <v>45174</v>
      </c>
      <c r="B6499" s="3" t="n">
        <v>218.0857466432312</v>
      </c>
    </row>
    <row r="6500">
      <c r="A6500" s="4" t="n">
        <v>45175</v>
      </c>
      <c r="B6500" s="3" t="n">
        <v>217.3804942287133</v>
      </c>
    </row>
    <row r="6501">
      <c r="A6501" s="4" t="n">
        <v>45177</v>
      </c>
      <c r="B6501" s="3" t="n">
        <v>219.9302529581242</v>
      </c>
    </row>
    <row r="6502">
      <c r="A6502" s="4" t="n">
        <v>45180</v>
      </c>
      <c r="B6502" s="3" t="n">
        <v>221.5035083443564</v>
      </c>
    </row>
    <row r="6503">
      <c r="A6503" s="4" t="n">
        <v>45181</v>
      </c>
      <c r="B6503" s="3" t="n">
        <v>213.0404793701415</v>
      </c>
    </row>
    <row r="6504">
      <c r="A6504" s="4" t="n">
        <v>45182</v>
      </c>
      <c r="B6504" s="3" t="n">
        <v>219.1707503578741</v>
      </c>
    </row>
    <row r="6505">
      <c r="A6505" s="4" t="n">
        <v>45183</v>
      </c>
      <c r="B6505" s="3" t="n">
        <v>221.34075778716</v>
      </c>
    </row>
    <row r="6506">
      <c r="A6506" s="4" t="n">
        <v>45184</v>
      </c>
      <c r="B6506" s="3" t="n">
        <v>231.8652938191965</v>
      </c>
    </row>
    <row r="6507">
      <c r="A6507" s="4" t="n">
        <v>45187</v>
      </c>
      <c r="B6507" s="3" t="n">
        <v>233.1672982767681</v>
      </c>
    </row>
    <row r="6508">
      <c r="A6508" s="4" t="n">
        <v>45188</v>
      </c>
      <c r="B6508" s="3" t="n">
        <v>227.6880295178212</v>
      </c>
    </row>
    <row r="6509">
      <c r="A6509" s="4" t="n">
        <v>45189</v>
      </c>
      <c r="B6509" s="3" t="n">
        <v>233.7098001340895</v>
      </c>
    </row>
    <row r="6510">
      <c r="A6510" s="4" t="n">
        <v>45190</v>
      </c>
      <c r="B6510" s="3" t="n">
        <v>237.2360622066791</v>
      </c>
    </row>
    <row r="6511">
      <c r="A6511" s="4" t="n">
        <v>45191</v>
      </c>
      <c r="B6511" s="3" t="n">
        <v>240.9793250221972</v>
      </c>
    </row>
    <row r="6512">
      <c r="A6512" s="4" t="n">
        <v>45194</v>
      </c>
      <c r="B6512" s="3" t="n">
        <v>239.5688201931614</v>
      </c>
    </row>
    <row r="6513">
      <c r="A6513" s="4" t="n">
        <v>45195</v>
      </c>
      <c r="B6513" s="3" t="n">
        <v>245.8075915523583</v>
      </c>
    </row>
    <row r="6514">
      <c r="A6514" s="4" t="n">
        <v>45196</v>
      </c>
      <c r="B6514" s="3" t="n">
        <v>247.7063480529835</v>
      </c>
    </row>
    <row r="6515">
      <c r="A6515" s="4" t="n">
        <v>45197</v>
      </c>
      <c r="B6515" s="3" t="n">
        <v>254.4333710837697</v>
      </c>
    </row>
    <row r="6516">
      <c r="A6516" s="4" t="n">
        <v>45198</v>
      </c>
      <c r="B6516" s="3" t="n">
        <v>256.2236272129305</v>
      </c>
    </row>
    <row r="6517">
      <c r="A6517" s="4" t="n">
        <v>45201</v>
      </c>
      <c r="B6517" s="3" t="n">
        <v>254.8461374315294</v>
      </c>
    </row>
    <row r="6518">
      <c r="A6518" s="4" t="n">
        <v>45202</v>
      </c>
      <c r="B6518" s="3" t="n">
        <v>257.8151138260928</v>
      </c>
    </row>
    <row r="6519">
      <c r="A6519" s="4" t="n">
        <v>45203</v>
      </c>
      <c r="B6519" s="3" t="n">
        <v>252.5789190938627</v>
      </c>
    </row>
    <row r="6520">
      <c r="A6520" s="4" t="n">
        <v>45204</v>
      </c>
      <c r="B6520" s="3" t="n">
        <v>258.2469649380294</v>
      </c>
    </row>
    <row r="6521">
      <c r="A6521" s="4" t="n">
        <v>45205</v>
      </c>
      <c r="B6521" s="3" t="n">
        <v>258.8947416059341</v>
      </c>
    </row>
    <row r="6522">
      <c r="A6522" s="4" t="n">
        <v>45208</v>
      </c>
      <c r="B6522" s="3" t="n">
        <v>256.9514116022199</v>
      </c>
    </row>
    <row r="6523">
      <c r="A6523" s="4" t="n">
        <v>45209</v>
      </c>
      <c r="B6523" s="3" t="n">
        <v>256.7354860462516</v>
      </c>
    </row>
    <row r="6524">
      <c r="A6524" s="4" t="n">
        <v>45210</v>
      </c>
      <c r="B6524" s="3" t="n">
        <v>251.6072540920056</v>
      </c>
    </row>
    <row r="6525">
      <c r="A6525" s="4" t="n">
        <v>45212</v>
      </c>
      <c r="B6525" s="3" t="n">
        <v>250.3656821451881</v>
      </c>
    </row>
    <row r="6526">
      <c r="A6526" s="4" t="n">
        <v>45215</v>
      </c>
      <c r="B6526" s="3" t="n">
        <v>262.8353830023547</v>
      </c>
    </row>
    <row r="6527">
      <c r="A6527" s="4" t="n">
        <v>45216</v>
      </c>
      <c r="B6527" s="3" t="n">
        <v>260.9460343876325</v>
      </c>
    </row>
    <row r="6528">
      <c r="A6528" s="4" t="n">
        <v>45217</v>
      </c>
      <c r="B6528" s="3" t="n">
        <v>249.1780915873628</v>
      </c>
    </row>
    <row r="6529">
      <c r="A6529" s="4" t="n">
        <v>45218</v>
      </c>
      <c r="B6529" s="3" t="n">
        <v>261.377885499569</v>
      </c>
    </row>
    <row r="6530">
      <c r="A6530" s="4" t="n">
        <v>45219</v>
      </c>
      <c r="B6530" s="3" t="n">
        <v>260.2982577197278</v>
      </c>
    </row>
    <row r="6531">
      <c r="A6531" s="4" t="n">
        <v>45222</v>
      </c>
      <c r="B6531" s="3" t="n">
        <v>256.3036349343151</v>
      </c>
    </row>
    <row r="6532">
      <c r="A6532" s="4" t="n">
        <v>45223</v>
      </c>
      <c r="B6532" s="3" t="n">
        <v>258.5168718829897</v>
      </c>
    </row>
    <row r="6533">
      <c r="A6533" s="4" t="n">
        <v>45224</v>
      </c>
      <c r="B6533" s="3" t="n">
        <v>259.1646485508945</v>
      </c>
    </row>
    <row r="6534">
      <c r="A6534" s="4" t="n">
        <v>45225</v>
      </c>
      <c r="B6534" s="3" t="n">
        <v>259.9203879967833</v>
      </c>
    </row>
    <row r="6535">
      <c r="A6535" s="4" t="n">
        <v>45226</v>
      </c>
      <c r="B6535" s="3" t="n">
        <v>248.3143893634898</v>
      </c>
    </row>
    <row r="6536">
      <c r="A6536" s="4" t="n">
        <v>45229</v>
      </c>
      <c r="B6536" s="3" t="n">
        <v>260.9460343876325</v>
      </c>
    </row>
    <row r="6537">
      <c r="A6537" s="4" t="n">
        <v>45230</v>
      </c>
      <c r="B6537" s="3" t="n">
        <v>256.4115977122992</v>
      </c>
    </row>
    <row r="6538">
      <c r="A6538" s="4" t="n">
        <v>45231</v>
      </c>
      <c r="B6538" s="3" t="n">
        <v>249.9090903958093</v>
      </c>
    </row>
    <row r="6539">
      <c r="A6539" s="4" t="n">
        <v>45233</v>
      </c>
      <c r="B6539" s="3" t="n">
        <v>252.1629408997011</v>
      </c>
    </row>
    <row r="6540">
      <c r="A6540" s="4" t="n">
        <v>45236</v>
      </c>
      <c r="B6540" s="3" t="n">
        <v>258.2268720173146</v>
      </c>
    </row>
    <row r="6541">
      <c r="A6541" s="4" t="n">
        <v>45237</v>
      </c>
      <c r="B6541" s="3" t="n">
        <v>245.2404000663192</v>
      </c>
    </row>
    <row r="6542">
      <c r="A6542" s="4" t="n">
        <v>45238</v>
      </c>
      <c r="B6542" s="3" t="n">
        <v>246.3136622110296</v>
      </c>
    </row>
    <row r="6543">
      <c r="A6543" s="4" t="n">
        <v>45239</v>
      </c>
      <c r="B6543" s="3" t="n">
        <v>244.9720845301416</v>
      </c>
    </row>
    <row r="6544">
      <c r="A6544" s="4" t="n">
        <v>45240</v>
      </c>
      <c r="B6544" s="3" t="n">
        <v>251.840962256288</v>
      </c>
    </row>
    <row r="6545">
      <c r="A6545" s="4" t="n">
        <v>45243</v>
      </c>
      <c r="B6545" s="3" t="n">
        <v>248.7285020366279</v>
      </c>
    </row>
    <row r="6546">
      <c r="A6546" s="4" t="n">
        <v>45244</v>
      </c>
      <c r="B6546" s="3" t="n">
        <v>248.1918709642727</v>
      </c>
    </row>
    <row r="6547">
      <c r="A6547" s="4" t="n">
        <v>45246</v>
      </c>
      <c r="B6547" s="3" t="n">
        <v>244.6501058867285</v>
      </c>
    </row>
    <row r="6548">
      <c r="A6548" s="4" t="n">
        <v>45247</v>
      </c>
      <c r="B6548" s="3" t="n">
        <v>252.8605612937628</v>
      </c>
    </row>
    <row r="6549">
      <c r="A6549" s="4" t="n">
        <v>45250</v>
      </c>
      <c r="B6549" s="3" t="n">
        <v>252.8605612937628</v>
      </c>
    </row>
    <row r="6550">
      <c r="A6550" s="4" t="n">
        <v>45251</v>
      </c>
      <c r="B6550" s="3" t="n">
        <v>252.9142244009984</v>
      </c>
    </row>
    <row r="6551">
      <c r="A6551" s="4" t="n">
        <v>45252</v>
      </c>
      <c r="B6551" s="3" t="n">
        <v>249.8554272885738</v>
      </c>
    </row>
    <row r="6552">
      <c r="A6552" s="4" t="n">
        <v>45253</v>
      </c>
      <c r="B6552" s="3" t="n">
        <v>255.2217380121257</v>
      </c>
    </row>
    <row r="6553">
      <c r="A6553" s="4" t="n">
        <v>45254</v>
      </c>
      <c r="B6553" s="3" t="n">
        <v>249.3724593234541</v>
      </c>
    </row>
    <row r="6554">
      <c r="A6554" s="4" t="n">
        <v>45257</v>
      </c>
      <c r="B6554" s="3" t="n">
        <v>259.407460376496</v>
      </c>
    </row>
    <row r="6555">
      <c r="A6555" s="4" t="n">
        <v>45258</v>
      </c>
      <c r="B6555" s="3" t="n">
        <v>262.6272468106271</v>
      </c>
    </row>
    <row r="6556">
      <c r="A6556" s="4" t="n">
        <v>45259</v>
      </c>
      <c r="B6556" s="3" t="n">
        <v>258.8708293041409</v>
      </c>
    </row>
    <row r="6557">
      <c r="A6557" s="4" t="n">
        <v>45260</v>
      </c>
      <c r="B6557" s="3" t="n">
        <v>257.2609360870753</v>
      </c>
    </row>
    <row r="6558">
      <c r="A6558" s="4" t="n">
        <v>45261</v>
      </c>
      <c r="B6558" s="3" t="n">
        <v>264.3203746735085</v>
      </c>
    </row>
    <row r="6559">
      <c r="A6559" s="4" t="n">
        <v>45264</v>
      </c>
      <c r="B6559" s="3" t="n">
        <v>265.7586354788661</v>
      </c>
    </row>
    <row r="6560">
      <c r="A6560" s="4" t="n">
        <v>45265</v>
      </c>
      <c r="B6560" s="3" t="n">
        <v>262.4559625184152</v>
      </c>
    </row>
    <row r="6561">
      <c r="A6561" s="4" t="n">
        <v>45266</v>
      </c>
      <c r="B6561" s="3" t="n">
        <v>256.4365747033998</v>
      </c>
    </row>
    <row r="6562">
      <c r="A6562" s="4" t="n">
        <v>45267</v>
      </c>
      <c r="B6562" s="3" t="n">
        <v>258.9402138830965</v>
      </c>
    </row>
    <row r="6563">
      <c r="A6563" s="4" t="n">
        <v>45268</v>
      </c>
      <c r="B6563" s="3" t="n">
        <v>264.1605679173576</v>
      </c>
    </row>
    <row r="6564">
      <c r="A6564" s="4" t="n">
        <v>45271</v>
      </c>
      <c r="B6564" s="3" t="n">
        <v>265.7053665601492</v>
      </c>
    </row>
    <row r="6565">
      <c r="A6565" s="4" t="n">
        <v>45272</v>
      </c>
      <c r="B6565" s="3" t="n">
        <v>267.1968962842238</v>
      </c>
    </row>
    <row r="6566">
      <c r="A6566" s="4" t="n">
        <v>45273</v>
      </c>
      <c r="B6566" s="3" t="n">
        <v>264.9063327793949</v>
      </c>
    </row>
    <row r="6567">
      <c r="A6567" s="4" t="n">
        <v>45274</v>
      </c>
      <c r="B6567" s="3" t="n">
        <v>265.7053665601492</v>
      </c>
    </row>
    <row r="6568">
      <c r="A6568" s="4" t="n">
        <v>45275</v>
      </c>
      <c r="B6568" s="3" t="n">
        <v>265.4390219665644</v>
      </c>
    </row>
    <row r="6569">
      <c r="A6569" s="4" t="n">
        <v>45278</v>
      </c>
      <c r="B6569" s="3" t="n">
        <v>266.7174760157712</v>
      </c>
    </row>
    <row r="6570">
      <c r="A6570" s="4" t="n">
        <v>45279</v>
      </c>
      <c r="B6570" s="3" t="n">
        <v>258.6738692895117</v>
      </c>
    </row>
    <row r="6571">
      <c r="A6571" s="4" t="n">
        <v>45280</v>
      </c>
      <c r="B6571" s="3" t="n">
        <v>265.1726773729796</v>
      </c>
    </row>
    <row r="6572">
      <c r="A6572" s="4" t="n">
        <v>45281</v>
      </c>
      <c r="B6572" s="3" t="n">
        <v>266.5576692596204</v>
      </c>
    </row>
    <row r="6573">
      <c r="A6573" s="4" t="n">
        <v>45282</v>
      </c>
      <c r="B6573" s="3" t="n">
        <v>268.3688124959967</v>
      </c>
    </row>
    <row r="6574">
      <c r="A6574" s="4" t="n">
        <v>45286</v>
      </c>
      <c r="B6574" s="3" t="n">
        <v>269.0080395206001</v>
      </c>
    </row>
    <row r="6575">
      <c r="A6575" s="4" t="n">
        <v>45287</v>
      </c>
      <c r="B6575" s="3" t="n">
        <v>268.5286192521476</v>
      </c>
    </row>
    <row r="6576">
      <c r="A6576" s="4" t="n">
        <v>45288</v>
      </c>
      <c r="B6576" s="3" t="n">
        <v>268.7949638457323</v>
      </c>
    </row>
    <row r="6577">
      <c r="A6577" s="4" t="n">
        <v>45293</v>
      </c>
      <c r="B6577" s="3" t="n">
        <v>272.0088925119946</v>
      </c>
    </row>
    <row r="6578">
      <c r="A6578" s="4" t="n">
        <v>45294</v>
      </c>
      <c r="B6578" s="3" t="n">
        <v>266.3132072871838</v>
      </c>
    </row>
    <row r="6579">
      <c r="A6579" s="4" t="n">
        <v>45295</v>
      </c>
      <c r="B6579" s="3" t="n">
        <v>268.0165897843235</v>
      </c>
    </row>
    <row r="6580">
      <c r="A6580" s="4" t="n">
        <v>45296</v>
      </c>
      <c r="B6580" s="3" t="n">
        <v>267.6972055661097</v>
      </c>
    </row>
    <row r="6581">
      <c r="A6581" s="4" t="n">
        <v>45299</v>
      </c>
      <c r="B6581" s="3" t="n">
        <v>268.9747424389646</v>
      </c>
    </row>
    <row r="6582">
      <c r="A6582" s="4" t="n">
        <v>45300</v>
      </c>
      <c r="B6582" s="3" t="n">
        <v>265.1421318204003</v>
      </c>
    </row>
    <row r="6583">
      <c r="A6583" s="4" t="n">
        <v>45301</v>
      </c>
      <c r="B6583" s="3" t="n">
        <v>266.5793608023619</v>
      </c>
    </row>
    <row r="6584">
      <c r="A6584" s="4" t="n">
        <v>45302</v>
      </c>
      <c r="B6584" s="3" t="n">
        <v>267.1648985357536</v>
      </c>
    </row>
    <row r="6585">
      <c r="A6585" s="4" t="n">
        <v>45303</v>
      </c>
      <c r="B6585" s="3" t="n">
        <v>267.5375134570029</v>
      </c>
    </row>
    <row r="6586">
      <c r="A6586" s="4" t="n">
        <v>45306</v>
      </c>
      <c r="B6586" s="3" t="n">
        <v>264.6098247900441</v>
      </c>
    </row>
    <row r="6587">
      <c r="A6587" s="4" t="n">
        <v>45307</v>
      </c>
      <c r="B6587" s="3" t="n">
        <v>265.8341309598633</v>
      </c>
    </row>
    <row r="6588">
      <c r="A6588" s="4" t="n">
        <v>45308</v>
      </c>
      <c r="B6588" s="3" t="n">
        <v>265.6212081477208</v>
      </c>
    </row>
    <row r="6589">
      <c r="A6589" s="4" t="n">
        <v>45309</v>
      </c>
      <c r="B6589" s="3" t="n">
        <v>267.3245906448605</v>
      </c>
    </row>
    <row r="6590">
      <c r="A6590" s="4" t="n">
        <v>45310</v>
      </c>
      <c r="B6590" s="3" t="n">
        <v>265.727669553792</v>
      </c>
    </row>
    <row r="6591">
      <c r="A6591" s="4" t="n">
        <v>45313</v>
      </c>
      <c r="B6591" s="3" t="n">
        <v>265.1953625234358</v>
      </c>
    </row>
    <row r="6592">
      <c r="A6592" s="4" t="n">
        <v>45314</v>
      </c>
      <c r="B6592" s="3" t="n">
        <v>264.0242870566523</v>
      </c>
    </row>
    <row r="6593">
      <c r="A6593" s="4" t="n">
        <v>45315</v>
      </c>
      <c r="B6593" s="3" t="n">
        <v>264.0242870566523</v>
      </c>
    </row>
    <row r="6594">
      <c r="A6594" s="4" t="n">
        <v>45316</v>
      </c>
      <c r="B6594" s="3" t="n">
        <v>263.7049028384386</v>
      </c>
    </row>
    <row r="6595">
      <c r="A6595" s="4" t="n">
        <v>45317</v>
      </c>
      <c r="B6595" s="3" t="n">
        <v>263.0661344020112</v>
      </c>
    </row>
    <row r="6596">
      <c r="A6596" s="4" t="n">
        <v>45320</v>
      </c>
      <c r="B6596" s="3" t="n">
        <v>264.6098247900441</v>
      </c>
    </row>
    <row r="6597">
      <c r="A6597" s="4" t="n">
        <v>45321</v>
      </c>
      <c r="B6597" s="3" t="n">
        <v>263.1725958080825</v>
      </c>
    </row>
    <row r="6598">
      <c r="A6598" s="4" t="n">
        <v>45322</v>
      </c>
      <c r="B6598" s="3" t="n">
        <v>260.8304448745154</v>
      </c>
    </row>
    <row r="6599">
      <c r="A6599" s="4" t="n">
        <v>45323</v>
      </c>
      <c r="B6599" s="3" t="n">
        <v>259.9391899101121</v>
      </c>
    </row>
    <row r="6600">
      <c r="A6600" s="4" t="n">
        <v>45324</v>
      </c>
      <c r="B6600" s="3" t="n">
        <v>257.0497876344542</v>
      </c>
    </row>
    <row r="6601">
      <c r="A6601" s="4" t="n">
        <v>45327</v>
      </c>
      <c r="B6601" s="3" t="n">
        <v>256.514713138962</v>
      </c>
    </row>
    <row r="6602">
      <c r="A6602" s="4" t="n">
        <v>45328</v>
      </c>
      <c r="B6602" s="3" t="n">
        <v>254.2138928083456</v>
      </c>
    </row>
    <row r="6603">
      <c r="A6603" s="4" t="n">
        <v>45329</v>
      </c>
      <c r="B6603" s="3" t="n">
        <v>254.6954598542886</v>
      </c>
    </row>
    <row r="6604">
      <c r="A6604" s="4" t="n">
        <v>45330</v>
      </c>
      <c r="B6604" s="3" t="n">
        <v>255.9261311939206</v>
      </c>
    </row>
    <row r="6605">
      <c r="A6605" s="4" t="n">
        <v>45331</v>
      </c>
      <c r="B6605" s="3" t="n">
        <v>256.1401609921175</v>
      </c>
    </row>
    <row r="6606">
      <c r="A6606" s="4" t="n">
        <v>45336</v>
      </c>
      <c r="B6606" s="3" t="n">
        <v>254.4814300560917</v>
      </c>
    </row>
    <row r="6607">
      <c r="A6607" s="4" t="n">
        <v>45337</v>
      </c>
      <c r="B6607" s="3" t="n">
        <v>255.7121013957237</v>
      </c>
    </row>
    <row r="6608">
      <c r="A6608" s="4" t="n">
        <v>45338</v>
      </c>
      <c r="B6608" s="3" t="n">
        <v>257.3173248822003</v>
      </c>
    </row>
    <row r="6609">
      <c r="A6609" s="4" t="n">
        <v>45341</v>
      </c>
      <c r="B6609" s="3" t="n">
        <v>255.9796386434698</v>
      </c>
    </row>
    <row r="6610">
      <c r="A6610" s="4" t="n">
        <v>45342</v>
      </c>
      <c r="B6610" s="3" t="n">
        <v>252.0200873768275</v>
      </c>
    </row>
    <row r="6611">
      <c r="A6611" s="4" t="n">
        <v>45343</v>
      </c>
      <c r="B6611" s="3" t="n">
        <v>252.9297140191643</v>
      </c>
    </row>
    <row r="6612">
      <c r="A6612" s="4" t="n">
        <v>45344</v>
      </c>
      <c r="B6612" s="3" t="n">
        <v>252.127102275926</v>
      </c>
    </row>
    <row r="6613">
      <c r="A6613" s="4" t="n">
        <v>45345</v>
      </c>
      <c r="B6613" s="3" t="n">
        <v>252.8226991200658</v>
      </c>
    </row>
    <row r="6614">
      <c r="A6614" s="4" t="n">
        <v>45348</v>
      </c>
      <c r="B6614" s="3" t="n">
        <v>253.0367289182627</v>
      </c>
    </row>
    <row r="6615">
      <c r="A6615" s="4" t="n">
        <v>45349</v>
      </c>
      <c r="B6615" s="3" t="n">
        <v>251.6990426795322</v>
      </c>
    </row>
    <row r="6616">
      <c r="A6616" s="4" t="n">
        <v>45350</v>
      </c>
      <c r="B6616" s="3" t="n">
        <v>251.3779979822369</v>
      </c>
    </row>
    <row r="6617">
      <c r="A6617" s="4" t="n">
        <v>45351</v>
      </c>
      <c r="B6617" s="3" t="n">
        <v>251.9130724777291</v>
      </c>
    </row>
    <row r="6618">
      <c r="A6618" s="4" t="n">
        <v>45352</v>
      </c>
      <c r="B6618" s="3" t="n">
        <v>252.7182595837631</v>
      </c>
    </row>
    <row r="6619">
      <c r="A6619" s="4" t="n">
        <v>45355</v>
      </c>
      <c r="B6619" s="3" t="n">
        <v>252.7720179882693</v>
      </c>
    </row>
    <row r="6620">
      <c r="A6620" s="4" t="n">
        <v>45356</v>
      </c>
      <c r="B6620" s="3" t="n">
        <v>250.8367154260453</v>
      </c>
    </row>
    <row r="6621">
      <c r="A6621" s="4" t="n">
        <v>45357</v>
      </c>
      <c r="B6621" s="3" t="n">
        <v>251.6430914936387</v>
      </c>
    </row>
    <row r="6622">
      <c r="A6622" s="4" t="n">
        <v>45358</v>
      </c>
      <c r="B6622" s="3" t="n">
        <v>254.4922869324685</v>
      </c>
    </row>
    <row r="6623">
      <c r="A6623" s="4" t="n">
        <v>45359</v>
      </c>
      <c r="B6623" s="3" t="n">
        <v>252.2344339432071</v>
      </c>
    </row>
    <row r="6624">
      <c r="A6624" s="4" t="n">
        <v>45362</v>
      </c>
      <c r="B6624" s="3" t="n">
        <v>251.4280578756137</v>
      </c>
    </row>
    <row r="6625">
      <c r="A6625" s="4" t="n">
        <v>45363</v>
      </c>
      <c r="B6625" s="3" t="n">
        <v>250.6754402125266</v>
      </c>
    </row>
    <row r="6626">
      <c r="A6626" s="4" t="n">
        <v>45364</v>
      </c>
      <c r="B6626" s="3" t="n">
        <v>249.7615473359208</v>
      </c>
    </row>
    <row r="6627">
      <c r="A6627" s="4" t="n">
        <v>45365</v>
      </c>
      <c r="B6627" s="3" t="n">
        <v>251.1592658530826</v>
      </c>
    </row>
    <row r="6628">
      <c r="A6628" s="4" t="n">
        <v>45366</v>
      </c>
      <c r="B6628" s="3" t="n">
        <v>248.9014128638212</v>
      </c>
    </row>
    <row r="6629">
      <c r="A6629" s="4" t="n">
        <v>45369</v>
      </c>
      <c r="B6629" s="3" t="n">
        <v>248.63262084129</v>
      </c>
    </row>
    <row r="6630">
      <c r="A6630" s="4" t="n">
        <v>45370</v>
      </c>
      <c r="B6630" s="3" t="n">
        <v>245.6759085934477</v>
      </c>
    </row>
    <row r="6631">
      <c r="A6631" s="4" t="n">
        <v>45371</v>
      </c>
      <c r="B6631" s="3" t="n">
        <v>248.2563120097465</v>
      </c>
    </row>
    <row r="6632">
      <c r="A6632" s="4" t="n">
        <v>45372</v>
      </c>
      <c r="B6632" s="3" t="n">
        <v>249.1164464818461</v>
      </c>
    </row>
    <row r="6633">
      <c r="A6633" s="4" t="n">
        <v>45373</v>
      </c>
      <c r="B6633" s="3" t="n">
        <v>249.7615473359208</v>
      </c>
    </row>
    <row r="6634">
      <c r="A6634" s="4" t="n">
        <v>45376</v>
      </c>
      <c r="B6634" s="3" t="n">
        <v>249.4389969088834</v>
      </c>
    </row>
    <row r="6635">
      <c r="A6635" s="4" t="n">
        <v>45377</v>
      </c>
      <c r="B6635" s="3" t="n">
        <v>249.6540305269083</v>
      </c>
    </row>
    <row r="6636">
      <c r="A6636" s="4" t="n">
        <v>45378</v>
      </c>
      <c r="B6636" s="3" t="n">
        <v>249.2239632908586</v>
      </c>
    </row>
    <row r="6637">
      <c r="A6637" s="4" t="n">
        <v>45379</v>
      </c>
      <c r="B6637" s="3" t="n">
        <v>249.7615473359208</v>
      </c>
    </row>
    <row r="6638">
      <c r="A6638" s="4" t="n">
        <v>45383</v>
      </c>
      <c r="B6638" s="3" t="n">
        <v>244.4365012351425</v>
      </c>
    </row>
    <row r="6639">
      <c r="A6639" s="4" t="n">
        <v>45384</v>
      </c>
      <c r="B6639" s="3" t="n">
        <v>245.0260214091364</v>
      </c>
    </row>
    <row r="6640">
      <c r="A6640" s="4" t="n">
        <v>45385</v>
      </c>
      <c r="B6640" s="3" t="n">
        <v>243.632610088787</v>
      </c>
    </row>
    <row r="6641">
      <c r="A6641" s="4" t="n">
        <v>45386</v>
      </c>
      <c r="B6641" s="3" t="n">
        <v>244.3293157489617</v>
      </c>
    </row>
    <row r="6642">
      <c r="A6642" s="4" t="n">
        <v>45387</v>
      </c>
      <c r="B6642" s="3" t="n">
        <v>246.9553601603895</v>
      </c>
    </row>
    <row r="6643">
      <c r="A6643" s="4" t="n">
        <v>45390</v>
      </c>
      <c r="B6643" s="3" t="n">
        <v>242.1320132822569</v>
      </c>
    </row>
    <row r="6644">
      <c r="A6644" s="4" t="n">
        <v>45391</v>
      </c>
      <c r="B6644" s="3" t="n">
        <v>245.4547633538594</v>
      </c>
    </row>
    <row r="6645">
      <c r="A6645" s="4" t="n">
        <v>45392</v>
      </c>
      <c r="B6645" s="3" t="n">
        <v>249.9565537734498</v>
      </c>
    </row>
    <row r="6646">
      <c r="A6646" s="4" t="n">
        <v>45393</v>
      </c>
      <c r="B6646" s="3" t="n">
        <v>246.9553601603895</v>
      </c>
    </row>
    <row r="6647">
      <c r="A6647" s="4" t="n">
        <v>45394</v>
      </c>
      <c r="B6647" s="3" t="n">
        <v>247.8128440498353</v>
      </c>
    </row>
    <row r="6648">
      <c r="A6648" s="4" t="n">
        <v>45397</v>
      </c>
      <c r="B6648" s="3" t="n">
        <v>247.2769166189317</v>
      </c>
    </row>
    <row r="6649">
      <c r="A6649" s="4" t="n">
        <v>45398</v>
      </c>
      <c r="B6649" s="3" t="n">
        <v>247.3841021051124</v>
      </c>
    </row>
    <row r="6650">
      <c r="A6650" s="4" t="n">
        <v>45399</v>
      </c>
      <c r="B6650" s="3" t="n">
        <v>245.6691343262208</v>
      </c>
    </row>
    <row r="6651">
      <c r="A6651" s="4" t="n">
        <v>45400</v>
      </c>
      <c r="B6651" s="3" t="n">
        <v>248.7239206823715</v>
      </c>
    </row>
    <row r="6652">
      <c r="A6652" s="4" t="n">
        <v>45401</v>
      </c>
      <c r="B6652" s="3" t="n">
        <v>251.3499650937992</v>
      </c>
    </row>
    <row r="6653">
      <c r="A6653" s="4" t="n">
        <v>45404</v>
      </c>
      <c r="B6653" s="3" t="n">
        <v>247.5984730774739</v>
      </c>
    </row>
    <row r="6654">
      <c r="A6654" s="4" t="n">
        <v>45405</v>
      </c>
      <c r="B6654" s="3" t="n">
        <v>250.7604449198052</v>
      </c>
    </row>
    <row r="6655">
      <c r="A6655" s="4" t="n">
        <v>45406</v>
      </c>
      <c r="B6655" s="3" t="n">
        <v>249.3134408563654</v>
      </c>
    </row>
    <row r="6656">
      <c r="A6656" s="4" t="n">
        <v>45407</v>
      </c>
      <c r="B6656" s="3" t="n">
        <v>249.9029610303594</v>
      </c>
    </row>
    <row r="6657">
      <c r="A6657" s="4" t="n">
        <v>45408</v>
      </c>
      <c r="B6657" s="3" t="n">
        <v>248.9382916547329</v>
      </c>
    </row>
    <row r="6658">
      <c r="A6658" s="4" t="n">
        <v>45411</v>
      </c>
      <c r="B6658" s="3" t="n">
        <v>246.0978762709437</v>
      </c>
    </row>
    <row r="6659">
      <c r="A6659" s="4" t="n">
        <v>45412</v>
      </c>
      <c r="B6659" s="3" t="n">
        <v>245.8299125554919</v>
      </c>
    </row>
    <row r="6660">
      <c r="A6660" s="4" t="n">
        <v>45414</v>
      </c>
      <c r="B6660" s="3" t="n">
        <v>245.5185203059172</v>
      </c>
    </row>
    <row r="6661">
      <c r="A6661" s="4" t="n">
        <v>45415</v>
      </c>
      <c r="B6661" s="3" t="n">
        <v>248.3869755409928</v>
      </c>
    </row>
    <row r="6662">
      <c r="A6662" s="4" t="n">
        <v>45418</v>
      </c>
      <c r="B6662" s="3" t="n">
        <v>248.3338559996026</v>
      </c>
    </row>
    <row r="6663">
      <c r="A6663" s="4" t="n">
        <v>45419</v>
      </c>
      <c r="B6663" s="3" t="n">
        <v>247.6964215029191</v>
      </c>
    </row>
    <row r="6664">
      <c r="A6664" s="4" t="n">
        <v>45420</v>
      </c>
      <c r="B6664" s="3" t="n">
        <v>247.5901824201385</v>
      </c>
    </row>
    <row r="6665">
      <c r="A6665" s="4" t="n">
        <v>45421</v>
      </c>
      <c r="B6665" s="3" t="n">
        <v>246.2621938853813</v>
      </c>
    </row>
    <row r="6666">
      <c r="A6666" s="4" t="n">
        <v>45422</v>
      </c>
      <c r="B6666" s="3" t="n">
        <v>244.5092490195017</v>
      </c>
    </row>
    <row r="6667">
      <c r="A6667" s="4" t="n">
        <v>45425</v>
      </c>
      <c r="B6667" s="3" t="n">
        <v>242.9156627777931</v>
      </c>
    </row>
    <row r="6668">
      <c r="A6668" s="4" t="n">
        <v>45426</v>
      </c>
      <c r="B6668" s="3" t="n">
        <v>241.1627179119135</v>
      </c>
    </row>
    <row r="6669">
      <c r="A6669" s="4" t="n">
        <v>45427</v>
      </c>
      <c r="B6669" s="3" t="n">
        <v>240.6315224980106</v>
      </c>
    </row>
    <row r="6670">
      <c r="A6670" s="4" t="n">
        <v>45428</v>
      </c>
      <c r="B6670" s="3" t="n">
        <v>239.9940880013271</v>
      </c>
    </row>
    <row r="6671">
      <c r="A6671" s="4" t="n">
        <v>45429</v>
      </c>
      <c r="B6671" s="3" t="n">
        <v>239.6753707529854</v>
      </c>
    </row>
    <row r="6672">
      <c r="A6672" s="4" t="n">
        <v>45432</v>
      </c>
      <c r="B6672" s="3" t="n">
        <v>239.6753707529854</v>
      </c>
    </row>
    <row r="6673">
      <c r="A6673" s="4" t="n">
        <v>45433</v>
      </c>
      <c r="B6673" s="3" t="n">
        <v>239.1441753390825</v>
      </c>
    </row>
    <row r="6674">
      <c r="A6674" s="4" t="n">
        <v>45434</v>
      </c>
      <c r="B6674" s="3" t="n">
        <v>237.6568281801544</v>
      </c>
    </row>
    <row r="6675">
      <c r="A6675" s="4" t="n">
        <v>45435</v>
      </c>
      <c r="B6675" s="3" t="n">
        <v>236.3819591867875</v>
      </c>
    </row>
    <row r="6676">
      <c r="A6676" s="4" t="n">
        <v>45436</v>
      </c>
      <c r="B6676" s="3" t="n">
        <v>235.9038833142749</v>
      </c>
    </row>
    <row r="6677">
      <c r="A6677" s="4" t="n">
        <v>45439</v>
      </c>
      <c r="B6677" s="3" t="n">
        <v>235.2133292762011</v>
      </c>
    </row>
    <row r="6678">
      <c r="A6678" s="4" t="n">
        <v>45440</v>
      </c>
      <c r="B6678" s="3" t="n">
        <v>235.744524690104</v>
      </c>
    </row>
    <row r="6679">
      <c r="A6679" s="4" t="n">
        <v>45441</v>
      </c>
      <c r="B6679" s="3" t="n">
        <v>235.3195683589817</v>
      </c>
    </row>
    <row r="6680">
      <c r="A6680" s="4" t="n">
        <v>45443</v>
      </c>
      <c r="B6680" s="3" t="n">
        <v>234.9477315692496</v>
      </c>
    </row>
    <row r="6681">
      <c r="A6681" s="4" t="n">
        <v>45446</v>
      </c>
      <c r="B6681" s="3" t="n">
        <v>228.3611669742143</v>
      </c>
    </row>
    <row r="6682">
      <c r="A6682" s="4" t="n">
        <v>45447</v>
      </c>
      <c r="B6682" s="3" t="n">
        <v>228.2557857250338</v>
      </c>
    </row>
    <row r="6683">
      <c r="A6683" s="4" t="n">
        <v>45448</v>
      </c>
      <c r="B6683" s="3" t="n">
        <v>228.2030951004436</v>
      </c>
    </row>
    <row r="6684">
      <c r="A6684" s="4" t="n">
        <v>45449</v>
      </c>
      <c r="B6684" s="3" t="n">
        <v>227.5708076053603</v>
      </c>
    </row>
    <row r="6685">
      <c r="A6685" s="4" t="n">
        <v>45450</v>
      </c>
      <c r="B6685" s="3" t="n">
        <v>226.8858294856869</v>
      </c>
    </row>
    <row r="6686">
      <c r="A6686" s="4" t="n">
        <v>45453</v>
      </c>
      <c r="B6686" s="3" t="n">
        <v>227.4127357315895</v>
      </c>
    </row>
    <row r="6687">
      <c r="A6687" s="4" t="n">
        <v>45454</v>
      </c>
      <c r="B6687" s="3" t="n">
        <v>227.6234982299506</v>
      </c>
    </row>
    <row r="6688">
      <c r="A6688" s="4" t="n">
        <v>45455</v>
      </c>
      <c r="B6688" s="3" t="n">
        <v>231.0483888283179</v>
      </c>
    </row>
    <row r="6689">
      <c r="A6689" s="4" t="n">
        <v>45456</v>
      </c>
      <c r="B6689" s="3" t="n">
        <v>232.3656544430746</v>
      </c>
    </row>
    <row r="6690">
      <c r="A6690" s="4" t="n">
        <v>45457</v>
      </c>
      <c r="B6690" s="3" t="n">
        <v>233.1560138119286</v>
      </c>
    </row>
    <row r="6691">
      <c r="A6691" s="4" t="n">
        <v>45460</v>
      </c>
      <c r="B6691" s="3" t="n">
        <v>233.4194669348799</v>
      </c>
    </row>
    <row r="6692">
      <c r="A6692" s="4" t="n">
        <v>45461</v>
      </c>
      <c r="B6692" s="3" t="n">
        <v>233.4194669348799</v>
      </c>
    </row>
    <row r="6693">
      <c r="A6693" s="4" t="n">
        <v>45462</v>
      </c>
      <c r="B6693" s="3" t="n">
        <v>234.5786606758658</v>
      </c>
    </row>
    <row r="6694">
      <c r="A6694" s="4" t="n">
        <v>45463</v>
      </c>
      <c r="B6694" s="3" t="n">
        <v>235.6324731676711</v>
      </c>
    </row>
    <row r="6695">
      <c r="A6695" s="4" t="n">
        <v>45464</v>
      </c>
      <c r="B6695" s="3" t="n">
        <v>235.7905450414419</v>
      </c>
    </row>
    <row r="6696">
      <c r="A6696" s="4" t="n">
        <v>45467</v>
      </c>
      <c r="B6696" s="3" t="n">
        <v>237.7927887758721</v>
      </c>
    </row>
    <row r="6697">
      <c r="A6697" s="4" t="n">
        <v>45468</v>
      </c>
      <c r="B6697" s="3" t="n">
        <v>237.5293356529207</v>
      </c>
    </row>
    <row r="6698">
      <c r="A6698" s="4" t="n">
        <v>45469</v>
      </c>
      <c r="B6698" s="3" t="n">
        <v>237.1078106561986</v>
      </c>
    </row>
    <row r="6699">
      <c r="A6699" s="4" t="n">
        <v>45470</v>
      </c>
      <c r="B6699" s="3" t="n">
        <v>238.1616231480039</v>
      </c>
    </row>
    <row r="6700">
      <c r="A6700" s="4" t="n">
        <v>45471</v>
      </c>
      <c r="B6700" s="3" t="n">
        <v>237.2658825299694</v>
      </c>
    </row>
    <row r="6701">
      <c r="A6701" s="4" t="n">
        <v>45474</v>
      </c>
      <c r="B6701" s="3" t="n">
        <v>236.3568552968435</v>
      </c>
    </row>
    <row r="6702">
      <c r="A6702" s="4" t="n">
        <v>45475</v>
      </c>
      <c r="B6702" s="3" t="n">
        <v>235.9902481647632</v>
      </c>
    </row>
    <row r="6703">
      <c r="A6703" s="4" t="n">
        <v>45476</v>
      </c>
      <c r="B6703" s="3" t="n">
        <v>234.8904267685226</v>
      </c>
    </row>
    <row r="6704">
      <c r="A6704" s="4" t="n">
        <v>45477</v>
      </c>
      <c r="B6704" s="3" t="n">
        <v>237.9280287200443</v>
      </c>
    </row>
    <row r="6705">
      <c r="A6705" s="4" t="n">
        <v>45478</v>
      </c>
      <c r="B6705" s="3" t="n">
        <v>238.0851460623643</v>
      </c>
    </row>
    <row r="6706">
      <c r="A6706" s="4" t="n">
        <v>45481</v>
      </c>
      <c r="B6706" s="3" t="n">
        <v>238.8183603265247</v>
      </c>
    </row>
    <row r="6707">
      <c r="A6707" s="4" t="n">
        <v>45482</v>
      </c>
      <c r="B6707" s="3" t="n">
        <v>238.8183603265247</v>
      </c>
    </row>
    <row r="6708">
      <c r="A6708" s="4" t="n">
        <v>45483</v>
      </c>
      <c r="B6708" s="3" t="n">
        <v>238.0327736149243</v>
      </c>
    </row>
    <row r="6709">
      <c r="A6709" s="4" t="n">
        <v>45484</v>
      </c>
      <c r="B6709" s="3" t="n">
        <v>237.2995593507639</v>
      </c>
    </row>
    <row r="6710">
      <c r="A6710" s="4" t="n">
        <v>45485</v>
      </c>
      <c r="B6710" s="3" t="n">
        <v>237.8756562726042</v>
      </c>
    </row>
    <row r="6711">
      <c r="A6711" s="4" t="n">
        <v>45488</v>
      </c>
      <c r="B6711" s="3" t="n">
        <v>237.2471869033239</v>
      </c>
    </row>
    <row r="6712">
      <c r="A6712" s="4" t="n">
        <v>45489</v>
      </c>
      <c r="B6712" s="3" t="n">
        <v>241.332237803646</v>
      </c>
    </row>
    <row r="6713">
      <c r="A6713" s="4" t="n">
        <v>45490</v>
      </c>
      <c r="B6713" s="3" t="n">
        <v>242.1701969626864</v>
      </c>
    </row>
    <row r="6714">
      <c r="A6714" s="4" t="n">
        <v>45491</v>
      </c>
      <c r="B6714" s="3" t="n">
        <v>243.7937428333273</v>
      </c>
    </row>
    <row r="6715">
      <c r="A6715" s="4" t="n">
        <v>45492</v>
      </c>
      <c r="B6715" s="3" t="n">
        <v>243.3223908063671</v>
      </c>
    </row>
    <row r="6716">
      <c r="A6716" s="4" t="n">
        <v>45495</v>
      </c>
      <c r="B6716" s="3" t="n">
        <v>242.4844316473267</v>
      </c>
    </row>
    <row r="6717">
      <c r="A6717" s="4" t="n">
        <v>45496</v>
      </c>
      <c r="B6717" s="3" t="n">
        <v>241.332237803646</v>
      </c>
    </row>
    <row r="6718">
      <c r="A6718" s="4" t="n">
        <v>45497</v>
      </c>
      <c r="B6718" s="3" t="n">
        <v>240.5990235394856</v>
      </c>
    </row>
    <row r="6719">
      <c r="A6719" s="4" t="n">
        <v>45498</v>
      </c>
      <c r="B6719" s="3" t="n">
        <v>243.217645911487</v>
      </c>
    </row>
    <row r="6720">
      <c r="A6720" s="4" t="n">
        <v>45499</v>
      </c>
      <c r="B6720" s="3" t="n">
        <v>243.3747632538071</v>
      </c>
    </row>
    <row r="6721">
      <c r="A6721" s="4" t="n">
        <v>45502</v>
      </c>
      <c r="B6721" s="3" t="n">
        <v>243.3747632538071</v>
      </c>
    </row>
    <row r="6722">
      <c r="A6722" s="4" t="n">
        <v>45503</v>
      </c>
      <c r="B6722" s="3" t="n">
        <v>243.6366254910072</v>
      </c>
    </row>
    <row r="6723">
      <c r="A6723" s="4" t="n">
        <v>45504</v>
      </c>
      <c r="B6723" s="3" t="n">
        <v>243.5318805961272</v>
      </c>
    </row>
    <row r="6724">
      <c r="A6724" s="4" t="n">
        <v>45505</v>
      </c>
      <c r="B6724" s="3" t="n">
        <v>242.2645757146283</v>
      </c>
    </row>
    <row r="6725">
      <c r="A6725" s="4" t="n">
        <v>45506</v>
      </c>
      <c r="B6725" s="3" t="n">
        <v>243.5179384689183</v>
      </c>
    </row>
    <row r="6726">
      <c r="A6726" s="4" t="n">
        <v>45509</v>
      </c>
      <c r="B6726" s="3" t="n">
        <v>244.8235246713036</v>
      </c>
    </row>
    <row r="6727">
      <c r="A6727" s="4" t="n">
        <v>45510</v>
      </c>
      <c r="B6727" s="3" t="n">
        <v>245.1368653598761</v>
      </c>
    </row>
    <row r="6728">
      <c r="A6728" s="4" t="n">
        <v>45511</v>
      </c>
      <c r="B6728" s="3" t="n">
        <v>240.8023191679567</v>
      </c>
    </row>
    <row r="6729">
      <c r="A6729" s="4" t="n">
        <v>45512</v>
      </c>
      <c r="B6729" s="3" t="n">
        <v>241.4812239931971</v>
      </c>
    </row>
    <row r="6730">
      <c r="A6730" s="4" t="n">
        <v>45513</v>
      </c>
      <c r="B6730" s="3" t="n">
        <v>244.7190777751128</v>
      </c>
    </row>
    <row r="6731">
      <c r="A6731" s="4" t="n">
        <v>45516</v>
      </c>
      <c r="B6731" s="3" t="n">
        <v>245.8679936332119</v>
      </c>
    </row>
    <row r="6732">
      <c r="A6732" s="4" t="n">
        <v>45517</v>
      </c>
      <c r="B6732" s="3" t="n">
        <v>245.8679936332119</v>
      </c>
    </row>
    <row r="6733">
      <c r="A6733" s="4" t="n">
        <v>45518</v>
      </c>
      <c r="B6733" s="3" t="n">
        <v>244.614630878922</v>
      </c>
    </row>
    <row r="6734">
      <c r="A6734" s="4" t="n">
        <v>45519</v>
      </c>
      <c r="B6734" s="3" t="n">
        <v>243.2045977803458</v>
      </c>
    </row>
    <row r="6735">
      <c r="A6735" s="4" t="n">
        <v>45520</v>
      </c>
      <c r="B6735" s="3" t="n">
        <v>243.8835026055862</v>
      </c>
    </row>
    <row r="6736">
      <c r="A6736" s="4" t="n">
        <v>45523</v>
      </c>
      <c r="B6736" s="3" t="n">
        <v>243.8312791574908</v>
      </c>
    </row>
    <row r="6737">
      <c r="A6737" s="4" t="n">
        <v>45524</v>
      </c>
      <c r="B6737" s="3" t="n">
        <v>245.1890888079715</v>
      </c>
    </row>
    <row r="6738">
      <c r="A6738" s="4" t="n">
        <v>45525</v>
      </c>
      <c r="B6738" s="3" t="n">
        <v>245.9724405294027</v>
      </c>
    </row>
    <row r="6739">
      <c r="A6739" s="4" t="n">
        <v>45526</v>
      </c>
      <c r="B6739" s="3" t="n">
        <v>246.8080156989294</v>
      </c>
    </row>
    <row r="6740">
      <c r="A6740" s="4" t="n">
        <v>45527</v>
      </c>
      <c r="B6740" s="3" t="n">
        <v>248.270272245601</v>
      </c>
    </row>
    <row r="6741">
      <c r="A6741" s="4" t="n">
        <v>45530</v>
      </c>
      <c r="B6741" s="3" t="n">
        <v>248.3747191417918</v>
      </c>
    </row>
    <row r="6742">
      <c r="A6742" s="4" t="n">
        <v>45531</v>
      </c>
      <c r="B6742" s="3" t="n">
        <v>248.4269425898872</v>
      </c>
    </row>
    <row r="6743">
      <c r="A6743" s="4" t="n">
        <v>45532</v>
      </c>
      <c r="B6743" s="3" t="n">
        <v>248.4791660379827</v>
      </c>
    </row>
    <row r="6744">
      <c r="A6744" s="4" t="n">
        <v>45533</v>
      </c>
      <c r="B6744" s="3" t="n">
        <v>249.6280818960818</v>
      </c>
    </row>
    <row r="6745">
      <c r="A6745" s="4" t="n">
        <v>45534</v>
      </c>
      <c r="B6745" s="3" t="n">
        <v>250.411433617513</v>
      </c>
    </row>
    <row r="6746">
      <c r="A6746" s="4" t="n">
        <v>45537</v>
      </c>
      <c r="B6746" s="3" t="n">
        <v>246.4217588700185</v>
      </c>
    </row>
    <row r="6747">
      <c r="A6747" s="4" t="n">
        <v>45538</v>
      </c>
      <c r="B6747" s="3" t="n">
        <v>250.9889692281823</v>
      </c>
    </row>
    <row r="6748">
      <c r="A6748" s="4" t="n">
        <v>45539</v>
      </c>
      <c r="B6748" s="3" t="n">
        <v>252.8573734656129</v>
      </c>
    </row>
    <row r="6749">
      <c r="A6749" s="4" t="n">
        <v>45540</v>
      </c>
      <c r="B6749" s="3" t="n">
        <v>256.1789809988229</v>
      </c>
    </row>
    <row r="6750">
      <c r="A6750" s="4" t="n">
        <v>45541</v>
      </c>
      <c r="B6750" s="3" t="n">
        <v>256.2827812342358</v>
      </c>
    </row>
    <row r="6751">
      <c r="A6751" s="4" t="n">
        <v>45544</v>
      </c>
      <c r="B6751" s="3" t="n">
        <v>256.5422818227677</v>
      </c>
    </row>
    <row r="6752">
      <c r="A6752" s="4" t="n">
        <v>45545</v>
      </c>
      <c r="B6752" s="3" t="n">
        <v>256.5941819404741</v>
      </c>
    </row>
    <row r="6753">
      <c r="A6753" s="4" t="n">
        <v>45546</v>
      </c>
      <c r="B6753" s="3" t="n">
        <v>258.8258870018496</v>
      </c>
    </row>
    <row r="6754">
      <c r="A6754" s="4" t="n">
        <v>45547</v>
      </c>
      <c r="B6754" s="3" t="n">
        <v>260.9018917101059</v>
      </c>
    </row>
    <row r="6755">
      <c r="A6755" s="4" t="n">
        <v>45548</v>
      </c>
      <c r="B6755" s="3" t="n">
        <v>263.6525979485455</v>
      </c>
    </row>
    <row r="6756">
      <c r="A6756" s="4" t="n">
        <v>45551</v>
      </c>
      <c r="B6756" s="3" t="n">
        <v>262.0436942996468</v>
      </c>
    </row>
    <row r="6757">
      <c r="A6757" s="4" t="n">
        <v>45552</v>
      </c>
      <c r="B6757" s="3" t="n">
        <v>266.8185051286363</v>
      </c>
    </row>
    <row r="6758">
      <c r="A6758" s="4" t="n">
        <v>45553</v>
      </c>
      <c r="B6758" s="3" t="n">
        <v>267.0780057171683</v>
      </c>
    </row>
    <row r="6759">
      <c r="A6759" s="4" t="n">
        <v>45554</v>
      </c>
      <c r="B6759" s="3" t="n">
        <v>269.8287119556078</v>
      </c>
    </row>
    <row r="6760">
      <c r="A6760" s="4" t="n">
        <v>45555</v>
      </c>
      <c r="B6760" s="3" t="n">
        <v>270.9705145451488</v>
      </c>
    </row>
    <row r="6761">
      <c r="A6761" s="4" t="n">
        <v>45558</v>
      </c>
      <c r="B6761" s="3" t="n">
        <v>271.645216075332</v>
      </c>
    </row>
    <row r="6762">
      <c r="A6762" s="4" t="n">
        <v>45559</v>
      </c>
      <c r="B6762" s="3" t="n">
        <v>275.1225239616613</v>
      </c>
    </row>
    <row r="6763">
      <c r="A6763" s="4" t="n">
        <v>45560</v>
      </c>
      <c r="B6763" s="3" t="n">
        <v>275.6934252564318</v>
      </c>
    </row>
    <row r="6764">
      <c r="A6764" s="4" t="n">
        <v>45561</v>
      </c>
      <c r="B6764" s="3" t="n">
        <v>280.831536909366</v>
      </c>
    </row>
    <row r="6765">
      <c r="A6765" s="4" t="n">
        <v>45562</v>
      </c>
      <c r="B6765" s="3" t="n">
        <v>284.3088447956952</v>
      </c>
    </row>
    <row r="6766">
      <c r="A6766" s="4" t="n">
        <v>45565</v>
      </c>
      <c r="B6766" s="3" t="n">
        <v>284.775945855053</v>
      </c>
    </row>
    <row r="6767">
      <c r="A6767" s="4" t="n">
        <v>45566</v>
      </c>
      <c r="B6767" s="3" t="n">
        <v>282.55286449262</v>
      </c>
    </row>
    <row r="6768">
      <c r="A6768" s="4" t="n">
        <v>45567</v>
      </c>
      <c r="B6768" s="3" t="n">
        <v>287.3072369184954</v>
      </c>
    </row>
    <row r="6769">
      <c r="A6769" s="4" t="n">
        <v>45568</v>
      </c>
      <c r="B6769" s="3" t="n">
        <v>292.2149761968186</v>
      </c>
    </row>
    <row r="6770">
      <c r="A6770" s="4" t="n">
        <v>45569</v>
      </c>
      <c r="B6770" s="3" t="n">
        <v>298.3496502947223</v>
      </c>
    </row>
    <row r="6771">
      <c r="A6771" s="4" t="n">
        <v>45572</v>
      </c>
      <c r="B6771" s="3" t="n">
        <v>299.7299519667507</v>
      </c>
    </row>
    <row r="6772">
      <c r="A6772" s="4" t="n">
        <v>45573</v>
      </c>
      <c r="B6772" s="3" t="n">
        <v>300.8035199338838</v>
      </c>
    </row>
    <row r="6773">
      <c r="A6773" s="4" t="n">
        <v>45574</v>
      </c>
      <c r="B6773" s="3" t="n">
        <v>300.4967862289886</v>
      </c>
    </row>
    <row r="6774">
      <c r="A6774" s="4" t="n">
        <v>45575</v>
      </c>
      <c r="B6774" s="3" t="n">
        <v>301.110253638779</v>
      </c>
    </row>
    <row r="6775">
      <c r="A6775" s="4" t="n">
        <v>45576</v>
      </c>
      <c r="B6775" s="3" t="n">
        <v>304.1775906877309</v>
      </c>
    </row>
    <row r="6776">
      <c r="A6776" s="4" t="n">
        <v>45579</v>
      </c>
      <c r="B6776" s="3" t="n">
        <v>305.2511586548641</v>
      </c>
    </row>
    <row r="6777">
      <c r="A6777" s="4" t="n">
        <v>45580</v>
      </c>
      <c r="B6777" s="3" t="n">
        <v>305.9668706329529</v>
      </c>
    </row>
    <row r="6778">
      <c r="A6778" s="4" t="n">
        <v>45581</v>
      </c>
      <c r="B6778" s="3" t="n">
        <v>307.0404386000861</v>
      </c>
    </row>
    <row r="6779">
      <c r="A6779" s="4" t="n">
        <v>45582</v>
      </c>
      <c r="B6779" s="3" t="n">
        <v>308.7274739770096</v>
      </c>
    </row>
    <row r="6780">
      <c r="A6780" s="4" t="n">
        <v>45583</v>
      </c>
      <c r="B6780" s="3" t="n">
        <v>308.8808408294572</v>
      </c>
    </row>
    <row r="6781">
      <c r="A6781" s="4" t="n">
        <v>45586</v>
      </c>
      <c r="B6781" s="3" t="n">
        <v>313.1751126979898</v>
      </c>
    </row>
    <row r="6782">
      <c r="A6782" s="4" t="n">
        <v>45587</v>
      </c>
      <c r="B6782" s="3" t="n">
        <v>315.015514927361</v>
      </c>
    </row>
    <row r="6783">
      <c r="A6783" s="4" t="n">
        <v>45588</v>
      </c>
      <c r="B6783" s="3" t="n">
        <v>315.7312269054498</v>
      </c>
    </row>
    <row r="6784">
      <c r="A6784" s="4" t="n">
        <v>45589</v>
      </c>
      <c r="B6784" s="3" t="n">
        <v>319.7698873532365</v>
      </c>
    </row>
    <row r="6785">
      <c r="A6785" s="4" t="n">
        <v>45590</v>
      </c>
      <c r="B6785" s="3" t="n">
        <v>320.1277433422809</v>
      </c>
    </row>
    <row r="6786">
      <c r="A6786" s="4" t="n">
        <v>45593</v>
      </c>
      <c r="B6786" s="3" t="n">
        <v>321.1501890252649</v>
      </c>
    </row>
    <row r="6787">
      <c r="A6787" s="4" t="n">
        <v>45594</v>
      </c>
      <c r="B6787" s="3" t="n">
        <v>322.7861021180391</v>
      </c>
    </row>
    <row r="6788">
      <c r="A6788" s="4" t="n">
        <v>45595</v>
      </c>
      <c r="B6788" s="3" t="n">
        <v>325.4444608937975</v>
      </c>
    </row>
    <row r="6789">
      <c r="A6789" s="4" t="n">
        <v>45596</v>
      </c>
      <c r="B6789" s="3" t="n">
        <v>325.7511945986927</v>
      </c>
    </row>
    <row r="6790">
      <c r="A6790" s="4" t="n">
        <v>45597</v>
      </c>
      <c r="B6790" s="3" t="n">
        <v>323.5489203194034</v>
      </c>
    </row>
    <row r="6791">
      <c r="A6791" s="4" t="n">
        <v>45600</v>
      </c>
      <c r="B6791" s="3" t="n">
        <v>323.8012592059417</v>
      </c>
    </row>
    <row r="6792">
      <c r="A6792" s="4" t="n">
        <v>45601</v>
      </c>
      <c r="B6792" s="3" t="n">
        <v>323.902194760557</v>
      </c>
    </row>
    <row r="6793">
      <c r="A6793" s="4" t="n">
        <v>45602</v>
      </c>
      <c r="B6793" s="3" t="n">
        <v>328.5452302728617</v>
      </c>
    </row>
    <row r="6794">
      <c r="A6794" s="4" t="n">
        <v>45603</v>
      </c>
      <c r="B6794" s="3" t="n">
        <v>329.3527147097842</v>
      </c>
    </row>
    <row r="6795">
      <c r="A6795" s="4" t="n">
        <v>45604</v>
      </c>
      <c r="B6795" s="3" t="n">
        <v>332.1284424617054</v>
      </c>
    </row>
    <row r="6796">
      <c r="A6796" s="4" t="n">
        <v>45607</v>
      </c>
      <c r="B6796" s="3" t="n">
        <v>337.7303657428557</v>
      </c>
    </row>
    <row r="6797">
      <c r="A6797" s="4" t="n">
        <v>45608</v>
      </c>
      <c r="B6797" s="3" t="n">
        <v>338.2855112932398</v>
      </c>
    </row>
    <row r="6798">
      <c r="A6798" s="4" t="n">
        <v>45609</v>
      </c>
      <c r="B6798" s="3" t="n">
        <v>342.7771434736216</v>
      </c>
    </row>
    <row r="6799">
      <c r="A6799" s="4" t="n">
        <v>45610</v>
      </c>
      <c r="B6799" s="3" t="n">
        <v>345.4014678936198</v>
      </c>
    </row>
    <row r="6800">
      <c r="A6800" s="4" t="n">
        <v>45614</v>
      </c>
      <c r="B6800" s="3" t="n">
        <v>347.4201789859262</v>
      </c>
    </row>
    <row r="6801">
      <c r="A6801" s="4" t="n">
        <v>45615</v>
      </c>
      <c r="B6801" s="3" t="n">
        <v>347.6725178724645</v>
      </c>
    </row>
    <row r="6802">
      <c r="A6802" s="4" t="n">
        <v>45617</v>
      </c>
      <c r="B6802" s="3" t="n">
        <v>350.2968422924628</v>
      </c>
    </row>
    <row r="6803">
      <c r="A6803" s="4" t="n">
        <v>45618</v>
      </c>
      <c r="B6803" s="3" t="n">
        <v>350.8015200655394</v>
      </c>
    </row>
    <row r="6804">
      <c r="A6804" s="4" t="n">
        <v>45621</v>
      </c>
      <c r="B6804" s="3" t="n">
        <v>353.0221022670764</v>
      </c>
    </row>
    <row r="6805">
      <c r="A6805" s="4" t="n">
        <v>45622</v>
      </c>
      <c r="B6805" s="3" t="n">
        <v>355.293152245921</v>
      </c>
    </row>
    <row r="6806">
      <c r="A6806" s="4" t="n">
        <v>45623</v>
      </c>
      <c r="B6806" s="3" t="n">
        <v>355.9492333509206</v>
      </c>
    </row>
    <row r="6807">
      <c r="A6807" s="4" t="n">
        <v>45624</v>
      </c>
      <c r="B6807" s="3" t="n">
        <v>355.3940878005363</v>
      </c>
    </row>
    <row r="6808">
      <c r="A6808" s="4" t="n">
        <v>45625</v>
      </c>
      <c r="B6808" s="3" t="n">
        <v>355.2426844686133</v>
      </c>
    </row>
    <row r="6809">
      <c r="A6809" s="4" t="n">
        <v>45628</v>
      </c>
      <c r="B6809" s="3" t="n">
        <v>351.8</v>
      </c>
    </row>
    <row r="6810">
      <c r="A6810" s="4" t="n">
        <v>45629</v>
      </c>
      <c r="B6810" s="3" t="n">
        <v>336.4</v>
      </c>
    </row>
    <row r="6811">
      <c r="A6811" s="4" t="n">
        <v>45630</v>
      </c>
      <c r="B6811" s="3" t="n">
        <v>332.35</v>
      </c>
    </row>
    <row r="6812">
      <c r="A6812" s="4" t="n">
        <v>45631</v>
      </c>
      <c r="B6812" s="3" t="n">
        <v>323.9</v>
      </c>
    </row>
    <row r="6813">
      <c r="A6813" s="4" t="n">
        <v>45632</v>
      </c>
      <c r="B6813" s="3" t="n">
        <v>323.7</v>
      </c>
    </row>
    <row r="6814">
      <c r="A6814" s="4" t="n">
        <v>45635</v>
      </c>
      <c r="B6814" s="3" t="n">
        <v>322.15</v>
      </c>
    </row>
    <row r="6815">
      <c r="A6815" s="4" t="n">
        <v>45636</v>
      </c>
      <c r="B6815" s="3" t="n">
        <v>316.1</v>
      </c>
    </row>
    <row r="6816">
      <c r="A6816" s="4" t="n">
        <v>45637</v>
      </c>
      <c r="B6816" s="3" t="n">
        <v>316.45</v>
      </c>
    </row>
    <row r="6817">
      <c r="A6817" s="4" t="n">
        <v>45638</v>
      </c>
      <c r="B6817" s="3" t="n">
        <v>316.85</v>
      </c>
    </row>
    <row r="6818">
      <c r="A6818" s="4" t="n">
        <v>45639</v>
      </c>
      <c r="B6818" s="3" t="n">
        <v>313.8</v>
      </c>
    </row>
    <row r="6819">
      <c r="A6819" s="4" t="n">
        <v>45642</v>
      </c>
      <c r="B6819" s="3" t="n">
        <v>309.8</v>
      </c>
    </row>
    <row r="6820">
      <c r="A6820" s="4" t="n">
        <v>45643</v>
      </c>
      <c r="B6820" s="3" t="n">
        <v>310.9</v>
      </c>
    </row>
    <row r="6821">
      <c r="A6821" s="4" t="n">
        <v>45644</v>
      </c>
      <c r="B6821" s="3" t="n">
        <v>315.15</v>
      </c>
    </row>
    <row r="6822">
      <c r="A6822" s="4" t="n">
        <v>45645</v>
      </c>
      <c r="B6822" s="3" t="n">
        <v>315.55</v>
      </c>
    </row>
    <row r="6823">
      <c r="A6823" s="4" t="n">
        <v>45646</v>
      </c>
      <c r="B6823" s="3" t="n">
        <v>315.1</v>
      </c>
    </row>
    <row r="6824">
      <c r="A6824" s="4" t="n">
        <v>45649</v>
      </c>
      <c r="B6824" s="3" t="n">
        <v>314.6</v>
      </c>
    </row>
    <row r="6825">
      <c r="A6825" s="4" t="n">
        <v>45652</v>
      </c>
      <c r="B6825" s="3" t="n">
        <v>315.85</v>
      </c>
    </row>
    <row r="6826">
      <c r="A6826" s="4" t="n">
        <v>45653</v>
      </c>
      <c r="B6826" s="3" t="n">
        <v>318.35</v>
      </c>
    </row>
    <row r="6827">
      <c r="A6827" s="4" t="n">
        <v>45656</v>
      </c>
      <c r="B6827" s="3" t="n">
        <v>317.4</v>
      </c>
    </row>
    <row r="6828">
      <c r="A6828" s="4" t="n">
        <v>45659</v>
      </c>
      <c r="B6828" s="3" t="n">
        <v>321.55</v>
      </c>
    </row>
    <row r="6829">
      <c r="A6829" s="4" t="n">
        <v>45660</v>
      </c>
      <c r="B6829" s="3" t="n">
        <v>321.85</v>
      </c>
    </row>
    <row r="6830">
      <c r="A6830" s="4" t="n">
        <v>45663</v>
      </c>
      <c r="B6830" s="3" t="n">
        <v>321.85</v>
      </c>
    </row>
    <row r="6831">
      <c r="A6831" s="4" t="n">
        <v>45664</v>
      </c>
      <c r="B6831" s="3" t="n">
        <v>322.5</v>
      </c>
    </row>
    <row r="6832">
      <c r="A6832" s="4" t="n">
        <v>45665</v>
      </c>
      <c r="B6832" s="3" t="n">
        <v>323.7</v>
      </c>
    </row>
    <row r="6833">
      <c r="A6833" s="4" t="n">
        <v>45666</v>
      </c>
      <c r="B6833" s="3" t="n">
        <v>323.9</v>
      </c>
    </row>
    <row r="6834">
      <c r="A6834" s="4" t="n">
        <v>45667</v>
      </c>
      <c r="B6834" s="3" t="n">
        <v>324.35</v>
      </c>
    </row>
    <row r="6835">
      <c r="A6835" s="4" t="n">
        <v>45670</v>
      </c>
      <c r="B6835" s="3" t="n">
        <v>325.6</v>
      </c>
    </row>
    <row r="6836">
      <c r="A6836" s="4" t="n">
        <v>45671</v>
      </c>
      <c r="B6836" s="3" t="n">
        <v>325.7</v>
      </c>
    </row>
    <row r="6837">
      <c r="A6837" s="4" t="n">
        <v>45672</v>
      </c>
      <c r="B6837" s="3" t="n">
        <v>326.95</v>
      </c>
    </row>
    <row r="6838">
      <c r="A6838" s="4" t="n">
        <v>45673</v>
      </c>
      <c r="B6838" s="3" t="n">
        <v>325.3</v>
      </c>
    </row>
    <row r="6839">
      <c r="A6839" s="4" t="n">
        <v>45674</v>
      </c>
      <c r="B6839" s="3" t="n">
        <v>326.65</v>
      </c>
    </row>
    <row r="6840">
      <c r="A6840" s="4" t="n">
        <v>45677</v>
      </c>
      <c r="B6840" s="3" t="n">
        <v>326.6</v>
      </c>
    </row>
    <row r="6841">
      <c r="A6841" s="4" t="n">
        <v>45678</v>
      </c>
      <c r="B6841" s="3" t="n">
        <v>326.6</v>
      </c>
    </row>
    <row r="6842">
      <c r="A6842" s="4" t="n">
        <v>45679</v>
      </c>
      <c r="B6842" s="3" t="n">
        <v>327.15</v>
      </c>
    </row>
    <row r="6843">
      <c r="A6843" s="4" t="n">
        <v>45680</v>
      </c>
      <c r="B6843" s="3" t="n">
        <v>325.4</v>
      </c>
    </row>
    <row r="6844">
      <c r="A6844" s="4" t="n">
        <v>45681</v>
      </c>
      <c r="B6844" s="3" t="n">
        <v>325.1</v>
      </c>
    </row>
    <row r="6845">
      <c r="A6845" s="4" t="n">
        <v>45684</v>
      </c>
      <c r="B6845" s="3" t="n">
        <v>326.7</v>
      </c>
    </row>
    <row r="6846">
      <c r="A6846" s="4" t="n">
        <v>45685</v>
      </c>
      <c r="B6846" s="3" t="n">
        <v>325.2</v>
      </c>
    </row>
    <row r="6847">
      <c r="A6847" s="4" t="n">
        <v>45686</v>
      </c>
      <c r="B6847" s="3" t="n">
        <v>325.85</v>
      </c>
    </row>
    <row r="6848">
      <c r="A6848" s="4" t="n">
        <v>45687</v>
      </c>
      <c r="B6848" s="3" t="n">
        <v>326</v>
      </c>
    </row>
    <row r="6849">
      <c r="A6849" s="4" t="n">
        <v>45688</v>
      </c>
      <c r="B6849" s="3" t="n">
        <v>324.45</v>
      </c>
    </row>
    <row r="6850">
      <c r="A6850" s="4" t="n">
        <v>45691</v>
      </c>
      <c r="B6850" s="3" t="n">
        <v>326.1</v>
      </c>
    </row>
    <row r="6851">
      <c r="A6851" s="4" t="n">
        <v>45692</v>
      </c>
      <c r="B6851" s="3" t="n">
        <v>327.1</v>
      </c>
    </row>
    <row r="6852">
      <c r="A6852" s="4" t="n">
        <v>45693</v>
      </c>
      <c r="B6852" s="3" t="n">
        <v>325.85</v>
      </c>
    </row>
    <row r="6853">
      <c r="A6853" s="4" t="n">
        <v>45694</v>
      </c>
      <c r="B6853" s="3" t="n">
        <v>326.9</v>
      </c>
    </row>
    <row r="6854">
      <c r="A6854" s="4" t="n">
        <v>45695</v>
      </c>
      <c r="B6854" s="3" t="n">
        <v>324.6</v>
      </c>
    </row>
    <row r="6855">
      <c r="A6855" s="4" t="n">
        <v>45698</v>
      </c>
      <c r="B6855" s="3" t="n">
        <v>324.65</v>
      </c>
    </row>
    <row r="6856">
      <c r="A6856" s="4" t="n">
        <v>45699</v>
      </c>
      <c r="B6856" s="3" t="n">
        <v>324.25</v>
      </c>
    </row>
    <row r="6857">
      <c r="A6857" s="4" t="n">
        <v>45700</v>
      </c>
      <c r="B6857" s="3" t="n">
        <v>322.8</v>
      </c>
    </row>
    <row r="6858">
      <c r="A6858" s="4" t="n">
        <v>45701</v>
      </c>
      <c r="B6858" s="3" t="n">
        <v>320.05</v>
      </c>
    </row>
    <row r="6859">
      <c r="A6859" s="4" t="n">
        <v>45702</v>
      </c>
      <c r="B6859" s="3" t="n">
        <v>320.3</v>
      </c>
    </row>
    <row r="6860">
      <c r="A6860" s="4" t="n">
        <v>45705</v>
      </c>
      <c r="B6860" s="3" t="n">
        <v>320.3</v>
      </c>
    </row>
    <row r="6861">
      <c r="A6861" s="4" t="n">
        <v>45706</v>
      </c>
      <c r="B6861" s="3" t="n">
        <v>317.45</v>
      </c>
    </row>
    <row r="6862">
      <c r="A6862" s="4" t="n">
        <v>45707</v>
      </c>
      <c r="B6862" s="3" t="n">
        <v>315.3</v>
      </c>
    </row>
    <row r="6863">
      <c r="A6863" s="4" t="n">
        <v>45708</v>
      </c>
      <c r="B6863" s="3" t="n">
        <v>314.2</v>
      </c>
    </row>
    <row r="6864">
      <c r="A6864" s="4" t="n">
        <v>45709</v>
      </c>
      <c r="B6864" s="3" t="n">
        <v>314.2</v>
      </c>
    </row>
    <row r="6865">
      <c r="A6865" s="4" t="n">
        <v>45712</v>
      </c>
      <c r="B6865" s="3" t="n">
        <v>314.25</v>
      </c>
    </row>
    <row r="6866">
      <c r="A6866" s="4" t="n">
        <v>45713</v>
      </c>
      <c r="B6866" s="3" t="n">
        <v>312.1</v>
      </c>
    </row>
    <row r="6867">
      <c r="A6867" s="4" t="n">
        <v>45714</v>
      </c>
      <c r="B6867" s="3" t="n">
        <v>311.4</v>
      </c>
    </row>
    <row r="6868">
      <c r="A6868" s="4" t="n">
        <v>45715</v>
      </c>
      <c r="B6868" s="3" t="n">
        <v>311.4</v>
      </c>
    </row>
    <row r="6869">
      <c r="A6869" s="4" t="n">
        <v>45716</v>
      </c>
      <c r="B6869" s="3" t="n">
        <v>310.95</v>
      </c>
    </row>
    <row r="6870">
      <c r="A6870" s="4" t="n">
        <v>45721</v>
      </c>
      <c r="B6870" s="3" t="n">
        <v>309.7</v>
      </c>
    </row>
    <row r="6871">
      <c r="A6871" s="4" t="n">
        <v>45722</v>
      </c>
      <c r="B6871" s="3" t="n">
        <v>311</v>
      </c>
    </row>
    <row r="6872">
      <c r="A6872" s="4" t="n">
        <v>45723</v>
      </c>
      <c r="B6872" s="3" t="n">
        <v>311.65</v>
      </c>
    </row>
    <row r="6873">
      <c r="A6873" s="4" t="n">
        <v>45726</v>
      </c>
      <c r="B6873" s="3" t="n">
        <v>311.45</v>
      </c>
    </row>
    <row r="6874">
      <c r="A6874" s="4" t="n">
        <v>45727</v>
      </c>
      <c r="B6874" s="3" t="n">
        <v>311.95</v>
      </c>
    </row>
    <row r="6875">
      <c r="A6875" s="4" t="n">
        <v>45728</v>
      </c>
      <c r="B6875" s="3" t="n">
        <v>312.1</v>
      </c>
    </row>
    <row r="6876">
      <c r="A6876" s="4" t="n">
        <v>45729</v>
      </c>
      <c r="B6876" s="3" t="n">
        <v>312.1</v>
      </c>
    </row>
    <row r="6877">
      <c r="A6877" s="4" t="n">
        <v>45730</v>
      </c>
      <c r="B6877" s="3" t="n">
        <v>309.7</v>
      </c>
    </row>
    <row r="6878">
      <c r="A6878" s="4" t="n">
        <v>45733</v>
      </c>
      <c r="B6878" s="3" t="n">
        <v>309.2</v>
      </c>
    </row>
    <row r="6879">
      <c r="A6879" s="4" t="n">
        <v>45734</v>
      </c>
      <c r="B6879" s="3" t="n">
        <v>310.1</v>
      </c>
    </row>
    <row r="6880">
      <c r="A6880" s="4" t="n">
        <v>45735</v>
      </c>
      <c r="B6880" s="3" t="n">
        <v>310.25</v>
      </c>
    </row>
    <row r="6881">
      <c r="A6881" s="4" t="n">
        <v>45736</v>
      </c>
      <c r="B6881" s="3" t="n">
        <v>311.25</v>
      </c>
    </row>
    <row r="6882">
      <c r="A6882" s="4" t="n">
        <v>45737</v>
      </c>
      <c r="B6882" s="3" t="n">
        <v>312.6</v>
      </c>
    </row>
    <row r="6883">
      <c r="A6883" s="4" t="n">
        <v>45740</v>
      </c>
      <c r="B6883" s="3" t="n">
        <v>312.75</v>
      </c>
    </row>
    <row r="6884">
      <c r="A6884" s="4" t="n">
        <v>45741</v>
      </c>
      <c r="B6884" s="3" t="n">
        <v>312.95</v>
      </c>
    </row>
    <row r="6885">
      <c r="A6885" s="4" t="n">
        <v>45742</v>
      </c>
      <c r="B6885" s="3" t="n">
        <v>312.95</v>
      </c>
    </row>
    <row r="6886">
      <c r="A6886" s="4" t="n">
        <v>45743</v>
      </c>
      <c r="B6886" s="3" t="n">
        <v>316.55</v>
      </c>
    </row>
    <row r="6887">
      <c r="A6887" s="4" t="n">
        <v>45744</v>
      </c>
      <c r="B6887" s="3" t="n">
        <v>319.1</v>
      </c>
    </row>
    <row r="6888">
      <c r="A6888" s="4" t="n">
        <v>45747</v>
      </c>
      <c r="B6888" s="3" t="n">
        <v>319.5</v>
      </c>
    </row>
    <row r="6889">
      <c r="A6889" s="4" t="n">
        <v>45748</v>
      </c>
      <c r="B6889" s="3" t="n">
        <v>320.75</v>
      </c>
    </row>
    <row r="6890">
      <c r="A6890" s="4" t="n">
        <v>45749</v>
      </c>
      <c r="B6890" s="3" t="n">
        <v>320.8</v>
      </c>
    </row>
    <row r="6891">
      <c r="A6891" s="4" t="n">
        <v>45750</v>
      </c>
      <c r="B6891" s="3" t="n">
        <v>321.6</v>
      </c>
    </row>
    <row r="6892">
      <c r="A6892" s="4" t="n">
        <v>45751</v>
      </c>
      <c r="B6892" s="3" t="n">
        <v>324.6</v>
      </c>
    </row>
    <row r="6893">
      <c r="A6893" s="4" t="n">
        <v>45754</v>
      </c>
      <c r="B6893" s="3" t="n">
        <v>324.6</v>
      </c>
    </row>
    <row r="6894">
      <c r="A6894" s="4" t="n">
        <v>45755</v>
      </c>
      <c r="B6894" s="3" t="n">
        <v>324.4</v>
      </c>
    </row>
    <row r="6895">
      <c r="A6895" s="4" t="n">
        <v>45756</v>
      </c>
      <c r="B6895" s="3" t="n">
        <v>322</v>
      </c>
    </row>
    <row r="6896">
      <c r="A6896" s="4" t="n">
        <v>45757</v>
      </c>
      <c r="B6896" s="3" t="n">
        <v>323.8</v>
      </c>
    </row>
    <row r="6897">
      <c r="A6897" s="4" t="n">
        <v>45758</v>
      </c>
      <c r="B6897" s="3" t="n">
        <v>324.5</v>
      </c>
    </row>
    <row r="6898">
      <c r="A6898" s="4" t="n">
        <v>45761</v>
      </c>
      <c r="B6898" s="3" t="n">
        <v>328.5</v>
      </c>
    </row>
    <row r="6899">
      <c r="A6899" s="4" t="n">
        <v>45762</v>
      </c>
      <c r="B6899" s="3" t="n">
        <v>327</v>
      </c>
    </row>
    <row r="6900">
      <c r="A6900" s="4" t="n">
        <v>45763</v>
      </c>
      <c r="B6900" s="3" t="n">
        <v>326</v>
      </c>
    </row>
    <row r="6901">
      <c r="A6901" s="4" t="n">
        <v>45764</v>
      </c>
      <c r="B6901" s="3" t="n">
        <v>326.65</v>
      </c>
    </row>
    <row r="6902">
      <c r="A6902" s="4" t="n">
        <v>45769</v>
      </c>
      <c r="B6902" s="3" t="n">
        <v>327.3</v>
      </c>
    </row>
    <row r="6903">
      <c r="A6903" s="4" t="n">
        <v>45770</v>
      </c>
      <c r="B6903" s="3" t="n">
        <v>325.95</v>
      </c>
    </row>
    <row r="6904">
      <c r="A6904" s="4" t="n">
        <v>45771</v>
      </c>
      <c r="B6904" s="3" t="n">
        <v>324.15</v>
      </c>
    </row>
    <row r="6905">
      <c r="A6905" s="4" t="n">
        <v>45772</v>
      </c>
      <c r="B6905" s="3" t="n">
        <v>323.9</v>
      </c>
    </row>
    <row r="6906">
      <c r="A6906" s="4" t="n">
        <v>45775</v>
      </c>
      <c r="B6906" s="3" t="n">
        <v>323.9</v>
      </c>
    </row>
    <row r="6907">
      <c r="A6907" s="4" t="n">
        <v>45776</v>
      </c>
      <c r="B6907" s="3" t="n">
        <v>319.9</v>
      </c>
    </row>
    <row r="6908">
      <c r="A6908" s="4" t="n">
        <v>45777</v>
      </c>
      <c r="B6908" s="3" t="n">
        <v>318.85</v>
      </c>
    </row>
    <row r="6909">
      <c r="A6909" s="4" t="n">
        <v>45779</v>
      </c>
      <c r="B6909" s="3" t="n">
        <v>318.85</v>
      </c>
    </row>
    <row r="6910">
      <c r="A6910" s="4" t="n">
        <v>45782</v>
      </c>
      <c r="B6910" s="3" t="n">
        <v>319.45</v>
      </c>
    </row>
    <row r="6911">
      <c r="A6911" s="4" t="n">
        <v>45783</v>
      </c>
      <c r="B6911" s="3" t="n">
        <v>316.5</v>
      </c>
    </row>
    <row r="6912">
      <c r="A6912" s="4" t="n">
        <v>45784</v>
      </c>
      <c r="B6912" s="3" t="n">
        <v>315.75</v>
      </c>
    </row>
    <row r="6913">
      <c r="A6913" s="4" t="n">
        <v>45785</v>
      </c>
      <c r="B6913" s="3" t="n">
        <v>309.2</v>
      </c>
    </row>
    <row r="6914">
      <c r="A6914" s="4" t="n">
        <v>45786</v>
      </c>
      <c r="B6914" s="3" t="n">
        <v>309.2</v>
      </c>
    </row>
    <row r="6915">
      <c r="A6915" s="4" t="n">
        <v>45789</v>
      </c>
      <c r="B6915" s="3" t="n">
        <v>313.8</v>
      </c>
    </row>
    <row r="6916">
      <c r="A6916" s="4" t="n">
        <v>45790</v>
      </c>
      <c r="B6916" s="3" t="n">
        <v>308.35</v>
      </c>
    </row>
    <row r="6917">
      <c r="A6917" s="4" t="n">
        <v>45791</v>
      </c>
      <c r="B6917" s="3" t="n">
        <v>308</v>
      </c>
    </row>
    <row r="6918">
      <c r="A6918" s="4" t="n">
        <v>45792</v>
      </c>
      <c r="B6918" s="3" t="n">
        <v>308</v>
      </c>
    </row>
    <row r="6919">
      <c r="A6919" s="4" t="n">
        <v>45793</v>
      </c>
      <c r="B6919" s="3" t="n">
        <v>302.6</v>
      </c>
    </row>
    <row r="6920">
      <c r="A6920" s="4" t="n">
        <v>45796</v>
      </c>
      <c r="B6920" s="3" t="n">
        <v>302.15</v>
      </c>
    </row>
    <row r="6921">
      <c r="A6921" s="4" t="n">
        <v>45797</v>
      </c>
      <c r="B6921" s="3" t="n">
        <v>306.4</v>
      </c>
    </row>
    <row r="6922">
      <c r="A6922" s="4" t="n">
        <v>45798</v>
      </c>
      <c r="B6922" s="3" t="n">
        <v>303.65</v>
      </c>
    </row>
    <row r="6923">
      <c r="A6923" s="4" t="n">
        <v>45799</v>
      </c>
      <c r="B6923" s="3" t="n">
        <v>303.65</v>
      </c>
    </row>
    <row r="6924">
      <c r="A6924" s="4" t="n">
        <v>45800</v>
      </c>
      <c r="B6924" s="3" t="n">
        <v>301</v>
      </c>
    </row>
    <row r="6925">
      <c r="A6925" s="4" t="n">
        <v>45803</v>
      </c>
      <c r="B6925" s="3" t="n">
        <v>301.4</v>
      </c>
    </row>
    <row r="6926">
      <c r="A6926" s="4" t="n">
        <v>45804</v>
      </c>
      <c r="B6926" s="3" t="n">
        <v>305.6</v>
      </c>
    </row>
    <row r="6927">
      <c r="A6927" s="4" t="n">
        <v>45805</v>
      </c>
      <c r="B6927" s="3" t="n">
        <v>305.1</v>
      </c>
    </row>
    <row r="6928">
      <c r="A6928" s="4" t="n">
        <v>45806</v>
      </c>
      <c r="B6928" s="3" t="n">
        <v>306.5</v>
      </c>
    </row>
    <row r="6929">
      <c r="A6929" s="4" t="n">
        <v>45807</v>
      </c>
      <c r="B6929" s="3" t="n">
        <v>306.1</v>
      </c>
    </row>
    <row r="6930">
      <c r="A6930" s="4" t="n">
        <v>45810</v>
      </c>
      <c r="B6930" s="3" t="n">
        <v>306.1</v>
      </c>
    </row>
    <row r="6931">
      <c r="A6931" s="4" t="n">
        <v>45811</v>
      </c>
      <c r="B6931" s="3" t="n">
        <v>306.4</v>
      </c>
    </row>
    <row r="6932">
      <c r="A6932" s="4" t="n">
        <v>45812</v>
      </c>
      <c r="B6932" s="3" t="n">
        <v>311.2</v>
      </c>
    </row>
    <row r="6933">
      <c r="A6933" s="4" t="n">
        <v>45813</v>
      </c>
      <c r="B6933" s="3" t="n">
        <v>311.15</v>
      </c>
    </row>
    <row r="6934">
      <c r="A6934" s="4" t="n">
        <v>45814</v>
      </c>
      <c r="B6934" s="3" t="n">
        <v>311.15</v>
      </c>
    </row>
    <row r="6935">
      <c r="A6935" s="4" t="n">
        <v>45817</v>
      </c>
      <c r="B6935" s="3" t="n">
        <v>311.75</v>
      </c>
    </row>
    <row r="6936">
      <c r="A6936" s="4" t="n">
        <v>45818</v>
      </c>
      <c r="B6936" s="3" t="n">
        <v>312.2</v>
      </c>
    </row>
    <row r="6937">
      <c r="A6937" s="4" t="n">
        <v>45819</v>
      </c>
      <c r="B6937" s="3" t="n">
        <v>314.2</v>
      </c>
    </row>
    <row r="6938">
      <c r="A6938" s="4" t="n">
        <v>45820</v>
      </c>
      <c r="B6938" s="3" t="n">
        <v>315.85</v>
      </c>
    </row>
    <row r="6939">
      <c r="A6939" s="4" t="n">
        <v>45821</v>
      </c>
      <c r="B6939" s="3" t="n">
        <v>314.35</v>
      </c>
    </row>
    <row r="6940">
      <c r="A6940" s="4" t="n">
        <v>45824</v>
      </c>
      <c r="B6940" s="3" t="n">
        <v>314.35</v>
      </c>
    </row>
    <row r="6941">
      <c r="A6941" s="4" t="n">
        <v>45825</v>
      </c>
      <c r="B6941" s="3" t="n">
        <v>313.85</v>
      </c>
    </row>
    <row r="6942">
      <c r="A6942" s="4" t="n">
        <v>45826</v>
      </c>
      <c r="B6942" s="3" t="n">
        <v>314.4</v>
      </c>
    </row>
    <row r="6943">
      <c r="A6943" s="4" t="n">
        <v>45828</v>
      </c>
      <c r="B6943" s="3" t="n">
        <v>314.4</v>
      </c>
    </row>
    <row r="6944">
      <c r="A6944" s="4" t="n">
        <v>45831</v>
      </c>
      <c r="B6944" s="3" t="n">
        <v>314.4</v>
      </c>
    </row>
    <row r="6945">
      <c r="A6945" s="4" t="n">
        <v>45832</v>
      </c>
      <c r="B6945" s="3" t="n">
        <v>317.7</v>
      </c>
    </row>
    <row r="6946">
      <c r="A6946" s="4" t="n">
        <v>45833</v>
      </c>
      <c r="B6946" s="3" t="n">
        <v>316.2</v>
      </c>
    </row>
    <row r="6947">
      <c r="A6947" s="4" t="n">
        <v>45834</v>
      </c>
      <c r="B6947" s="3" t="n">
        <v>315.75</v>
      </c>
    </row>
    <row r="6948">
      <c r="A6948" s="4" t="n">
        <v>45835</v>
      </c>
      <c r="B6948" s="3" t="n">
        <v>317.4</v>
      </c>
    </row>
    <row r="6949">
      <c r="A6949" s="4" t="n">
        <v>45838</v>
      </c>
      <c r="B6949" s="3" t="n">
        <v>317.4</v>
      </c>
    </row>
    <row r="6950">
      <c r="A6950" s="4" t="n">
        <v>45839</v>
      </c>
      <c r="B6950" s="3" t="n">
        <v>310.65</v>
      </c>
    </row>
    <row r="6951">
      <c r="A6951" s="4" t="n">
        <v>45840</v>
      </c>
      <c r="B6951" s="3" t="n">
        <v>310.65</v>
      </c>
    </row>
    <row r="6952">
      <c r="A6952" s="4" t="n">
        <v>45841</v>
      </c>
      <c r="B6952" s="3" t="n">
        <v>310.4</v>
      </c>
    </row>
    <row r="6953">
      <c r="A6953" s="4" t="n">
        <v>45842</v>
      </c>
      <c r="B6953" s="3" t="n">
        <v>310.4</v>
      </c>
    </row>
    <row r="6954">
      <c r="A6954" s="4" t="n">
        <v>45845</v>
      </c>
      <c r="B6954" s="3" t="n">
        <v>305.55</v>
      </c>
    </row>
    <row r="6955">
      <c r="A6955" s="4" t="n">
        <v>45846</v>
      </c>
      <c r="B6955" s="3" t="n">
        <v>305.6</v>
      </c>
    </row>
    <row r="6956">
      <c r="A6956" s="4" t="n">
        <v>45847</v>
      </c>
      <c r="B6956" s="3" t="n">
        <v>305</v>
      </c>
    </row>
    <row r="6957">
      <c r="A6957" s="4" t="n">
        <v>45848</v>
      </c>
      <c r="B6957" s="3" t="n">
        <v>299.7</v>
      </c>
    </row>
    <row r="6958">
      <c r="A6958" s="4" t="n">
        <v>45849</v>
      </c>
      <c r="B6958" s="3" t="n">
        <v>299.7</v>
      </c>
    </row>
    <row r="6959">
      <c r="A6959" s="4" t="n">
        <v>45852</v>
      </c>
      <c r="B6959" s="3" t="n">
        <v>299.25</v>
      </c>
    </row>
    <row r="6960">
      <c r="A6960" s="4" t="n">
        <v>45853</v>
      </c>
      <c r="B6960" s="3" t="n">
        <v>300.6</v>
      </c>
    </row>
    <row r="6961">
      <c r="A6961" s="4" t="n">
        <v>45854</v>
      </c>
      <c r="B6961" s="3" t="n">
        <v>298.5</v>
      </c>
    </row>
    <row r="6962">
      <c r="A6962" s="4" t="n">
        <v>45855</v>
      </c>
      <c r="B6962" s="3" t="n">
        <v>298.5</v>
      </c>
    </row>
    <row r="6963">
      <c r="A6963" s="4" t="n">
        <v>45856</v>
      </c>
      <c r="B6963" s="3" t="n">
        <v>296.75</v>
      </c>
    </row>
    <row r="6964">
      <c r="A6964" s="4" t="n">
        <v>45859</v>
      </c>
      <c r="B6964" s="3" t="n">
        <v>293.9</v>
      </c>
    </row>
    <row r="6965">
      <c r="A6965" s="4" t="n">
        <v>45860</v>
      </c>
      <c r="B6965" s="3" t="n">
        <v>296.1</v>
      </c>
    </row>
    <row r="6966">
      <c r="A6966" s="4" t="n">
        <v>45861</v>
      </c>
      <c r="B6966" s="3" t="n">
        <v>296.1</v>
      </c>
    </row>
    <row r="6967">
      <c r="A6967" s="4" t="n">
        <v>45862</v>
      </c>
      <c r="B6967" s="3" t="n">
        <v>294.45</v>
      </c>
    </row>
    <row r="6968">
      <c r="A6968" s="4" t="n">
        <v>45863</v>
      </c>
      <c r="B6968" s="3" t="n">
        <v>291.8</v>
      </c>
    </row>
    <row r="6969">
      <c r="A6969" s="4" t="n">
        <v>45866</v>
      </c>
      <c r="B6969" s="3" t="n">
        <v>292.65</v>
      </c>
    </row>
    <row r="6970">
      <c r="A6970" s="4" t="n">
        <v>45867</v>
      </c>
      <c r="B6970" s="3" t="n">
        <v>294.5</v>
      </c>
    </row>
    <row r="6971">
      <c r="A6971" s="4" t="n">
        <v>45868</v>
      </c>
      <c r="B6971" s="3" t="n">
        <v>294.2</v>
      </c>
    </row>
    <row r="6972">
      <c r="A6972" s="4" t="n">
        <v>45869</v>
      </c>
      <c r="B6972" s="3" t="n">
        <v>294.35</v>
      </c>
    </row>
    <row r="6973">
      <c r="A6973" s="4" t="n">
        <v>45870</v>
      </c>
      <c r="B6973" s="3" t="n">
        <v>294.35</v>
      </c>
    </row>
    <row r="6974">
      <c r="A6974" s="4" t="n">
        <v>45873</v>
      </c>
      <c r="B6974" s="3" t="n">
        <v>298.95</v>
      </c>
    </row>
    <row r="6975">
      <c r="A6975" s="4" t="n">
        <v>45874</v>
      </c>
      <c r="B6975" s="3" t="n">
        <v>301</v>
      </c>
    </row>
    <row r="6976">
      <c r="A6976" s="4" t="n">
        <v>45875</v>
      </c>
      <c r="B6976" s="3" t="n">
        <v>304.3</v>
      </c>
    </row>
    <row r="6977">
      <c r="A6977" s="4" t="n">
        <v>45876</v>
      </c>
      <c r="B6977" s="3" t="n">
        <v>305.3</v>
      </c>
    </row>
    <row r="6978">
      <c r="A6978" s="4" t="n">
        <v>45877</v>
      </c>
      <c r="B6978" s="3" t="n">
        <v>305.6</v>
      </c>
    </row>
    <row r="6979">
      <c r="A6979" s="4" t="n">
        <v>45880</v>
      </c>
      <c r="B6979" s="3" t="n">
        <v>305.6</v>
      </c>
    </row>
    <row r="6980">
      <c r="A6980" s="4" t="n">
        <v>45881</v>
      </c>
      <c r="B6980" s="3" t="n">
        <v>309.85</v>
      </c>
    </row>
    <row r="6981">
      <c r="A6981" s="4" t="n">
        <v>45882</v>
      </c>
      <c r="B6981" s="3" t="n">
        <v>308.7</v>
      </c>
    </row>
    <row r="6982">
      <c r="A6982" s="4" t="n">
        <v>45883</v>
      </c>
      <c r="B6982" s="3" t="n">
        <v>308.9</v>
      </c>
    </row>
    <row r="6983">
      <c r="A6983" s="4" t="n">
        <v>45884</v>
      </c>
      <c r="B6983" s="3" t="n">
        <v>308.3</v>
      </c>
    </row>
    <row r="6984">
      <c r="A6984" s="4" t="n">
        <v>45887</v>
      </c>
      <c r="B6984" s="3" t="n">
        <v>307.05</v>
      </c>
    </row>
    <row r="6985">
      <c r="A6985" s="4" t="n">
        <v>45888</v>
      </c>
      <c r="B6985" s="3" t="n">
        <v>307.75</v>
      </c>
    </row>
    <row r="6986">
      <c r="A6986" s="4" t="n">
        <v>45889</v>
      </c>
      <c r="B6986" s="3" t="n">
        <v>310.55</v>
      </c>
    </row>
    <row r="6987">
      <c r="A6987" s="4" t="n">
        <v>45890</v>
      </c>
      <c r="B6987" s="3" t="n">
        <v>310.75</v>
      </c>
    </row>
    <row r="6988">
      <c r="A6988" s="4" t="n">
        <v>45891</v>
      </c>
      <c r="B6988" s="3" t="n">
        <v>310.55</v>
      </c>
    </row>
    <row r="6989">
      <c r="A6989" s="4" t="n">
        <v>45894</v>
      </c>
      <c r="B6989" s="3" t="n">
        <v>310.55</v>
      </c>
    </row>
    <row r="6990">
      <c r="A6990" s="4" t="n">
        <v>45895</v>
      </c>
      <c r="B6990" s="3" t="n">
        <v>310.95</v>
      </c>
    </row>
    <row r="6991">
      <c r="A6991" s="4" t="n">
        <v>45896</v>
      </c>
      <c r="B6991" s="3" t="n">
        <v>311.35</v>
      </c>
    </row>
    <row r="6992">
      <c r="A6992" s="4" t="n">
        <v>45897</v>
      </c>
      <c r="B6992" s="3" t="n">
        <v>311.4</v>
      </c>
    </row>
    <row r="6993">
      <c r="A6993" s="4" t="n">
        <v>45898</v>
      </c>
      <c r="B6993" s="3" t="n">
        <v>310.5</v>
      </c>
    </row>
    <row r="6994">
      <c r="A6994" s="4" t="n">
        <v>45901</v>
      </c>
      <c r="B6994" s="3" t="n">
        <v>310.5</v>
      </c>
    </row>
    <row r="6995">
      <c r="A6995" s="4" t="n">
        <v>45902</v>
      </c>
      <c r="B6995" s="3" t="n">
        <v>313.65</v>
      </c>
    </row>
    <row r="6996">
      <c r="A6996" s="4" t="n">
        <v>45903</v>
      </c>
      <c r="B6996" s="3" t="n">
        <v>313.4</v>
      </c>
    </row>
    <row r="6997">
      <c r="A6997" s="4" t="n">
        <v>45904</v>
      </c>
      <c r="B6997" s="3" t="n">
        <v>313.4</v>
      </c>
    </row>
    <row r="6998">
      <c r="A6998" s="4" t="n">
        <v>45905</v>
      </c>
      <c r="B6998" s="3" t="n">
        <v>312.1</v>
      </c>
    </row>
    <row r="6999">
      <c r="A6999" s="4" t="n">
        <v>45908</v>
      </c>
      <c r="B6999" s="3" t="n">
        <v>312.25</v>
      </c>
    </row>
    <row r="7000">
      <c r="A7000" s="4" t="n">
        <v>45909</v>
      </c>
      <c r="B7000" s="3" t="n">
        <v>311.7</v>
      </c>
    </row>
    <row r="7001">
      <c r="A7001" s="4" t="n">
        <v>45910</v>
      </c>
      <c r="B7001" s="3" t="n">
        <v>311.65</v>
      </c>
    </row>
    <row r="7002">
      <c r="A7002" s="4" t="n">
        <v>45911</v>
      </c>
      <c r="B7002" s="3" t="n">
        <v>310.75</v>
      </c>
    </row>
    <row r="7003">
      <c r="A7003" s="4" t="n">
        <v>45912</v>
      </c>
      <c r="B7003" s="3" t="n">
        <v>310.75</v>
      </c>
    </row>
    <row r="7004">
      <c r="A7004" s="4" t="n">
        <v>45915</v>
      </c>
      <c r="B7004" s="3" t="n">
        <v>307.9</v>
      </c>
    </row>
    <row r="7005">
      <c r="A7005" s="4" t="n">
        <v>45916</v>
      </c>
      <c r="B7005" s="3" t="n">
        <v>307.05</v>
      </c>
    </row>
    <row r="7006">
      <c r="A7006" s="4" t="n">
        <v>45917</v>
      </c>
      <c r="B7006" s="3" t="n">
        <v>305.1</v>
      </c>
    </row>
    <row r="7007">
      <c r="A7007" s="4" t="n">
        <v>45918</v>
      </c>
      <c r="B7007" s="3" t="n">
        <v>305.2</v>
      </c>
    </row>
    <row r="7008">
      <c r="A7008" s="4" t="n">
        <v>45919</v>
      </c>
      <c r="B7008" s="3" t="n">
        <v>304.1</v>
      </c>
    </row>
    <row r="7009">
      <c r="A7009" s="4" t="n">
        <v>45922</v>
      </c>
      <c r="B7009" s="3" t="n">
        <v>304.45</v>
      </c>
    </row>
    <row r="7010">
      <c r="A7010" s="4" t="n">
        <v>45923</v>
      </c>
      <c r="B7010" s="3" t="n">
        <v>304.45</v>
      </c>
    </row>
    <row r="7011">
      <c r="A7011" s="4" t="n">
        <v>45924</v>
      </c>
      <c r="B7011" s="3" t="n">
        <v>301.8</v>
      </c>
    </row>
    <row r="7012">
      <c r="A7012" s="4" t="n">
        <v>45925</v>
      </c>
      <c r="B7012" s="3" t="n">
        <v>302</v>
      </c>
    </row>
    <row r="7013">
      <c r="A7013" s="4" t="n">
        <v>45926</v>
      </c>
      <c r="B7013" s="3" t="n">
        <v>302.95</v>
      </c>
    </row>
    <row r="7014">
      <c r="A7014" s="4" t="n">
        <v>45929</v>
      </c>
      <c r="B7014" s="3" t="n">
        <v>303.95</v>
      </c>
    </row>
    <row r="7015">
      <c r="A7015" s="4" t="n">
        <v>45930</v>
      </c>
      <c r="B7015" s="3" t="n">
        <v>304.1</v>
      </c>
    </row>
    <row r="7016">
      <c r="A7016" s="4" t="n">
        <v>45931</v>
      </c>
      <c r="B7016" s="3" t="n">
        <v>305.6</v>
      </c>
    </row>
    <row r="7017">
      <c r="A7017" s="4" t="n">
        <v>45932</v>
      </c>
      <c r="B7017" s="3" t="n">
        <v>305.8</v>
      </c>
    </row>
    <row r="7018">
      <c r="A7018" s="4" t="n">
        <v>45933</v>
      </c>
      <c r="B7018" s="3" t="n">
        <v>307.35</v>
      </c>
    </row>
    <row r="7019">
      <c r="A7019" s="4" t="n">
        <v>45936</v>
      </c>
      <c r="B7019" s="3" t="n">
        <v>307.35</v>
      </c>
    </row>
    <row r="7020">
      <c r="A7020" s="4" t="n">
        <v>45937</v>
      </c>
      <c r="B7020" s="3" t="n">
        <v>306.5</v>
      </c>
    </row>
    <row r="7021">
      <c r="A7021" s="4" t="n">
        <v>45938</v>
      </c>
      <c r="B7021" s="3" t="n">
        <v>307.6</v>
      </c>
    </row>
    <row r="7022">
      <c r="A7022" s="4" t="n">
        <v>45939</v>
      </c>
      <c r="B7022" s="3" t="n">
        <v>307.95</v>
      </c>
    </row>
    <row r="7023">
      <c r="A7023" s="4" t="n">
        <v>45940</v>
      </c>
      <c r="B7023" s="3" t="n">
        <v>307.95</v>
      </c>
    </row>
    <row r="7024">
      <c r="A7024" s="4" t="n">
        <v>45943</v>
      </c>
      <c r="B7024" s="3" t="n">
        <v>308.3</v>
      </c>
    </row>
    <row r="7025">
      <c r="A7025" s="4" t="n">
        <v>45944</v>
      </c>
      <c r="B7025" s="3" t="n">
        <v>308.7</v>
      </c>
    </row>
    <row r="7026">
      <c r="A7026" s="4" t="n">
        <v>45945</v>
      </c>
      <c r="B7026" s="3" t="n">
        <v>309.15</v>
      </c>
    </row>
    <row r="7027">
      <c r="A7027" s="4" t="n">
        <v>45946</v>
      </c>
      <c r="B7027" s="3" t="n">
        <v>309.15</v>
      </c>
    </row>
    <row r="7028">
      <c r="A7028" s="4" t="n">
        <v>45947</v>
      </c>
      <c r="B7028" s="3" t="n">
        <v>309.7</v>
      </c>
    </row>
    <row r="7029">
      <c r="A7029" s="4" t="n">
        <v>45950</v>
      </c>
      <c r="B7029" s="3" t="n">
        <v>310.2</v>
      </c>
    </row>
    <row r="7030">
      <c r="A7030" s="4" t="n">
        <v>45951</v>
      </c>
      <c r="B7030" s="3" t="n">
        <v>310.9</v>
      </c>
    </row>
    <row r="7031">
      <c r="A7031" s="4" t="n">
        <v>45952</v>
      </c>
      <c r="B7031" s="3" t="n">
        <v>311.4</v>
      </c>
    </row>
    <row r="7032">
      <c r="A7032" s="4" t="n">
        <v>45953</v>
      </c>
      <c r="B7032" s="3" t="n">
        <v>311.4</v>
      </c>
    </row>
    <row r="7033">
      <c r="A7033" s="4" t="n">
        <v>45954</v>
      </c>
      <c r="B7033" s="3" t="n">
        <v>313.15</v>
      </c>
    </row>
    <row r="7034">
      <c r="A7034" s="4" t="n">
        <v>45957</v>
      </c>
      <c r="B7034" s="3" t="n">
        <v>313.35</v>
      </c>
    </row>
    <row r="7035">
      <c r="A7035" s="4" t="n">
        <v>45958</v>
      </c>
      <c r="B7035" s="3" t="n">
        <v>314.65</v>
      </c>
    </row>
    <row r="7036">
      <c r="A7036" s="4" t="n">
        <v>45959</v>
      </c>
      <c r="B7036" s="3" t="n">
        <v>317.9</v>
      </c>
    </row>
    <row r="7037">
      <c r="A7037" s="4" t="n">
        <v>45960</v>
      </c>
      <c r="B7037" s="3" t="n">
        <v>318.85</v>
      </c>
    </row>
    <row r="7038">
      <c r="A7038" s="4" t="n">
        <v>45961</v>
      </c>
      <c r="B7038" s="3" t="n">
        <v>318.85</v>
      </c>
    </row>
    <row r="7039">
      <c r="A7039" s="4" t="n">
        <v>45964</v>
      </c>
      <c r="B7039" s="3" t="n">
        <v>320.2</v>
      </c>
    </row>
    <row r="7040">
      <c r="A7040" s="4" t="n">
        <v>45965</v>
      </c>
      <c r="B7040" s="3" t="n">
        <v>322.55</v>
      </c>
    </row>
    <row r="7041">
      <c r="A7041" s="4" t="n">
        <v>45966</v>
      </c>
      <c r="B7041" s="3" t="n">
        <v>323.4</v>
      </c>
    </row>
    <row r="7042">
      <c r="A7042" s="4" t="n">
        <v>45967</v>
      </c>
      <c r="B7042" s="3" t="n">
        <v>323.7</v>
      </c>
    </row>
    <row r="7043">
      <c r="A7043" s="4" t="n">
        <v>45968</v>
      </c>
      <c r="B7043" s="3" t="n">
        <v>323.7</v>
      </c>
    </row>
    <row r="7044">
      <c r="A7044" s="4" t="n">
        <v>45971</v>
      </c>
      <c r="B7044" s="3" t="n">
        <v>322.65</v>
      </c>
    </row>
    <row r="7045">
      <c r="A7045" s="4" t="n">
        <v>45972</v>
      </c>
      <c r="B7045" s="3" t="n">
        <v>322.15</v>
      </c>
    </row>
    <row r="7046">
      <c r="A7046" s="4" t="n">
        <v>45973</v>
      </c>
      <c r="B7046" s="3" t="n">
        <v>321.85</v>
      </c>
    </row>
    <row r="7047">
      <c r="A7047" s="4" t="n">
        <v>45974</v>
      </c>
      <c r="B7047" s="3" t="n">
        <v>322.45</v>
      </c>
    </row>
    <row r="7048">
      <c r="A7048" s="4" t="n">
        <v>45975</v>
      </c>
      <c r="B7048" s="3" t="n">
        <v>322.65</v>
      </c>
    </row>
    <row r="7049">
      <c r="A7049" s="4" t="n">
        <v>45978</v>
      </c>
      <c r="B7049" s="3" t="n">
        <v>321.35</v>
      </c>
    </row>
    <row r="7050">
      <c r="A7050" s="4" t="n">
        <v>45979</v>
      </c>
      <c r="B7050" s="3" t="n">
        <v>321.25</v>
      </c>
    </row>
    <row r="7051">
      <c r="A7051" s="4" t="n">
        <v>45980</v>
      </c>
      <c r="B7051" s="3" t="n">
        <v>321.5</v>
      </c>
    </row>
    <row r="7052">
      <c r="A7052" s="4" t="n">
        <v>45982</v>
      </c>
      <c r="B7052" s="3" t="n">
        <v>322.45</v>
      </c>
    </row>
    <row r="7053">
      <c r="A7053" s="4" t="n">
        <v>45985</v>
      </c>
      <c r="B7053" s="3" t="n">
        <v>322.45</v>
      </c>
    </row>
    <row r="7054">
      <c r="A7054" s="4" t="n">
        <v>45986</v>
      </c>
      <c r="B7054" s="3" t="n">
        <v>321.25</v>
      </c>
    </row>
    <row r="7055">
      <c r="A7055" s="4" t="n">
        <v>45987</v>
      </c>
      <c r="B7055" s="3" t="n">
        <v>321.1</v>
      </c>
    </row>
    <row r="7056">
      <c r="A7056" s="4" t="n">
        <v>45988</v>
      </c>
      <c r="B7056" s="3" t="n">
        <v>321.3</v>
      </c>
    </row>
    <row r="7057">
      <c r="A7057" s="4" t="n">
        <v>45989</v>
      </c>
      <c r="B7057" s="3" t="n">
        <v>321.6</v>
      </c>
    </row>
    <row r="7058">
      <c r="A7058" s="4" t="n">
        <v>45992</v>
      </c>
      <c r="B7058" s="3" t="n">
        <v>321.6</v>
      </c>
    </row>
    <row r="7059">
      <c r="A7059" s="4" t="n">
        <v>45993</v>
      </c>
      <c r="B7059" s="3" t="n">
        <v>321.75</v>
      </c>
    </row>
    <row r="7060">
      <c r="A7060" s="4" t="n">
        <v>45994</v>
      </c>
      <c r="B7060" s="3" t="n">
        <v>321.2</v>
      </c>
    </row>
    <row r="7061">
      <c r="A7061" s="4" t="n">
        <v>45995</v>
      </c>
      <c r="B7061" s="3" t="n">
        <v>322.05</v>
      </c>
    </row>
    <row r="7062">
      <c r="A7062" s="4" t="n">
        <v>45996</v>
      </c>
      <c r="B7062" s="3" t="n">
        <v>322.1</v>
      </c>
    </row>
    <row r="7063">
      <c r="A7063" s="4" t="n">
        <v>45999</v>
      </c>
      <c r="B7063" s="3" t="n">
        <v>322.1</v>
      </c>
    </row>
    <row r="7064">
      <c r="A7064" s="4" t="n">
        <v>46000</v>
      </c>
      <c r="B7064" s="3" t="n">
        <v>322.5</v>
      </c>
    </row>
    <row r="7065">
      <c r="A7065" s="4" t="n">
        <v>46001</v>
      </c>
      <c r="B7065" s="3" t="n">
        <v>320.9</v>
      </c>
    </row>
    <row r="7066">
      <c r="A7066" s="4">
        <f>'BOI GORDO'!A240</f>
        <v/>
      </c>
      <c r="B7066" s="3">
        <f>'BOI GORDO'!C240</f>
        <v/>
      </c>
    </row>
    <row r="7067">
      <c r="A7067" s="4">
        <f>'BOI GORDO'!A241</f>
        <v/>
      </c>
      <c r="B7067" s="3">
        <f>'BOI GORDO'!C241</f>
        <v/>
      </c>
    </row>
    <row r="7068">
      <c r="A7068" s="4">
        <f>'BOI GORDO'!A242</f>
        <v/>
      </c>
      <c r="B7068" s="3">
        <f>'BOI GORDO'!C242</f>
        <v/>
      </c>
    </row>
    <row r="7069">
      <c r="A7069" s="4">
        <f>'BOI GORDO'!A243</f>
        <v/>
      </c>
      <c r="B7069" s="3">
        <f>'BOI GORDO'!C243</f>
        <v/>
      </c>
    </row>
    <row r="7070">
      <c r="A7070" s="4">
        <f>'BOI GORDO'!A244</f>
        <v/>
      </c>
      <c r="B7070" s="3">
        <f>'BOI GORDO'!C244</f>
        <v/>
      </c>
    </row>
    <row r="7071">
      <c r="A7071" s="4">
        <f>'BOI GORDO'!A245</f>
        <v/>
      </c>
      <c r="B7071" s="3">
        <f>'BOI GORDO'!C245</f>
        <v/>
      </c>
    </row>
    <row r="7072">
      <c r="A7072" s="4">
        <f>'BOI GORDO'!A246</f>
        <v/>
      </c>
      <c r="B7072" s="3">
        <f>'BOI GORDO'!C246</f>
        <v/>
      </c>
    </row>
    <row r="7073">
      <c r="A7073" s="4">
        <f>'BOI GORDO'!A247</f>
        <v/>
      </c>
      <c r="B7073" s="3">
        <f>'BOI GORDO'!C247</f>
        <v/>
      </c>
    </row>
    <row r="7074">
      <c r="A7074" s="4">
        <f>'BOI GORDO'!A248</f>
        <v/>
      </c>
      <c r="B7074" s="3">
        <f>'BOI GORDO'!C248</f>
        <v/>
      </c>
    </row>
    <row r="7075">
      <c r="A7075" s="4">
        <f>'BOI GORDO'!A249</f>
        <v/>
      </c>
      <c r="B7075" s="3">
        <f>'BOI GORDO'!C249</f>
        <v/>
      </c>
    </row>
    <row r="7076">
      <c r="A7076" s="4">
        <f>'BOI GORDO'!A250</f>
        <v/>
      </c>
      <c r="B7076" s="3">
        <f>'BOI GORDO'!C250</f>
        <v/>
      </c>
    </row>
    <row r="7077">
      <c r="A7077" s="4">
        <f>'BOI GORDO'!A251</f>
        <v/>
      </c>
      <c r="B7077" s="3">
        <f>'BOI GORDO'!C251</f>
        <v/>
      </c>
    </row>
    <row r="7078">
      <c r="A7078" s="4">
        <f>'BOI GORDO'!A252</f>
        <v/>
      </c>
      <c r="B7078" s="3">
        <f>'BOI GORDO'!C252</f>
        <v/>
      </c>
    </row>
    <row r="7079">
      <c r="A7079" s="4">
        <f>'BOI GORDO'!A253</f>
        <v/>
      </c>
      <c r="B7079" s="3">
        <f>'BOI GORDO'!C253</f>
        <v/>
      </c>
    </row>
    <row r="7080">
      <c r="A7080" s="4" t="n">
        <v>46028</v>
      </c>
      <c r="B7080" s="3">
        <f>'BOI GORDO'!C254</f>
        <v/>
      </c>
    </row>
    <row r="7081">
      <c r="A7081" s="4" t="n">
        <v>46029</v>
      </c>
      <c r="B7081" s="3">
        <f>'BOI GORDO'!C255</f>
        <v/>
      </c>
    </row>
    <row r="7082">
      <c r="A7082" s="4" t="n">
        <v>46030</v>
      </c>
      <c r="B7082" s="3">
        <f>'BOI GORDO'!C256</f>
        <v/>
      </c>
    </row>
    <row r="7083">
      <c r="A7083" s="4" t="n">
        <v>46031</v>
      </c>
      <c r="B7083" s="3">
        <f>'BOI GORDO'!C257</f>
        <v/>
      </c>
    </row>
    <row r="7084">
      <c r="A7084" s="4" t="n">
        <v>46034</v>
      </c>
      <c r="B7084" s="3">
        <f>'BOI GORDO'!C258</f>
        <v/>
      </c>
    </row>
    <row r="7085">
      <c r="A7085" s="4" t="n">
        <v>46035</v>
      </c>
      <c r="B7085" s="3">
        <f>'BOI GORDO'!C259</f>
        <v/>
      </c>
    </row>
    <row r="7086">
      <c r="A7086" s="4" t="n">
        <v>46036</v>
      </c>
      <c r="B7086" s="3">
        <f>'BOI GORDO'!C260</f>
        <v/>
      </c>
    </row>
    <row r="7087">
      <c r="A7087" s="4" t="n">
        <v>46037</v>
      </c>
      <c r="B7087" s="3">
        <f>'BOI GORDO'!C261</f>
        <v/>
      </c>
    </row>
    <row r="7088">
      <c r="A7088" s="4" t="n">
        <v>46038</v>
      </c>
      <c r="B7088" s="3">
        <f>'BOI GORDO'!C262</f>
        <v/>
      </c>
    </row>
    <row r="7089">
      <c r="A7089" s="4" t="n">
        <v>46041</v>
      </c>
      <c r="B7089" s="3">
        <f>'BOI GORDO'!C263</f>
        <v/>
      </c>
    </row>
    <row r="7090">
      <c r="A7090" s="4" t="n">
        <v>46042</v>
      </c>
      <c r="B7090" s="3">
        <f>'BOI GORDO'!C264</f>
        <v/>
      </c>
    </row>
    <row r="7091">
      <c r="A7091" s="4" t="n">
        <v>46043</v>
      </c>
      <c r="B7091" s="3">
        <f>'BOI GORDO'!C265</f>
        <v/>
      </c>
    </row>
    <row r="7092">
      <c r="A7092" s="4" t="n">
        <v>46044</v>
      </c>
      <c r="B7092" s="3">
        <f>'BOI GORDO'!C266</f>
        <v/>
      </c>
    </row>
    <row r="7093">
      <c r="A7093" s="4" t="n">
        <v>46045</v>
      </c>
      <c r="B7093" s="3">
        <f>'BOI GORDO'!C267</f>
        <v/>
      </c>
    </row>
    <row r="7094">
      <c r="A7094" s="4" t="n">
        <v>46048</v>
      </c>
      <c r="B7094" s="3">
        <f>'BOI GORDO'!C268</f>
        <v/>
      </c>
    </row>
    <row r="7095">
      <c r="A7095" s="4" t="n">
        <v>46049</v>
      </c>
      <c r="B7095" s="3">
        <f>'BOI GORDO'!C269</f>
        <v/>
      </c>
    </row>
    <row r="7096">
      <c r="A7096" s="4" t="n">
        <v>46050</v>
      </c>
      <c r="B7096" s="3">
        <f>'BOI GORDO'!C270</f>
        <v/>
      </c>
    </row>
    <row r="7097">
      <c r="A7097" s="4" t="n">
        <v>46051</v>
      </c>
      <c r="B7097" s="3">
        <f>'BOI GORDO'!C271</f>
        <v/>
      </c>
    </row>
    <row r="7098">
      <c r="A7098" s="4" t="n">
        <v>46052</v>
      </c>
      <c r="B7098" s="3">
        <f>'BOI GORDO'!C272</f>
        <v/>
      </c>
    </row>
    <row r="7099">
      <c r="A7099" s="4" t="n">
        <v>46055</v>
      </c>
      <c r="B7099" s="3">
        <f>'BOI GORDO'!C273</f>
        <v/>
      </c>
    </row>
    <row r="7100">
      <c r="A7100" s="4" t="n">
        <v>46056</v>
      </c>
      <c r="B7100" s="3">
        <f>'BOI GORDO'!C274</f>
        <v/>
      </c>
    </row>
    <row r="7101">
      <c r="A7101" s="4" t="n">
        <v>46057</v>
      </c>
      <c r="B7101" s="3">
        <f>'BOI GORDO'!C275</f>
        <v/>
      </c>
    </row>
    <row r="7102">
      <c r="A7102" s="4" t="n">
        <v>46058</v>
      </c>
      <c r="B7102" s="3">
        <f>'BOI GORDO'!C276</f>
        <v/>
      </c>
    </row>
    <row r="7103">
      <c r="A7103" s="4" t="n">
        <v>46059</v>
      </c>
      <c r="B7103" s="3">
        <f>'BOI GORDO'!C277</f>
        <v/>
      </c>
    </row>
    <row r="7104">
      <c r="A7104" s="4" t="n">
        <v>46062</v>
      </c>
      <c r="B7104" s="3">
        <f>'BOI GORDO'!C278</f>
        <v/>
      </c>
    </row>
    <row r="7105">
      <c r="A7105" s="4" t="n">
        <v>46063</v>
      </c>
      <c r="B7105" s="3">
        <f>'BOI GORDO'!C279</f>
        <v/>
      </c>
    </row>
    <row r="7106">
      <c r="A7106" s="4" t="n">
        <v>46064</v>
      </c>
      <c r="B7106" s="3">
        <f>'BOI GORDO'!C280</f>
        <v/>
      </c>
    </row>
    <row r="7107">
      <c r="A7107" s="4" t="n">
        <v>46065</v>
      </c>
      <c r="B7107" s="3">
        <f>'BOI GORDO'!C281</f>
        <v/>
      </c>
    </row>
    <row r="7108">
      <c r="A7108" s="4" t="n">
        <v>46066</v>
      </c>
      <c r="B7108" s="3">
        <f>'BOI GORDO'!C282</f>
        <v/>
      </c>
    </row>
    <row r="7109">
      <c r="A7109" s="4" t="n">
        <v>46071</v>
      </c>
      <c r="B7109" s="3">
        <f>'BOI GORDO'!C283</f>
        <v/>
      </c>
    </row>
    <row r="7110">
      <c r="A7110" s="4" t="n">
        <v>46072</v>
      </c>
      <c r="B7110" s="3">
        <f>'BOI GORDO'!C284</f>
        <v/>
      </c>
    </row>
    <row r="7111">
      <c r="A7111" s="4" t="n">
        <v>46073</v>
      </c>
      <c r="B7111" s="3">
        <f>'BOI GORDO'!C285</f>
        <v/>
      </c>
    </row>
    <row r="7112">
      <c r="A7112" s="4" t="n">
        <v>46076</v>
      </c>
      <c r="B7112" s="3">
        <f>'BOI GORDO'!C286</f>
        <v/>
      </c>
    </row>
    <row r="7113">
      <c r="A7113" s="4" t="n">
        <v>46077</v>
      </c>
      <c r="B7113" s="3">
        <f>'BOI GORDO'!C287</f>
        <v/>
      </c>
    </row>
    <row r="7114">
      <c r="A7114" s="4" t="n">
        <v>46078</v>
      </c>
      <c r="B7114" s="3">
        <f>'BOI GORDO'!C288</f>
        <v/>
      </c>
    </row>
    <row r="7115">
      <c r="A7115" s="4" t="n">
        <v>46079</v>
      </c>
      <c r="B7115" s="3">
        <f>'BOI GORDO'!C289</f>
        <v/>
      </c>
    </row>
    <row r="7116">
      <c r="A7116" s="4" t="n">
        <v>46080</v>
      </c>
      <c r="B7116" s="3">
        <f>'BOI GORDO'!C290</f>
        <v/>
      </c>
    </row>
    <row r="7117">
      <c r="A7117" s="4" t="n">
        <v>46083</v>
      </c>
      <c r="B7117" s="3">
        <f>'BOI GORDO'!C291</f>
        <v/>
      </c>
    </row>
    <row r="7118">
      <c r="A7118" s="4" t="n">
        <v>46084</v>
      </c>
      <c r="B7118" s="3">
        <f>'BOI GORDO'!C292</f>
        <v/>
      </c>
    </row>
    <row r="7119">
      <c r="A7119" s="4" t="n">
        <v>46085</v>
      </c>
      <c r="B7119" s="3">
        <f>'BOI GORDO'!C293</f>
        <v/>
      </c>
    </row>
    <row r="7120">
      <c r="A7120" s="4" t="n">
        <v>46086</v>
      </c>
      <c r="B7120" s="3">
        <f>'BOI GORDO'!C294</f>
        <v/>
      </c>
    </row>
    <row r="7121">
      <c r="A7121" s="25">
        <f>'BOI GORDO'!A322</f>
        <v/>
      </c>
      <c r="B7121" s="22">
        <f>'BOI GORDO'!C322</f>
        <v/>
      </c>
    </row>
    <row r="7122">
      <c r="A7122" s="25">
        <f>'BOI GORDO'!A323</f>
        <v/>
      </c>
      <c r="B7122" s="22">
        <f>'BOI GORDO'!C323</f>
        <v/>
      </c>
    </row>
    <row r="7123">
      <c r="A7123" s="25">
        <f>'BOI GORDO'!A324</f>
        <v/>
      </c>
      <c r="B7123" s="22">
        <f>'BOI GORDO'!C324</f>
        <v/>
      </c>
    </row>
    <row r="7124">
      <c r="A7124" s="25">
        <f>'BOI GORDO'!A325</f>
        <v/>
      </c>
      <c r="B7124" s="22">
        <f>'BOI GORDO'!C325</f>
        <v/>
      </c>
    </row>
    <row r="7125">
      <c r="A7125" s="25">
        <f>'BOI GORDO'!A326</f>
        <v/>
      </c>
      <c r="B7125" s="22">
        <f>'BOI GORDO'!C326</f>
        <v/>
      </c>
    </row>
    <row r="7126">
      <c r="A7126" s="25">
        <f>'BOI GORDO'!A327</f>
        <v/>
      </c>
      <c r="B7126" s="22">
        <f>'BOI GORDO'!C327</f>
        <v/>
      </c>
    </row>
    <row r="7127">
      <c r="A7127" s="25">
        <f>'BOI GORDO'!A328</f>
        <v/>
      </c>
      <c r="B7127" s="22">
        <f>'BOI GORDO'!C328</f>
        <v/>
      </c>
    </row>
    <row r="7128">
      <c r="A7128" s="25">
        <f>'BOI GORDO'!A329</f>
        <v/>
      </c>
      <c r="B7128" s="22">
        <f>'BOI GORDO'!C329</f>
        <v/>
      </c>
    </row>
    <row r="7129">
      <c r="A7129" s="25">
        <f>'BOI GORDO'!A330</f>
        <v/>
      </c>
      <c r="B7129" s="22">
        <f>'BOI GORDO'!C330</f>
        <v/>
      </c>
    </row>
    <row r="7130">
      <c r="A7130" s="25">
        <f>'BOI GORDO'!A331</f>
        <v/>
      </c>
      <c r="B7130" s="22">
        <f>'BOI GORDO'!C331</f>
        <v/>
      </c>
    </row>
    <row r="7131">
      <c r="A7131" s="25">
        <f>'BOI GORDO'!A332</f>
        <v/>
      </c>
      <c r="B7131" s="22">
        <f>'BOI GORDO'!C332</f>
        <v/>
      </c>
    </row>
    <row r="7132">
      <c r="A7132" s="25">
        <f>'BOI GORDO'!A333</f>
        <v/>
      </c>
      <c r="B7132" s="22">
        <f>'BOI GORDO'!C333</f>
        <v/>
      </c>
    </row>
    <row r="7133">
      <c r="A7133" s="25">
        <f>'BOI GORDO'!A334</f>
        <v/>
      </c>
      <c r="B7133" s="22">
        <f>'BOI GORDO'!C334</f>
        <v/>
      </c>
    </row>
    <row r="7134">
      <c r="A7134" s="25">
        <f>'BOI GORDO'!A335</f>
        <v/>
      </c>
      <c r="B7134" s="22">
        <f>'BOI GORDO'!C335</f>
        <v/>
      </c>
    </row>
    <row r="7135">
      <c r="A7135" s="25">
        <f>'BOI GORDO'!A336</f>
        <v/>
      </c>
      <c r="B7135" s="22">
        <f>'BOI GORDO'!C336</f>
        <v/>
      </c>
    </row>
    <row r="7136">
      <c r="A7136" s="25">
        <f>'BOI GORDO'!A337</f>
        <v/>
      </c>
      <c r="B7136" s="22">
        <f>'BOI GORDO'!C337</f>
        <v/>
      </c>
    </row>
    <row r="7137">
      <c r="A7137" s="25">
        <f>'BOI GORDO'!A338</f>
        <v/>
      </c>
      <c r="B7137" s="22">
        <f>'BOI GORDO'!C338</f>
        <v/>
      </c>
    </row>
    <row r="7138">
      <c r="A7138" s="25">
        <f>'BOI GORDO'!A339</f>
        <v/>
      </c>
      <c r="B7138" s="22">
        <f>'BOI GORDO'!C339</f>
        <v/>
      </c>
    </row>
    <row r="7139">
      <c r="A7139" s="25">
        <f>'BOI GORDO'!A340</f>
        <v/>
      </c>
      <c r="B7139" s="22">
        <f>'BOI GORDO'!C340</f>
        <v/>
      </c>
    </row>
    <row r="7140">
      <c r="A7140" s="25">
        <f>'BOI GORDO'!A341</f>
        <v/>
      </c>
      <c r="B7140" s="22">
        <f>'BOI GORDO'!C341</f>
        <v/>
      </c>
    </row>
    <row r="7141">
      <c r="A7141" s="25">
        <f>'BOI GORDO'!A342</f>
        <v/>
      </c>
      <c r="B7141" s="22">
        <f>'BOI GORDO'!C342</f>
        <v/>
      </c>
    </row>
    <row r="7142">
      <c r="A7142" s="25">
        <f>'BOI GORDO'!A343</f>
        <v/>
      </c>
      <c r="B7142" s="22">
        <f>'BOI GORDO'!C343</f>
        <v/>
      </c>
    </row>
    <row r="7143">
      <c r="A7143" s="25">
        <f>'BOI GORDO'!A344</f>
        <v/>
      </c>
      <c r="B7143" s="22">
        <f>'BOI GORDO'!C344</f>
        <v/>
      </c>
    </row>
    <row r="7144">
      <c r="A7144" s="25">
        <f>'BOI GORDO'!A345</f>
        <v/>
      </c>
      <c r="B7144" s="22">
        <f>'BOI GORDO'!C345</f>
        <v/>
      </c>
    </row>
    <row r="7145">
      <c r="A7145" s="25">
        <f>'BOI GORDO'!A346</f>
        <v/>
      </c>
      <c r="B7145" s="22">
        <f>'BOI GORDO'!C346</f>
        <v/>
      </c>
    </row>
    <row r="7146">
      <c r="A7146" s="25">
        <f>'BOI GORDO'!A347</f>
        <v/>
      </c>
      <c r="B7146" s="22">
        <f>'BOI GORDO'!C347</f>
        <v/>
      </c>
    </row>
    <row r="7147">
      <c r="A7147" s="25">
        <f>'BOI GORDO'!A348</f>
        <v/>
      </c>
      <c r="B7147" s="22">
        <f>'BOI GORDO'!C348</f>
        <v/>
      </c>
    </row>
    <row r="7148">
      <c r="A7148" s="25">
        <f>'BOI GORDO'!A349</f>
        <v/>
      </c>
      <c r="B7148" s="22">
        <f>'BOI GORDO'!C349</f>
        <v/>
      </c>
    </row>
    <row r="7149">
      <c r="A7149" s="25">
        <f>'BOI GORDO'!A350</f>
        <v/>
      </c>
      <c r="B7149" s="22">
        <f>'BOI GORDO'!C350</f>
        <v/>
      </c>
    </row>
    <row r="7150">
      <c r="A7150" s="25">
        <f>'BOI GORDO'!A351</f>
        <v/>
      </c>
      <c r="B7150" s="22">
        <f>'BOI GORDO'!C351</f>
        <v/>
      </c>
    </row>
    <row r="7151">
      <c r="A7151" s="25">
        <f>'BOI GORDO'!A352</f>
        <v/>
      </c>
      <c r="B7151" s="22">
        <f>'BOI GORDO'!C352</f>
        <v/>
      </c>
    </row>
    <row r="7152">
      <c r="A7152" s="25">
        <f>'BOI GORDO'!A353</f>
        <v/>
      </c>
      <c r="B7152" s="22">
        <f>'BOI GORDO'!C353</f>
        <v/>
      </c>
    </row>
    <row r="7153">
      <c r="A7153" s="25">
        <f>'BOI GORDO'!A354</f>
        <v/>
      </c>
      <c r="B7153" s="22">
        <f>'BOI GORDO'!C354</f>
        <v/>
      </c>
    </row>
    <row r="7154">
      <c r="A7154" s="25">
        <f>'BOI GORDO'!A355</f>
        <v/>
      </c>
      <c r="B7154" s="22">
        <f>'BOI GORDO'!C355</f>
        <v/>
      </c>
    </row>
    <row r="7155">
      <c r="A7155" s="25">
        <f>'BOI GORDO'!A356</f>
        <v/>
      </c>
      <c r="B7155" s="22">
        <f>'BOI GORDO'!C356</f>
        <v/>
      </c>
    </row>
    <row r="7156">
      <c r="A7156" s="25">
        <f>'BOI GORDO'!A357</f>
        <v/>
      </c>
      <c r="B7156" s="22">
        <f>'BOI GORDO'!C357</f>
        <v/>
      </c>
    </row>
    <row r="7157">
      <c r="A7157" s="25">
        <f>'BOI GORDO'!A358</f>
        <v/>
      </c>
      <c r="B7157" s="22">
        <f>'BOI GORDO'!C358</f>
        <v/>
      </c>
    </row>
    <row r="7158">
      <c r="A7158" s="25">
        <f>'BOI GORDO'!A359</f>
        <v/>
      </c>
      <c r="B7158" s="22">
        <f>'BOI GORDO'!C359</f>
        <v/>
      </c>
    </row>
    <row r="7159">
      <c r="A7159" s="25">
        <f>'BOI GORDO'!A360</f>
        <v/>
      </c>
      <c r="B7159" s="22">
        <f>'BOI GORDO'!C360</f>
        <v/>
      </c>
    </row>
    <row r="7160">
      <c r="A7160" s="25">
        <f>IF('BOI GORDO'!C361&gt;0,'BOI GORDO'!A361,"")</f>
        <v/>
      </c>
      <c r="B7160" s="22">
        <f>IF('BOI GORDO'!C361&gt;0,'BOI GORDO'!C361,"")</f>
        <v/>
      </c>
    </row>
    <row r="7161">
      <c r="A7161" s="25">
        <f>IF('BOI GORDO'!C362&gt;0,'BOI GORDO'!A362,"")</f>
        <v/>
      </c>
      <c r="B7161" s="22">
        <f>IF('BOI GORDO'!C362&gt;0,'BOI GORDO'!C362,"")</f>
        <v/>
      </c>
    </row>
    <row r="7162">
      <c r="A7162" s="25">
        <f>IF('BOI GORDO'!C363&gt;0,'BOI GORDO'!A363,"")</f>
        <v/>
      </c>
      <c r="B7162" s="22">
        <f>IF('BOI GORDO'!C363&gt;0,'BOI GORDO'!C363,"")</f>
        <v/>
      </c>
    </row>
    <row r="7163">
      <c r="A7163" s="25">
        <f>IF('BOI GORDO'!C364&gt;0,'BOI GORDO'!A364,"")</f>
        <v/>
      </c>
      <c r="B7163" s="22">
        <f>IF('BOI GORDO'!C364&gt;0,'BOI GORDO'!C364,"")</f>
        <v/>
      </c>
    </row>
    <row r="7164">
      <c r="A7164" s="25">
        <f>IF('BOI GORDO'!C365&gt;0,'BOI GORDO'!A365,"")</f>
        <v/>
      </c>
      <c r="B7164" s="22">
        <f>IF('BOI GORDO'!C365&gt;0,'BOI GORDO'!C365,"")</f>
        <v/>
      </c>
    </row>
    <row r="7165">
      <c r="A7165" s="25">
        <f>IF('BOI GORDO'!C366&gt;0,'BOI GORDO'!A366,"")</f>
        <v/>
      </c>
      <c r="B7165" s="22">
        <f>IF('BOI GORDO'!C366&gt;0,'BOI GORDO'!C366,"")</f>
        <v/>
      </c>
    </row>
    <row r="7166">
      <c r="A7166" s="25">
        <f>IF('BOI GORDO'!C367&gt;0,'BOI GORDO'!A367,"")</f>
        <v/>
      </c>
      <c r="B7166" s="22">
        <f>IF('BOI GORDO'!C367&gt;0,'BOI GORDO'!C367,"")</f>
        <v/>
      </c>
    </row>
    <row r="7167">
      <c r="A7167" s="25">
        <f>IF('BOI GORDO'!C368&gt;0,'BOI GORDO'!A368,"")</f>
        <v/>
      </c>
      <c r="B7167" s="22">
        <f>IF('BOI GORDO'!C368&gt;0,'BOI GORDO'!C368,"")</f>
        <v/>
      </c>
    </row>
    <row r="7168">
      <c r="A7168" s="25">
        <f>IF('BOI GORDO'!C369&gt;0,'BOI GORDO'!A369,"")</f>
        <v/>
      </c>
      <c r="B7168" s="22">
        <f>IF('BOI GORDO'!C369&gt;0,'BOI GORDO'!C369,"")</f>
        <v/>
      </c>
    </row>
    <row r="7169">
      <c r="A7169" s="25">
        <f>IF('BOI GORDO'!C370&gt;0,'BOI GORDO'!A370,"")</f>
        <v/>
      </c>
      <c r="B7169" s="22">
        <f>IF('BOI GORDO'!C370&gt;0,'BOI GORDO'!C370,"")</f>
        <v/>
      </c>
    </row>
    <row r="7170">
      <c r="A7170" s="25">
        <f>IF('BOI GORDO'!C371&gt;0,'BOI GORDO'!A371,"")</f>
        <v/>
      </c>
      <c r="B7170" s="22">
        <f>IF('BOI GORDO'!C371&gt;0,'BOI GORDO'!C371,"")</f>
        <v/>
      </c>
    </row>
    <row r="7171">
      <c r="A7171" s="25">
        <f>IF('BOI GORDO'!C372&gt;0,'BOI GORDO'!A372,"")</f>
        <v/>
      </c>
      <c r="B7171" s="22">
        <f>IF('BOI GORDO'!C372&gt;0,'BOI GORDO'!C372,"")</f>
        <v/>
      </c>
    </row>
    <row r="7172">
      <c r="A7172" s="25">
        <f>IF('BOI GORDO'!C373&gt;0,'BOI GORDO'!A373,"")</f>
        <v/>
      </c>
      <c r="B7172" s="22">
        <f>IF('BOI GORDO'!C373&gt;0,'BOI GORDO'!C373,"")</f>
        <v/>
      </c>
    </row>
    <row r="7173">
      <c r="A7173" s="25">
        <f>IF('BOI GORDO'!C374&gt;0,'BOI GORDO'!A374,"")</f>
        <v/>
      </c>
      <c r="B7173" s="22">
        <f>IF('BOI GORDO'!C374&gt;0,'BOI GORDO'!C374,"")</f>
        <v/>
      </c>
    </row>
    <row r="7174">
      <c r="A7174" s="25">
        <f>IF('BOI GORDO'!C375&gt;0,'BOI GORDO'!A375,"")</f>
        <v/>
      </c>
      <c r="B7174" s="22">
        <f>IF('BOI GORDO'!C375&gt;0,'BOI GORDO'!C375,"")</f>
        <v/>
      </c>
    </row>
    <row r="7175">
      <c r="A7175" s="25">
        <f>IF('BOI GORDO'!C376&gt;0,'BOI GORDO'!A376,"")</f>
        <v/>
      </c>
      <c r="B7175" s="22">
        <f>IF('BOI GORDO'!C376&gt;0,'BOI GORDO'!C376,"")</f>
        <v/>
      </c>
    </row>
    <row r="7176">
      <c r="A7176" s="25">
        <f>IF('BOI GORDO'!C377&gt;0,'BOI GORDO'!A377,"")</f>
        <v/>
      </c>
      <c r="B7176" s="22">
        <f>IF('BOI GORDO'!C377&gt;0,'BOI GORDO'!C377,"")</f>
        <v/>
      </c>
    </row>
    <row r="7177">
      <c r="A7177" s="25">
        <f>IF('BOI GORDO'!C378&gt;0,'BOI GORDO'!A378,"")</f>
        <v/>
      </c>
      <c r="B7177" s="22">
        <f>IF('BOI GORDO'!C378&gt;0,'BOI GORDO'!C378,"")</f>
        <v/>
      </c>
    </row>
    <row r="7178">
      <c r="A7178" s="25">
        <f>IF('BOI GORDO'!C379&gt;0,'BOI GORDO'!A379,"")</f>
        <v/>
      </c>
      <c r="B7178" s="22">
        <f>IF('BOI GORDO'!C379&gt;0,'BOI GORDO'!C379,"")</f>
        <v/>
      </c>
    </row>
    <row r="7179">
      <c r="A7179" s="25">
        <f>IF('BOI GORDO'!C380&gt;0,'BOI GORDO'!A380,"")</f>
        <v/>
      </c>
      <c r="B7179" s="22">
        <f>IF('BOI GORDO'!C380&gt;0,'BOI GORDO'!C380,"")</f>
        <v/>
      </c>
    </row>
    <row r="7180">
      <c r="A7180" s="25">
        <f>IF('BOI GORDO'!C381&gt;0,'BOI GORDO'!A381,"")</f>
        <v/>
      </c>
      <c r="B7180" s="22">
        <f>IF('BOI GORDO'!C381&gt;0,'BOI GORDO'!C381,"")</f>
        <v/>
      </c>
    </row>
    <row r="7181">
      <c r="A7181" s="25">
        <f>IF('BOI GORDO'!C382&gt;0,'BOI GORDO'!A382,"")</f>
        <v/>
      </c>
      <c r="B7181" s="22">
        <f>IF('BOI GORDO'!C382&gt;0,'BOI GORDO'!C382,"")</f>
        <v/>
      </c>
    </row>
    <row r="7182">
      <c r="A7182" s="25">
        <f>IF('BOI GORDO'!C383&gt;0,'BOI GORDO'!A383,"")</f>
        <v/>
      </c>
      <c r="B7182" s="22">
        <f>IF('BOI GORDO'!C383&gt;0,'BOI GORDO'!C383,"")</f>
        <v/>
      </c>
    </row>
    <row r="7183">
      <c r="A7183" s="25">
        <f>IF('BOI GORDO'!C384&gt;0,'BOI GORDO'!A384,"")</f>
        <v/>
      </c>
      <c r="B7183" s="22">
        <f>IF('BOI GORDO'!C384&gt;0,'BOI GORDO'!C384,"")</f>
        <v/>
      </c>
    </row>
    <row r="7184">
      <c r="A7184" s="25">
        <f>IF('BOI GORDO'!C385&gt;0,'BOI GORDO'!A385,"")</f>
        <v/>
      </c>
      <c r="B7184" s="22">
        <f>IF('BOI GORDO'!C385&gt;0,'BOI GORDO'!C385,"")</f>
        <v/>
      </c>
    </row>
    <row r="7185">
      <c r="A7185" s="25">
        <f>IF('BOI GORDO'!C386&gt;0,'BOI GORDO'!A386,"")</f>
        <v/>
      </c>
      <c r="B7185" s="22">
        <f>IF('BOI GORDO'!C386&gt;0,'BOI GORDO'!C386,"")</f>
        <v/>
      </c>
    </row>
    <row r="7186">
      <c r="A7186" s="25">
        <f>IF('BOI GORDO'!C387&gt;0,'BOI GORDO'!A387,"")</f>
        <v/>
      </c>
      <c r="B7186" s="22">
        <f>IF('BOI GORDO'!C387&gt;0,'BOI GORDO'!C387,"")</f>
        <v/>
      </c>
    </row>
    <row r="7187">
      <c r="A7187" s="25">
        <f>IF('BOI GORDO'!C388&gt;0,'BOI GORDO'!A388,"")</f>
        <v/>
      </c>
      <c r="B7187" s="22">
        <f>IF('BOI GORDO'!C388&gt;0,'BOI GORDO'!C388,"")</f>
        <v/>
      </c>
    </row>
    <row r="7188">
      <c r="A7188" s="25">
        <f>IF('BOI GORDO'!C389&gt;0,'BOI GORDO'!A389,"")</f>
        <v/>
      </c>
      <c r="B7188" s="22">
        <f>IF('BOI GORDO'!C389&gt;0,'BOI GORDO'!C389,"")</f>
        <v/>
      </c>
    </row>
    <row r="7189">
      <c r="A7189" s="25">
        <f>IF('BOI GORDO'!C390&gt;0,'BOI GORDO'!A390,"")</f>
        <v/>
      </c>
      <c r="B7189" s="22">
        <f>IF('BOI GORDO'!C390&gt;0,'BOI GORDO'!C390,"")</f>
        <v/>
      </c>
    </row>
    <row r="7190">
      <c r="A7190" s="25">
        <f>IF('BOI GORDO'!C391&gt;0,'BOI GORDO'!A391,"")</f>
        <v/>
      </c>
      <c r="B7190" s="22">
        <f>IF('BOI GORDO'!C391&gt;0,'BOI GORDO'!C391,"")</f>
        <v/>
      </c>
    </row>
    <row r="7191">
      <c r="A7191" s="25">
        <f>IF('BOI GORDO'!C392&gt;0,'BOI GORDO'!A392,"")</f>
        <v/>
      </c>
      <c r="B7191" s="22">
        <f>IF('BOI GORDO'!C392&gt;0,'BOI GORDO'!C392,"")</f>
        <v/>
      </c>
    </row>
    <row r="7192">
      <c r="A7192" s="25">
        <f>IF('BOI GORDO'!C393&gt;0,'BOI GORDO'!A393,"")</f>
        <v/>
      </c>
      <c r="B7192" s="22">
        <f>IF('BOI GORDO'!C393&gt;0,'BOI GORDO'!C393,"")</f>
        <v/>
      </c>
    </row>
    <row r="7193">
      <c r="A7193" s="25">
        <f>IF('BOI GORDO'!C394&gt;0,'BOI GORDO'!A394,"")</f>
        <v/>
      </c>
      <c r="B7193" s="22">
        <f>IF('BOI GORDO'!C394&gt;0,'BOI GORDO'!C394,"")</f>
        <v/>
      </c>
    </row>
    <row r="7194">
      <c r="A7194" s="25">
        <f>IF('BOI GORDO'!C395&gt;0,'BOI GORDO'!A395,"")</f>
        <v/>
      </c>
      <c r="B7194" s="22">
        <f>IF('BOI GORDO'!C395&gt;0,'BOI GORDO'!C395,"")</f>
        <v/>
      </c>
    </row>
    <row r="7195">
      <c r="A7195" s="25">
        <f>IF('BOI GORDO'!C396&gt;0,'BOI GORDO'!A396,"")</f>
        <v/>
      </c>
      <c r="B7195" s="22">
        <f>IF('BOI GORDO'!C396&gt;0,'BOI GORDO'!C396,"")</f>
        <v/>
      </c>
    </row>
    <row r="7196">
      <c r="A7196" s="25">
        <f>IF('BOI GORDO'!C397&gt;0,'BOI GORDO'!A397,"")</f>
        <v/>
      </c>
      <c r="B7196" s="22">
        <f>IF('BOI GORDO'!C397&gt;0,'BOI GORDO'!C397,"")</f>
        <v/>
      </c>
    </row>
    <row r="7197">
      <c r="A7197" s="25">
        <f>IF('BOI GORDO'!C398&gt;0,'BOI GORDO'!A398,"")</f>
        <v/>
      </c>
      <c r="B7197" s="22">
        <f>IF('BOI GORDO'!C398&gt;0,'BOI GORDO'!C398,"")</f>
        <v/>
      </c>
    </row>
    <row r="7198">
      <c r="A7198" s="25">
        <f>IF('BOI GORDO'!C399&gt;0,'BOI GORDO'!A399,"")</f>
        <v/>
      </c>
      <c r="B7198" s="22">
        <f>IF('BOI GORDO'!C399&gt;0,'BOI GORDO'!C399,"")</f>
        <v/>
      </c>
    </row>
    <row r="7199">
      <c r="A7199" s="25">
        <f>IF('BOI GORDO'!C400&gt;0,'BOI GORDO'!A400,"")</f>
        <v/>
      </c>
      <c r="B7199" s="22">
        <f>IF('BOI GORDO'!C400&gt;0,'BOI GORDO'!C400,"")</f>
        <v/>
      </c>
    </row>
    <row r="7200">
      <c r="A7200" s="25">
        <f>IF('BOI GORDO'!C401&gt;0,'BOI GORDO'!A401,"")</f>
        <v/>
      </c>
      <c r="B7200" s="22">
        <f>IF('BOI GORDO'!C401&gt;0,'BOI GORDO'!C401,"")</f>
        <v/>
      </c>
    </row>
    <row r="7201">
      <c r="A7201" s="25">
        <f>IF('BOI GORDO'!C402&gt;0,'BOI GORDO'!A402,"")</f>
        <v/>
      </c>
      <c r="B7201" s="22">
        <f>IF('BOI GORDO'!C402&gt;0,'BOI GORDO'!C402,"")</f>
        <v/>
      </c>
    </row>
    <row r="7202">
      <c r="A7202" s="25">
        <f>IF('BOI GORDO'!C403&gt;0,'BOI GORDO'!A403,"")</f>
        <v/>
      </c>
      <c r="B7202" s="22">
        <f>IF('BOI GORDO'!C403&gt;0,'BOI GORDO'!C403,"")</f>
        <v/>
      </c>
    </row>
    <row r="7203">
      <c r="A7203" s="25">
        <f>IF('BOI GORDO'!C404&gt;0,'BOI GORDO'!A404,"")</f>
        <v/>
      </c>
      <c r="B7203" s="22">
        <f>IF('BOI GORDO'!C404&gt;0,'BOI GORDO'!C404,"")</f>
        <v/>
      </c>
    </row>
    <row r="7204">
      <c r="A7204" s="25">
        <f>IF('BOI GORDO'!C405&gt;0,'BOI GORDO'!A405,"")</f>
        <v/>
      </c>
      <c r="B7204" s="22">
        <f>IF('BOI GORDO'!C405&gt;0,'BOI GORDO'!C405,"")</f>
        <v/>
      </c>
    </row>
    <row r="7205">
      <c r="A7205" s="25">
        <f>IF('BOI GORDO'!C406&gt;0,'BOI GORDO'!A406,"")</f>
        <v/>
      </c>
      <c r="B7205" s="22">
        <f>IF('BOI GORDO'!C406&gt;0,'BOI GORDO'!C406,"")</f>
        <v/>
      </c>
    </row>
    <row r="7206">
      <c r="A7206" s="25">
        <f>IF('BOI GORDO'!C407&gt;0,'BOI GORDO'!A407,"")</f>
        <v/>
      </c>
      <c r="B7206" s="22">
        <f>IF('BOI GORDO'!C407&gt;0,'BOI GORDO'!C407,"")</f>
        <v/>
      </c>
    </row>
    <row r="7207">
      <c r="A7207" s="25">
        <f>IF('BOI GORDO'!C408&gt;0,'BOI GORDO'!A408,"")</f>
        <v/>
      </c>
      <c r="B7207" s="22">
        <f>IF('BOI GORDO'!C408&gt;0,'BOI GORDO'!C408,"")</f>
        <v/>
      </c>
    </row>
    <row r="7208">
      <c r="A7208" s="25">
        <f>IF('BOI GORDO'!C409&gt;0,'BOI GORDO'!A409,"")</f>
        <v/>
      </c>
      <c r="B7208" s="22">
        <f>IF('BOI GORDO'!C409&gt;0,'BOI GORDO'!C409,"")</f>
        <v/>
      </c>
    </row>
    <row r="7209">
      <c r="A7209" s="25">
        <f>IF('BOI GORDO'!C410&gt;0,'BOI GORDO'!A410,"")</f>
        <v/>
      </c>
      <c r="B7209" s="22">
        <f>IF('BOI GORDO'!C410&gt;0,'BOI GORDO'!C410,"")</f>
        <v/>
      </c>
    </row>
    <row r="7210">
      <c r="A7210" s="25">
        <f>IF('BOI GORDO'!C411&gt;0,'BOI GORDO'!A411,"")</f>
        <v/>
      </c>
      <c r="B7210" s="22">
        <f>IF('BOI GORDO'!C411&gt;0,'BOI GORDO'!C411,"")</f>
        <v/>
      </c>
    </row>
    <row r="7211">
      <c r="A7211" s="25">
        <f>IF('BOI GORDO'!C412&gt;0,'BOI GORDO'!A412,"")</f>
        <v/>
      </c>
      <c r="B7211" s="22">
        <f>IF('BOI GORDO'!C412&gt;0,'BOI GORDO'!C412,"")</f>
        <v/>
      </c>
    </row>
    <row r="7212">
      <c r="A7212" s="25">
        <f>IF('BOI GORDO'!C413&gt;0,'BOI GORDO'!A413,"")</f>
        <v/>
      </c>
      <c r="B7212" s="22">
        <f>IF('BOI GORDO'!C413&gt;0,'BOI GORDO'!C413,"")</f>
        <v/>
      </c>
    </row>
    <row r="7213">
      <c r="A7213" s="25">
        <f>IF('BOI GORDO'!C414&gt;0,'BOI GORDO'!A414,"")</f>
        <v/>
      </c>
      <c r="B7213" s="22">
        <f>IF('BOI GORDO'!C414&gt;0,'BOI GORDO'!C414,"")</f>
        <v/>
      </c>
    </row>
    <row r="7214">
      <c r="A7214" s="25">
        <f>IF('BOI GORDO'!C415&gt;0,'BOI GORDO'!A415,"")</f>
        <v/>
      </c>
      <c r="B7214" s="22">
        <f>IF('BOI GORDO'!C415&gt;0,'BOI GORDO'!C415,"")</f>
        <v/>
      </c>
    </row>
    <row r="7215">
      <c r="A7215" s="25">
        <f>IF('BOI GORDO'!C416&gt;0,'BOI GORDO'!A416,"")</f>
        <v/>
      </c>
      <c r="B7215" s="22">
        <f>IF('BOI GORDO'!C416&gt;0,'BOI GORDO'!C416,"")</f>
        <v/>
      </c>
    </row>
    <row r="7216">
      <c r="A7216" s="25">
        <f>IF('BOI GORDO'!C417&gt;0,'BOI GORDO'!A417,"")</f>
        <v/>
      </c>
      <c r="B7216" s="22">
        <f>IF('BOI GORDO'!C417&gt;0,'BOI GORDO'!C417,"")</f>
        <v/>
      </c>
    </row>
    <row r="7217">
      <c r="A7217" s="25">
        <f>IF('BOI GORDO'!C418&gt;0,'BOI GORDO'!A418,"")</f>
        <v/>
      </c>
      <c r="B7217" s="22">
        <f>IF('BOI GORDO'!C418&gt;0,'BOI GORDO'!C418,"")</f>
        <v/>
      </c>
    </row>
    <row r="7218">
      <c r="A7218" s="25">
        <f>IF('BOI GORDO'!C419&gt;0,'BOI GORDO'!A419,"")</f>
        <v/>
      </c>
      <c r="B7218" s="22">
        <f>IF('BOI GORDO'!C419&gt;0,'BOI GORDO'!C419,"")</f>
        <v/>
      </c>
    </row>
    <row r="7219">
      <c r="A7219" s="25">
        <f>IF('BOI GORDO'!C420&gt;0,'BOI GORDO'!A420,"")</f>
        <v/>
      </c>
      <c r="B7219" s="22">
        <f>IF('BOI GORDO'!C420&gt;0,'BOI GORDO'!C420,"")</f>
        <v/>
      </c>
    </row>
    <row r="7220">
      <c r="A7220" s="25">
        <f>IF('BOI GORDO'!C421&gt;0,'BOI GORDO'!A421,"")</f>
        <v/>
      </c>
      <c r="B7220" s="22">
        <f>IF('BOI GORDO'!C421&gt;0,'BOI GORDO'!C421,"")</f>
        <v/>
      </c>
    </row>
    <row r="7221">
      <c r="A7221" s="25">
        <f>IF('BOI GORDO'!C422&gt;0,'BOI GORDO'!A422,"")</f>
        <v/>
      </c>
      <c r="B7221" s="22">
        <f>IF('BOI GORDO'!C422&gt;0,'BOI GORDO'!C422,"")</f>
        <v/>
      </c>
    </row>
    <row r="7222">
      <c r="A7222" s="25">
        <f>IF('BOI GORDO'!C423&gt;0,'BOI GORDO'!A423,"")</f>
        <v/>
      </c>
      <c r="B7222" s="22">
        <f>IF('BOI GORDO'!C423&gt;0,'BOI GORDO'!C423,"")</f>
        <v/>
      </c>
    </row>
    <row r="7223">
      <c r="A7223" s="25">
        <f>IF('BOI GORDO'!C424&gt;0,'BOI GORDO'!A424,"")</f>
        <v/>
      </c>
      <c r="B7223" s="22">
        <f>IF('BOI GORDO'!C424&gt;0,'BOI GORDO'!C424,"")</f>
        <v/>
      </c>
    </row>
    <row r="7224">
      <c r="A7224" s="25">
        <f>IF('BOI GORDO'!C425&gt;0,'BOI GORDO'!A425,"")</f>
        <v/>
      </c>
      <c r="B7224" s="22">
        <f>IF('BOI GORDO'!C425&gt;0,'BOI GORDO'!C425,"")</f>
        <v/>
      </c>
    </row>
    <row r="7225">
      <c r="A7225" s="25">
        <f>IF('BOI GORDO'!C426&gt;0,'BOI GORDO'!A426,"")</f>
        <v/>
      </c>
      <c r="B7225" s="22">
        <f>IF('BOI GORDO'!C426&gt;0,'BOI GORDO'!C426,"")</f>
        <v/>
      </c>
    </row>
    <row r="7226">
      <c r="A7226" s="25">
        <f>IF('BOI GORDO'!C427&gt;0,'BOI GORDO'!A427,"")</f>
        <v/>
      </c>
      <c r="B7226" s="22">
        <f>IF('BOI GORDO'!C427&gt;0,'BOI GORDO'!C427,"")</f>
        <v/>
      </c>
    </row>
    <row r="7227">
      <c r="A7227" s="25">
        <f>IF('BOI GORDO'!C428&gt;0,'BOI GORDO'!A428,"")</f>
        <v/>
      </c>
      <c r="B7227" s="22">
        <f>IF('BOI GORDO'!C428&gt;0,'BOI GORDO'!C428,"")</f>
        <v/>
      </c>
    </row>
    <row r="7228">
      <c r="A7228" s="25">
        <f>IF('BOI GORDO'!C429&gt;0,'BOI GORDO'!A429,"")</f>
        <v/>
      </c>
      <c r="B7228" s="22">
        <f>IF('BOI GORDO'!C429&gt;0,'BOI GORDO'!C429,"")</f>
        <v/>
      </c>
    </row>
    <row r="7229">
      <c r="A7229" s="25">
        <f>IF('BOI GORDO'!C430&gt;0,'BOI GORDO'!A430,"")</f>
        <v/>
      </c>
      <c r="B7229" s="22">
        <f>IF('BOI GORDO'!C430&gt;0,'BOI GORDO'!C430,"")</f>
        <v/>
      </c>
    </row>
    <row r="7230">
      <c r="A7230" s="25">
        <f>IF('BOI GORDO'!C431&gt;0,'BOI GORDO'!A431,"")</f>
        <v/>
      </c>
      <c r="B7230" s="22">
        <f>IF('BOI GORDO'!C431&gt;0,'BOI GORDO'!C431,"")</f>
        <v/>
      </c>
    </row>
    <row r="7231">
      <c r="A7231" s="25">
        <f>IF('BOI GORDO'!C432&gt;0,'BOI GORDO'!A432,"")</f>
        <v/>
      </c>
      <c r="B7231" s="22">
        <f>IF('BOI GORDO'!C432&gt;0,'BOI GORDO'!C432,"")</f>
        <v/>
      </c>
    </row>
    <row r="7232">
      <c r="A7232" s="25">
        <f>IF('BOI GORDO'!C433&gt;0,'BOI GORDO'!A433,"")</f>
        <v/>
      </c>
      <c r="B7232" s="22">
        <f>IF('BOI GORDO'!C433&gt;0,'BOI GORDO'!C433,"")</f>
        <v/>
      </c>
    </row>
    <row r="7233">
      <c r="A7233" s="25">
        <f>IF('BOI GORDO'!C434&gt;0,'BOI GORDO'!A434,"")</f>
        <v/>
      </c>
      <c r="B7233" s="22">
        <f>IF('BOI GORDO'!C434&gt;0,'BOI GORDO'!C434,"")</f>
        <v/>
      </c>
    </row>
    <row r="7234">
      <c r="A7234" s="25">
        <f>IF('BOI GORDO'!C435&gt;0,'BOI GORDO'!A435,"")</f>
        <v/>
      </c>
      <c r="B7234" s="22">
        <f>IF('BOI GORDO'!C435&gt;0,'BOI GORDO'!C435,"")</f>
        <v/>
      </c>
    </row>
    <row r="7235">
      <c r="A7235" s="25">
        <f>IF('BOI GORDO'!C436&gt;0,'BOI GORDO'!A436,"")</f>
        <v/>
      </c>
      <c r="B7235" s="22">
        <f>IF('BOI GORDO'!C436&gt;0,'BOI GORDO'!C436,"")</f>
        <v/>
      </c>
    </row>
    <row r="7236">
      <c r="A7236" s="25">
        <f>IF('BOI GORDO'!C437&gt;0,'BOI GORDO'!A437,"")</f>
        <v/>
      </c>
      <c r="B7236" s="22">
        <f>IF('BOI GORDO'!C437&gt;0,'BOI GORDO'!C437,"")</f>
        <v/>
      </c>
    </row>
    <row r="7237">
      <c r="A7237" s="25">
        <f>IF('BOI GORDO'!C438&gt;0,'BOI GORDO'!A438,"")</f>
        <v/>
      </c>
      <c r="B7237" s="22">
        <f>IF('BOI GORDO'!C438&gt;0,'BOI GORDO'!C438,"")</f>
        <v/>
      </c>
    </row>
    <row r="7238">
      <c r="A7238" s="25">
        <f>IF('BOI GORDO'!C439&gt;0,'BOI GORDO'!A439,"")</f>
        <v/>
      </c>
      <c r="B7238" s="22">
        <f>IF('BOI GORDO'!C439&gt;0,'BOI GORDO'!C439,"")</f>
        <v/>
      </c>
    </row>
    <row r="7239">
      <c r="A7239" s="25">
        <f>IF('BOI GORDO'!C440&gt;0,'BOI GORDO'!A440,"")</f>
        <v/>
      </c>
      <c r="B7239" s="22">
        <f>IF('BOI GORDO'!C440&gt;0,'BOI GORDO'!C440,"")</f>
        <v/>
      </c>
    </row>
    <row r="7240">
      <c r="A7240" s="25">
        <f>IF('BOI GORDO'!C441&gt;0,'BOI GORDO'!A441,"")</f>
        <v/>
      </c>
      <c r="B7240" s="22">
        <f>IF('BOI GORDO'!C441&gt;0,'BOI GORDO'!C441,"")</f>
        <v/>
      </c>
    </row>
    <row r="7241">
      <c r="A7241" s="25">
        <f>IF('BOI GORDO'!C442&gt;0,'BOI GORDO'!A442,"")</f>
        <v/>
      </c>
      <c r="B7241" s="22">
        <f>IF('BOI GORDO'!C442&gt;0,'BOI GORDO'!C442,"")</f>
        <v/>
      </c>
    </row>
    <row r="7242">
      <c r="A7242" s="25">
        <f>IF('BOI GORDO'!C443&gt;0,'BOI GORDO'!A443,"")</f>
        <v/>
      </c>
      <c r="B7242" s="22">
        <f>IF('BOI GORDO'!C443&gt;0,'BOI GORDO'!C443,"")</f>
        <v/>
      </c>
    </row>
    <row r="7243">
      <c r="A7243" s="25">
        <f>IF('BOI GORDO'!C444&gt;0,'BOI GORDO'!A444,"")</f>
        <v/>
      </c>
      <c r="B7243" s="22">
        <f>IF('BOI GORDO'!C444&gt;0,'BOI GORDO'!C444,"")</f>
        <v/>
      </c>
    </row>
    <row r="7244">
      <c r="A7244" s="25">
        <f>IF('BOI GORDO'!C445&gt;0,'BOI GORDO'!A445,"")</f>
        <v/>
      </c>
      <c r="B7244" s="22">
        <f>IF('BOI GORDO'!C445&gt;0,'BOI GORDO'!C445,"")</f>
        <v/>
      </c>
    </row>
    <row r="7245">
      <c r="A7245" s="25">
        <f>IF('BOI GORDO'!C446&gt;0,'BOI GORDO'!A446,"")</f>
        <v/>
      </c>
      <c r="B7245" s="22">
        <f>IF('BOI GORDO'!C446&gt;0,'BOI GORDO'!C446,"")</f>
        <v/>
      </c>
    </row>
    <row r="7246">
      <c r="A7246" s="25">
        <f>IF('BOI GORDO'!C447&gt;0,'BOI GORDO'!A447,"")</f>
        <v/>
      </c>
      <c r="B7246" s="22">
        <f>IF('BOI GORDO'!C447&gt;0,'BOI GORDO'!C447,"")</f>
        <v/>
      </c>
    </row>
    <row r="7247">
      <c r="A7247" s="25">
        <f>IF('BOI GORDO'!C448&gt;0,'BOI GORDO'!A448,"")</f>
        <v/>
      </c>
      <c r="B7247" s="22">
        <f>IF('BOI GORDO'!C448&gt;0,'BOI GORDO'!C448,"")</f>
        <v/>
      </c>
    </row>
    <row r="7248">
      <c r="A7248" s="25">
        <f>IF('BOI GORDO'!C449&gt;0,'BOI GORDO'!A449,"")</f>
        <v/>
      </c>
      <c r="B7248" s="22">
        <f>IF('BOI GORDO'!C449&gt;0,'BOI GORDO'!C449,"")</f>
        <v/>
      </c>
    </row>
    <row r="7249">
      <c r="A7249" s="25">
        <f>IF('BOI GORDO'!C450&gt;0,'BOI GORDO'!A450,"")</f>
        <v/>
      </c>
      <c r="B7249" s="22">
        <f>IF('BOI GORDO'!C450&gt;0,'BOI GORDO'!C450,"")</f>
        <v/>
      </c>
    </row>
    <row r="7250">
      <c r="A7250" s="25">
        <f>IF('BOI GORDO'!C451&gt;0,'BOI GORDO'!A451,"")</f>
        <v/>
      </c>
      <c r="B7250" s="22">
        <f>IF('BOI GORDO'!C451&gt;0,'BOI GORDO'!C451,"")</f>
        <v/>
      </c>
    </row>
    <row r="7251">
      <c r="A7251" s="25">
        <f>IF('BOI GORDO'!C452&gt;0,'BOI GORDO'!A452,"")</f>
        <v/>
      </c>
      <c r="B7251" s="22">
        <f>IF('BOI GORDO'!C452&gt;0,'BOI GORDO'!C452,"")</f>
        <v/>
      </c>
    </row>
    <row r="7252">
      <c r="A7252" s="25">
        <f>IF('BOI GORDO'!C453&gt;0,'BOI GORDO'!A453,"")</f>
        <v/>
      </c>
      <c r="B7252" s="22">
        <f>IF('BOI GORDO'!C453&gt;0,'BOI GORDO'!C453,"")</f>
        <v/>
      </c>
    </row>
    <row r="7253">
      <c r="A7253" s="25">
        <f>IF('BOI GORDO'!C454&gt;0,'BOI GORDO'!A454,"")</f>
        <v/>
      </c>
      <c r="B7253" s="22">
        <f>IF('BOI GORDO'!C454&gt;0,'BOI GORDO'!C454,"")</f>
        <v/>
      </c>
    </row>
    <row r="7254">
      <c r="A7254" s="25">
        <f>IF('BOI GORDO'!C455&gt;0,'BOI GORDO'!A455,"")</f>
        <v/>
      </c>
      <c r="B7254" s="22">
        <f>IF('BOI GORDO'!C455&gt;0,'BOI GORDO'!C455,"")</f>
        <v/>
      </c>
    </row>
    <row r="7255">
      <c r="A7255" s="25">
        <f>IF('BOI GORDO'!C456&gt;0,'BOI GORDO'!A456,"")</f>
        <v/>
      </c>
      <c r="B7255" s="22">
        <f>IF('BOI GORDO'!C456&gt;0,'BOI GORDO'!C456,"")</f>
        <v/>
      </c>
    </row>
    <row r="7256">
      <c r="A7256" s="25">
        <f>IF('BOI GORDO'!C457&gt;0,'BOI GORDO'!A457,"")</f>
        <v/>
      </c>
      <c r="B7256" s="22">
        <f>IF('BOI GORDO'!C457&gt;0,'BOI GORDO'!C457,"")</f>
        <v/>
      </c>
    </row>
    <row r="7257">
      <c r="A7257" s="25">
        <f>IF('BOI GORDO'!C458&gt;0,'BOI GORDO'!A458,"")</f>
        <v/>
      </c>
      <c r="B7257" s="22">
        <f>IF('BOI GORDO'!C458&gt;0,'BOI GORDO'!C458,"")</f>
        <v/>
      </c>
    </row>
    <row r="7258">
      <c r="A7258" s="25">
        <f>IF('BOI GORDO'!C459&gt;0,'BOI GORDO'!A459,"")</f>
        <v/>
      </c>
      <c r="B7258" s="22">
        <f>IF('BOI GORDO'!C459&gt;0,'BOI GORDO'!C459,"")</f>
        <v/>
      </c>
    </row>
    <row r="7259">
      <c r="A7259" s="25">
        <f>IF('BOI GORDO'!C460&gt;0,'BOI GORDO'!A460,"")</f>
        <v/>
      </c>
      <c r="B7259" s="22">
        <f>IF('BOI GORDO'!C460&gt;0,'BOI GORDO'!C460,"")</f>
        <v/>
      </c>
    </row>
    <row r="7260">
      <c r="A7260" s="25">
        <f>IF('BOI GORDO'!C461&gt;0,'BOI GORDO'!A461,"")</f>
        <v/>
      </c>
      <c r="B7260" s="22">
        <f>IF('BOI GORDO'!C461&gt;0,'BOI GORDO'!C461,"")</f>
        <v/>
      </c>
    </row>
    <row r="7261">
      <c r="A7261" s="25">
        <f>IF('BOI GORDO'!C462&gt;0,'BOI GORDO'!A462,"")</f>
        <v/>
      </c>
      <c r="B7261" s="22">
        <f>IF('BOI GORDO'!C462&gt;0,'BOI GORDO'!C462,"")</f>
        <v/>
      </c>
    </row>
    <row r="7262">
      <c r="A7262" s="25">
        <f>IF('BOI GORDO'!C463&gt;0,'BOI GORDO'!A463,"")</f>
        <v/>
      </c>
      <c r="B7262" s="22">
        <f>IF('BOI GORDO'!C463&gt;0,'BOI GORDO'!C463,"")</f>
        <v/>
      </c>
    </row>
    <row r="7263">
      <c r="A7263" s="25">
        <f>IF('BOI GORDO'!C464&gt;0,'BOI GORDO'!A464,"")</f>
        <v/>
      </c>
      <c r="B7263" s="22">
        <f>IF('BOI GORDO'!C464&gt;0,'BOI GORDO'!C464,"")</f>
        <v/>
      </c>
    </row>
    <row r="7264">
      <c r="A7264" s="25">
        <f>IF('BOI GORDO'!C465&gt;0,'BOI GORDO'!A465,"")</f>
        <v/>
      </c>
      <c r="B7264" s="22">
        <f>IF('BOI GORDO'!C465&gt;0,'BOI GORDO'!C465,"")</f>
        <v/>
      </c>
    </row>
    <row r="7265">
      <c r="A7265" s="25">
        <f>IF('BOI GORDO'!C466&gt;0,'BOI GORDO'!A466,"")</f>
        <v/>
      </c>
      <c r="B7265" s="22">
        <f>IF('BOI GORDO'!C466&gt;0,'BOI GORDO'!C466,"")</f>
        <v/>
      </c>
    </row>
    <row r="7266">
      <c r="A7266" s="25">
        <f>IF('BOI GORDO'!C467&gt;0,'BOI GORDO'!A467,"")</f>
        <v/>
      </c>
      <c r="B7266" s="22">
        <f>IF('BOI GORDO'!C467&gt;0,'BOI GORDO'!C467,"")</f>
        <v/>
      </c>
    </row>
    <row r="7267">
      <c r="A7267" s="25">
        <f>IF('BOI GORDO'!C468&gt;0,'BOI GORDO'!A468,"")</f>
        <v/>
      </c>
      <c r="B7267" s="22">
        <f>IF('BOI GORDO'!C468&gt;0,'BOI GORDO'!C468,"")</f>
        <v/>
      </c>
    </row>
    <row r="7268">
      <c r="A7268" s="25">
        <f>IF('BOI GORDO'!C469&gt;0,'BOI GORDO'!A469,"")</f>
        <v/>
      </c>
      <c r="B7268" s="22">
        <f>IF('BOI GORDO'!C469&gt;0,'BOI GORDO'!C469,"")</f>
        <v/>
      </c>
    </row>
    <row r="7269">
      <c r="A7269" s="25">
        <f>IF('BOI GORDO'!C470&gt;0,'BOI GORDO'!A470,"")</f>
        <v/>
      </c>
      <c r="B7269" s="22">
        <f>IF('BOI GORDO'!C470&gt;0,'BOI GORDO'!C470,"")</f>
        <v/>
      </c>
    </row>
    <row r="7270">
      <c r="A7270" s="25">
        <f>IF('BOI GORDO'!C471&gt;0,'BOI GORDO'!A471,"")</f>
        <v/>
      </c>
      <c r="B7270" s="22">
        <f>IF('BOI GORDO'!C471&gt;0,'BOI GORDO'!C471,"")</f>
        <v/>
      </c>
    </row>
    <row r="7271">
      <c r="A7271" s="25">
        <f>IF('BOI GORDO'!C472&gt;0,'BOI GORDO'!A472,"")</f>
        <v/>
      </c>
      <c r="B7271" s="22">
        <f>IF('BOI GORDO'!C472&gt;0,'BOI GORDO'!C472,"")</f>
        <v/>
      </c>
    </row>
    <row r="7272">
      <c r="A7272" s="25">
        <f>IF('BOI GORDO'!C473&gt;0,'BOI GORDO'!A473,"")</f>
        <v/>
      </c>
      <c r="B7272" s="22">
        <f>IF('BOI GORDO'!C473&gt;0,'BOI GORDO'!C473,"")</f>
        <v/>
      </c>
    </row>
    <row r="7273">
      <c r="A7273" s="25">
        <f>IF('BOI GORDO'!C474&gt;0,'BOI GORDO'!A474,"")</f>
        <v/>
      </c>
      <c r="B7273" s="22">
        <f>IF('BOI GORDO'!C474&gt;0,'BOI GORDO'!C474,"")</f>
        <v/>
      </c>
    </row>
    <row r="7274">
      <c r="A7274" s="25">
        <f>IF('BOI GORDO'!C475&gt;0,'BOI GORDO'!A475,"")</f>
        <v/>
      </c>
      <c r="B7274" s="22">
        <f>IF('BOI GORDO'!C475&gt;0,'BOI GORDO'!C475,"")</f>
        <v/>
      </c>
    </row>
    <row r="7275">
      <c r="A7275" s="25">
        <f>IF('BOI GORDO'!C476&gt;0,'BOI GORDO'!A476,"")</f>
        <v/>
      </c>
      <c r="B7275" s="22">
        <f>IF('BOI GORDO'!C476&gt;0,'BOI GORDO'!C476,"")</f>
        <v/>
      </c>
    </row>
    <row r="7276">
      <c r="A7276" s="25">
        <f>IF('BOI GORDO'!C477&gt;0,'BOI GORDO'!A477,"")</f>
        <v/>
      </c>
      <c r="B7276" s="22">
        <f>IF('BOI GORDO'!C477&gt;0,'BOI GORDO'!C477,"")</f>
        <v/>
      </c>
    </row>
    <row r="7277">
      <c r="A7277" s="25">
        <f>IF('BOI GORDO'!C478&gt;0,'BOI GORDO'!A478,"")</f>
        <v/>
      </c>
      <c r="B7277" s="22">
        <f>IF('BOI GORDO'!C478&gt;0,'BOI GORDO'!C478,"")</f>
        <v/>
      </c>
    </row>
    <row r="7278">
      <c r="A7278" s="25">
        <f>IF('BOI GORDO'!C479&gt;0,'BOI GORDO'!A479,"")</f>
        <v/>
      </c>
      <c r="B7278" s="22">
        <f>IF('BOI GORDO'!C479&gt;0,'BOI GORDO'!C479,"")</f>
        <v/>
      </c>
    </row>
    <row r="7279">
      <c r="A7279" s="25">
        <f>IF('BOI GORDO'!C480&gt;0,'BOI GORDO'!A480,"")</f>
        <v/>
      </c>
      <c r="B7279" s="22">
        <f>IF('BOI GORDO'!C480&gt;0,'BOI GORDO'!C480,"")</f>
        <v/>
      </c>
    </row>
    <row r="7280">
      <c r="A7280" s="25">
        <f>IF('BOI GORDO'!C481&gt;0,'BOI GORDO'!A481,"")</f>
        <v/>
      </c>
      <c r="B7280" s="22">
        <f>IF('BOI GORDO'!C481&gt;0,'BOI GORDO'!C481,"")</f>
        <v/>
      </c>
    </row>
    <row r="7281">
      <c r="A7281" s="25">
        <f>IF('BOI GORDO'!C482&gt;0,'BOI GORDO'!A482,"")</f>
        <v/>
      </c>
      <c r="B7281" s="22">
        <f>IF('BOI GORDO'!C482&gt;0,'BOI GORDO'!C482,"")</f>
        <v/>
      </c>
    </row>
    <row r="7282">
      <c r="A7282" s="25">
        <f>IF('BOI GORDO'!C483&gt;0,'BOI GORDO'!A483,"")</f>
        <v/>
      </c>
      <c r="B7282" s="22">
        <f>IF('BOI GORDO'!C483&gt;0,'BOI GORDO'!C483,"")</f>
        <v/>
      </c>
    </row>
    <row r="7283">
      <c r="A7283" s="25">
        <f>IF('BOI GORDO'!C484&gt;0,'BOI GORDO'!A484,"")</f>
        <v/>
      </c>
      <c r="B7283" s="22">
        <f>IF('BOI GORDO'!C484&gt;0,'BOI GORDO'!C484,"")</f>
        <v/>
      </c>
    </row>
    <row r="7284">
      <c r="A7284" s="25">
        <f>IF('BOI GORDO'!C485&gt;0,'BOI GORDO'!A485,"")</f>
        <v/>
      </c>
      <c r="B7284" s="22">
        <f>IF('BOI GORDO'!C485&gt;0,'BOI GORDO'!C485,"")</f>
        <v/>
      </c>
    </row>
    <row r="7285">
      <c r="A7285" s="25">
        <f>IF('BOI GORDO'!C486&gt;0,'BOI GORDO'!A486,"")</f>
        <v/>
      </c>
      <c r="B7285" s="22">
        <f>IF('BOI GORDO'!C486&gt;0,'BOI GORDO'!C486,"")</f>
        <v/>
      </c>
    </row>
    <row r="7286">
      <c r="A7286" s="25">
        <f>IF('BOI GORDO'!C487&gt;0,'BOI GORDO'!A487,"")</f>
        <v/>
      </c>
      <c r="B7286" s="22">
        <f>IF('BOI GORDO'!C487&gt;0,'BOI GORDO'!C487,"")</f>
        <v/>
      </c>
    </row>
    <row r="7287">
      <c r="A7287" s="25">
        <f>IF('BOI GORDO'!C488&gt;0,'BOI GORDO'!A488,"")</f>
        <v/>
      </c>
      <c r="B7287" s="22">
        <f>IF('BOI GORDO'!C488&gt;0,'BOI GORDO'!C488,"")</f>
        <v/>
      </c>
    </row>
    <row r="7288">
      <c r="A7288" s="25">
        <f>IF('BOI GORDO'!C489&gt;0,'BOI GORDO'!A489,"")</f>
        <v/>
      </c>
      <c r="B7288" s="22">
        <f>IF('BOI GORDO'!C489&gt;0,'BOI GORDO'!C489,"")</f>
        <v/>
      </c>
    </row>
    <row r="7289">
      <c r="A7289" s="25">
        <f>IF('BOI GORDO'!C490&gt;0,'BOI GORDO'!A490,"")</f>
        <v/>
      </c>
      <c r="B7289" s="22">
        <f>IF('BOI GORDO'!C490&gt;0,'BOI GORDO'!C490,"")</f>
        <v/>
      </c>
    </row>
    <row r="7290">
      <c r="A7290" s="25">
        <f>IF('BOI GORDO'!C491&gt;0,'BOI GORDO'!A491,"")</f>
        <v/>
      </c>
      <c r="B7290" s="22">
        <f>IF('BOI GORDO'!C491&gt;0,'BOI GORDO'!C491,"")</f>
        <v/>
      </c>
    </row>
    <row r="7291">
      <c r="A7291" s="25">
        <f>IF('BOI GORDO'!C492&gt;0,'BOI GORDO'!A492,"")</f>
        <v/>
      </c>
      <c r="B7291" s="22">
        <f>IF('BOI GORDO'!C492&gt;0,'BOI GORDO'!C492,"")</f>
        <v/>
      </c>
    </row>
    <row r="7292">
      <c r="A7292" s="25">
        <f>IF('BOI GORDO'!C493&gt;0,'BOI GORDO'!A493,"")</f>
        <v/>
      </c>
      <c r="B7292" s="22">
        <f>IF('BOI GORDO'!C493&gt;0,'BOI GORDO'!C493,"")</f>
        <v/>
      </c>
    </row>
    <row r="7293">
      <c r="A7293" s="25">
        <f>IF('BOI GORDO'!C494&gt;0,'BOI GORDO'!A494,"")</f>
        <v/>
      </c>
      <c r="B7293" s="22">
        <f>IF('BOI GORDO'!C494&gt;0,'BOI GORDO'!C494,"")</f>
        <v/>
      </c>
    </row>
    <row r="7294">
      <c r="A7294" s="25">
        <f>IF('BOI GORDO'!C495&gt;0,'BOI GORDO'!A495,"")</f>
        <v/>
      </c>
      <c r="B7294" s="22">
        <f>IF('BOI GORDO'!C495&gt;0,'BOI GORDO'!C495,"")</f>
        <v/>
      </c>
    </row>
    <row r="7295">
      <c r="A7295" s="25">
        <f>IF('BOI GORDO'!C496&gt;0,'BOI GORDO'!A496,"")</f>
        <v/>
      </c>
      <c r="B7295" s="22">
        <f>IF('BOI GORDO'!C496&gt;0,'BOI GORDO'!C496,"")</f>
        <v/>
      </c>
    </row>
    <row r="7296">
      <c r="A7296" s="25">
        <f>IF('BOI GORDO'!C497&gt;0,'BOI GORDO'!A497,"")</f>
        <v/>
      </c>
      <c r="B7296" s="22">
        <f>IF('BOI GORDO'!C497&gt;0,'BOI GORDO'!C497,"")</f>
        <v/>
      </c>
    </row>
    <row r="7297">
      <c r="A7297" s="25">
        <f>IF('BOI GORDO'!C498&gt;0,'BOI GORDO'!A498,"")</f>
        <v/>
      </c>
      <c r="B7297" s="22">
        <f>IF('BOI GORDO'!C498&gt;0,'BOI GORDO'!C498,"")</f>
        <v/>
      </c>
    </row>
    <row r="7298">
      <c r="A7298" s="25">
        <f>IF('BOI GORDO'!C499&gt;0,'BOI GORDO'!A499,"")</f>
        <v/>
      </c>
      <c r="B7298" s="22">
        <f>IF('BOI GORDO'!C499&gt;0,'BOI GORDO'!C499,"")</f>
        <v/>
      </c>
    </row>
    <row r="7299">
      <c r="A7299" s="25">
        <f>IF('BOI GORDO'!C500&gt;0,'BOI GORDO'!A500,"")</f>
        <v/>
      </c>
      <c r="B7299" s="22">
        <f>IF('BOI GORDO'!C500&gt;0,'BOI GORDO'!C500,"")</f>
        <v/>
      </c>
    </row>
    <row r="7300">
      <c r="A7300" s="25">
        <f>IF('BOI GORDO'!C501&gt;0,'BOI GORDO'!A501,"")</f>
        <v/>
      </c>
      <c r="B7300" s="22">
        <f>IF('BOI GORDO'!C501&gt;0,'BOI GORDO'!C501,"")</f>
        <v/>
      </c>
    </row>
    <row r="7301">
      <c r="A7301" s="25">
        <f>IF('BOI GORDO'!C502&gt;0,'BOI GORDO'!A502,"")</f>
        <v/>
      </c>
      <c r="B7301" s="22">
        <f>IF('BOI GORDO'!C502&gt;0,'BOI GORDO'!C502,"")</f>
        <v/>
      </c>
    </row>
    <row r="7302">
      <c r="A7302" s="25">
        <f>IF('BOI GORDO'!C503&gt;0,'BOI GORDO'!A503,"")</f>
        <v/>
      </c>
      <c r="B7302" s="22">
        <f>IF('BOI GORDO'!C503&gt;0,'BOI GORDO'!C503,"")</f>
        <v/>
      </c>
    </row>
    <row r="7303">
      <c r="A7303" s="25">
        <f>IF('BOI GORDO'!C504&gt;0,'BOI GORDO'!A504,"")</f>
        <v/>
      </c>
      <c r="B7303" s="22">
        <f>IF('BOI GORDO'!C504&gt;0,'BOI GORDO'!C504,"")</f>
        <v/>
      </c>
    </row>
    <row r="7304">
      <c r="A7304" s="25">
        <f>IF('BOI GORDO'!C505&gt;0,'BOI GORDO'!A505,"")</f>
        <v/>
      </c>
      <c r="B7304" s="22">
        <f>IF('BOI GORDO'!C505&gt;0,'BOI GORDO'!C505,"")</f>
        <v/>
      </c>
    </row>
    <row r="7305">
      <c r="A7305" s="25">
        <f>IF('BOI GORDO'!C506&gt;0,'BOI GORDO'!A506,"")</f>
        <v/>
      </c>
      <c r="B7305" s="22">
        <f>IF('BOI GORDO'!C506&gt;0,'BOI GORDO'!C506,"")</f>
        <v/>
      </c>
    </row>
    <row r="7306">
      <c r="A7306" s="25">
        <f>IF('BOI GORDO'!C507&gt;0,'BOI GORDO'!A507,"")</f>
        <v/>
      </c>
      <c r="B7306" s="22">
        <f>IF('BOI GORDO'!C507&gt;0,'BOI GORDO'!C507,"")</f>
        <v/>
      </c>
    </row>
    <row r="7307">
      <c r="A7307" s="25">
        <f>IF('BOI GORDO'!C508&gt;0,'BOI GORDO'!A508,"")</f>
        <v/>
      </c>
      <c r="B7307" s="22">
        <f>IF('BOI GORDO'!C508&gt;0,'BOI GORDO'!C508,"")</f>
        <v/>
      </c>
    </row>
    <row r="7308">
      <c r="A7308" s="25">
        <f>IF('BOI GORDO'!C509&gt;0,'BOI GORDO'!A509,"")</f>
        <v/>
      </c>
      <c r="B7308" s="22">
        <f>IF('BOI GORDO'!C509&gt;0,'BOI GORDO'!C509,"")</f>
        <v/>
      </c>
    </row>
    <row r="7309">
      <c r="A7309" s="25">
        <f>IF('BOI GORDO'!C510&gt;0,'BOI GORDO'!A510,"")</f>
        <v/>
      </c>
      <c r="B7309" s="22">
        <f>IF('BOI GORDO'!C510&gt;0,'BOI GORDO'!C510,"")</f>
        <v/>
      </c>
    </row>
    <row r="7310">
      <c r="A7310" s="25">
        <f>IF('BOI GORDO'!C511&gt;0,'BOI GORDO'!A511,"")</f>
        <v/>
      </c>
      <c r="B7310" s="22">
        <f>IF('BOI GORDO'!C511&gt;0,'BOI GORDO'!C511,"")</f>
        <v/>
      </c>
    </row>
    <row r="7311">
      <c r="A7311" s="25">
        <f>IF('BOI GORDO'!C512&gt;0,'BOI GORDO'!A512,"")</f>
        <v/>
      </c>
      <c r="B7311" s="22">
        <f>IF('BOI GORDO'!C512&gt;0,'BOI GORDO'!C512,"")</f>
        <v/>
      </c>
    </row>
    <row r="7312">
      <c r="A7312" s="25">
        <f>IF('BOI GORDO'!C513&gt;0,'BOI GORDO'!A513,"")</f>
        <v/>
      </c>
      <c r="B7312" s="22">
        <f>IF('BOI GORDO'!C513&gt;0,'BOI GORDO'!C513,"")</f>
        <v/>
      </c>
    </row>
    <row r="7313">
      <c r="A7313" s="25">
        <f>IF('BOI GORDO'!C514&gt;0,'BOI GORDO'!A514,"")</f>
        <v/>
      </c>
      <c r="B7313" s="22">
        <f>IF('BOI GORDO'!C514&gt;0,'BOI GORDO'!C514,"")</f>
        <v/>
      </c>
    </row>
    <row r="7314">
      <c r="A7314" s="25">
        <f>IF('BOI GORDO'!C515&gt;0,'BOI GORDO'!A515,"")</f>
        <v/>
      </c>
      <c r="B7314" s="22">
        <f>IF('BOI GORDO'!C515&gt;0,'BOI GORDO'!C515,"")</f>
        <v/>
      </c>
    </row>
    <row r="7315">
      <c r="A7315" s="25">
        <f>IF('BOI GORDO'!C516&gt;0,'BOI GORDO'!A516,"")</f>
        <v/>
      </c>
      <c r="B7315" s="22">
        <f>IF('BOI GORDO'!C516&gt;0,'BOI GORDO'!C516,"")</f>
        <v/>
      </c>
    </row>
    <row r="7316">
      <c r="A7316" s="25">
        <f>IF('BOI GORDO'!C517&gt;0,'BOI GORDO'!A517,"")</f>
        <v/>
      </c>
      <c r="B7316" s="22">
        <f>IF('BOI GORDO'!C517&gt;0,'BOI GORDO'!C517,"")</f>
        <v/>
      </c>
    </row>
    <row r="7317">
      <c r="A7317" s="25">
        <f>IF('BOI GORDO'!C518&gt;0,'BOI GORDO'!A518,"")</f>
        <v/>
      </c>
      <c r="B7317" s="22">
        <f>IF('BOI GORDO'!C518&gt;0,'BOI GORDO'!C518,"")</f>
        <v/>
      </c>
    </row>
    <row r="7318">
      <c r="A7318" s="25">
        <f>IF('BOI GORDO'!C519&gt;0,'BOI GORDO'!A519,"")</f>
        <v/>
      </c>
      <c r="B7318" s="22">
        <f>IF('BOI GORDO'!C519&gt;0,'BOI GORDO'!C519,"")</f>
        <v/>
      </c>
    </row>
    <row r="7319">
      <c r="A7319" s="25">
        <f>IF('BOI GORDO'!C520&gt;0,'BOI GORDO'!A520,"")</f>
        <v/>
      </c>
      <c r="B7319" s="22">
        <f>IF('BOI GORDO'!C520&gt;0,'BOI GORDO'!C520,"")</f>
        <v/>
      </c>
    </row>
    <row r="7320">
      <c r="A7320" s="25">
        <f>IF('BOI GORDO'!C521&gt;0,'BOI GORDO'!A521,"")</f>
        <v/>
      </c>
      <c r="B7320" s="22">
        <f>IF('BOI GORDO'!C521&gt;0,'BOI GORDO'!C521,"")</f>
        <v/>
      </c>
    </row>
    <row r="7321">
      <c r="A7321" s="25">
        <f>IF('BOI GORDO'!C522&gt;0,'BOI GORDO'!A522,"")</f>
        <v/>
      </c>
      <c r="B7321" s="22">
        <f>IF('BOI GORDO'!C522&gt;0,'BOI GORDO'!C522,"")</f>
        <v/>
      </c>
    </row>
    <row r="7322">
      <c r="A7322" s="25">
        <f>IF('BOI GORDO'!C523&gt;0,'BOI GORDO'!A523,"")</f>
        <v/>
      </c>
      <c r="B7322" s="22">
        <f>IF('BOI GORDO'!C523&gt;0,'BOI GORDO'!C523,"")</f>
        <v/>
      </c>
    </row>
    <row r="7323">
      <c r="A7323" s="25">
        <f>IF('BOI GORDO'!C524&gt;0,'BOI GORDO'!A524,"")</f>
        <v/>
      </c>
      <c r="B7323" s="22">
        <f>IF('BOI GORDO'!C524&gt;0,'BOI GORDO'!C524,"")</f>
        <v/>
      </c>
    </row>
    <row r="7324">
      <c r="A7324" s="25">
        <f>IF('BOI GORDO'!C525&gt;0,'BOI GORDO'!A525,"")</f>
        <v/>
      </c>
      <c r="B7324" s="22">
        <f>IF('BOI GORDO'!C525&gt;0,'BOI GORDO'!C525,"")</f>
        <v/>
      </c>
    </row>
    <row r="7325">
      <c r="A7325" s="25">
        <f>IF('BOI GORDO'!C526&gt;0,'BOI GORDO'!A526,"")</f>
        <v/>
      </c>
      <c r="B7325" s="22">
        <f>IF('BOI GORDO'!C526&gt;0,'BOI GORDO'!C526,"")</f>
        <v/>
      </c>
    </row>
    <row r="7326">
      <c r="A7326" s="25">
        <f>IF('BOI GORDO'!C527&gt;0,'BOI GORDO'!A527,"")</f>
        <v/>
      </c>
      <c r="B7326" s="22">
        <f>IF('BOI GORDO'!C527&gt;0,'BOI GORDO'!C527,"")</f>
        <v/>
      </c>
    </row>
    <row r="7327">
      <c r="A7327" s="25">
        <f>IF('BOI GORDO'!C528&gt;0,'BOI GORDO'!A528,"")</f>
        <v/>
      </c>
      <c r="B7327" s="22">
        <f>IF('BOI GORDO'!C528&gt;0,'BOI GORDO'!C528,"")</f>
        <v/>
      </c>
    </row>
    <row r="7328">
      <c r="A7328" s="25">
        <f>IF('BOI GORDO'!C529&gt;0,'BOI GORDO'!A529,"")</f>
        <v/>
      </c>
      <c r="B7328" s="22">
        <f>IF('BOI GORDO'!C529&gt;0,'BOI GORDO'!C529,"")</f>
        <v/>
      </c>
    </row>
    <row r="7329">
      <c r="A7329" s="25">
        <f>IF('BOI GORDO'!C530&gt;0,'BOI GORDO'!A530,"")</f>
        <v/>
      </c>
      <c r="B7329" s="22">
        <f>IF('BOI GORDO'!C530&gt;0,'BOI GORDO'!C530,"")</f>
        <v/>
      </c>
    </row>
    <row r="7330">
      <c r="A7330" s="25">
        <f>IF('BOI GORDO'!C531&gt;0,'BOI GORDO'!A531,"")</f>
        <v/>
      </c>
      <c r="B7330" s="22">
        <f>IF('BOI GORDO'!C531&gt;0,'BOI GORDO'!C531,"")</f>
        <v/>
      </c>
    </row>
    <row r="7331">
      <c r="A7331" s="25">
        <f>IF('BOI GORDO'!C532&gt;0,'BOI GORDO'!A532,"")</f>
        <v/>
      </c>
      <c r="B7331" s="22">
        <f>IF('BOI GORDO'!C532&gt;0,'BOI GORDO'!C532,"")</f>
        <v/>
      </c>
    </row>
    <row r="7332">
      <c r="A7332" s="25">
        <f>IF('BOI GORDO'!C533&gt;0,'BOI GORDO'!A533,"")</f>
        <v/>
      </c>
      <c r="B7332" s="22">
        <f>IF('BOI GORDO'!C533&gt;0,'BOI GORDO'!C533,"")</f>
        <v/>
      </c>
    </row>
    <row r="7333">
      <c r="A7333" s="25">
        <f>IF('BOI GORDO'!C534&gt;0,'BOI GORDO'!A534,"")</f>
        <v/>
      </c>
      <c r="B7333" s="22">
        <f>IF('BOI GORDO'!C534&gt;0,'BOI GORDO'!C534,"")</f>
        <v/>
      </c>
    </row>
    <row r="7334">
      <c r="A7334" s="25">
        <f>IF('BOI GORDO'!C535&gt;0,'BOI GORDO'!A535,"")</f>
        <v/>
      </c>
      <c r="B7334" s="22">
        <f>IF('BOI GORDO'!C535&gt;0,'BOI GORDO'!C535,"")</f>
        <v/>
      </c>
    </row>
    <row r="7335">
      <c r="A7335" s="25">
        <f>IF('BOI GORDO'!C536&gt;0,'BOI GORDO'!A536,"")</f>
        <v/>
      </c>
      <c r="B7335" s="22">
        <f>IF('BOI GORDO'!C536&gt;0,'BOI GORDO'!C536,"")</f>
        <v/>
      </c>
    </row>
    <row r="7336">
      <c r="A7336" s="25">
        <f>IF('BOI GORDO'!C537&gt;0,'BOI GORDO'!A537,"")</f>
        <v/>
      </c>
      <c r="B7336" s="22">
        <f>IF('BOI GORDO'!C537&gt;0,'BOI GORDO'!C537,"")</f>
        <v/>
      </c>
    </row>
    <row r="7337">
      <c r="A7337" s="25">
        <f>IF('BOI GORDO'!C538&gt;0,'BOI GORDO'!A538,"")</f>
        <v/>
      </c>
      <c r="B7337" s="22">
        <f>IF('BOI GORDO'!C538&gt;0,'BOI GORDO'!C538,"")</f>
        <v/>
      </c>
    </row>
    <row r="7338">
      <c r="A7338" s="25">
        <f>IF('BOI GORDO'!C539&gt;0,'BOI GORDO'!A539,"")</f>
        <v/>
      </c>
      <c r="B7338" s="22">
        <f>IF('BOI GORDO'!C539&gt;0,'BOI GORDO'!C539,"")</f>
        <v/>
      </c>
    </row>
    <row r="7339">
      <c r="A7339" s="25">
        <f>IF('BOI GORDO'!C540&gt;0,'BOI GORDO'!A540,"")</f>
        <v/>
      </c>
      <c r="B7339" s="22">
        <f>IF('BOI GORDO'!C540&gt;0,'BOI GORDO'!C540,"")</f>
        <v/>
      </c>
    </row>
    <row r="7340">
      <c r="A7340" s="25">
        <f>IF('BOI GORDO'!C541&gt;0,'BOI GORDO'!A541,"")</f>
        <v/>
      </c>
      <c r="B7340" s="22">
        <f>IF('BOI GORDO'!C541&gt;0,'BOI GORDO'!C541,"")</f>
        <v/>
      </c>
    </row>
    <row r="7341">
      <c r="A7341" s="25">
        <f>IF('BOI GORDO'!C542&gt;0,'BOI GORDO'!A542,"")</f>
        <v/>
      </c>
      <c r="B7341" s="22">
        <f>IF('BOI GORDO'!C542&gt;0,'BOI GORDO'!C542,"")</f>
        <v/>
      </c>
    </row>
    <row r="7342">
      <c r="A7342" s="25">
        <f>IF('BOI GORDO'!C543&gt;0,'BOI GORDO'!A543,"")</f>
        <v/>
      </c>
      <c r="B7342" s="22">
        <f>IF('BOI GORDO'!C543&gt;0,'BOI GORDO'!C543,"")</f>
        <v/>
      </c>
    </row>
    <row r="7343">
      <c r="A7343" s="25">
        <f>IF('BOI GORDO'!C544&gt;0,'BOI GORDO'!A544,"")</f>
        <v/>
      </c>
      <c r="B7343" s="22">
        <f>IF('BOI GORDO'!C544&gt;0,'BOI GORDO'!C544,"")</f>
        <v/>
      </c>
    </row>
    <row r="7344">
      <c r="A7344" s="25">
        <f>IF('BOI GORDO'!C545&gt;0,'BOI GORDO'!A545,"")</f>
        <v/>
      </c>
      <c r="B7344" s="22">
        <f>IF('BOI GORDO'!C545&gt;0,'BOI GORDO'!C545,"")</f>
        <v/>
      </c>
    </row>
    <row r="7345">
      <c r="A7345" s="25">
        <f>IF('BOI GORDO'!C546&gt;0,'BOI GORDO'!A546,"")</f>
        <v/>
      </c>
      <c r="B7345" s="22">
        <f>IF('BOI GORDO'!C546&gt;0,'BOI GORDO'!C546,"")</f>
        <v/>
      </c>
    </row>
    <row r="7346">
      <c r="A7346" s="25">
        <f>IF('BOI GORDO'!C547&gt;0,'BOI GORDO'!A547,"")</f>
        <v/>
      </c>
      <c r="B7346" s="22">
        <f>IF('BOI GORDO'!C547&gt;0,'BOI GORDO'!C547,"")</f>
        <v/>
      </c>
    </row>
    <row r="7347">
      <c r="A7347" s="25">
        <f>IF('BOI GORDO'!C548&gt;0,'BOI GORDO'!A548,"")</f>
        <v/>
      </c>
      <c r="B7347" s="22">
        <f>IF('BOI GORDO'!C548&gt;0,'BOI GORDO'!C548,"")</f>
        <v/>
      </c>
    </row>
    <row r="7348">
      <c r="A7348" s="25">
        <f>IF('BOI GORDO'!C549&gt;0,'BOI GORDO'!A549,"")</f>
        <v/>
      </c>
      <c r="B7348" s="22">
        <f>IF('BOI GORDO'!C549&gt;0,'BOI GORDO'!C549,"")</f>
        <v/>
      </c>
    </row>
    <row r="7349">
      <c r="A7349" s="25">
        <f>IF('BOI GORDO'!C550&gt;0,'BOI GORDO'!A550,"")</f>
        <v/>
      </c>
      <c r="B7349" s="22">
        <f>IF('BOI GORDO'!C550&gt;0,'BOI GORDO'!C550,"")</f>
        <v/>
      </c>
    </row>
    <row r="7350">
      <c r="A7350" s="25">
        <f>IF('BOI GORDO'!C551&gt;0,'BOI GORDO'!A551,"")</f>
        <v/>
      </c>
      <c r="B7350" s="22">
        <f>IF('BOI GORDO'!C551&gt;0,'BOI GORDO'!C551,"")</f>
        <v/>
      </c>
    </row>
    <row r="7351">
      <c r="A7351" s="25">
        <f>IF('BOI GORDO'!C552&gt;0,'BOI GORDO'!A552,"")</f>
        <v/>
      </c>
      <c r="B7351" s="22">
        <f>IF('BOI GORDO'!C552&gt;0,'BOI GORDO'!C552,"")</f>
        <v/>
      </c>
    </row>
    <row r="7352">
      <c r="A7352" s="25">
        <f>IF('BOI GORDO'!C553&gt;0,'BOI GORDO'!A553,"")</f>
        <v/>
      </c>
      <c r="B7352" s="22">
        <f>IF('BOI GORDO'!C553&gt;0,'BOI GORDO'!C553,"")</f>
        <v/>
      </c>
    </row>
    <row r="7353">
      <c r="A7353" s="25">
        <f>IF('BOI GORDO'!C554&gt;0,'BOI GORDO'!A554,"")</f>
        <v/>
      </c>
      <c r="B7353" s="22">
        <f>IF('BOI GORDO'!C554&gt;0,'BOI GORDO'!C554,"")</f>
        <v/>
      </c>
    </row>
    <row r="7354">
      <c r="A7354" s="25">
        <f>IF('BOI GORDO'!C555&gt;0,'BOI GORDO'!A555,"")</f>
        <v/>
      </c>
      <c r="B7354" s="22">
        <f>IF('BOI GORDO'!C555&gt;0,'BOI GORDO'!C555,"")</f>
        <v/>
      </c>
    </row>
    <row r="7355">
      <c r="A7355" s="25">
        <f>IF('BOI GORDO'!C556&gt;0,'BOI GORDO'!A556,"")</f>
        <v/>
      </c>
      <c r="B7355" s="22">
        <f>IF('BOI GORDO'!C556&gt;0,'BOI GORDO'!C556,"")</f>
        <v/>
      </c>
    </row>
    <row r="7356">
      <c r="A7356" s="25">
        <f>IF('BOI GORDO'!C557&gt;0,'BOI GORDO'!A557,"")</f>
        <v/>
      </c>
      <c r="B7356" s="22">
        <f>IF('BOI GORDO'!C557&gt;0,'BOI GORDO'!C557,"")</f>
        <v/>
      </c>
    </row>
    <row r="7357">
      <c r="A7357" s="25">
        <f>IF('BOI GORDO'!C558&gt;0,'BOI GORDO'!A558,"")</f>
        <v/>
      </c>
      <c r="B7357" s="22">
        <f>IF('BOI GORDO'!C558&gt;0,'BOI GORDO'!C558,"")</f>
        <v/>
      </c>
    </row>
    <row r="7358">
      <c r="A7358" s="25">
        <f>IF('BOI GORDO'!C559&gt;0,'BOI GORDO'!A559,"")</f>
        <v/>
      </c>
      <c r="B7358" s="22">
        <f>IF('BOI GORDO'!C559&gt;0,'BOI GORDO'!C559,"")</f>
        <v/>
      </c>
    </row>
    <row r="7359">
      <c r="A7359" s="25">
        <f>IF('BOI GORDO'!C560&gt;0,'BOI GORDO'!A560,"")</f>
        <v/>
      </c>
      <c r="B7359" s="22">
        <f>IF('BOI GORDO'!C560&gt;0,'BOI GORDO'!C560,"")</f>
        <v/>
      </c>
    </row>
    <row r="7360">
      <c r="A7360" s="25">
        <f>IF('BOI GORDO'!C561&gt;0,'BOI GORDO'!A561,"")</f>
        <v/>
      </c>
      <c r="B7360" s="22">
        <f>IF('BOI GORDO'!C561&gt;0,'BOI GORDO'!C561,"")</f>
        <v/>
      </c>
    </row>
    <row r="7361">
      <c r="A7361" s="25">
        <f>IF('BOI GORDO'!C562&gt;0,'BOI GORDO'!A562,"")</f>
        <v/>
      </c>
      <c r="B7361" s="22">
        <f>IF('BOI GORDO'!C562&gt;0,'BOI GORDO'!C562,"")</f>
        <v/>
      </c>
    </row>
    <row r="7362">
      <c r="A7362" s="25">
        <f>IF('BOI GORDO'!C563&gt;0,'BOI GORDO'!A563,"")</f>
        <v/>
      </c>
      <c r="B7362" s="22">
        <f>IF('BOI GORDO'!C563&gt;0,'BOI GORDO'!C563,"")</f>
        <v/>
      </c>
    </row>
    <row r="7363">
      <c r="A7363" s="25">
        <f>IF('BOI GORDO'!C564&gt;0,'BOI GORDO'!A564,"")</f>
        <v/>
      </c>
      <c r="B7363" s="22">
        <f>IF('BOI GORDO'!C564&gt;0,'BOI GORDO'!C564,"")</f>
        <v/>
      </c>
    </row>
    <row r="7364">
      <c r="A7364" s="25">
        <f>IF('BOI GORDO'!C565&gt;0,'BOI GORDO'!A565,"")</f>
        <v/>
      </c>
      <c r="B7364" s="22">
        <f>IF('BOI GORDO'!C565&gt;0,'BOI GORDO'!C565,"")</f>
        <v/>
      </c>
    </row>
    <row r="7365">
      <c r="A7365" s="25">
        <f>IF('BOI GORDO'!C566&gt;0,'BOI GORDO'!A566,"")</f>
        <v/>
      </c>
      <c r="B7365" s="22">
        <f>IF('BOI GORDO'!C566&gt;0,'BOI GORDO'!C566,"")</f>
        <v/>
      </c>
    </row>
    <row r="7366">
      <c r="A7366" s="25">
        <f>IF('BOI GORDO'!C567&gt;0,'BOI GORDO'!A567,"")</f>
        <v/>
      </c>
      <c r="B7366" s="22">
        <f>IF('BOI GORDO'!C567&gt;0,'BOI GORDO'!C567,"")</f>
        <v/>
      </c>
    </row>
    <row r="7367">
      <c r="A7367" s="25">
        <f>IF('BOI GORDO'!C568&gt;0,'BOI GORDO'!A568,"")</f>
        <v/>
      </c>
      <c r="B7367" s="22">
        <f>IF('BOI GORDO'!C568&gt;0,'BOI GORDO'!C568,"")</f>
        <v/>
      </c>
    </row>
    <row r="7368">
      <c r="A7368" s="25">
        <f>IF('BOI GORDO'!C569&gt;0,'BOI GORDO'!A569,"")</f>
        <v/>
      </c>
      <c r="B7368" s="22">
        <f>IF('BOI GORDO'!C569&gt;0,'BOI GORDO'!C569,"")</f>
        <v/>
      </c>
    </row>
    <row r="7369">
      <c r="A7369" s="25">
        <f>IF('BOI GORDO'!C570&gt;0,'BOI GORDO'!A570,"")</f>
        <v/>
      </c>
      <c r="B7369" s="22">
        <f>IF('BOI GORDO'!C570&gt;0,'BOI GORDO'!C570,"")</f>
        <v/>
      </c>
    </row>
    <row r="7370">
      <c r="A7370" s="25">
        <f>IF('BOI GORDO'!C571&gt;0,'BOI GORDO'!A571,"")</f>
        <v/>
      </c>
      <c r="B7370" s="22">
        <f>IF('BOI GORDO'!C571&gt;0,'BOI GORDO'!C571,"")</f>
        <v/>
      </c>
    </row>
    <row r="7371">
      <c r="A7371" s="25">
        <f>IF('BOI GORDO'!C572&gt;0,'BOI GORDO'!A572,"")</f>
        <v/>
      </c>
      <c r="B7371" s="22">
        <f>IF('BOI GORDO'!C572&gt;0,'BOI GORDO'!C572,"")</f>
        <v/>
      </c>
    </row>
    <row r="7372">
      <c r="A7372" s="25">
        <f>IF('BOI GORDO'!C573&gt;0,'BOI GORDO'!A573,"")</f>
        <v/>
      </c>
      <c r="B7372" s="22">
        <f>IF('BOI GORDO'!C573&gt;0,'BOI GORDO'!C573,"")</f>
        <v/>
      </c>
    </row>
    <row r="7373">
      <c r="A7373" s="25">
        <f>IF('BOI GORDO'!C574&gt;0,'BOI GORDO'!A574,"")</f>
        <v/>
      </c>
      <c r="B7373" s="22">
        <f>IF('BOI GORDO'!C574&gt;0,'BOI GORDO'!C574,"")</f>
        <v/>
      </c>
    </row>
    <row r="7374">
      <c r="A7374" s="25">
        <f>IF('BOI GORDO'!C575&gt;0,'BOI GORDO'!A575,"")</f>
        <v/>
      </c>
      <c r="B7374" s="22">
        <f>IF('BOI GORDO'!C575&gt;0,'BOI GORDO'!C575,"")</f>
        <v/>
      </c>
    </row>
    <row r="7375">
      <c r="A7375" s="25">
        <f>IF('BOI GORDO'!C576&gt;0,'BOI GORDO'!A576,"")</f>
        <v/>
      </c>
      <c r="B7375" s="22">
        <f>IF('BOI GORDO'!C576&gt;0,'BOI GORDO'!C576,"")</f>
        <v/>
      </c>
    </row>
    <row r="7376">
      <c r="A7376" s="25">
        <f>IF('BOI GORDO'!C577&gt;0,'BOI GORDO'!A577,"")</f>
        <v/>
      </c>
      <c r="B7376" s="22">
        <f>IF('BOI GORDO'!C577&gt;0,'BOI GORDO'!C577,"")</f>
        <v/>
      </c>
    </row>
    <row r="7377">
      <c r="A7377" s="25">
        <f>IF('BOI GORDO'!C578&gt;0,'BOI GORDO'!A578,"")</f>
        <v/>
      </c>
      <c r="B7377" s="22">
        <f>IF('BOI GORDO'!C578&gt;0,'BOI GORDO'!C578,"")</f>
        <v/>
      </c>
    </row>
    <row r="7378">
      <c r="A7378" s="25">
        <f>IF('BOI GORDO'!C579&gt;0,'BOI GORDO'!A579,"")</f>
        <v/>
      </c>
      <c r="B7378" s="22">
        <f>IF('BOI GORDO'!C579&gt;0,'BOI GORDO'!C579,"")</f>
        <v/>
      </c>
    </row>
    <row r="7379">
      <c r="A7379" s="25">
        <f>IF('BOI GORDO'!C580&gt;0,'BOI GORDO'!A580,"")</f>
        <v/>
      </c>
      <c r="B7379" s="22">
        <f>IF('BOI GORDO'!C580&gt;0,'BOI GORDO'!C580,"")</f>
        <v/>
      </c>
    </row>
    <row r="7380">
      <c r="A7380" s="25">
        <f>IF('BOI GORDO'!C581&gt;0,'BOI GORDO'!A581,"")</f>
        <v/>
      </c>
      <c r="B7380" s="22">
        <f>IF('BOI GORDO'!C581&gt;0,'BOI GORDO'!C581,"")</f>
        <v/>
      </c>
    </row>
    <row r="7381">
      <c r="A7381" s="25">
        <f>IF('BOI GORDO'!C582&gt;0,'BOI GORDO'!A582,"")</f>
        <v/>
      </c>
      <c r="B7381" s="22">
        <f>IF('BOI GORDO'!C582&gt;0,'BOI GORDO'!C582,"")</f>
        <v/>
      </c>
    </row>
  </sheetData>
  <pageMargins left="0.511811024" right="0.511811024" top="0.787401575" bottom="0.787401575" header="0.31496062" footer="0.31496062"/>
</worksheet>
</file>

<file path=xl/worksheets/sheet5.xml><?xml version="1.0" encoding="utf-8"?>
<worksheet xmlns="http://schemas.openxmlformats.org/spreadsheetml/2006/main">
  <sheetPr codeName="Planilha5">
    <outlinePr summaryBelow="1" summaryRight="1"/>
    <pageSetUpPr/>
  </sheetPr>
  <dimension ref="A1:AR5571"/>
  <sheetViews>
    <sheetView topLeftCell="A265" workbookViewId="0">
      <selection activeCell="G282" sqref="G282"/>
    </sheetView>
  </sheetViews>
  <sheetFormatPr baseColWidth="8" defaultRowHeight="15" outlineLevelCol="0"/>
  <cols>
    <col width="10.42578125" bestFit="1" customWidth="1" min="1" max="1"/>
    <col width="14.7109375" bestFit="1" customWidth="1" min="2" max="2"/>
    <col width="10.42578125" bestFit="1" customWidth="1" min="3" max="3"/>
    <col width="15.28515625" bestFit="1" customWidth="1" min="4" max="4"/>
    <col width="8.7109375" bestFit="1" customWidth="1" min="5" max="5"/>
    <col width="10.140625" bestFit="1" customWidth="1" min="6" max="6"/>
    <col width="18.7109375" bestFit="1" customWidth="1" min="7" max="7"/>
    <col width="12.7109375" bestFit="1" customWidth="1" min="8" max="9"/>
    <col width="12.42578125" bestFit="1" customWidth="1" min="10" max="11"/>
    <col width="19.140625" bestFit="1" customWidth="1" min="12" max="12"/>
    <col width="13.42578125" bestFit="1" customWidth="1" min="13" max="13"/>
    <col width="18.85546875" bestFit="1" customWidth="1" min="14" max="14"/>
    <col width="11.85546875" bestFit="1" customWidth="1" min="15" max="15"/>
    <col width="14" bestFit="1" customWidth="1" min="16" max="16"/>
    <col width="13.7109375" bestFit="1" customWidth="1" min="17" max="18"/>
    <col width="13.42578125" bestFit="1" customWidth="1" min="19" max="20"/>
  </cols>
  <sheetData>
    <row r="1">
      <c r="A1" s="58" t="inlineStr">
        <is>
          <t>Data</t>
        </is>
      </c>
      <c r="B1" s="58" t="inlineStr">
        <is>
          <t>Cotação</t>
        </is>
      </c>
      <c r="C1" s="58" t="inlineStr">
        <is>
          <t>Mês</t>
        </is>
      </c>
      <c r="D1" s="58" t="inlineStr">
        <is>
          <t>Média Mensal</t>
        </is>
      </c>
      <c r="E1" s="58" t="inlineStr">
        <is>
          <t>M.B 100</t>
        </is>
      </c>
      <c r="G1" s="58" t="inlineStr">
        <is>
          <t>M.B 100 Histórico</t>
        </is>
      </c>
      <c r="H1" s="58" t="inlineStr">
        <is>
          <t>+1 D.P</t>
        </is>
      </c>
      <c r="I1" s="58" t="inlineStr">
        <is>
          <t>+2 D.P</t>
        </is>
      </c>
      <c r="J1" s="58" t="inlineStr">
        <is>
          <t>-1 D.P</t>
        </is>
      </c>
      <c r="K1" s="58" t="inlineStr">
        <is>
          <t>-2 D.P</t>
        </is>
      </c>
      <c r="L1" s="58" t="inlineStr">
        <is>
          <t>D.P</t>
        </is>
      </c>
      <c r="M1" s="59">
        <f>"M.B 100 - Safra "&amp;IF(MONTH(TODAY())&gt;=7,YEAR(TODAY()),YEAR(TODAY())-1)&amp;"/"&amp;RIGHT(IF(MONTH(TODAY())&gt;=7,YEAR(TODAY())+1,YEAR(TODAY())),2)</f>
        <v/>
      </c>
      <c r="N1" s="59">
        <f>"Média Safra "&amp;IF(MONTH(TODAY())&gt;=7,YEAR(TODAY()),YEAR(TODAY())-1)&amp;"/"&amp;RIGHT(IF(MONTH(TODAY())&gt;=7,YEAR(TODAY())+1,YEAR(TODAY())),2)</f>
        <v/>
      </c>
      <c r="O1" s="58" t="inlineStr">
        <is>
          <t>Média Histórica</t>
        </is>
      </c>
      <c r="P1" s="58" t="inlineStr">
        <is>
          <t>D.P</t>
        </is>
      </c>
      <c r="Q1" s="58" t="inlineStr">
        <is>
          <t>+1 D.P</t>
        </is>
      </c>
      <c r="R1" s="58" t="inlineStr">
        <is>
          <t>+2 D.P</t>
        </is>
      </c>
      <c r="S1" s="58" t="inlineStr">
        <is>
          <t>-1 D.P</t>
        </is>
      </c>
      <c r="T1" s="58" t="inlineStr">
        <is>
          <t>-2 D.P</t>
        </is>
      </c>
      <c r="U1" s="58" t="inlineStr">
        <is>
          <t>M.B 100 El Niño</t>
        </is>
      </c>
      <c r="V1" s="58" t="inlineStr">
        <is>
          <t>+1 D.P</t>
        </is>
      </c>
      <c r="W1" s="58" t="inlineStr">
        <is>
          <t>+2 D.P</t>
        </is>
      </c>
      <c r="X1" s="58" t="inlineStr">
        <is>
          <t>-1 D.P</t>
        </is>
      </c>
      <c r="Y1" s="58" t="inlineStr">
        <is>
          <t>-2 D.P</t>
        </is>
      </c>
      <c r="Z1" s="58" t="inlineStr">
        <is>
          <t>D.P</t>
        </is>
      </c>
      <c r="AA1" s="58" t="inlineStr">
        <is>
          <t>Média El Niño</t>
        </is>
      </c>
      <c r="AB1" s="58" t="inlineStr">
        <is>
          <t>D.P</t>
        </is>
      </c>
      <c r="AC1" s="58" t="inlineStr">
        <is>
          <t>+1 D.P</t>
        </is>
      </c>
      <c r="AD1" s="58" t="inlineStr">
        <is>
          <t>+2 D.P</t>
        </is>
      </c>
      <c r="AE1" s="58" t="inlineStr">
        <is>
          <t>-1 D.P</t>
        </is>
      </c>
      <c r="AF1" s="58" t="inlineStr">
        <is>
          <t>-2 D.P</t>
        </is>
      </c>
      <c r="AG1" s="58" t="inlineStr">
        <is>
          <t>M.B 100 La Niña</t>
        </is>
      </c>
      <c r="AH1" s="58" t="inlineStr">
        <is>
          <t>+1 D.P</t>
        </is>
      </c>
      <c r="AI1" s="58" t="inlineStr">
        <is>
          <t>+2 D.P</t>
        </is>
      </c>
      <c r="AJ1" s="58" t="inlineStr">
        <is>
          <t>-1 D.P</t>
        </is>
      </c>
      <c r="AK1" s="58" t="inlineStr">
        <is>
          <t>-2 D.P</t>
        </is>
      </c>
      <c r="AL1" s="58" t="inlineStr">
        <is>
          <t>D.P</t>
        </is>
      </c>
      <c r="AM1" s="58" t="inlineStr">
        <is>
          <t>Média La Niña</t>
        </is>
      </c>
      <c r="AN1" s="58" t="inlineStr">
        <is>
          <t>D.P</t>
        </is>
      </c>
      <c r="AO1" s="58" t="inlineStr">
        <is>
          <t>+1 D.P</t>
        </is>
      </c>
      <c r="AP1" s="58" t="inlineStr">
        <is>
          <t>+2 D.P</t>
        </is>
      </c>
      <c r="AQ1" s="58" t="inlineStr">
        <is>
          <t>-1 D.P</t>
        </is>
      </c>
      <c r="AR1" s="58" t="inlineStr">
        <is>
          <t>-2 D.P</t>
        </is>
      </c>
    </row>
    <row r="2">
      <c r="A2" s="66" t="inlineStr">
        <is>
          <t>02/08/2004</t>
        </is>
      </c>
      <c r="B2" s="28" t="n">
        <v>67.08</v>
      </c>
      <c r="C2" s="4">
        <f>DATE(2004,8,1)</f>
        <v/>
      </c>
      <c r="D2">
        <f t="array" ref="D2">IFERROR(AVERAGE(_xlfn._xlws.FILTER($B$2:$B$9999,(IFERROR(VALUE(MID($A$2:$A$9999,4,2)),0)=MONTH(C2))*(IFERROR(VALUE(RIGHT($A$2:$A$9999,4)),0)=YEAR(C2)))),"")</f>
        <v/>
      </c>
      <c r="E2">
        <f>IF(ISNUMBER(D2),IF(MONTH(C2)=7,100,IFERROR(100*D2/INDEX($D$2:$D$9999,MATCH(DATE(IF(MONTH(C2)&gt;=7,YEAR(C2),YEAR(C2)-1),7,1),$C$2:$C$9999,0)),"")),"")</f>
        <v/>
      </c>
      <c r="G2">
        <f>G$8*O2/O$8</f>
        <v/>
      </c>
      <c r="H2">
        <f>$G2+(1*$L2)</f>
        <v/>
      </c>
      <c r="I2">
        <f>$G2+(2*$L2)</f>
        <v/>
      </c>
      <c r="J2">
        <f>$G2+(-1*$L2)</f>
        <v/>
      </c>
      <c r="K2">
        <f>$G2+(-2*$L2)</f>
        <v/>
      </c>
      <c r="L2">
        <f t="array" ref="L2">IFERROR(_xlfn.STDEV.P(_xlfn._xlws.FILTER($E$2:$E$9999,(MONTH($C$2:$C$9999)=ROW()-1)*ISNUMBER($D$2:$D$9999)*(IF(MONTH($C$2:$C$9999)&gt;=7,YEAR($C$2:$C$9999)&lt;=YEAR(TODAY()),YEAR($C$2:$C$9999)&lt;=YEAR(TODAY())+1)))),0)</f>
        <v/>
      </c>
      <c r="M2">
        <f>IFERROR($M$8*N2/$N$8,"")</f>
        <v/>
      </c>
      <c r="N2">
        <f t="array" ref="N2">IFERROR(AVERAGE(_xlfn._xlws.FILTER($D$2:$D$9999,(MONTH($C$2:$C$9999)=ROW()-1)*(YEAR($C$2:$C$9999)=IF(ROW()-1&gt;=7,IF(MONTH(TODAY())&gt;=7,YEAR(TODAY()),YEAR(TODAY())-1),IF(MONTH(TODAY())&gt;=7,YEAR(TODAY())+1,YEAR(TODAY())))))),"")</f>
        <v/>
      </c>
      <c r="O2">
        <f t="array" ref="O2">AVERAGE(_xlfn._xlws.FILTER($D$2:$D$9999,(MONTH($C$2:$C$9999)=ROW()-1)*ISNUMBER($D$2:$D$9999)*(IF(MONTH($C$2:$C$9999)&gt;=7,YEAR($C$2:$C$9999)&lt;=YEAR(TODAY()),YEAR($C$2:$C$9999)&lt;=YEAR(TODAY())+1))))</f>
        <v/>
      </c>
      <c r="P2">
        <f t="array" ref="P2">_xlfn.STDEV.P(_xlfn._xlws.FILTER($D$2:$D$9999,(MONTH($C$2:$C$9999)=ROW()-1)*ISNUMBER($D$2:$D$9999)*(IF(MONTH($C$2:$C$9999)&gt;=7,YEAR($C$2:$C$9999)&lt;=YEAR(TODAY()),YEAR($C$2:$C$9999)&lt;=YEAR(TODAY())+1))))</f>
        <v/>
      </c>
      <c r="Q2">
        <f>O2+(1*P2)</f>
        <v/>
      </c>
      <c r="R2">
        <f>O2+(2*P2)</f>
        <v/>
      </c>
      <c r="S2">
        <f>O2+(-1*P2)</f>
        <v/>
      </c>
      <c r="T2">
        <f>O2+(-2*P2)</f>
        <v/>
      </c>
      <c r="U2">
        <f>IFERROR(U$8*AA2/AA$8,"")</f>
        <v/>
      </c>
      <c r="V2">
        <f>IFERROR($U2+(1*$Z2),"")</f>
        <v/>
      </c>
      <c r="W2">
        <f>IFERROR($U2+(2*$Z2),"")</f>
        <v/>
      </c>
      <c r="X2">
        <f>IFERROR($U2+(-1*$Z2),"")</f>
        <v/>
      </c>
      <c r="Y2">
        <f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>
        <f>IFERROR(AA2+(1*AB2),"")</f>
        <v/>
      </c>
      <c r="AD2">
        <f>IFERROR(AA2+(2*AB2),"")</f>
        <v/>
      </c>
      <c r="AE2">
        <f>IFERROR(AA2+(-1*AB2),"")</f>
        <v/>
      </c>
      <c r="AF2">
        <f>IFERROR(AA2+(-2*AB2),"")</f>
        <v/>
      </c>
      <c r="AG2">
        <f>IFERROR(AG$8*AM2/AM$8,"")</f>
        <v/>
      </c>
      <c r="AH2">
        <f>IFERROR($AG2+(1*$AL2),"")</f>
        <v/>
      </c>
      <c r="AI2">
        <f>IFERROR($AG2+(2*$AL2),"")</f>
        <v/>
      </c>
      <c r="AJ2">
        <f>IFERROR($AG2+(-1*$AL2),"")</f>
        <v/>
      </c>
      <c r="AK2">
        <f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>
        <f>IFERROR(AM2+(1*AN2),"")</f>
        <v/>
      </c>
      <c r="AP2">
        <f>IFERROR(AM2+(2*AN2),"")</f>
        <v/>
      </c>
      <c r="AQ2">
        <f>IFERROR(AM2+(-1*AN2),"")</f>
        <v/>
      </c>
      <c r="AR2">
        <f>IFERROR(AM2+(-2*AN2),"")</f>
        <v/>
      </c>
    </row>
    <row r="3">
      <c r="A3" s="66" t="inlineStr">
        <is>
          <t>03/08/2004</t>
        </is>
      </c>
      <c r="B3" s="28" t="n">
        <v>66.34999999999999</v>
      </c>
      <c r="C3" s="4">
        <f>EOMONTH(C2,0)+1</f>
        <v/>
      </c>
      <c r="D3">
        <f t="array" ref="D3">IFERROR(AVERAGE(_xlfn._xlws.FILTER($B$2:$B$9999,(IFERROR(VALUE(MID($A$2:$A$9999,4,2)),0)=MONTH(C3))*(IFERROR(VALUE(RIGHT($A$2:$A$9999,4)),0)=YEAR(C3)))),"")</f>
        <v/>
      </c>
      <c r="E3">
        <f>IF(ISNUMBER(D3),IF(MONTH(C3)=7,100,IFERROR(100*D3/INDEX($D$2:$D$9999,MATCH(DATE(IF(MONTH(C3)&gt;=7,YEAR(C3),YEAR(C3)-1),7,1),$C$2:$C$9999,0)),"")),"")</f>
        <v/>
      </c>
      <c r="G3">
        <f>G$8*O3/O$8</f>
        <v/>
      </c>
      <c r="H3">
        <f>$G3+(1*$L3)</f>
        <v/>
      </c>
      <c r="I3">
        <f>$G3+(2*$L3)</f>
        <v/>
      </c>
      <c r="J3">
        <f>$G3+(-1*$L3)</f>
        <v/>
      </c>
      <c r="K3">
        <f>$G3+(-2*$L3)</f>
        <v/>
      </c>
      <c r="L3">
        <f t="array" ref="L3">IFERROR(_xlfn.STDEV.P(_xlfn._xlws.FILTER($E$2:$E$9999,(MONTH($C$2:$C$9999)=ROW()-1)*ISNUMBER($D$2:$D$9999)*(IF(MONTH($C$2:$C$9999)&gt;=7,YEAR($C$2:$C$9999)&lt;=YEAR(TODAY()),YEAR($C$2:$C$9999)&lt;=YEAR(TODAY())+1)))),0)</f>
        <v/>
      </c>
      <c r="M3">
        <f>IFERROR($M$8*N3/$N$8,"")</f>
        <v/>
      </c>
      <c r="N3">
        <f t="array" ref="N3">IFERROR(AVERAGE(_xlfn._xlws.FILTER($D$2:$D$9999,(MONTH($C$2:$C$9999)=ROW()-1)*(YEAR($C$2:$C$9999)=IF(ROW()-1&gt;=7,IF(MONTH(TODAY())&gt;=7,YEAR(TODAY()),YEAR(TODAY())-1),IF(MONTH(TODAY())&gt;=7,YEAR(TODAY())+1,YEAR(TODAY())))))),"")</f>
        <v/>
      </c>
      <c r="O3">
        <f t="array" ref="O3">AVERAGE(_xlfn._xlws.FILTER($D$2:$D$9999,(MONTH($C$2:$C$9999)=ROW()-1)*ISNUMBER($D$2:$D$9999)*(IF(MONTH($C$2:$C$9999)&gt;=7,YEAR($C$2:$C$9999)&lt;=YEAR(TODAY()),YEAR($C$2:$C$9999)&lt;=YEAR(TODAY())+1))))</f>
        <v/>
      </c>
      <c r="P3">
        <f t="array" ref="P3">_xlfn.STDEV.P(_xlfn._xlws.FILTER($D$2:$D$9999,(MONTH($C$2:$C$9999)=ROW()-1)*ISNUMBER($D$2:$D$9999)*(IF(MONTH($C$2:$C$9999)&gt;=7,YEAR($C$2:$C$9999)&lt;=YEAR(TODAY()),YEAR($C$2:$C$9999)&lt;=YEAR(TODAY())+1))))</f>
        <v/>
      </c>
      <c r="Q3">
        <f>O3+(1*P3)</f>
        <v/>
      </c>
      <c r="R3">
        <f>O3+(2*P3)</f>
        <v/>
      </c>
      <c r="S3">
        <f>O3+(-1*P3)</f>
        <v/>
      </c>
      <c r="T3">
        <f>O3+(-2*P3)</f>
        <v/>
      </c>
      <c r="U3">
        <f>IFERROR(U$8*AA3/AA$8,"")</f>
        <v/>
      </c>
      <c r="V3">
        <f>IFERROR($U3+(1*$Z3),"")</f>
        <v/>
      </c>
      <c r="W3">
        <f>IFERROR($U3+(2*$Z3),"")</f>
        <v/>
      </c>
      <c r="X3">
        <f>IFERROR($U3+(-1*$Z3),"")</f>
        <v/>
      </c>
      <c r="Y3">
        <f>IFERROR($U3+(-2*$Z3),"")</f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>
        <f>IFERROR(AA3+(1*AB3),"")</f>
        <v/>
      </c>
      <c r="AD3">
        <f>IFERROR(AA3+(2*AB3),"")</f>
        <v/>
      </c>
      <c r="AE3">
        <f>IFERROR(AA3+(-1*AB3),"")</f>
        <v/>
      </c>
      <c r="AF3">
        <f>IFERROR(AA3+(-2*AB3),"")</f>
        <v/>
      </c>
      <c r="AG3">
        <f>IFERROR(AG$8*AM3/AM$8,"")</f>
        <v/>
      </c>
      <c r="AH3">
        <f>IFERROR($AG3+(1*$AL3),"")</f>
        <v/>
      </c>
      <c r="AI3">
        <f>IFERROR($AG3+(2*$AL3),"")</f>
        <v/>
      </c>
      <c r="AJ3">
        <f>IFERROR($AG3+(-1*$AL3),"")</f>
        <v/>
      </c>
      <c r="AK3">
        <f>IFERROR($AG3+(-2*$AL3),"")</f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>
        <f>IFERROR(AM3+(1*AN3),"")</f>
        <v/>
      </c>
      <c r="AP3">
        <f>IFERROR(AM3+(2*AN3),"")</f>
        <v/>
      </c>
      <c r="AQ3">
        <f>IFERROR(AM3+(-1*AN3),"")</f>
        <v/>
      </c>
      <c r="AR3">
        <f>IFERROR(AM3+(-2*AN3),"")</f>
        <v/>
      </c>
    </row>
    <row r="4">
      <c r="A4" s="66" t="inlineStr">
        <is>
          <t>04/08/2004</t>
        </is>
      </c>
      <c r="B4" s="28" t="n">
        <v>66.27</v>
      </c>
      <c r="C4" s="4">
        <f>EOMONTH(C3,0)+1</f>
        <v/>
      </c>
      <c r="D4">
        <f t="array" ref="D4">IFERROR(AVERAGE(_xlfn._xlws.FILTER($B$2:$B$9999,(IFERROR(VALUE(MID($A$2:$A$9999,4,2)),0)=MONTH(C4))*(IFERROR(VALUE(RIGHT($A$2:$A$9999,4)),0)=YEAR(C4)))),"")</f>
        <v/>
      </c>
      <c r="E4">
        <f>IF(ISNUMBER(D4),IF(MONTH(C4)=7,100,IFERROR(100*D4/INDEX($D$2:$D$9999,MATCH(DATE(IF(MONTH(C4)&gt;=7,YEAR(C4),YEAR(C4)-1),7,1),$C$2:$C$9999,0)),"")),"")</f>
        <v/>
      </c>
      <c r="G4">
        <f>G$8*O4/O$8</f>
        <v/>
      </c>
      <c r="H4">
        <f>$G4+(1*$L4)</f>
        <v/>
      </c>
      <c r="I4">
        <f>$G4+(2*$L4)</f>
        <v/>
      </c>
      <c r="J4">
        <f>$G4+(-1*$L4)</f>
        <v/>
      </c>
      <c r="K4">
        <f>$G4+(-2*$L4)</f>
        <v/>
      </c>
      <c r="L4">
        <f t="array" ref="L4">IFERROR(_xlfn.STDEV.P(_xlfn._xlws.FILTER($E$2:$E$9999,(MONTH($C$2:$C$9999)=ROW()-1)*ISNUMBER($D$2:$D$9999)*(IF(MONTH($C$2:$C$9999)&gt;=7,YEAR($C$2:$C$9999)&lt;=YEAR(TODAY()),YEAR($C$2:$C$9999)&lt;=YEAR(TODAY())+1)))),0)</f>
        <v/>
      </c>
      <c r="M4">
        <f>IFERROR($M$8*N4/$N$8,"")</f>
        <v/>
      </c>
      <c r="N4">
        <f t="array" ref="N4">IFERROR(AVERAGE(_xlfn._xlws.FILTER($D$2:$D$9999,(MONTH($C$2:$C$9999)=ROW()-1)*(YEAR($C$2:$C$9999)=IF(ROW()-1&gt;=7,IF(MONTH(TODAY())&gt;=7,YEAR(TODAY()),YEAR(TODAY())-1),IF(MONTH(TODAY())&gt;=7,YEAR(TODAY())+1,YEAR(TODAY())))))),"")</f>
        <v/>
      </c>
      <c r="O4">
        <f t="array" ref="O4">AVERAGE(_xlfn._xlws.FILTER($D$2:$D$9999,(MONTH($C$2:$C$9999)=ROW()-1)*ISNUMBER($D$2:$D$9999)*(IF(MONTH($C$2:$C$9999)&gt;=7,YEAR($C$2:$C$9999)&lt;=YEAR(TODAY()),YEAR($C$2:$C$9999)&lt;=YEAR(TODAY())+1))))</f>
        <v/>
      </c>
      <c r="P4">
        <f t="array" ref="P4">_xlfn.STDEV.P(_xlfn._xlws.FILTER($D$2:$D$9999,(MONTH($C$2:$C$9999)=ROW()-1)*ISNUMBER($D$2:$D$9999)*(IF(MONTH($C$2:$C$9999)&gt;=7,YEAR($C$2:$C$9999)&lt;=YEAR(TODAY()),YEAR($C$2:$C$9999)&lt;=YEAR(TODAY())+1))))</f>
        <v/>
      </c>
      <c r="Q4">
        <f>O4+(1*P4)</f>
        <v/>
      </c>
      <c r="R4">
        <f>O4+(2*P4)</f>
        <v/>
      </c>
      <c r="S4">
        <f>O4+(-1*P4)</f>
        <v/>
      </c>
      <c r="T4">
        <f>O4+(-2*P4)</f>
        <v/>
      </c>
      <c r="U4">
        <f>IFERROR(U$8*AA4/AA$8,"")</f>
        <v/>
      </c>
      <c r="V4">
        <f>IFERROR($U4+(1*$Z4),"")</f>
        <v/>
      </c>
      <c r="W4">
        <f>IFERROR($U4+(2*$Z4),"")</f>
        <v/>
      </c>
      <c r="X4">
        <f>IFERROR($U4+(-1*$Z4),"")</f>
        <v/>
      </c>
      <c r="Y4">
        <f>IFERROR($U4+(-2*$Z4),"")</f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>
        <f>IFERROR(AA4+(1*AB4),"")</f>
        <v/>
      </c>
      <c r="AD4">
        <f>IFERROR(AA4+(2*AB4),"")</f>
        <v/>
      </c>
      <c r="AE4">
        <f>IFERROR(AA4+(-1*AB4),"")</f>
        <v/>
      </c>
      <c r="AF4">
        <f>IFERROR(AA4+(-2*AB4),"")</f>
        <v/>
      </c>
      <c r="AG4">
        <f>IFERROR(AG$8*AM4/AM$8,"")</f>
        <v/>
      </c>
      <c r="AH4">
        <f>IFERROR($AG4+(1*$AL4),"")</f>
        <v/>
      </c>
      <c r="AI4">
        <f>IFERROR($AG4+(2*$AL4),"")</f>
        <v/>
      </c>
      <c r="AJ4">
        <f>IFERROR($AG4+(-1*$AL4),"")</f>
        <v/>
      </c>
      <c r="AK4">
        <f>IFERROR($AG4+(-2*$AL4),"")</f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>
        <f>IFERROR(AM4+(1*AN4),"")</f>
        <v/>
      </c>
      <c r="AP4">
        <f>IFERROR(AM4+(2*AN4),"")</f>
        <v/>
      </c>
      <c r="AQ4">
        <f>IFERROR(AM4+(-1*AN4),"")</f>
        <v/>
      </c>
      <c r="AR4">
        <f>IFERROR(AM4+(-2*AN4),"")</f>
        <v/>
      </c>
    </row>
    <row r="5">
      <c r="A5" s="66" t="inlineStr">
        <is>
          <t>05/08/2004</t>
        </is>
      </c>
      <c r="B5" s="28" t="n">
        <v>66.42</v>
      </c>
      <c r="C5" s="4">
        <f>EOMONTH(C4,0)+1</f>
        <v/>
      </c>
      <c r="D5">
        <f t="array" ref="D5">IFERROR(AVERAGE(_xlfn._xlws.FILTER($B$2:$B$9999,(IFERROR(VALUE(MID($A$2:$A$9999,4,2)),0)=MONTH(C5))*(IFERROR(VALUE(RIGHT($A$2:$A$9999,4)),0)=YEAR(C5)))),"")</f>
        <v/>
      </c>
      <c r="E5">
        <f>IF(ISNUMBER(D5),IF(MONTH(C5)=7,100,IFERROR(100*D5/INDEX($D$2:$D$9999,MATCH(DATE(IF(MONTH(C5)&gt;=7,YEAR(C5),YEAR(C5)-1),7,1),$C$2:$C$9999,0)),"")),"")</f>
        <v/>
      </c>
      <c r="G5">
        <f>G$8*O5/O$8</f>
        <v/>
      </c>
      <c r="H5">
        <f>$G5+(1*$L5)</f>
        <v/>
      </c>
      <c r="I5">
        <f>$G5+(2*$L5)</f>
        <v/>
      </c>
      <c r="J5">
        <f>$G5+(-1*$L5)</f>
        <v/>
      </c>
      <c r="K5">
        <f>$G5+(-2*$L5)</f>
        <v/>
      </c>
      <c r="L5">
        <f t="array" ref="L5">IFERROR(_xlfn.STDEV.P(_xlfn._xlws.FILTER($E$2:$E$9999,(MONTH($C$2:$C$9999)=ROW()-1)*ISNUMBER($D$2:$D$9999)*(IF(MONTH($C$2:$C$9999)&gt;=7,YEAR($C$2:$C$9999)&lt;=YEAR(TODAY()),YEAR($C$2:$C$9999)&lt;=YEAR(TODAY())+1)))),0)</f>
        <v/>
      </c>
      <c r="M5">
        <f>IFERROR($M$8*N5/$N$8,"")</f>
        <v/>
      </c>
      <c r="N5">
        <f t="array" ref="N5">IFERROR(AVERAGE(_xlfn._xlws.FILTER($D$2:$D$9999,(MONTH($C$2:$C$9999)=ROW()-1)*(YEAR($C$2:$C$9999)=IF(ROW()-1&gt;=7,IF(MONTH(TODAY())&gt;=7,YEAR(TODAY()),YEAR(TODAY())-1),IF(MONTH(TODAY())&gt;=7,YEAR(TODAY())+1,YEAR(TODAY())))))),"")</f>
        <v/>
      </c>
      <c r="O5">
        <f t="array" ref="O5">AVERAGE(_xlfn._xlws.FILTER($D$2:$D$9999,(MONTH($C$2:$C$9999)=ROW()-1)*ISNUMBER($D$2:$D$9999)*(IF(MONTH($C$2:$C$9999)&gt;=7,YEAR($C$2:$C$9999)&lt;=YEAR(TODAY()),YEAR($C$2:$C$9999)&lt;=YEAR(TODAY())+1))))</f>
        <v/>
      </c>
      <c r="P5">
        <f t="array" ref="P5">_xlfn.STDEV.P(_xlfn._xlws.FILTER($D$2:$D$9999,(MONTH($C$2:$C$9999)=ROW()-1)*ISNUMBER($D$2:$D$9999)*(IF(MONTH($C$2:$C$9999)&gt;=7,YEAR($C$2:$C$9999)&lt;=YEAR(TODAY()),YEAR($C$2:$C$9999)&lt;=YEAR(TODAY())+1))))</f>
        <v/>
      </c>
      <c r="Q5">
        <f>O5+(1*P5)</f>
        <v/>
      </c>
      <c r="R5">
        <f>O5+(2*P5)</f>
        <v/>
      </c>
      <c r="S5">
        <f>O5+(-1*P5)</f>
        <v/>
      </c>
      <c r="T5">
        <f>O5+(-2*P5)</f>
        <v/>
      </c>
      <c r="U5">
        <f>IFERROR(U$8*AA5/AA$8,"")</f>
        <v/>
      </c>
      <c r="V5">
        <f>IFERROR($U5+(1*$Z5),"")</f>
        <v/>
      </c>
      <c r="W5">
        <f>IFERROR($U5+(2*$Z5),"")</f>
        <v/>
      </c>
      <c r="X5">
        <f>IFERROR($U5+(-1*$Z5),"")</f>
        <v/>
      </c>
      <c r="Y5">
        <f>IFERROR($U5+(-2*$Z5),"")</f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>
        <f>IFERROR(AA5+(1*AB5),"")</f>
        <v/>
      </c>
      <c r="AD5">
        <f>IFERROR(AA5+(2*AB5),"")</f>
        <v/>
      </c>
      <c r="AE5">
        <f>IFERROR(AA5+(-1*AB5),"")</f>
        <v/>
      </c>
      <c r="AF5">
        <f>IFERROR(AA5+(-2*AB5),"")</f>
        <v/>
      </c>
      <c r="AG5">
        <f>IFERROR(AG$8*AM5/AM$8,"")</f>
        <v/>
      </c>
      <c r="AH5">
        <f>IFERROR($AG5+(1*$AL5),"")</f>
        <v/>
      </c>
      <c r="AI5">
        <f>IFERROR($AG5+(2*$AL5),"")</f>
        <v/>
      </c>
      <c r="AJ5">
        <f>IFERROR($AG5+(-1*$AL5),"")</f>
        <v/>
      </c>
      <c r="AK5">
        <f>IFERROR($AG5+(-2*$AL5),"")</f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>
        <f>IFERROR(AM5+(1*AN5),"")</f>
        <v/>
      </c>
      <c r="AP5">
        <f>IFERROR(AM5+(2*AN5),"")</f>
        <v/>
      </c>
      <c r="AQ5">
        <f>IFERROR(AM5+(-1*AN5),"")</f>
        <v/>
      </c>
      <c r="AR5">
        <f>IFERROR(AM5+(-2*AN5),"")</f>
        <v/>
      </c>
    </row>
    <row r="6">
      <c r="A6" s="66" t="inlineStr">
        <is>
          <t>06/08/2004</t>
        </is>
      </c>
      <c r="B6" s="28" t="n">
        <v>66.68000000000001</v>
      </c>
      <c r="C6" s="4">
        <f>EOMONTH(C5,0)+1</f>
        <v/>
      </c>
      <c r="D6">
        <f t="array" ref="D6">IFERROR(AVERAGE(_xlfn._xlws.FILTER($B$2:$B$9999,(IFERROR(VALUE(MID($A$2:$A$9999,4,2)),0)=MONTH(C6))*(IFERROR(VALUE(RIGHT($A$2:$A$9999,4)),0)=YEAR(C6)))),"")</f>
        <v/>
      </c>
      <c r="E6">
        <f>IF(ISNUMBER(D6),IF(MONTH(C6)=7,100,IFERROR(100*D6/INDEX($D$2:$D$9999,MATCH(DATE(IF(MONTH(C6)&gt;=7,YEAR(C6),YEAR(C6)-1),7,1),$C$2:$C$9999,0)),"")),"")</f>
        <v/>
      </c>
      <c r="G6">
        <f>G$8*O6/O$8</f>
        <v/>
      </c>
      <c r="H6">
        <f>$G6+(1*$L6)</f>
        <v/>
      </c>
      <c r="I6">
        <f>$G6+(2*$L6)</f>
        <v/>
      </c>
      <c r="J6">
        <f>$G6+(-1*$L6)</f>
        <v/>
      </c>
      <c r="K6">
        <f>$G6+(-2*$L6)</f>
        <v/>
      </c>
      <c r="L6">
        <f t="array" ref="L6">IFERROR(_xlfn.STDEV.P(_xlfn._xlws.FILTER($E$2:$E$9999,(MONTH($C$2:$C$9999)=ROW()-1)*ISNUMBER($D$2:$D$9999)*(IF(MONTH($C$2:$C$9999)&gt;=7,YEAR($C$2:$C$9999)&lt;=YEAR(TODAY()),YEAR($C$2:$C$9999)&lt;=YEAR(TODAY())+1)))),0)</f>
        <v/>
      </c>
      <c r="M6">
        <f>IFERROR($M$8*N6/$N$8,"")</f>
        <v/>
      </c>
      <c r="N6">
        <f t="array" ref="N6">IFERROR(AVERAGE(_xlfn._xlws.FILTER($D$2:$D$9999,(MONTH($C$2:$C$9999)=ROW()-1)*(YEAR($C$2:$C$9999)=IF(ROW()-1&gt;=7,IF(MONTH(TODAY())&gt;=7,YEAR(TODAY()),YEAR(TODAY())-1),IF(MONTH(TODAY())&gt;=7,YEAR(TODAY())+1,YEAR(TODAY())))))),"")</f>
        <v/>
      </c>
      <c r="O6">
        <f t="array" ref="O6">AVERAGE(_xlfn._xlws.FILTER($D$2:$D$9999,(MONTH($C$2:$C$9999)=ROW()-1)*ISNUMBER($D$2:$D$9999)*(IF(MONTH($C$2:$C$9999)&gt;=7,YEAR($C$2:$C$9999)&lt;=YEAR(TODAY()),YEAR($C$2:$C$9999)&lt;=YEAR(TODAY())+1))))</f>
        <v/>
      </c>
      <c r="P6">
        <f t="array" ref="P6">_xlfn.STDEV.P(_xlfn._xlws.FILTER($D$2:$D$9999,(MONTH($C$2:$C$9999)=ROW()-1)*ISNUMBER($D$2:$D$9999)*(IF(MONTH($C$2:$C$9999)&gt;=7,YEAR($C$2:$C$9999)&lt;=YEAR(TODAY()),YEAR($C$2:$C$9999)&lt;=YEAR(TODAY())+1))))</f>
        <v/>
      </c>
      <c r="Q6">
        <f>O6+(1*P6)</f>
        <v/>
      </c>
      <c r="R6">
        <f>O6+(2*P6)</f>
        <v/>
      </c>
      <c r="S6">
        <f>O6+(-1*P6)</f>
        <v/>
      </c>
      <c r="T6">
        <f>O6+(-2*P6)</f>
        <v/>
      </c>
      <c r="U6">
        <f>IFERROR(U$8*AA6/AA$8,"")</f>
        <v/>
      </c>
      <c r="V6">
        <f>IFERROR($U6+(1*$Z6),"")</f>
        <v/>
      </c>
      <c r="W6">
        <f>IFERROR($U6+(2*$Z6),"")</f>
        <v/>
      </c>
      <c r="X6">
        <f>IFERROR($U6+(-1*$Z6),"")</f>
        <v/>
      </c>
      <c r="Y6">
        <f>IFERROR($U6+(-2*$Z6),"")</f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>
        <f>IFERROR(AA6+(1*AB6),"")</f>
        <v/>
      </c>
      <c r="AD6">
        <f>IFERROR(AA6+(2*AB6),"")</f>
        <v/>
      </c>
      <c r="AE6">
        <f>IFERROR(AA6+(-1*AB6),"")</f>
        <v/>
      </c>
      <c r="AF6">
        <f>IFERROR(AA6+(-2*AB6),"")</f>
        <v/>
      </c>
      <c r="AG6">
        <f>IFERROR(AG$8*AM6/AM$8,"")</f>
        <v/>
      </c>
      <c r="AH6">
        <f>IFERROR($AG6+(1*$AL6),"")</f>
        <v/>
      </c>
      <c r="AI6">
        <f>IFERROR($AG6+(2*$AL6),"")</f>
        <v/>
      </c>
      <c r="AJ6">
        <f>IFERROR($AG6+(-1*$AL6),"")</f>
        <v/>
      </c>
      <c r="AK6">
        <f>IFERROR($AG6+(-2*$AL6),"")</f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>
        <f>IFERROR(AM6+(1*AN6),"")</f>
        <v/>
      </c>
      <c r="AP6">
        <f>IFERROR(AM6+(2*AN6),"")</f>
        <v/>
      </c>
      <c r="AQ6">
        <f>IFERROR(AM6+(-1*AN6),"")</f>
        <v/>
      </c>
      <c r="AR6">
        <f>IFERROR(AM6+(-2*AN6),"")</f>
        <v/>
      </c>
    </row>
    <row r="7">
      <c r="A7" s="66" t="inlineStr">
        <is>
          <t>09/08/2004</t>
        </is>
      </c>
      <c r="B7" s="28" t="n">
        <v>66.09</v>
      </c>
      <c r="C7" s="4">
        <f>EOMONTH(C6,0)+1</f>
        <v/>
      </c>
      <c r="D7">
        <f t="array" ref="D7">IFERROR(AVERAGE(_xlfn._xlws.FILTER($B$2:$B$9999,(IFERROR(VALUE(MID($A$2:$A$9999,4,2)),0)=MONTH(C7))*(IFERROR(VALUE(RIGHT($A$2:$A$9999,4)),0)=YEAR(C7)))),"")</f>
        <v/>
      </c>
      <c r="E7">
        <f>IF(ISNUMBER(D7),IF(MONTH(C7)=7,100,IFERROR(100*D7/INDEX($D$2:$D$9999,MATCH(DATE(IF(MONTH(C7)&gt;=7,YEAR(C7),YEAR(C7)-1),7,1),$C$2:$C$9999,0)),"")),"")</f>
        <v/>
      </c>
      <c r="G7">
        <f>G$8*O7/O$8</f>
        <v/>
      </c>
      <c r="H7">
        <f>$G7+(1*$L7)</f>
        <v/>
      </c>
      <c r="I7">
        <f>$G7+(2*$L7)</f>
        <v/>
      </c>
      <c r="J7">
        <f>$G7+(-1*$L7)</f>
        <v/>
      </c>
      <c r="K7">
        <f>$G7+(-2*$L7)</f>
        <v/>
      </c>
      <c r="L7">
        <f t="array" ref="L7">IFERROR(_xlfn.STDEV.P(_xlfn._xlws.FILTER($E$2:$E$9999,(MONTH($C$2:$C$9999)=ROW()-1)*ISNUMBER($D$2:$D$9999)*(IF(MONTH($C$2:$C$9999)&gt;=7,YEAR($C$2:$C$9999)&lt;=YEAR(TODAY()),YEAR($C$2:$C$9999)&lt;=YEAR(TODAY())+1)))),0)</f>
        <v/>
      </c>
      <c r="M7">
        <f>IFERROR($M$8*N7/$N$8,"")</f>
        <v/>
      </c>
      <c r="N7">
        <f t="array" ref="N7">IFERROR(AVERAGE(_xlfn._xlws.FILTER($D$2:$D$9999,(MONTH($C$2:$C$9999)=ROW()-1)*(YEAR($C$2:$C$9999)=IF(ROW()-1&gt;=7,IF(MONTH(TODAY())&gt;=7,YEAR(TODAY()),YEAR(TODAY())-1),IF(MONTH(TODAY())&gt;=7,YEAR(TODAY())+1,YEAR(TODAY())))))),"")</f>
        <v/>
      </c>
      <c r="O7">
        <f t="array" ref="O7">AVERAGE(_xlfn._xlws.FILTER($D$2:$D$9999,(MONTH($C$2:$C$9999)=ROW()-1)*ISNUMBER($D$2:$D$9999)*(IF(MONTH($C$2:$C$9999)&gt;=7,YEAR($C$2:$C$9999)&lt;=YEAR(TODAY()),YEAR($C$2:$C$9999)&lt;=YEAR(TODAY())+1))))</f>
        <v/>
      </c>
      <c r="P7">
        <f t="array" ref="P7">_xlfn.STDEV.P(_xlfn._xlws.FILTER($D$2:$D$9999,(MONTH($C$2:$C$9999)=ROW()-1)*ISNUMBER($D$2:$D$9999)*(IF(MONTH($C$2:$C$9999)&gt;=7,YEAR($C$2:$C$9999)&lt;=YEAR(TODAY()),YEAR($C$2:$C$9999)&lt;=YEAR(TODAY())+1))))</f>
        <v/>
      </c>
      <c r="Q7">
        <f>O7+(1*P7)</f>
        <v/>
      </c>
      <c r="R7">
        <f>O7+(2*P7)</f>
        <v/>
      </c>
      <c r="S7">
        <f>O7+(-1*P7)</f>
        <v/>
      </c>
      <c r="T7">
        <f>O7+(-2*P7)</f>
        <v/>
      </c>
      <c r="U7">
        <f>IFERROR(U$8*AA7/AA$8,"")</f>
        <v/>
      </c>
      <c r="V7">
        <f>IFERROR($U7+(1*$Z7),"")</f>
        <v/>
      </c>
      <c r="W7">
        <f>IFERROR($U7+(2*$Z7),"")</f>
        <v/>
      </c>
      <c r="X7">
        <f>IFERROR($U7+(-1*$Z7),"")</f>
        <v/>
      </c>
      <c r="Y7">
        <f>IFERROR($U7+(-2*$Z7),"")</f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>
        <f>IFERROR(AA7+(1*AB7),"")</f>
        <v/>
      </c>
      <c r="AD7">
        <f>IFERROR(AA7+(2*AB7),"")</f>
        <v/>
      </c>
      <c r="AE7">
        <f>IFERROR(AA7+(-1*AB7),"")</f>
        <v/>
      </c>
      <c r="AF7">
        <f>IFERROR(AA7+(-2*AB7),"")</f>
        <v/>
      </c>
      <c r="AG7">
        <f>IFERROR(AG$8*AM7/AM$8,"")</f>
        <v/>
      </c>
      <c r="AH7">
        <f>IFERROR($AG7+(1*$AL7),"")</f>
        <v/>
      </c>
      <c r="AI7">
        <f>IFERROR($AG7+(2*$AL7),"")</f>
        <v/>
      </c>
      <c r="AJ7">
        <f>IFERROR($AG7+(-1*$AL7),"")</f>
        <v/>
      </c>
      <c r="AK7">
        <f>IFERROR($AG7+(-2*$AL7),"")</f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>
        <f>IFERROR(AM7+(1*AN7),"")</f>
        <v/>
      </c>
      <c r="AP7">
        <f>IFERROR(AM7+(2*AN7),"")</f>
        <v/>
      </c>
      <c r="AQ7">
        <f>IFERROR(AM7+(-1*AN7),"")</f>
        <v/>
      </c>
      <c r="AR7">
        <f>IFERROR(AM7+(-2*AN7),"")</f>
        <v/>
      </c>
    </row>
    <row r="8">
      <c r="A8" s="66" t="inlineStr">
        <is>
          <t>10/08/2004</t>
        </is>
      </c>
      <c r="B8" s="28" t="n">
        <v>66.13</v>
      </c>
      <c r="C8" s="4">
        <f>EOMONTH(C7,0)+1</f>
        <v/>
      </c>
      <c r="D8">
        <f t="array" ref="D8">IFERROR(AVERAGE(_xlfn._xlws.FILTER($B$2:$B$9999,(IFERROR(VALUE(MID($A$2:$A$9999,4,2)),0)=MONTH(C8))*(IFERROR(VALUE(RIGHT($A$2:$A$9999,4)),0)=YEAR(C8)))),"")</f>
        <v/>
      </c>
      <c r="E8">
        <f>IF(ISNUMBER(D8),IF(MONTH(C8)=7,100,IFERROR(100*D8/INDEX($D$2:$D$9999,MATCH(DATE(IF(MONTH(C8)&gt;=7,YEAR(C8),YEAR(C8)-1),7,1),$C$2:$C$9999,0)),"")),"")</f>
        <v/>
      </c>
      <c r="G8" t="n">
        <v>100</v>
      </c>
      <c r="H8">
        <f>$G8+(1*$L8)</f>
        <v/>
      </c>
      <c r="I8">
        <f>$G8+(2*$L8)</f>
        <v/>
      </c>
      <c r="J8">
        <f>$G8+(-1*$L8)</f>
        <v/>
      </c>
      <c r="K8">
        <f>$G8+(-2*$L8)</f>
        <v/>
      </c>
      <c r="L8">
        <f t="array" ref="L8">IFERROR(_xlfn.STDEV.P(_xlfn._xlws.FILTER($E$2:$E$9999,(MONTH($C$2:$C$9999)=ROW()-1)*ISNUMBER($D$2:$D$9999)*(IF(MONTH($C$2:$C$9999)&gt;=7,YEAR($C$2:$C$9999)&lt;=YEAR(TODAY()),YEAR($C$2:$C$9999)&lt;=YEAR(TODAY())+1)))),0)</f>
        <v/>
      </c>
      <c r="M8" t="n">
        <v>100</v>
      </c>
      <c r="N8">
        <f t="array" ref="N8">IFERROR(AVERAGE(_xlfn._xlws.FILTER($D$2:$D$9999,(MONTH($C$2:$C$9999)=ROW()-1)*(YEAR($C$2:$C$9999)=IF(ROW()-1&gt;=7,IF(MONTH(TODAY())&gt;=7,YEAR(TODAY()),YEAR(TODAY())-1),IF(MONTH(TODAY())&gt;=7,YEAR(TODAY())+1,YEAR(TODAY())))))),"")</f>
        <v/>
      </c>
      <c r="O8">
        <f t="array" ref="O8">AVERAGE(_xlfn._xlws.FILTER($D$2:$D$9999,(MONTH($C$2:$C$9999)=ROW()-1)*ISNUMBER($D$2:$D$9999)*(IF(MONTH($C$2:$C$9999)&gt;=7,YEAR($C$2:$C$9999)&lt;=YEAR(TODAY()),YEAR($C$2:$C$9999)&lt;=YEAR(TODAY())+1))))</f>
        <v/>
      </c>
      <c r="P8">
        <f t="array" ref="P8">_xlfn.STDEV.P(_xlfn._xlws.FILTER($D$2:$D$9999,(MONTH($C$2:$C$9999)=ROW()-1)*ISNUMBER($D$2:$D$9999)*(IF(MONTH($C$2:$C$9999)&gt;=7,YEAR($C$2:$C$9999)&lt;=YEAR(TODAY()),YEAR($C$2:$C$9999)&lt;=YEAR(TODAY())+1))))</f>
        <v/>
      </c>
      <c r="Q8">
        <f>O8+(1*P8)</f>
        <v/>
      </c>
      <c r="R8">
        <f>O8+(2*P8)</f>
        <v/>
      </c>
      <c r="S8">
        <f>O8+(-1*P8)</f>
        <v/>
      </c>
      <c r="T8">
        <f>O8+(-2*P8)</f>
        <v/>
      </c>
      <c r="U8" t="n">
        <v>100</v>
      </c>
      <c r="V8">
        <f>IFERROR($U8+(1*$Z8),"")</f>
        <v/>
      </c>
      <c r="W8">
        <f>IFERROR($U8+(2*$Z8),"")</f>
        <v/>
      </c>
      <c r="X8">
        <f>IFERROR($U8+(-1*$Z8),"")</f>
        <v/>
      </c>
      <c r="Y8">
        <f>IFERROR($U8+(-2*$Z8),"")</f>
        <v/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>
        <f>IFERROR(AA8+(1*AB8),"")</f>
        <v/>
      </c>
      <c r="AD8">
        <f>IFERROR(AA8+(2*AB8),"")</f>
        <v/>
      </c>
      <c r="AE8">
        <f>IFERROR(AA8+(-1*AB8),"")</f>
        <v/>
      </c>
      <c r="AF8">
        <f>IFERROR(AA8+(-2*AB8),"")</f>
        <v/>
      </c>
      <c r="AG8" t="n">
        <v>100</v>
      </c>
      <c r="AH8">
        <f>IFERROR($AG8+(1*$AL8),"")</f>
        <v/>
      </c>
      <c r="AI8">
        <f>IFERROR($AG8+(2*$AL8),"")</f>
        <v/>
      </c>
      <c r="AJ8">
        <f>IFERROR($AG8+(-1*$AL8),"")</f>
        <v/>
      </c>
      <c r="AK8">
        <f>IFERROR($AG8+(-2*$AL8),"")</f>
        <v/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>
        <f>IFERROR(AM8+(1*AN8),"")</f>
        <v/>
      </c>
      <c r="AP8">
        <f>IFERROR(AM8+(2*AN8),"")</f>
        <v/>
      </c>
      <c r="AQ8">
        <f>IFERROR(AM8+(-1*AN8),"")</f>
        <v/>
      </c>
      <c r="AR8">
        <f>IFERROR(AM8+(-2*AN8),"")</f>
        <v/>
      </c>
    </row>
    <row r="9">
      <c r="A9" s="66" t="inlineStr">
        <is>
          <t>11/08/2004</t>
        </is>
      </c>
      <c r="B9" s="28" t="n">
        <v>66.48999999999999</v>
      </c>
      <c r="C9" s="4">
        <f>EOMONTH(C8,0)+1</f>
        <v/>
      </c>
      <c r="D9">
        <f t="array" ref="D9">IFERROR(AVERAGE(_xlfn._xlws.FILTER($B$2:$B$9999,(IFERROR(VALUE(MID($A$2:$A$9999,4,2)),0)=MONTH(C9))*(IFERROR(VALUE(RIGHT($A$2:$A$9999,4)),0)=YEAR(C9)))),"")</f>
        <v/>
      </c>
      <c r="E9">
        <f>IF(ISNUMBER(D9),IF(MONTH(C9)=7,100,IFERROR(100*D9/INDEX($D$2:$D$9999,MATCH(DATE(IF(MONTH(C9)&gt;=7,YEAR(C9),YEAR(C9)-1),7,1),$C$2:$C$9999,0)),"")),"")</f>
        <v/>
      </c>
      <c r="G9">
        <f>G$8*O9/O$8</f>
        <v/>
      </c>
      <c r="H9">
        <f>$G9+(1*$L9)</f>
        <v/>
      </c>
      <c r="I9">
        <f>$G9+(2*$L9)</f>
        <v/>
      </c>
      <c r="J9">
        <f>$G9+(-1*$L9)</f>
        <v/>
      </c>
      <c r="K9">
        <f>$G9+(-2*$L9)</f>
        <v/>
      </c>
      <c r="L9">
        <f t="array" ref="L9">IFERROR(_xlfn.STDEV.P(_xlfn._xlws.FILTER($E$2:$E$9999,(MONTH($C$2:$C$9999)=ROW()-1)*ISNUMBER($D$2:$D$9999)*(IF(MONTH($C$2:$C$9999)&gt;=7,YEAR($C$2:$C$9999)&lt;=YEAR(TODAY()),YEAR($C$2:$C$9999)&lt;=YEAR(TODAY())+1)))),0)</f>
        <v/>
      </c>
      <c r="M9">
        <f>IFERROR($M$8*N9/$N$8,"")</f>
        <v/>
      </c>
      <c r="N9">
        <f t="array" ref="N9">IFERROR(AVERAGE(_xlfn._xlws.FILTER($D$2:$D$9999,(MONTH($C$2:$C$9999)=ROW()-1)*(YEAR($C$2:$C$9999)=IF(ROW()-1&gt;=7,IF(MONTH(TODAY())&gt;=7,YEAR(TODAY()),YEAR(TODAY())-1),IF(MONTH(TODAY())&gt;=7,YEAR(TODAY())+1,YEAR(TODAY())))))),"")</f>
        <v/>
      </c>
      <c r="O9">
        <f t="array" ref="O9">AVERAGE(_xlfn._xlws.FILTER($D$2:$D$9999,(MONTH($C$2:$C$9999)=ROW()-1)*ISNUMBER($D$2:$D$9999)*(IF(MONTH($C$2:$C$9999)&gt;=7,YEAR($C$2:$C$9999)&lt;=YEAR(TODAY()),YEAR($C$2:$C$9999)&lt;=YEAR(TODAY())+1))))</f>
        <v/>
      </c>
      <c r="P9">
        <f t="array" ref="P9">_xlfn.STDEV.P(_xlfn._xlws.FILTER($D$2:$D$9999,(MONTH($C$2:$C$9999)=ROW()-1)*ISNUMBER($D$2:$D$9999)*(IF(MONTH($C$2:$C$9999)&gt;=7,YEAR($C$2:$C$9999)&lt;=YEAR(TODAY()),YEAR($C$2:$C$9999)&lt;=YEAR(TODAY())+1))))</f>
        <v/>
      </c>
      <c r="Q9">
        <f>O9+(1*P9)</f>
        <v/>
      </c>
      <c r="R9">
        <f>O9+(2*P9)</f>
        <v/>
      </c>
      <c r="S9">
        <f>O9+(-1*P9)</f>
        <v/>
      </c>
      <c r="T9">
        <f>O9+(-2*P9)</f>
        <v/>
      </c>
      <c r="U9">
        <f>IFERROR(U$8*AA9/AA$8,"")</f>
        <v/>
      </c>
      <c r="V9">
        <f>IFERROR($U9+(1*$Z9),"")</f>
        <v/>
      </c>
      <c r="W9">
        <f>IFERROR($U9+(2*$Z9),"")</f>
        <v/>
      </c>
      <c r="X9">
        <f>IFERROR($U9+(-1*$Z9),"")</f>
        <v/>
      </c>
      <c r="Y9">
        <f>IFERROR($U9+(-2*$Z9),"")</f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>
        <f>IFERROR(AA9+(1*AB9),"")</f>
        <v/>
      </c>
      <c r="AD9">
        <f>IFERROR(AA9+(2*AB9),"")</f>
        <v/>
      </c>
      <c r="AE9">
        <f>IFERROR(AA9+(-1*AB9),"")</f>
        <v/>
      </c>
      <c r="AF9">
        <f>IFERROR(AA9+(-2*AB9),"")</f>
        <v/>
      </c>
      <c r="AG9">
        <f>IFERROR(AG$8*AM9/AM$8,"")</f>
        <v/>
      </c>
      <c r="AH9">
        <f>IFERROR($AG9+(1*$AL9),"")</f>
        <v/>
      </c>
      <c r="AI9">
        <f>IFERROR($AG9+(2*$AL9),"")</f>
        <v/>
      </c>
      <c r="AJ9">
        <f>IFERROR($AG9+(-1*$AL9),"")</f>
        <v/>
      </c>
      <c r="AK9">
        <f>IFERROR($AG9+(-2*$AL9),"")</f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>
        <f>IFERROR(AM9+(1*AN9),"")</f>
        <v/>
      </c>
      <c r="AP9">
        <f>IFERROR(AM9+(2*AN9),"")</f>
        <v/>
      </c>
      <c r="AQ9">
        <f>IFERROR(AM9+(-1*AN9),"")</f>
        <v/>
      </c>
      <c r="AR9">
        <f>IFERROR(AM9+(-2*AN9),"")</f>
        <v/>
      </c>
    </row>
    <row r="10">
      <c r="A10" s="66" t="inlineStr">
        <is>
          <t>12/08/2004</t>
        </is>
      </c>
      <c r="B10" s="28" t="n">
        <v>66.45999999999999</v>
      </c>
      <c r="C10" s="4">
        <f>EOMONTH(C9,0)+1</f>
        <v/>
      </c>
      <c r="D10">
        <f t="array" ref="D10">IFERROR(AVERAGE(_xlfn._xlws.FILTER($B$2:$B$9999,(IFERROR(VALUE(MID($A$2:$A$9999,4,2)),0)=MONTH(C10))*(IFERROR(VALUE(RIGHT($A$2:$A$9999,4)),0)=YEAR(C10)))),"")</f>
        <v/>
      </c>
      <c r="E10">
        <f>IF(ISNUMBER(D10),IF(MONTH(C10)=7,100,IFERROR(100*D10/INDEX($D$2:$D$9999,MATCH(DATE(IF(MONTH(C10)&gt;=7,YEAR(C10),YEAR(C10)-1),7,1),$C$2:$C$9999,0)),"")),"")</f>
        <v/>
      </c>
      <c r="G10">
        <f>G$8*O10/O$8</f>
        <v/>
      </c>
      <c r="H10">
        <f>$G10+(1*$L10)</f>
        <v/>
      </c>
      <c r="I10">
        <f>$G10+(2*$L10)</f>
        <v/>
      </c>
      <c r="J10">
        <f>$G10+(-1*$L10)</f>
        <v/>
      </c>
      <c r="K10">
        <f>$G10+(-2*$L10)</f>
        <v/>
      </c>
      <c r="L10">
        <f t="array" ref="L10">IFERROR(_xlfn.STDEV.P(_xlfn._xlws.FILTER($E$2:$E$9999,(MONTH($C$2:$C$9999)=ROW()-1)*ISNUMBER($D$2:$D$9999)*(IF(MONTH($C$2:$C$9999)&gt;=7,YEAR($C$2:$C$9999)&lt;=YEAR(TODAY()),YEAR($C$2:$C$9999)&lt;=YEAR(TODAY())+1)))),0)</f>
        <v/>
      </c>
      <c r="M10">
        <f>IFERROR($M$8*N10/$N$8,"")</f>
        <v/>
      </c>
      <c r="N10">
        <f t="array" ref="N10">IFERROR(AVERAGE(_xlfn._xlws.FILTER($D$2:$D$9999,(MONTH($C$2:$C$9999)=ROW()-1)*(YEAR($C$2:$C$9999)=IF(ROW()-1&gt;=7,IF(MONTH(TODAY())&gt;=7,YEAR(TODAY()),YEAR(TODAY())-1),IF(MONTH(TODAY())&gt;=7,YEAR(TODAY())+1,YEAR(TODAY())))))),"")</f>
        <v/>
      </c>
      <c r="O10">
        <f t="array" ref="O10">AVERAGE(_xlfn._xlws.FILTER($D$2:$D$9999,(MONTH($C$2:$C$9999)=ROW()-1)*ISNUMBER($D$2:$D$9999)*(IF(MONTH($C$2:$C$9999)&gt;=7,YEAR($C$2:$C$9999)&lt;=YEAR(TODAY()),YEAR($C$2:$C$9999)&lt;=YEAR(TODAY())+1))))</f>
        <v/>
      </c>
      <c r="P10">
        <f t="array" ref="P10">_xlfn.STDEV.P(_xlfn._xlws.FILTER($D$2:$D$9999,(MONTH($C$2:$C$9999)=ROW()-1)*ISNUMBER($D$2:$D$9999)*(IF(MONTH($C$2:$C$9999)&gt;=7,YEAR($C$2:$C$9999)&lt;=YEAR(TODAY()),YEAR($C$2:$C$9999)&lt;=YEAR(TODAY())+1))))</f>
        <v/>
      </c>
      <c r="Q10">
        <f>O10+(1*P10)</f>
        <v/>
      </c>
      <c r="R10">
        <f>O10+(2*P10)</f>
        <v/>
      </c>
      <c r="S10">
        <f>O10+(-1*P10)</f>
        <v/>
      </c>
      <c r="T10">
        <f>O10+(-2*P10)</f>
        <v/>
      </c>
      <c r="U10">
        <f>IFERROR(U$8*AA10/AA$8,"")</f>
        <v/>
      </c>
      <c r="V10">
        <f>IFERROR($U10+(1*$Z10),"")</f>
        <v/>
      </c>
      <c r="W10">
        <f>IFERROR($U10+(2*$Z10),"")</f>
        <v/>
      </c>
      <c r="X10">
        <f>IFERROR($U10+(-1*$Z10),"")</f>
        <v/>
      </c>
      <c r="Y10">
        <f>IFERROR($U10+(-2*$Z10),"")</f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>
        <f>IFERROR(AA10+(1*AB10),"")</f>
        <v/>
      </c>
      <c r="AD10">
        <f>IFERROR(AA10+(2*AB10),"")</f>
        <v/>
      </c>
      <c r="AE10">
        <f>IFERROR(AA10+(-1*AB10),"")</f>
        <v/>
      </c>
      <c r="AF10">
        <f>IFERROR(AA10+(-2*AB10),"")</f>
        <v/>
      </c>
      <c r="AG10">
        <f>IFERROR(AG$8*AM10/AM$8,"")</f>
        <v/>
      </c>
      <c r="AH10">
        <f>IFERROR($AG10+(1*$AL10),"")</f>
        <v/>
      </c>
      <c r="AI10">
        <f>IFERROR($AG10+(2*$AL10),"")</f>
        <v/>
      </c>
      <c r="AJ10">
        <f>IFERROR($AG10+(-1*$AL10),"")</f>
        <v/>
      </c>
      <c r="AK10">
        <f>IFERROR($AG10+(-2*$AL10),"")</f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>
        <f>IFERROR(AM10+(1*AN10),"")</f>
        <v/>
      </c>
      <c r="AP10">
        <f>IFERROR(AM10+(2*AN10),"")</f>
        <v/>
      </c>
      <c r="AQ10">
        <f>IFERROR(AM10+(-1*AN10),"")</f>
        <v/>
      </c>
      <c r="AR10">
        <f>IFERROR(AM10+(-2*AN10),"")</f>
        <v/>
      </c>
    </row>
    <row r="11">
      <c r="A11" s="66" t="inlineStr">
        <is>
          <t>13/08/2004</t>
        </is>
      </c>
      <c r="B11" s="28" t="n">
        <v>66.34999999999999</v>
      </c>
      <c r="C11" s="4">
        <f>EOMONTH(C10,0)+1</f>
        <v/>
      </c>
      <c r="D11">
        <f t="array" ref="D11">IFERROR(AVERAGE(_xlfn._xlws.FILTER($B$2:$B$9999,(IFERROR(VALUE(MID($A$2:$A$9999,4,2)),0)=MONTH(C11))*(IFERROR(VALUE(RIGHT($A$2:$A$9999,4)),0)=YEAR(C11)))),"")</f>
        <v/>
      </c>
      <c r="E11">
        <f>IF(ISNUMBER(D11),IF(MONTH(C11)=7,100,IFERROR(100*D11/INDEX($D$2:$D$9999,MATCH(DATE(IF(MONTH(C11)&gt;=7,YEAR(C11),YEAR(C11)-1),7,1),$C$2:$C$9999,0)),"")),"")</f>
        <v/>
      </c>
      <c r="G11">
        <f>G$8*O11/O$8</f>
        <v/>
      </c>
      <c r="H11">
        <f>$G11+(1*$L11)</f>
        <v/>
      </c>
      <c r="I11">
        <f>$G11+(2*$L11)</f>
        <v/>
      </c>
      <c r="J11">
        <f>$G11+(-1*$L11)</f>
        <v/>
      </c>
      <c r="K11">
        <f>$G11+(-2*$L11)</f>
        <v/>
      </c>
      <c r="L11">
        <f t="array" ref="L11">IFERROR(_xlfn.STDEV.P(_xlfn._xlws.FILTER($E$2:$E$9999,(MONTH($C$2:$C$9999)=ROW()-1)*ISNUMBER($D$2:$D$9999)*(IF(MONTH($C$2:$C$9999)&gt;=7,YEAR($C$2:$C$9999)&lt;=YEAR(TODAY()),YEAR($C$2:$C$9999)&lt;=YEAR(TODAY())+1)))),0)</f>
        <v/>
      </c>
      <c r="M11">
        <f>IFERROR($M$8*N11/$N$8,"")</f>
        <v/>
      </c>
      <c r="N11">
        <f t="array" ref="N11">IFERROR(AVERAGE(_xlfn._xlws.FILTER($D$2:$D$9999,(MONTH($C$2:$C$9999)=ROW()-1)*(YEAR($C$2:$C$9999)=IF(ROW()-1&gt;=7,IF(MONTH(TODAY())&gt;=7,YEAR(TODAY()),YEAR(TODAY())-1),IF(MONTH(TODAY())&gt;=7,YEAR(TODAY())+1,YEAR(TODAY())))))),"")</f>
        <v/>
      </c>
      <c r="O11">
        <f t="array" ref="O11">AVERAGE(_xlfn._xlws.FILTER($D$2:$D$9999,(MONTH($C$2:$C$9999)=ROW()-1)*ISNUMBER($D$2:$D$9999)*(IF(MONTH($C$2:$C$9999)&gt;=7,YEAR($C$2:$C$9999)&lt;=YEAR(TODAY()),YEAR($C$2:$C$9999)&lt;=YEAR(TODAY())+1))))</f>
        <v/>
      </c>
      <c r="P11">
        <f t="array" ref="P11">_xlfn.STDEV.P(_xlfn._xlws.FILTER($D$2:$D$9999,(MONTH($C$2:$C$9999)=ROW()-1)*ISNUMBER($D$2:$D$9999)*(IF(MONTH($C$2:$C$9999)&gt;=7,YEAR($C$2:$C$9999)&lt;=YEAR(TODAY()),YEAR($C$2:$C$9999)&lt;=YEAR(TODAY())+1))))</f>
        <v/>
      </c>
      <c r="Q11">
        <f>O11+(1*P11)</f>
        <v/>
      </c>
      <c r="R11">
        <f>O11+(2*P11)</f>
        <v/>
      </c>
      <c r="S11">
        <f>O11+(-1*P11)</f>
        <v/>
      </c>
      <c r="T11">
        <f>O11+(-2*P11)</f>
        <v/>
      </c>
      <c r="U11">
        <f>IFERROR(U$8*AA11/AA$8,"")</f>
        <v/>
      </c>
      <c r="V11">
        <f>IFERROR($U11+(1*$Z11),"")</f>
        <v/>
      </c>
      <c r="W11">
        <f>IFERROR($U11+(2*$Z11),"")</f>
        <v/>
      </c>
      <c r="X11">
        <f>IFERROR($U11+(-1*$Z11),"")</f>
        <v/>
      </c>
      <c r="Y11">
        <f>IFERROR($U11+(-2*$Z11),"")</f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>
        <f>IFERROR(AA11+(1*AB11),"")</f>
        <v/>
      </c>
      <c r="AD11">
        <f>IFERROR(AA11+(2*AB11),"")</f>
        <v/>
      </c>
      <c r="AE11">
        <f>IFERROR(AA11+(-1*AB11),"")</f>
        <v/>
      </c>
      <c r="AF11">
        <f>IFERROR(AA11+(-2*AB11),"")</f>
        <v/>
      </c>
      <c r="AG11">
        <f>IFERROR(AG$8*AM11/AM$8,"")</f>
        <v/>
      </c>
      <c r="AH11">
        <f>IFERROR($AG11+(1*$AL11),"")</f>
        <v/>
      </c>
      <c r="AI11">
        <f>IFERROR($AG11+(2*$AL11),"")</f>
        <v/>
      </c>
      <c r="AJ11">
        <f>IFERROR($AG11+(-1*$AL11),"")</f>
        <v/>
      </c>
      <c r="AK11">
        <f>IFERROR($AG11+(-2*$AL11),"")</f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>
        <f>IFERROR(AM11+(1*AN11),"")</f>
        <v/>
      </c>
      <c r="AP11">
        <f>IFERROR(AM11+(2*AN11),"")</f>
        <v/>
      </c>
      <c r="AQ11">
        <f>IFERROR(AM11+(-1*AN11),"")</f>
        <v/>
      </c>
      <c r="AR11">
        <f>IFERROR(AM11+(-2*AN11),"")</f>
        <v/>
      </c>
    </row>
    <row r="12">
      <c r="A12" s="66" t="inlineStr">
        <is>
          <t>16/08/2004</t>
        </is>
      </c>
      <c r="B12" s="28" t="n">
        <v>66.94</v>
      </c>
      <c r="C12" s="4">
        <f>EOMONTH(C11,0)+1</f>
        <v/>
      </c>
      <c r="D12">
        <f t="array" ref="D12">IFERROR(AVERAGE(_xlfn._xlws.FILTER($B$2:$B$9999,(IFERROR(VALUE(MID($A$2:$A$9999,4,2)),0)=MONTH(C12))*(IFERROR(VALUE(RIGHT($A$2:$A$9999,4)),0)=YEAR(C12)))),"")</f>
        <v/>
      </c>
      <c r="E12">
        <f>IF(ISNUMBER(D12),IF(MONTH(C12)=7,100,IFERROR(100*D12/INDEX($D$2:$D$9999,MATCH(DATE(IF(MONTH(C12)&gt;=7,YEAR(C12),YEAR(C12)-1),7,1),$C$2:$C$9999,0)),"")),"")</f>
        <v/>
      </c>
      <c r="G12">
        <f>G$8*O12/O$8</f>
        <v/>
      </c>
      <c r="H12">
        <f>$G12+(1*$L12)</f>
        <v/>
      </c>
      <c r="I12">
        <f>$G12+(2*$L12)</f>
        <v/>
      </c>
      <c r="J12">
        <f>$G12+(-1*$L12)</f>
        <v/>
      </c>
      <c r="K12">
        <f>$G12+(-2*$L12)</f>
        <v/>
      </c>
      <c r="L12">
        <f t="array" ref="L12">IFERROR(_xlfn.STDEV.P(_xlfn._xlws.FILTER($E$2:$E$9999,(MONTH($C$2:$C$9999)=ROW()-1)*ISNUMBER($D$2:$D$9999)*(IF(MONTH($C$2:$C$9999)&gt;=7,YEAR($C$2:$C$9999)&lt;=YEAR(TODAY()),YEAR($C$2:$C$9999)&lt;=YEAR(TODAY())+1)))),0)</f>
        <v/>
      </c>
      <c r="M12">
        <f>IFERROR($M$8*N12/$N$8,"")</f>
        <v/>
      </c>
      <c r="N12">
        <f t="array" ref="N12">IFERROR(AVERAGE(_xlfn._xlws.FILTER($D$2:$D$9999,(MONTH($C$2:$C$9999)=ROW()-1)*(YEAR($C$2:$C$9999)=IF(ROW()-1&gt;=7,IF(MONTH(TODAY())&gt;=7,YEAR(TODAY()),YEAR(TODAY())-1),IF(MONTH(TODAY())&gt;=7,YEAR(TODAY())+1,YEAR(TODAY())))))),"")</f>
        <v/>
      </c>
      <c r="O12">
        <f t="array" ref="O12">AVERAGE(_xlfn._xlws.FILTER($D$2:$D$9999,(MONTH($C$2:$C$9999)=ROW()-1)*ISNUMBER($D$2:$D$9999)*(IF(MONTH($C$2:$C$9999)&gt;=7,YEAR($C$2:$C$9999)&lt;=YEAR(TODAY()),YEAR($C$2:$C$9999)&lt;=YEAR(TODAY())+1))))</f>
        <v/>
      </c>
      <c r="P12">
        <f t="array" ref="P12">_xlfn.STDEV.P(_xlfn._xlws.FILTER($D$2:$D$9999,(MONTH($C$2:$C$9999)=ROW()-1)*ISNUMBER($D$2:$D$9999)*(IF(MONTH($C$2:$C$9999)&gt;=7,YEAR($C$2:$C$9999)&lt;=YEAR(TODAY()),YEAR($C$2:$C$9999)&lt;=YEAR(TODAY())+1))))</f>
        <v/>
      </c>
      <c r="Q12">
        <f>O12+(1*P12)</f>
        <v/>
      </c>
      <c r="R12">
        <f>O12+(2*P12)</f>
        <v/>
      </c>
      <c r="S12">
        <f>O12+(-1*P12)</f>
        <v/>
      </c>
      <c r="T12">
        <f>O12+(-2*P12)</f>
        <v/>
      </c>
      <c r="U12">
        <f>IFERROR(U$8*AA12/AA$8,"")</f>
        <v/>
      </c>
      <c r="V12">
        <f>IFERROR($U12+(1*$Z12),"")</f>
        <v/>
      </c>
      <c r="W12">
        <f>IFERROR($U12+(2*$Z12),"")</f>
        <v/>
      </c>
      <c r="X12">
        <f>IFERROR($U12+(-1*$Z12),"")</f>
        <v/>
      </c>
      <c r="Y12">
        <f>IFERROR($U12+(-2*$Z12),"")</f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>
        <f>IFERROR(AA12+(1*AB12),"")</f>
        <v/>
      </c>
      <c r="AD12">
        <f>IFERROR(AA12+(2*AB12),"")</f>
        <v/>
      </c>
      <c r="AE12">
        <f>IFERROR(AA12+(-1*AB12),"")</f>
        <v/>
      </c>
      <c r="AF12">
        <f>IFERROR(AA12+(-2*AB12),"")</f>
        <v/>
      </c>
      <c r="AG12">
        <f>IFERROR(AG$8*AM12/AM$8,"")</f>
        <v/>
      </c>
      <c r="AH12">
        <f>IFERROR($AG12+(1*$AL12),"")</f>
        <v/>
      </c>
      <c r="AI12">
        <f>IFERROR($AG12+(2*$AL12),"")</f>
        <v/>
      </c>
      <c r="AJ12">
        <f>IFERROR($AG12+(-1*$AL12),"")</f>
        <v/>
      </c>
      <c r="AK12">
        <f>IFERROR($AG12+(-2*$AL12),"")</f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>
        <f>IFERROR(AM12+(1*AN12),"")</f>
        <v/>
      </c>
      <c r="AP12">
        <f>IFERROR(AM12+(2*AN12),"")</f>
        <v/>
      </c>
      <c r="AQ12">
        <f>IFERROR(AM12+(-1*AN12),"")</f>
        <v/>
      </c>
      <c r="AR12">
        <f>IFERROR(AM12+(-2*AN12),"")</f>
        <v/>
      </c>
    </row>
    <row r="13">
      <c r="A13" s="66" t="inlineStr">
        <is>
          <t>17/08/2004</t>
        </is>
      </c>
      <c r="B13" s="28" t="n">
        <v>67.01000000000001</v>
      </c>
      <c r="C13" s="4">
        <f>EOMONTH(C12,0)+1</f>
        <v/>
      </c>
      <c r="D13">
        <f t="array" ref="D13">IFERROR(AVERAGE(_xlfn._xlws.FILTER($B$2:$B$9999,(IFERROR(VALUE(MID($A$2:$A$9999,4,2)),0)=MONTH(C13))*(IFERROR(VALUE(RIGHT($A$2:$A$9999,4)),0)=YEAR(C13)))),"")</f>
        <v/>
      </c>
      <c r="E13">
        <f>IF(ISNUMBER(D13),IF(MONTH(C13)=7,100,IFERROR(100*D13/INDEX($D$2:$D$9999,MATCH(DATE(IF(MONTH(C13)&gt;=7,YEAR(C13),YEAR(C13)-1),7,1),$C$2:$C$9999,0)),"")),"")</f>
        <v/>
      </c>
      <c r="G13">
        <f>G$8*O13/O$8</f>
        <v/>
      </c>
      <c r="H13">
        <f>$G13+(1*$L13)</f>
        <v/>
      </c>
      <c r="I13">
        <f>$G13+(2*$L13)</f>
        <v/>
      </c>
      <c r="J13">
        <f>$G13+(-1*$L13)</f>
        <v/>
      </c>
      <c r="K13">
        <f>$G13+(-2*$L13)</f>
        <v/>
      </c>
      <c r="L13">
        <f t="array" ref="L13">IFERROR(_xlfn.STDEV.P(_xlfn._xlws.FILTER($E$2:$E$9999,(MONTH($C$2:$C$9999)=ROW()-1)*ISNUMBER($D$2:$D$9999)*(IF(MONTH($C$2:$C$9999)&gt;=7,YEAR($C$2:$C$9999)&lt;=YEAR(TODAY()),YEAR($C$2:$C$9999)&lt;=YEAR(TODAY())+1)))),0)</f>
        <v/>
      </c>
      <c r="M13">
        <f>IFERROR($M$8*N13/$N$8,"")</f>
        <v/>
      </c>
      <c r="N13">
        <f t="array" ref="N13">IFERROR(AVERAGE(_xlfn._xlws.FILTER($D$2:$D$9999,(MONTH($C$2:$C$9999)=ROW()-1)*(YEAR($C$2:$C$9999)=IF(ROW()-1&gt;=7,IF(MONTH(TODAY())&gt;=7,YEAR(TODAY()),YEAR(TODAY())-1),IF(MONTH(TODAY())&gt;=7,YEAR(TODAY())+1,YEAR(TODAY())))))),"")</f>
        <v/>
      </c>
      <c r="O13">
        <f t="array" ref="O13">AVERAGE(_xlfn._xlws.FILTER($D$2:$D$9999,(MONTH($C$2:$C$9999)=ROW()-1)*ISNUMBER($D$2:$D$9999)*(IF(MONTH($C$2:$C$9999)&gt;=7,YEAR($C$2:$C$9999)&lt;=YEAR(TODAY()),YEAR($C$2:$C$9999)&lt;=YEAR(TODAY())+1))))</f>
        <v/>
      </c>
      <c r="P13">
        <f t="array" ref="P13">_xlfn.STDEV.P(_xlfn._xlws.FILTER($D$2:$D$9999,(MONTH($C$2:$C$9999)=ROW()-1)*ISNUMBER($D$2:$D$9999)*(IF(MONTH($C$2:$C$9999)&gt;=7,YEAR($C$2:$C$9999)&lt;=YEAR(TODAY()),YEAR($C$2:$C$9999)&lt;=YEAR(TODAY())+1))))</f>
        <v/>
      </c>
      <c r="Q13">
        <f>O13+(1*P13)</f>
        <v/>
      </c>
      <c r="R13">
        <f>O13+(2*P13)</f>
        <v/>
      </c>
      <c r="S13">
        <f>O13+(-1*P13)</f>
        <v/>
      </c>
      <c r="T13">
        <f>O13+(-2*P13)</f>
        <v/>
      </c>
      <c r="U13">
        <f>IFERROR(U$8*AA13/AA$8,"")</f>
        <v/>
      </c>
      <c r="V13">
        <f>IFERROR($U13+(1*$Z13),"")</f>
        <v/>
      </c>
      <c r="W13">
        <f>IFERROR($U13+(2*$Z13),"")</f>
        <v/>
      </c>
      <c r="X13">
        <f>IFERROR($U13+(-1*$Z13),"")</f>
        <v/>
      </c>
      <c r="Y13">
        <f>IFERROR($U13+(-2*$Z13),"")</f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/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>
        <f>IFERROR(AA13+(1*AB13),"")</f>
        <v/>
      </c>
      <c r="AD13">
        <f>IFERROR(AA13+(2*AB13),"")</f>
        <v/>
      </c>
      <c r="AE13">
        <f>IFERROR(AA13+(-1*AB13),"")</f>
        <v/>
      </c>
      <c r="AF13">
        <f>IFERROR(AA13+(-2*AB13),"")</f>
        <v/>
      </c>
      <c r="AG13">
        <f>IFERROR(AG$8*AM13/AM$8,"")</f>
        <v/>
      </c>
      <c r="AH13">
        <f>IFERROR($AG13+(1*$AL13),"")</f>
        <v/>
      </c>
      <c r="AI13">
        <f>IFERROR($AG13+(2*$AL13),"")</f>
        <v/>
      </c>
      <c r="AJ13">
        <f>IFERROR($AG13+(-1*$AL13),"")</f>
        <v/>
      </c>
      <c r="AK13">
        <f>IFERROR($AG13+(-2*$AL13),"")</f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/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>
        <f>IFERROR(AM13+(1*AN13),"")</f>
        <v/>
      </c>
      <c r="AP13">
        <f>IFERROR(AM13+(2*AN13),"")</f>
        <v/>
      </c>
      <c r="AQ13">
        <f>IFERROR(AM13+(-1*AN13),"")</f>
        <v/>
      </c>
      <c r="AR13">
        <f>IFERROR(AM13+(-2*AN13),"")</f>
        <v/>
      </c>
    </row>
    <row r="14">
      <c r="A14" s="66" t="inlineStr">
        <is>
          <t>18/08/2004</t>
        </is>
      </c>
      <c r="B14" s="28" t="n">
        <v>67.16</v>
      </c>
      <c r="C14" s="4">
        <f>EOMONTH(C13,0)+1</f>
        <v/>
      </c>
      <c r="D14">
        <f t="array" ref="D14">IFERROR(AVERAGE(_xlfn._xlws.FILTER($B$2:$B$9999,(IFERROR(VALUE(MID($A$2:$A$9999,4,2)),0)=MONTH(C14))*(IFERROR(VALUE(RIGHT($A$2:$A$9999,4)),0)=YEAR(C14)))),"")</f>
        <v/>
      </c>
      <c r="E14">
        <f>IF(ISNUMBER(D14),IF(MONTH(C14)=7,100,IFERROR(100*D14/INDEX($D$2:$D$9999,MATCH(DATE(IF(MONTH(C14)&gt;=7,YEAR(C14),YEAR(C14)-1),7,1),$C$2:$C$9999,0)),"")),"")</f>
        <v/>
      </c>
    </row>
    <row r="15">
      <c r="A15" s="66" t="inlineStr">
        <is>
          <t>19/08/2004</t>
        </is>
      </c>
      <c r="B15" s="28" t="n">
        <v>67.48999999999999</v>
      </c>
      <c r="C15" s="4">
        <f>EOMONTH(C14,0)+1</f>
        <v/>
      </c>
      <c r="D15">
        <f t="array" ref="D15">IFERROR(AVERAGE(_xlfn._xlws.FILTER($B$2:$B$9999,(IFERROR(VALUE(MID($A$2:$A$9999,4,2)),0)=MONTH(C15))*(IFERROR(VALUE(RIGHT($A$2:$A$9999,4)),0)=YEAR(C15)))),"")</f>
        <v/>
      </c>
      <c r="E15">
        <f>IF(ISNUMBER(D15),IF(MONTH(C15)=7,100,IFERROR(100*D15/INDEX($D$2:$D$9999,MATCH(DATE(IF(MONTH(C15)&gt;=7,YEAR(C15),YEAR(C15)-1),7,1),$C$2:$C$9999,0)),"")),"")</f>
        <v/>
      </c>
    </row>
    <row r="16">
      <c r="A16" s="66" t="inlineStr">
        <is>
          <t>20/08/2004</t>
        </is>
      </c>
      <c r="B16" s="28" t="n">
        <v>68.33</v>
      </c>
      <c r="C16" s="4">
        <f>EOMONTH(C15,0)+1</f>
        <v/>
      </c>
      <c r="D16">
        <f t="array" ref="D16">IFERROR(AVERAGE(_xlfn._xlws.FILTER($B$2:$B$9999,(IFERROR(VALUE(MID($A$2:$A$9999,4,2)),0)=MONTH(C16))*(IFERROR(VALUE(RIGHT($A$2:$A$9999,4)),0)=YEAR(C16)))),"")</f>
        <v/>
      </c>
      <c r="E16">
        <f>IF(ISNUMBER(D16),IF(MONTH(C16)=7,100,IFERROR(100*D16/INDEX($D$2:$D$9999,MATCH(DATE(IF(MONTH(C16)&gt;=7,YEAR(C16),YEAR(C16)-1),7,1),$C$2:$C$9999,0)),"")),"")</f>
        <v/>
      </c>
    </row>
    <row r="17">
      <c r="A17" s="66" t="inlineStr">
        <is>
          <t>23/08/2004</t>
        </is>
      </c>
      <c r="B17" s="28" t="n">
        <v>68.59</v>
      </c>
      <c r="C17" s="4">
        <f>EOMONTH(C16,0)+1</f>
        <v/>
      </c>
      <c r="D17">
        <f t="array" ref="D17">IFERROR(AVERAGE(_xlfn._xlws.FILTER($B$2:$B$9999,(IFERROR(VALUE(MID($A$2:$A$9999,4,2)),0)=MONTH(C17))*(IFERROR(VALUE(RIGHT($A$2:$A$9999,4)),0)=YEAR(C17)))),"")</f>
        <v/>
      </c>
      <c r="E17">
        <f>IF(ISNUMBER(D17),IF(MONTH(C17)=7,100,IFERROR(100*D17/INDEX($D$2:$D$9999,MATCH(DATE(IF(MONTH(C17)&gt;=7,YEAR(C17),YEAR(C17)-1),7,1),$C$2:$C$9999,0)),"")),"")</f>
        <v/>
      </c>
    </row>
    <row r="18">
      <c r="A18" s="66" t="inlineStr">
        <is>
          <t>24/08/2004</t>
        </is>
      </c>
      <c r="B18" s="28" t="n">
        <v>69.18000000000001</v>
      </c>
      <c r="C18" s="4">
        <f>EOMONTH(C17,0)+1</f>
        <v/>
      </c>
      <c r="D18">
        <f t="array" ref="D18">IFERROR(AVERAGE(_xlfn._xlws.FILTER($B$2:$B$9999,(IFERROR(VALUE(MID($A$2:$A$9999,4,2)),0)=MONTH(C18))*(IFERROR(VALUE(RIGHT($A$2:$A$9999,4)),0)=YEAR(C18)))),"")</f>
        <v/>
      </c>
      <c r="E18">
        <f>IF(ISNUMBER(D18),IF(MONTH(C18)=7,100,IFERROR(100*D18/INDEX($D$2:$D$9999,MATCH(DATE(IF(MONTH(C18)&gt;=7,YEAR(C18),YEAR(C18)-1),7,1),$C$2:$C$9999,0)),"")),"")</f>
        <v/>
      </c>
    </row>
    <row r="19">
      <c r="A19" s="66" t="inlineStr">
        <is>
          <t>25/08/2004</t>
        </is>
      </c>
      <c r="B19" s="28" t="n">
        <v>69.03</v>
      </c>
      <c r="C19" s="4">
        <f>EOMONTH(C18,0)+1</f>
        <v/>
      </c>
      <c r="D19">
        <f t="array" ref="D19">IFERROR(AVERAGE(_xlfn._xlws.FILTER($B$2:$B$9999,(IFERROR(VALUE(MID($A$2:$A$9999,4,2)),0)=MONTH(C19))*(IFERROR(VALUE(RIGHT($A$2:$A$9999,4)),0)=YEAR(C19)))),"")</f>
        <v/>
      </c>
      <c r="E19">
        <f>IF(ISNUMBER(D19),IF(MONTH(C19)=7,100,IFERROR(100*D19/INDEX($D$2:$D$9999,MATCH(DATE(IF(MONTH(C19)&gt;=7,YEAR(C19),YEAR(C19)-1),7,1),$C$2:$C$9999,0)),"")),"")</f>
        <v/>
      </c>
    </row>
    <row r="20">
      <c r="A20" s="66" t="inlineStr">
        <is>
          <t>26/08/2004</t>
        </is>
      </c>
      <c r="B20" s="28" t="n">
        <v>68.88</v>
      </c>
      <c r="C20" s="4">
        <f>EOMONTH(C19,0)+1</f>
        <v/>
      </c>
      <c r="D20">
        <f t="array" ref="D20">IFERROR(AVERAGE(_xlfn._xlws.FILTER($B$2:$B$9999,(IFERROR(VALUE(MID($A$2:$A$9999,4,2)),0)=MONTH(C20))*(IFERROR(VALUE(RIGHT($A$2:$A$9999,4)),0)=YEAR(C20)))),"")</f>
        <v/>
      </c>
      <c r="E20">
        <f>IF(ISNUMBER(D20),IF(MONTH(C20)=7,100,IFERROR(100*D20/INDEX($D$2:$D$9999,MATCH(DATE(IF(MONTH(C20)&gt;=7,YEAR(C20),YEAR(C20)-1),7,1),$C$2:$C$9999,0)),"")),"")</f>
        <v/>
      </c>
    </row>
    <row r="21">
      <c r="A21" s="66" t="inlineStr">
        <is>
          <t>27/08/2004</t>
        </is>
      </c>
      <c r="B21" s="28" t="n">
        <v>69.77</v>
      </c>
      <c r="C21" s="4">
        <f>EOMONTH(C20,0)+1</f>
        <v/>
      </c>
      <c r="D21">
        <f t="array" ref="D21">IFERROR(AVERAGE(_xlfn._xlws.FILTER($B$2:$B$9999,(IFERROR(VALUE(MID($A$2:$A$9999,4,2)),0)=MONTH(C21))*(IFERROR(VALUE(RIGHT($A$2:$A$9999,4)),0)=YEAR(C21)))),"")</f>
        <v/>
      </c>
      <c r="E21">
        <f>IF(ISNUMBER(D21),IF(MONTH(C21)=7,100,IFERROR(100*D21/INDEX($D$2:$D$9999,MATCH(DATE(IF(MONTH(C21)&gt;=7,YEAR(C21),YEAR(C21)-1),7,1),$C$2:$C$9999,0)),"")),"")</f>
        <v/>
      </c>
    </row>
    <row r="22">
      <c r="A22" s="66" t="inlineStr">
        <is>
          <t>30/08/2004</t>
        </is>
      </c>
      <c r="B22" s="28" t="n">
        <v>69.66</v>
      </c>
      <c r="C22" s="4">
        <f>EOMONTH(C21,0)+1</f>
        <v/>
      </c>
      <c r="D22">
        <f t="array" ref="D22">IFERROR(AVERAGE(_xlfn._xlws.FILTER($B$2:$B$9999,(IFERROR(VALUE(MID($A$2:$A$9999,4,2)),0)=MONTH(C22))*(IFERROR(VALUE(RIGHT($A$2:$A$9999,4)),0)=YEAR(C22)))),"")</f>
        <v/>
      </c>
      <c r="E22">
        <f>IF(ISNUMBER(D22),IF(MONTH(C22)=7,100,IFERROR(100*D22/INDEX($D$2:$D$9999,MATCH(DATE(IF(MONTH(C22)&gt;=7,YEAR(C22),YEAR(C22)-1),7,1),$C$2:$C$9999,0)),"")),"")</f>
        <v/>
      </c>
    </row>
    <row r="23">
      <c r="A23" s="66" t="inlineStr">
        <is>
          <t>31/08/2004</t>
        </is>
      </c>
      <c r="B23" s="28" t="n">
        <v>69.77</v>
      </c>
      <c r="C23" s="4">
        <f>EOMONTH(C22,0)+1</f>
        <v/>
      </c>
      <c r="D23">
        <f t="array" ref="D23">IFERROR(AVERAGE(_xlfn._xlws.FILTER($B$2:$B$9999,(IFERROR(VALUE(MID($A$2:$A$9999,4,2)),0)=MONTH(C23))*(IFERROR(VALUE(RIGHT($A$2:$A$9999,4)),0)=YEAR(C23)))),"")</f>
        <v/>
      </c>
      <c r="E23">
        <f>IF(ISNUMBER(D23),IF(MONTH(C23)=7,100,IFERROR(100*D23/INDEX($D$2:$D$9999,MATCH(DATE(IF(MONTH(C23)&gt;=7,YEAR(C23),YEAR(C23)-1),7,1),$C$2:$C$9999,0)),"")),"")</f>
        <v/>
      </c>
    </row>
    <row r="24">
      <c r="A24" s="66" t="inlineStr">
        <is>
          <t>01/09/2004</t>
        </is>
      </c>
      <c r="B24" s="28" t="n">
        <v>69.8</v>
      </c>
      <c r="C24" s="4">
        <f>EOMONTH(C23,0)+1</f>
        <v/>
      </c>
      <c r="D24">
        <f t="array" ref="D24">IFERROR(AVERAGE(_xlfn._xlws.FILTER($B$2:$B$9999,(IFERROR(VALUE(MID($A$2:$A$9999,4,2)),0)=MONTH(C24))*(IFERROR(VALUE(RIGHT($A$2:$A$9999,4)),0)=YEAR(C24)))),"")</f>
        <v/>
      </c>
      <c r="E24">
        <f>IF(ISNUMBER(D24),IF(MONTH(C24)=7,100,IFERROR(100*D24/INDEX($D$2:$D$9999,MATCH(DATE(IF(MONTH(C24)&gt;=7,YEAR(C24),YEAR(C24)-1),7,1),$C$2:$C$9999,0)),"")),"")</f>
        <v/>
      </c>
    </row>
    <row r="25">
      <c r="A25" s="66" t="inlineStr">
        <is>
          <t>02/09/2004</t>
        </is>
      </c>
      <c r="B25" s="28" t="n">
        <v>69.87</v>
      </c>
      <c r="C25" s="4">
        <f>EOMONTH(C24,0)+1</f>
        <v/>
      </c>
      <c r="D25">
        <f t="array" ref="D25">IFERROR(AVERAGE(_xlfn._xlws.FILTER($B$2:$B$9999,(IFERROR(VALUE(MID($A$2:$A$9999,4,2)),0)=MONTH(C25))*(IFERROR(VALUE(RIGHT($A$2:$A$9999,4)),0)=YEAR(C25)))),"")</f>
        <v/>
      </c>
      <c r="E25">
        <f>IF(ISNUMBER(D25),IF(MONTH(C25)=7,100,IFERROR(100*D25/INDEX($D$2:$D$9999,MATCH(DATE(IF(MONTH(C25)&gt;=7,YEAR(C25),YEAR(C25)-1),7,1),$C$2:$C$9999,0)),"")),"")</f>
        <v/>
      </c>
    </row>
    <row r="26">
      <c r="A26" s="66" t="inlineStr">
        <is>
          <t>03/09/2004</t>
        </is>
      </c>
      <c r="B26" s="28" t="n">
        <v>69.36</v>
      </c>
      <c r="C26" s="4">
        <f>EOMONTH(C25,0)+1</f>
        <v/>
      </c>
      <c r="D26">
        <f t="array" ref="D26">IFERROR(AVERAGE(_xlfn._xlws.FILTER($B$2:$B$9999,(IFERROR(VALUE(MID($A$2:$A$9999,4,2)),0)=MONTH(C26))*(IFERROR(VALUE(RIGHT($A$2:$A$9999,4)),0)=YEAR(C26)))),"")</f>
        <v/>
      </c>
      <c r="E26">
        <f>IF(ISNUMBER(D26),IF(MONTH(C26)=7,100,IFERROR(100*D26/INDEX($D$2:$D$9999,MATCH(DATE(IF(MONTH(C26)&gt;=7,YEAR(C26),YEAR(C26)-1),7,1),$C$2:$C$9999,0)),"")),"")</f>
        <v/>
      </c>
    </row>
    <row r="27">
      <c r="A27" s="66" t="inlineStr">
        <is>
          <t>06/09/2004</t>
        </is>
      </c>
      <c r="B27" s="28" t="n">
        <v>69.8</v>
      </c>
      <c r="C27" s="4">
        <f>EOMONTH(C26,0)+1</f>
        <v/>
      </c>
      <c r="D27">
        <f t="array" ref="D27">IFERROR(AVERAGE(_xlfn._xlws.FILTER($B$2:$B$9999,(IFERROR(VALUE(MID($A$2:$A$9999,4,2)),0)=MONTH(C27))*(IFERROR(VALUE(RIGHT($A$2:$A$9999,4)),0)=YEAR(C27)))),"")</f>
        <v/>
      </c>
      <c r="E27">
        <f>IF(ISNUMBER(D27),IF(MONTH(C27)=7,100,IFERROR(100*D27/INDEX($D$2:$D$9999,MATCH(DATE(IF(MONTH(C27)&gt;=7,YEAR(C27),YEAR(C27)-1),7,1),$C$2:$C$9999,0)),"")),"")</f>
        <v/>
      </c>
    </row>
    <row r="28">
      <c r="A28" s="66" t="inlineStr">
        <is>
          <t>09/09/2004</t>
        </is>
      </c>
      <c r="B28" s="28" t="n">
        <v>69.47</v>
      </c>
      <c r="C28" s="4">
        <f>EOMONTH(C27,0)+1</f>
        <v/>
      </c>
      <c r="D28">
        <f t="array" ref="D28">IFERROR(AVERAGE(_xlfn._xlws.FILTER($B$2:$B$9999,(IFERROR(VALUE(MID($A$2:$A$9999,4,2)),0)=MONTH(C28))*(IFERROR(VALUE(RIGHT($A$2:$A$9999,4)),0)=YEAR(C28)))),"")</f>
        <v/>
      </c>
      <c r="E28">
        <f>IF(ISNUMBER(D28),IF(MONTH(C28)=7,100,IFERROR(100*D28/INDEX($D$2:$D$9999,MATCH(DATE(IF(MONTH(C28)&gt;=7,YEAR(C28),YEAR(C28)-1),7,1),$C$2:$C$9999,0)),"")),"")</f>
        <v/>
      </c>
    </row>
    <row r="29">
      <c r="A29" s="66" t="inlineStr">
        <is>
          <t>10/09/2004</t>
        </is>
      </c>
      <c r="B29" s="28" t="n">
        <v>69.65000000000001</v>
      </c>
      <c r="C29" s="4">
        <f>EOMONTH(C28,0)+1</f>
        <v/>
      </c>
      <c r="D29">
        <f t="array" ref="D29">IFERROR(AVERAGE(_xlfn._xlws.FILTER($B$2:$B$9999,(IFERROR(VALUE(MID($A$2:$A$9999,4,2)),0)=MONTH(C29))*(IFERROR(VALUE(RIGHT($A$2:$A$9999,4)),0)=YEAR(C29)))),"")</f>
        <v/>
      </c>
      <c r="E29">
        <f>IF(ISNUMBER(D29),IF(MONTH(C29)=7,100,IFERROR(100*D29/INDEX($D$2:$D$9999,MATCH(DATE(IF(MONTH(C29)&gt;=7,YEAR(C29),YEAR(C29)-1),7,1),$C$2:$C$9999,0)),"")),"")</f>
        <v/>
      </c>
    </row>
    <row r="30">
      <c r="A30" s="66" t="inlineStr">
        <is>
          <t>13/09/2004</t>
        </is>
      </c>
      <c r="B30" s="28" t="n">
        <v>69.76000000000001</v>
      </c>
      <c r="C30" s="4">
        <f>EOMONTH(C29,0)+1</f>
        <v/>
      </c>
      <c r="D30">
        <f t="array" ref="D30">IFERROR(AVERAGE(_xlfn._xlws.FILTER($B$2:$B$9999,(IFERROR(VALUE(MID($A$2:$A$9999,4,2)),0)=MONTH(C30))*(IFERROR(VALUE(RIGHT($A$2:$A$9999,4)),0)=YEAR(C30)))),"")</f>
        <v/>
      </c>
      <c r="E30">
        <f>IF(ISNUMBER(D30),IF(MONTH(C30)=7,100,IFERROR(100*D30/INDEX($D$2:$D$9999,MATCH(DATE(IF(MONTH(C30)&gt;=7,YEAR(C30),YEAR(C30)-1),7,1),$C$2:$C$9999,0)),"")),"")</f>
        <v/>
      </c>
    </row>
    <row r="31">
      <c r="A31" s="66" t="inlineStr">
        <is>
          <t>14/09/2004</t>
        </is>
      </c>
      <c r="B31" s="28" t="n">
        <v>69.69</v>
      </c>
      <c r="C31" s="4">
        <f>EOMONTH(C30,0)+1</f>
        <v/>
      </c>
      <c r="D31">
        <f t="array" ref="D31">IFERROR(AVERAGE(_xlfn._xlws.FILTER($B$2:$B$9999,(IFERROR(VALUE(MID($A$2:$A$9999,4,2)),0)=MONTH(C31))*(IFERROR(VALUE(RIGHT($A$2:$A$9999,4)),0)=YEAR(C31)))),"")</f>
        <v/>
      </c>
      <c r="E31">
        <f>IF(ISNUMBER(D31),IF(MONTH(C31)=7,100,IFERROR(100*D31/INDEX($D$2:$D$9999,MATCH(DATE(IF(MONTH(C31)&gt;=7,YEAR(C31),YEAR(C31)-1),7,1),$C$2:$C$9999,0)),"")),"")</f>
        <v/>
      </c>
    </row>
    <row r="32">
      <c r="A32" s="66" t="inlineStr">
        <is>
          <t>15/09/2004</t>
        </is>
      </c>
      <c r="B32" s="28" t="n">
        <v>70.13</v>
      </c>
      <c r="C32" s="4">
        <f>EOMONTH(C31,0)+1</f>
        <v/>
      </c>
      <c r="D32">
        <f t="array" ref="D32">IFERROR(AVERAGE(_xlfn._xlws.FILTER($B$2:$B$9999,(IFERROR(VALUE(MID($A$2:$A$9999,4,2)),0)=MONTH(C32))*(IFERROR(VALUE(RIGHT($A$2:$A$9999,4)),0)=YEAR(C32)))),"")</f>
        <v/>
      </c>
      <c r="E32">
        <f>IF(ISNUMBER(D32),IF(MONTH(C32)=7,100,IFERROR(100*D32/INDEX($D$2:$D$9999,MATCH(DATE(IF(MONTH(C32)&gt;=7,YEAR(C32),YEAR(C32)-1),7,1),$C$2:$C$9999,0)),"")),"")</f>
        <v/>
      </c>
    </row>
    <row r="33">
      <c r="A33" s="66" t="inlineStr">
        <is>
          <t>16/09/2004</t>
        </is>
      </c>
      <c r="B33" s="28" t="n">
        <v>70.42</v>
      </c>
      <c r="C33" s="4">
        <f>EOMONTH(C32,0)+1</f>
        <v/>
      </c>
      <c r="D33">
        <f t="array" ref="D33">IFERROR(AVERAGE(_xlfn._xlws.FILTER($B$2:$B$9999,(IFERROR(VALUE(MID($A$2:$A$9999,4,2)),0)=MONTH(C33))*(IFERROR(VALUE(RIGHT($A$2:$A$9999,4)),0)=YEAR(C33)))),"")</f>
        <v/>
      </c>
      <c r="E33">
        <f>IF(ISNUMBER(D33),IF(MONTH(C33)=7,100,IFERROR(100*D33/INDEX($D$2:$D$9999,MATCH(DATE(IF(MONTH(C33)&gt;=7,YEAR(C33),YEAR(C33)-1),7,1),$C$2:$C$9999,0)),"")),"")</f>
        <v/>
      </c>
    </row>
    <row r="34">
      <c r="A34" s="66" t="inlineStr">
        <is>
          <t>17/09/2004</t>
        </is>
      </c>
      <c r="B34" s="28" t="n">
        <v>70.09</v>
      </c>
      <c r="C34" s="4">
        <f>EOMONTH(C33,0)+1</f>
        <v/>
      </c>
      <c r="D34">
        <f t="array" ref="D34">IFERROR(AVERAGE(_xlfn._xlws.FILTER($B$2:$B$9999,(IFERROR(VALUE(MID($A$2:$A$9999,4,2)),0)=MONTH(C34))*(IFERROR(VALUE(RIGHT($A$2:$A$9999,4)),0)=YEAR(C34)))),"")</f>
        <v/>
      </c>
      <c r="E34">
        <f>IF(ISNUMBER(D34),IF(MONTH(C34)=7,100,IFERROR(100*D34/INDEX($D$2:$D$9999,MATCH(DATE(IF(MONTH(C34)&gt;=7,YEAR(C34),YEAR(C34)-1),7,1),$C$2:$C$9999,0)),"")),"")</f>
        <v/>
      </c>
    </row>
    <row r="35">
      <c r="A35" s="66" t="inlineStr">
        <is>
          <t>20/09/2004</t>
        </is>
      </c>
      <c r="B35" s="28" t="n">
        <v>69.91</v>
      </c>
      <c r="C35" s="4">
        <f>EOMONTH(C34,0)+1</f>
        <v/>
      </c>
      <c r="D35">
        <f t="array" ref="D35">IFERROR(AVERAGE(_xlfn._xlws.FILTER($B$2:$B$9999,(IFERROR(VALUE(MID($A$2:$A$9999,4,2)),0)=MONTH(C35))*(IFERROR(VALUE(RIGHT($A$2:$A$9999,4)),0)=YEAR(C35)))),"")</f>
        <v/>
      </c>
      <c r="E35">
        <f>IF(ISNUMBER(D35),IF(MONTH(C35)=7,100,IFERROR(100*D35/INDEX($D$2:$D$9999,MATCH(DATE(IF(MONTH(C35)&gt;=7,YEAR(C35),YEAR(C35)-1),7,1),$C$2:$C$9999,0)),"")),"")</f>
        <v/>
      </c>
    </row>
    <row r="36">
      <c r="A36" s="66" t="inlineStr">
        <is>
          <t>21/09/2004</t>
        </is>
      </c>
      <c r="B36" s="28" t="n">
        <v>69.76000000000001</v>
      </c>
      <c r="C36" s="4">
        <f>EOMONTH(C35,0)+1</f>
        <v/>
      </c>
      <c r="D36">
        <f t="array" ref="D36">IFERROR(AVERAGE(_xlfn._xlws.FILTER($B$2:$B$9999,(IFERROR(VALUE(MID($A$2:$A$9999,4,2)),0)=MONTH(C36))*(IFERROR(VALUE(RIGHT($A$2:$A$9999,4)),0)=YEAR(C36)))),"")</f>
        <v/>
      </c>
      <c r="E36">
        <f>IF(ISNUMBER(D36),IF(MONTH(C36)=7,100,IFERROR(100*D36/INDEX($D$2:$D$9999,MATCH(DATE(IF(MONTH(C36)&gt;=7,YEAR(C36),YEAR(C36)-1),7,1),$C$2:$C$9999,0)),"")),"")</f>
        <v/>
      </c>
    </row>
    <row r="37">
      <c r="A37" s="66" t="inlineStr">
        <is>
          <t>22/09/2004</t>
        </is>
      </c>
      <c r="B37" s="28" t="n">
        <v>69.62</v>
      </c>
      <c r="C37" s="4">
        <f>EOMONTH(C36,0)+1</f>
        <v/>
      </c>
      <c r="D37">
        <f t="array" ref="D37">IFERROR(AVERAGE(_xlfn._xlws.FILTER($B$2:$B$9999,(IFERROR(VALUE(MID($A$2:$A$9999,4,2)),0)=MONTH(C37))*(IFERROR(VALUE(RIGHT($A$2:$A$9999,4)),0)=YEAR(C37)))),"")</f>
        <v/>
      </c>
      <c r="E37">
        <f>IF(ISNUMBER(D37),IF(MONTH(C37)=7,100,IFERROR(100*D37/INDEX($D$2:$D$9999,MATCH(DATE(IF(MONTH(C37)&gt;=7,YEAR(C37),YEAR(C37)-1),7,1),$C$2:$C$9999,0)),"")),"")</f>
        <v/>
      </c>
    </row>
    <row r="38">
      <c r="A38" s="66" t="inlineStr">
        <is>
          <t>23/09/2004</t>
        </is>
      </c>
      <c r="B38" s="28" t="n">
        <v>69.18000000000001</v>
      </c>
      <c r="C38" s="4">
        <f>EOMONTH(C37,0)+1</f>
        <v/>
      </c>
      <c r="D38">
        <f t="array" ref="D38">IFERROR(AVERAGE(_xlfn._xlws.FILTER($B$2:$B$9999,(IFERROR(VALUE(MID($A$2:$A$9999,4,2)),0)=MONTH(C38))*(IFERROR(VALUE(RIGHT($A$2:$A$9999,4)),0)=YEAR(C38)))),"")</f>
        <v/>
      </c>
      <c r="E38">
        <f>IF(ISNUMBER(D38),IF(MONTH(C38)=7,100,IFERROR(100*D38/INDEX($D$2:$D$9999,MATCH(DATE(IF(MONTH(C38)&gt;=7,YEAR(C38),YEAR(C38)-1),7,1),$C$2:$C$9999,0)),"")),"")</f>
        <v/>
      </c>
    </row>
    <row r="39">
      <c r="A39" s="66" t="inlineStr">
        <is>
          <t>24/09/2004</t>
        </is>
      </c>
      <c r="B39" s="28" t="n">
        <v>69.29000000000001</v>
      </c>
      <c r="C39" s="4">
        <f>EOMONTH(C38,0)+1</f>
        <v/>
      </c>
      <c r="D39">
        <f t="array" ref="D39">IFERROR(AVERAGE(_xlfn._xlws.FILTER($B$2:$B$9999,(IFERROR(VALUE(MID($A$2:$A$9999,4,2)),0)=MONTH(C39))*(IFERROR(VALUE(RIGHT($A$2:$A$9999,4)),0)=YEAR(C39)))),"")</f>
        <v/>
      </c>
      <c r="E39">
        <f>IF(ISNUMBER(D39),IF(MONTH(C39)=7,100,IFERROR(100*D39/INDEX($D$2:$D$9999,MATCH(DATE(IF(MONTH(C39)&gt;=7,YEAR(C39),YEAR(C39)-1),7,1),$C$2:$C$9999,0)),"")),"")</f>
        <v/>
      </c>
    </row>
    <row r="40">
      <c r="A40" s="66" t="inlineStr">
        <is>
          <t>27/09/2004</t>
        </is>
      </c>
      <c r="B40" s="28" t="n">
        <v>69.91</v>
      </c>
      <c r="C40" s="4">
        <f>EOMONTH(C39,0)+1</f>
        <v/>
      </c>
      <c r="D40">
        <f t="array" ref="D40">IFERROR(AVERAGE(_xlfn._xlws.FILTER($B$2:$B$9999,(IFERROR(VALUE(MID($A$2:$A$9999,4,2)),0)=MONTH(C40))*(IFERROR(VALUE(RIGHT($A$2:$A$9999,4)),0)=YEAR(C40)))),"")</f>
        <v/>
      </c>
      <c r="E40">
        <f>IF(ISNUMBER(D40),IF(MONTH(C40)=7,100,IFERROR(100*D40/INDEX($D$2:$D$9999,MATCH(DATE(IF(MONTH(C40)&gt;=7,YEAR(C40),YEAR(C40)-1),7,1),$C$2:$C$9999,0)),"")),"")</f>
        <v/>
      </c>
    </row>
    <row r="41">
      <c r="A41" s="66" t="inlineStr">
        <is>
          <t>28/09/2004</t>
        </is>
      </c>
      <c r="B41" s="28" t="n">
        <v>69.44</v>
      </c>
      <c r="C41" s="4">
        <f>EOMONTH(C40,0)+1</f>
        <v/>
      </c>
      <c r="D41">
        <f t="array" ref="D41">IFERROR(AVERAGE(_xlfn._xlws.FILTER($B$2:$B$9999,(IFERROR(VALUE(MID($A$2:$A$9999,4,2)),0)=MONTH(C41))*(IFERROR(VALUE(RIGHT($A$2:$A$9999,4)),0)=YEAR(C41)))),"")</f>
        <v/>
      </c>
      <c r="E41">
        <f>IF(ISNUMBER(D41),IF(MONTH(C41)=7,100,IFERROR(100*D41/INDEX($D$2:$D$9999,MATCH(DATE(IF(MONTH(C41)&gt;=7,YEAR(C41),YEAR(C41)-1),7,1),$C$2:$C$9999,0)),"")),"")</f>
        <v/>
      </c>
    </row>
    <row r="42">
      <c r="A42" s="66" t="inlineStr">
        <is>
          <t>29/09/2004</t>
        </is>
      </c>
      <c r="B42" s="28" t="n">
        <v>68.27</v>
      </c>
      <c r="C42" s="4">
        <f>EOMONTH(C41,0)+1</f>
        <v/>
      </c>
      <c r="D42">
        <f t="array" ref="D42">IFERROR(AVERAGE(_xlfn._xlws.FILTER($B$2:$B$9999,(IFERROR(VALUE(MID($A$2:$A$9999,4,2)),0)=MONTH(C42))*(IFERROR(VALUE(RIGHT($A$2:$A$9999,4)),0)=YEAR(C42)))),"")</f>
        <v/>
      </c>
      <c r="E42">
        <f>IF(ISNUMBER(D42),IF(MONTH(C42)=7,100,IFERROR(100*D42/INDEX($D$2:$D$9999,MATCH(DATE(IF(MONTH(C42)&gt;=7,YEAR(C42),YEAR(C42)-1),7,1),$C$2:$C$9999,0)),"")),"")</f>
        <v/>
      </c>
    </row>
    <row r="43">
      <c r="A43" s="66" t="inlineStr">
        <is>
          <t>30/09/2004</t>
        </is>
      </c>
      <c r="B43" s="28" t="n">
        <v>68.12</v>
      </c>
      <c r="C43" s="4">
        <f>EOMONTH(C42,0)+1</f>
        <v/>
      </c>
      <c r="D43">
        <f t="array" ref="D43">IFERROR(AVERAGE(_xlfn._xlws.FILTER($B$2:$B$9999,(IFERROR(VALUE(MID($A$2:$A$9999,4,2)),0)=MONTH(C43))*(IFERROR(VALUE(RIGHT($A$2:$A$9999,4)),0)=YEAR(C43)))),"")</f>
        <v/>
      </c>
      <c r="E43">
        <f>IF(ISNUMBER(D43),IF(MONTH(C43)=7,100,IFERROR(100*D43/INDEX($D$2:$D$9999,MATCH(DATE(IF(MONTH(C43)&gt;=7,YEAR(C43),YEAR(C43)-1),7,1),$C$2:$C$9999,0)),"")),"")</f>
        <v/>
      </c>
    </row>
    <row r="44">
      <c r="A44" s="66" t="inlineStr">
        <is>
          <t>01/10/2004</t>
        </is>
      </c>
      <c r="B44" s="28" t="n">
        <v>67.34999999999999</v>
      </c>
      <c r="C44" s="4">
        <f>EOMONTH(C43,0)+1</f>
        <v/>
      </c>
      <c r="D44">
        <f t="array" ref="D44">IFERROR(AVERAGE(_xlfn._xlws.FILTER($B$2:$B$9999,(IFERROR(VALUE(MID($A$2:$A$9999,4,2)),0)=MONTH(C44))*(IFERROR(VALUE(RIGHT($A$2:$A$9999,4)),0)=YEAR(C44)))),"")</f>
        <v/>
      </c>
      <c r="E44">
        <f>IF(ISNUMBER(D44),IF(MONTH(C44)=7,100,IFERROR(100*D44/INDEX($D$2:$D$9999,MATCH(DATE(IF(MONTH(C44)&gt;=7,YEAR(C44),YEAR(C44)-1),7,1),$C$2:$C$9999,0)),"")),"")</f>
        <v/>
      </c>
    </row>
    <row r="45">
      <c r="A45" s="66" t="inlineStr">
        <is>
          <t>04/10/2004</t>
        </is>
      </c>
      <c r="B45" s="28" t="n">
        <v>66.98</v>
      </c>
      <c r="C45" s="4">
        <f>EOMONTH(C44,0)+1</f>
        <v/>
      </c>
      <c r="D45">
        <f t="array" ref="D45">IFERROR(AVERAGE(_xlfn._xlws.FILTER($B$2:$B$9999,(IFERROR(VALUE(MID($A$2:$A$9999,4,2)),0)=MONTH(C45))*(IFERROR(VALUE(RIGHT($A$2:$A$9999,4)),0)=YEAR(C45)))),"")</f>
        <v/>
      </c>
      <c r="E45">
        <f>IF(ISNUMBER(D45),IF(MONTH(C45)=7,100,IFERROR(100*D45/INDEX($D$2:$D$9999,MATCH(DATE(IF(MONTH(C45)&gt;=7,YEAR(C45),YEAR(C45)-1),7,1),$C$2:$C$9999,0)),"")),"")</f>
        <v/>
      </c>
    </row>
    <row r="46">
      <c r="A46" s="66" t="inlineStr">
        <is>
          <t>05/10/2004</t>
        </is>
      </c>
      <c r="B46" s="28" t="n">
        <v>67.16</v>
      </c>
      <c r="C46" s="4">
        <f>EOMONTH(C45,0)+1</f>
        <v/>
      </c>
      <c r="D46">
        <f t="array" ref="D46">IFERROR(AVERAGE(_xlfn._xlws.FILTER($B$2:$B$9999,(IFERROR(VALUE(MID($A$2:$A$9999,4,2)),0)=MONTH(C46))*(IFERROR(VALUE(RIGHT($A$2:$A$9999,4)),0)=YEAR(C46)))),"")</f>
        <v/>
      </c>
      <c r="E46">
        <f>IF(ISNUMBER(D46),IF(MONTH(C46)=7,100,IFERROR(100*D46/INDEX($D$2:$D$9999,MATCH(DATE(IF(MONTH(C46)&gt;=7,YEAR(C46),YEAR(C46)-1),7,1),$C$2:$C$9999,0)),"")),"")</f>
        <v/>
      </c>
    </row>
    <row r="47">
      <c r="A47" s="66" t="inlineStr">
        <is>
          <t>06/10/2004</t>
        </is>
      </c>
      <c r="B47" s="28" t="n">
        <v>66.47</v>
      </c>
      <c r="C47" s="4">
        <f>EOMONTH(C46,0)+1</f>
        <v/>
      </c>
      <c r="D47">
        <f t="array" ref="D47">IFERROR(AVERAGE(_xlfn._xlws.FILTER($B$2:$B$9999,(IFERROR(VALUE(MID($A$2:$A$9999,4,2)),0)=MONTH(C47))*(IFERROR(VALUE(RIGHT($A$2:$A$9999,4)),0)=YEAR(C47)))),"")</f>
        <v/>
      </c>
      <c r="E47">
        <f>IF(ISNUMBER(D47),IF(MONTH(C47)=7,100,IFERROR(100*D47/INDEX($D$2:$D$9999,MATCH(DATE(IF(MONTH(C47)&gt;=7,YEAR(C47),YEAR(C47)-1),7,1),$C$2:$C$9999,0)),"")),"")</f>
        <v/>
      </c>
    </row>
    <row r="48">
      <c r="A48" s="66" t="inlineStr">
        <is>
          <t>07/10/2004</t>
        </is>
      </c>
      <c r="B48" s="28" t="n">
        <v>66.55</v>
      </c>
      <c r="C48" s="4">
        <f>EOMONTH(C47,0)+1</f>
        <v/>
      </c>
      <c r="D48">
        <f t="array" ref="D48">IFERROR(AVERAGE(_xlfn._xlws.FILTER($B$2:$B$9999,(IFERROR(VALUE(MID($A$2:$A$9999,4,2)),0)=MONTH(C48))*(IFERROR(VALUE(RIGHT($A$2:$A$9999,4)),0)=YEAR(C48)))),"")</f>
        <v/>
      </c>
      <c r="E48">
        <f>IF(ISNUMBER(D48),IF(MONTH(C48)=7,100,IFERROR(100*D48/INDEX($D$2:$D$9999,MATCH(DATE(IF(MONTH(C48)&gt;=7,YEAR(C48),YEAR(C48)-1),7,1),$C$2:$C$9999,0)),"")),"")</f>
        <v/>
      </c>
    </row>
    <row r="49">
      <c r="A49" s="66" t="inlineStr">
        <is>
          <t>08/10/2004</t>
        </is>
      </c>
      <c r="B49" s="28" t="n">
        <v>66.69</v>
      </c>
      <c r="C49" s="4">
        <f>EOMONTH(C48,0)+1</f>
        <v/>
      </c>
      <c r="D49">
        <f t="array" ref="D49">IFERROR(AVERAGE(_xlfn._xlws.FILTER($B$2:$B$9999,(IFERROR(VALUE(MID($A$2:$A$9999,4,2)),0)=MONTH(C49))*(IFERROR(VALUE(RIGHT($A$2:$A$9999,4)),0)=YEAR(C49)))),"")</f>
        <v/>
      </c>
      <c r="E49">
        <f>IF(ISNUMBER(D49),IF(MONTH(C49)=7,100,IFERROR(100*D49/INDEX($D$2:$D$9999,MATCH(DATE(IF(MONTH(C49)&gt;=7,YEAR(C49),YEAR(C49)-1),7,1),$C$2:$C$9999,0)),"")),"")</f>
        <v/>
      </c>
    </row>
    <row r="50">
      <c r="A50" s="66" t="inlineStr">
        <is>
          <t>11/10/2004</t>
        </is>
      </c>
      <c r="B50" s="28" t="n">
        <v>66.62</v>
      </c>
      <c r="C50" s="4">
        <f>EOMONTH(C49,0)+1</f>
        <v/>
      </c>
      <c r="D50">
        <f t="array" ref="D50">IFERROR(AVERAGE(_xlfn._xlws.FILTER($B$2:$B$9999,(IFERROR(VALUE(MID($A$2:$A$9999,4,2)),0)=MONTH(C50))*(IFERROR(VALUE(RIGHT($A$2:$A$9999,4)),0)=YEAR(C50)))),"")</f>
        <v/>
      </c>
      <c r="E50">
        <f>IF(ISNUMBER(D50),IF(MONTH(C50)=7,100,IFERROR(100*D50/INDEX($D$2:$D$9999,MATCH(DATE(IF(MONTH(C50)&gt;=7,YEAR(C50),YEAR(C50)-1),7,1),$C$2:$C$9999,0)),"")),"")</f>
        <v/>
      </c>
    </row>
    <row r="51">
      <c r="A51" s="66" t="inlineStr">
        <is>
          <t>13/10/2004</t>
        </is>
      </c>
      <c r="B51" s="28" t="n">
        <v>67.02</v>
      </c>
      <c r="C51" s="4">
        <f>EOMONTH(C50,0)+1</f>
        <v/>
      </c>
      <c r="D51">
        <f t="array" ref="D51">IFERROR(AVERAGE(_xlfn._xlws.FILTER($B$2:$B$9999,(IFERROR(VALUE(MID($A$2:$A$9999,4,2)),0)=MONTH(C51))*(IFERROR(VALUE(RIGHT($A$2:$A$9999,4)),0)=YEAR(C51)))),"")</f>
        <v/>
      </c>
      <c r="E51">
        <f>IF(ISNUMBER(D51),IF(MONTH(C51)=7,100,IFERROR(100*D51/INDEX($D$2:$D$9999,MATCH(DATE(IF(MONTH(C51)&gt;=7,YEAR(C51),YEAR(C51)-1),7,1),$C$2:$C$9999,0)),"")),"")</f>
        <v/>
      </c>
    </row>
    <row r="52">
      <c r="A52" s="66" t="inlineStr">
        <is>
          <t>14/10/2004</t>
        </is>
      </c>
      <c r="B52" s="28" t="n">
        <v>67.2</v>
      </c>
      <c r="C52" s="4">
        <f>EOMONTH(C51,0)+1</f>
        <v/>
      </c>
      <c r="D52">
        <f t="array" ref="D52">IFERROR(AVERAGE(_xlfn._xlws.FILTER($B$2:$B$9999,(IFERROR(VALUE(MID($A$2:$A$9999,4,2)),0)=MONTH(C52))*(IFERROR(VALUE(RIGHT($A$2:$A$9999,4)),0)=YEAR(C52)))),"")</f>
        <v/>
      </c>
      <c r="E52">
        <f>IF(ISNUMBER(D52),IF(MONTH(C52)=7,100,IFERROR(100*D52/INDEX($D$2:$D$9999,MATCH(DATE(IF(MONTH(C52)&gt;=7,YEAR(C52),YEAR(C52)-1),7,1),$C$2:$C$9999,0)),"")),"")</f>
        <v/>
      </c>
    </row>
    <row r="53">
      <c r="A53" s="66" t="inlineStr">
        <is>
          <t>15/10/2004</t>
        </is>
      </c>
      <c r="B53" s="28" t="n">
        <v>67.27</v>
      </c>
      <c r="C53" s="4">
        <f>EOMONTH(C52,0)+1</f>
        <v/>
      </c>
      <c r="D53">
        <f t="array" ref="D53">IFERROR(AVERAGE(_xlfn._xlws.FILTER($B$2:$B$9999,(IFERROR(VALUE(MID($A$2:$A$9999,4,2)),0)=MONTH(C53))*(IFERROR(VALUE(RIGHT($A$2:$A$9999,4)),0)=YEAR(C53)))),"")</f>
        <v/>
      </c>
      <c r="E53">
        <f>IF(ISNUMBER(D53),IF(MONTH(C53)=7,100,IFERROR(100*D53/INDEX($D$2:$D$9999,MATCH(DATE(IF(MONTH(C53)&gt;=7,YEAR(C53),YEAR(C53)-1),7,1),$C$2:$C$9999,0)),"")),"")</f>
        <v/>
      </c>
    </row>
    <row r="54">
      <c r="A54" s="66" t="inlineStr">
        <is>
          <t>18/10/2004</t>
        </is>
      </c>
      <c r="B54" s="28" t="n">
        <v>66.8</v>
      </c>
      <c r="C54" s="4">
        <f>EOMONTH(C53,0)+1</f>
        <v/>
      </c>
      <c r="D54">
        <f t="array" ref="D54">IFERROR(AVERAGE(_xlfn._xlws.FILTER($B$2:$B$9999,(IFERROR(VALUE(MID($A$2:$A$9999,4,2)),0)=MONTH(C54))*(IFERROR(VALUE(RIGHT($A$2:$A$9999,4)),0)=YEAR(C54)))),"")</f>
        <v/>
      </c>
      <c r="E54">
        <f>IF(ISNUMBER(D54),IF(MONTH(C54)=7,100,IFERROR(100*D54/INDEX($D$2:$D$9999,MATCH(DATE(IF(MONTH(C54)&gt;=7,YEAR(C54),YEAR(C54)-1),7,1),$C$2:$C$9999,0)),"")),"")</f>
        <v/>
      </c>
    </row>
    <row r="55">
      <c r="A55" s="66" t="inlineStr">
        <is>
          <t>19/10/2004</t>
        </is>
      </c>
      <c r="B55" s="28" t="n">
        <v>66.91</v>
      </c>
      <c r="C55" s="4">
        <f>EOMONTH(C54,0)+1</f>
        <v/>
      </c>
      <c r="D55">
        <f t="array" ref="D55">IFERROR(AVERAGE(_xlfn._xlws.FILTER($B$2:$B$9999,(IFERROR(VALUE(MID($A$2:$A$9999,4,2)),0)=MONTH(C55))*(IFERROR(VALUE(RIGHT($A$2:$A$9999,4)),0)=YEAR(C55)))),"")</f>
        <v/>
      </c>
      <c r="E55">
        <f>IF(ISNUMBER(D55),IF(MONTH(C55)=7,100,IFERROR(100*D55/INDEX($D$2:$D$9999,MATCH(DATE(IF(MONTH(C55)&gt;=7,YEAR(C55),YEAR(C55)-1),7,1),$C$2:$C$9999,0)),"")),"")</f>
        <v/>
      </c>
    </row>
    <row r="56">
      <c r="A56" s="66" t="inlineStr">
        <is>
          <t>20/10/2004</t>
        </is>
      </c>
      <c r="B56" s="28" t="n">
        <v>66.36</v>
      </c>
      <c r="C56" s="4">
        <f>EOMONTH(C55,0)+1</f>
        <v/>
      </c>
      <c r="D56">
        <f t="array" ref="D56">IFERROR(AVERAGE(_xlfn._xlws.FILTER($B$2:$B$9999,(IFERROR(VALUE(MID($A$2:$A$9999,4,2)),0)=MONTH(C56))*(IFERROR(VALUE(RIGHT($A$2:$A$9999,4)),0)=YEAR(C56)))),"")</f>
        <v/>
      </c>
      <c r="E56">
        <f>IF(ISNUMBER(D56),IF(MONTH(C56)=7,100,IFERROR(100*D56/INDEX($D$2:$D$9999,MATCH(DATE(IF(MONTH(C56)&gt;=7,YEAR(C56),YEAR(C56)-1),7,1),$C$2:$C$9999,0)),"")),"")</f>
        <v/>
      </c>
    </row>
    <row r="57">
      <c r="A57" s="66" t="inlineStr">
        <is>
          <t>21/10/2004</t>
        </is>
      </c>
      <c r="B57" s="28" t="n">
        <v>65.67</v>
      </c>
      <c r="C57" s="4">
        <f>EOMONTH(C56,0)+1</f>
        <v/>
      </c>
      <c r="D57">
        <f t="array" ref="D57">IFERROR(AVERAGE(_xlfn._xlws.FILTER($B$2:$B$9999,(IFERROR(VALUE(MID($A$2:$A$9999,4,2)),0)=MONTH(C57))*(IFERROR(VALUE(RIGHT($A$2:$A$9999,4)),0)=YEAR(C57)))),"")</f>
        <v/>
      </c>
      <c r="E57">
        <f>IF(ISNUMBER(D57),IF(MONTH(C57)=7,100,IFERROR(100*D57/INDEX($D$2:$D$9999,MATCH(DATE(IF(MONTH(C57)&gt;=7,YEAR(C57),YEAR(C57)-1),7,1),$C$2:$C$9999,0)),"")),"")</f>
        <v/>
      </c>
    </row>
    <row r="58">
      <c r="A58" s="66" t="inlineStr">
        <is>
          <t>22/10/2004</t>
        </is>
      </c>
      <c r="B58" s="28" t="n">
        <v>65.81999999999999</v>
      </c>
      <c r="C58" s="4">
        <f>EOMONTH(C57,0)+1</f>
        <v/>
      </c>
      <c r="D58">
        <f t="array" ref="D58">IFERROR(AVERAGE(_xlfn._xlws.FILTER($B$2:$B$9999,(IFERROR(VALUE(MID($A$2:$A$9999,4,2)),0)=MONTH(C58))*(IFERROR(VALUE(RIGHT($A$2:$A$9999,4)),0)=YEAR(C58)))),"")</f>
        <v/>
      </c>
      <c r="E58">
        <f>IF(ISNUMBER(D58),IF(MONTH(C58)=7,100,IFERROR(100*D58/INDEX($D$2:$D$9999,MATCH(DATE(IF(MONTH(C58)&gt;=7,YEAR(C58),YEAR(C58)-1),7,1),$C$2:$C$9999,0)),"")),"")</f>
        <v/>
      </c>
    </row>
    <row r="59">
      <c r="A59" s="66" t="inlineStr">
        <is>
          <t>25/10/2004</t>
        </is>
      </c>
      <c r="B59" s="28" t="n">
        <v>65.84999999999999</v>
      </c>
      <c r="C59" s="4">
        <f>EOMONTH(C58,0)+1</f>
        <v/>
      </c>
      <c r="D59">
        <f t="array" ref="D59">IFERROR(AVERAGE(_xlfn._xlws.FILTER($B$2:$B$9999,(IFERROR(VALUE(MID($A$2:$A$9999,4,2)),0)=MONTH(C59))*(IFERROR(VALUE(RIGHT($A$2:$A$9999,4)),0)=YEAR(C59)))),"")</f>
        <v/>
      </c>
      <c r="E59">
        <f>IF(ISNUMBER(D59),IF(MONTH(C59)=7,100,IFERROR(100*D59/INDEX($D$2:$D$9999,MATCH(DATE(IF(MONTH(C59)&gt;=7,YEAR(C59),YEAR(C59)-1),7,1),$C$2:$C$9999,0)),"")),"")</f>
        <v/>
      </c>
    </row>
    <row r="60">
      <c r="A60" s="66" t="inlineStr">
        <is>
          <t>26/10/2004</t>
        </is>
      </c>
      <c r="B60" s="28" t="n">
        <v>65.64</v>
      </c>
      <c r="C60" s="4">
        <f>EOMONTH(C59,0)+1</f>
        <v/>
      </c>
      <c r="D60">
        <f t="array" ref="D60">IFERROR(AVERAGE(_xlfn._xlws.FILTER($B$2:$B$9999,(IFERROR(VALUE(MID($A$2:$A$9999,4,2)),0)=MONTH(C60))*(IFERROR(VALUE(RIGHT($A$2:$A$9999,4)),0)=YEAR(C60)))),"")</f>
        <v/>
      </c>
      <c r="E60">
        <f>IF(ISNUMBER(D60),IF(MONTH(C60)=7,100,IFERROR(100*D60/INDEX($D$2:$D$9999,MATCH(DATE(IF(MONTH(C60)&gt;=7,YEAR(C60),YEAR(C60)-1),7,1),$C$2:$C$9999,0)),"")),"")</f>
        <v/>
      </c>
    </row>
    <row r="61">
      <c r="A61" s="66" t="inlineStr">
        <is>
          <t>27/10/2004</t>
        </is>
      </c>
      <c r="B61" s="28" t="n">
        <v>65.75</v>
      </c>
      <c r="C61" s="4">
        <f>EOMONTH(C60,0)+1</f>
        <v/>
      </c>
      <c r="D61">
        <f t="array" ref="D61">IFERROR(AVERAGE(_xlfn._xlws.FILTER($B$2:$B$9999,(IFERROR(VALUE(MID($A$2:$A$9999,4,2)),0)=MONTH(C61))*(IFERROR(VALUE(RIGHT($A$2:$A$9999,4)),0)=YEAR(C61)))),"")</f>
        <v/>
      </c>
      <c r="E61">
        <f>IF(ISNUMBER(D61),IF(MONTH(C61)=7,100,IFERROR(100*D61/INDEX($D$2:$D$9999,MATCH(DATE(IF(MONTH(C61)&gt;=7,YEAR(C61),YEAR(C61)-1),7,1),$C$2:$C$9999,0)),"")),"")</f>
        <v/>
      </c>
    </row>
    <row r="62">
      <c r="A62" s="66" t="inlineStr">
        <is>
          <t>28/10/2004</t>
        </is>
      </c>
      <c r="B62" s="28" t="n">
        <v>65.53</v>
      </c>
      <c r="C62" s="4">
        <f>EOMONTH(C61,0)+1</f>
        <v/>
      </c>
      <c r="D62">
        <f t="array" ref="D62">IFERROR(AVERAGE(_xlfn._xlws.FILTER($B$2:$B$9999,(IFERROR(VALUE(MID($A$2:$A$9999,4,2)),0)=MONTH(C62))*(IFERROR(VALUE(RIGHT($A$2:$A$9999,4)),0)=YEAR(C62)))),"")</f>
        <v/>
      </c>
      <c r="E62">
        <f>IF(ISNUMBER(D62),IF(MONTH(C62)=7,100,IFERROR(100*D62/INDEX($D$2:$D$9999,MATCH(DATE(IF(MONTH(C62)&gt;=7,YEAR(C62),YEAR(C62)-1),7,1),$C$2:$C$9999,0)),"")),"")</f>
        <v/>
      </c>
    </row>
    <row r="63">
      <c r="A63" s="66" t="inlineStr">
        <is>
          <t>29/10/2004</t>
        </is>
      </c>
      <c r="B63" s="28" t="n">
        <v>65.53</v>
      </c>
      <c r="C63" s="4">
        <f>EOMONTH(C62,0)+1</f>
        <v/>
      </c>
      <c r="D63">
        <f t="array" ref="D63">IFERROR(AVERAGE(_xlfn._xlws.FILTER($B$2:$B$9999,(IFERROR(VALUE(MID($A$2:$A$9999,4,2)),0)=MONTH(C63))*(IFERROR(VALUE(RIGHT($A$2:$A$9999,4)),0)=YEAR(C63)))),"")</f>
        <v/>
      </c>
      <c r="E63">
        <f>IF(ISNUMBER(D63),IF(MONTH(C63)=7,100,IFERROR(100*D63/INDEX($D$2:$D$9999,MATCH(DATE(IF(MONTH(C63)&gt;=7,YEAR(C63),YEAR(C63)-1),7,1),$C$2:$C$9999,0)),"")),"")</f>
        <v/>
      </c>
    </row>
    <row r="64">
      <c r="A64" s="66" t="inlineStr">
        <is>
          <t>01/11/2004</t>
        </is>
      </c>
      <c r="B64" s="28" t="n">
        <v>64.48999999999999</v>
      </c>
      <c r="C64" s="4">
        <f>EOMONTH(C63,0)+1</f>
        <v/>
      </c>
      <c r="D64">
        <f t="array" ref="D64">IFERROR(AVERAGE(_xlfn._xlws.FILTER($B$2:$B$9999,(IFERROR(VALUE(MID($A$2:$A$9999,4,2)),0)=MONTH(C64))*(IFERROR(VALUE(RIGHT($A$2:$A$9999,4)),0)=YEAR(C64)))),"")</f>
        <v/>
      </c>
      <c r="E64">
        <f>IF(ISNUMBER(D64),IF(MONTH(C64)=7,100,IFERROR(100*D64/INDEX($D$2:$D$9999,MATCH(DATE(IF(MONTH(C64)&gt;=7,YEAR(C64),YEAR(C64)-1),7,1),$C$2:$C$9999,0)),"")),"")</f>
        <v/>
      </c>
    </row>
    <row r="65">
      <c r="A65" s="66" t="inlineStr">
        <is>
          <t>03/11/2004</t>
        </is>
      </c>
      <c r="B65" s="28" t="n">
        <v>64.38</v>
      </c>
      <c r="C65" s="4">
        <f>EOMONTH(C64,0)+1</f>
        <v/>
      </c>
      <c r="D65">
        <f t="array" ref="D65">IFERROR(AVERAGE(_xlfn._xlws.FILTER($B$2:$B$9999,(IFERROR(VALUE(MID($A$2:$A$9999,4,2)),0)=MONTH(C65))*(IFERROR(VALUE(RIGHT($A$2:$A$9999,4)),0)=YEAR(C65)))),"")</f>
        <v/>
      </c>
      <c r="E65">
        <f>IF(ISNUMBER(D65),IF(MONTH(C65)=7,100,IFERROR(100*D65/INDEX($D$2:$D$9999,MATCH(DATE(IF(MONTH(C65)&gt;=7,YEAR(C65),YEAR(C65)-1),7,1),$C$2:$C$9999,0)),"")),"")</f>
        <v/>
      </c>
    </row>
    <row r="66">
      <c r="A66" s="66" t="inlineStr">
        <is>
          <t>04/11/2004</t>
        </is>
      </c>
      <c r="B66" s="28" t="n">
        <v>64.45</v>
      </c>
      <c r="C66" s="4">
        <f>EOMONTH(C65,0)+1</f>
        <v/>
      </c>
      <c r="D66">
        <f t="array" ref="D66">IFERROR(AVERAGE(_xlfn._xlws.FILTER($B$2:$B$9999,(IFERROR(VALUE(MID($A$2:$A$9999,4,2)),0)=MONTH(C66))*(IFERROR(VALUE(RIGHT($A$2:$A$9999,4)),0)=YEAR(C66)))),"")</f>
        <v/>
      </c>
      <c r="E66">
        <f>IF(ISNUMBER(D66),IF(MONTH(C66)=7,100,IFERROR(100*D66/INDEX($D$2:$D$9999,MATCH(DATE(IF(MONTH(C66)&gt;=7,YEAR(C66),YEAR(C66)-1),7,1),$C$2:$C$9999,0)),"")),"")</f>
        <v/>
      </c>
    </row>
    <row r="67">
      <c r="A67" s="66" t="inlineStr">
        <is>
          <t>05/11/2004</t>
        </is>
      </c>
      <c r="B67" s="28" t="n">
        <v>64.45</v>
      </c>
      <c r="C67" s="4">
        <f>EOMONTH(C66,0)+1</f>
        <v/>
      </c>
      <c r="D67">
        <f t="array" ref="D67">IFERROR(AVERAGE(_xlfn._xlws.FILTER($B$2:$B$9999,(IFERROR(VALUE(MID($A$2:$A$9999,4,2)),0)=MONTH(C67))*(IFERROR(VALUE(RIGHT($A$2:$A$9999,4)),0)=YEAR(C67)))),"")</f>
        <v/>
      </c>
      <c r="E67">
        <f>IF(ISNUMBER(D67),IF(MONTH(C67)=7,100,IFERROR(100*D67/INDEX($D$2:$D$9999,MATCH(DATE(IF(MONTH(C67)&gt;=7,YEAR(C67),YEAR(C67)-1),7,1),$C$2:$C$9999,0)),"")),"")</f>
        <v/>
      </c>
    </row>
    <row r="68">
      <c r="A68" s="66" t="inlineStr">
        <is>
          <t>08/11/2004</t>
        </is>
      </c>
      <c r="B68" s="28" t="n">
        <v>64.38</v>
      </c>
      <c r="C68" s="4">
        <f>EOMONTH(C67,0)+1</f>
        <v/>
      </c>
      <c r="D68">
        <f t="array" ref="D68">IFERROR(AVERAGE(_xlfn._xlws.FILTER($B$2:$B$9999,(IFERROR(VALUE(MID($A$2:$A$9999,4,2)),0)=MONTH(C68))*(IFERROR(VALUE(RIGHT($A$2:$A$9999,4)),0)=YEAR(C68)))),"")</f>
        <v/>
      </c>
      <c r="E68">
        <f>IF(ISNUMBER(D68),IF(MONTH(C68)=7,100,IFERROR(100*D68/INDEX($D$2:$D$9999,MATCH(DATE(IF(MONTH(C68)&gt;=7,YEAR(C68),YEAR(C68)-1),7,1),$C$2:$C$9999,0)),"")),"")</f>
        <v/>
      </c>
    </row>
    <row r="69">
      <c r="A69" s="66" t="inlineStr">
        <is>
          <t>09/11/2004</t>
        </is>
      </c>
      <c r="B69" s="28" t="n">
        <v>64.31</v>
      </c>
      <c r="C69" s="4">
        <f>EOMONTH(C68,0)+1</f>
        <v/>
      </c>
      <c r="D69">
        <f t="array" ref="D69">IFERROR(AVERAGE(_xlfn._xlws.FILTER($B$2:$B$9999,(IFERROR(VALUE(MID($A$2:$A$9999,4,2)),0)=MONTH(C69))*(IFERROR(VALUE(RIGHT($A$2:$A$9999,4)),0)=YEAR(C69)))),"")</f>
        <v/>
      </c>
      <c r="E69">
        <f>IF(ISNUMBER(D69),IF(MONTH(C69)=7,100,IFERROR(100*D69/INDEX($D$2:$D$9999,MATCH(DATE(IF(MONTH(C69)&gt;=7,YEAR(C69),YEAR(C69)-1),7,1),$C$2:$C$9999,0)),"")),"")</f>
        <v/>
      </c>
    </row>
    <row r="70">
      <c r="A70" s="66" t="inlineStr">
        <is>
          <t>10/11/2004</t>
        </is>
      </c>
      <c r="B70" s="28" t="n">
        <v>63.84</v>
      </c>
      <c r="C70" s="4">
        <f>EOMONTH(C69,0)+1</f>
        <v/>
      </c>
      <c r="D70">
        <f t="array" ref="D70">IFERROR(AVERAGE(_xlfn._xlws.FILTER($B$2:$B$9999,(IFERROR(VALUE(MID($A$2:$A$9999,4,2)),0)=MONTH(C70))*(IFERROR(VALUE(RIGHT($A$2:$A$9999,4)),0)=YEAR(C70)))),"")</f>
        <v/>
      </c>
      <c r="E70">
        <f>IF(ISNUMBER(D70),IF(MONTH(C70)=7,100,IFERROR(100*D70/INDEX($D$2:$D$9999,MATCH(DATE(IF(MONTH(C70)&gt;=7,YEAR(C70),YEAR(C70)-1),7,1),$C$2:$C$9999,0)),"")),"")</f>
        <v/>
      </c>
    </row>
    <row r="71">
      <c r="A71" s="66" t="inlineStr">
        <is>
          <t>11/11/2004</t>
        </is>
      </c>
      <c r="B71" s="28" t="n">
        <v>63.66</v>
      </c>
      <c r="C71" s="4">
        <f>EOMONTH(C70,0)+1</f>
        <v/>
      </c>
      <c r="D71">
        <f t="array" ref="D71">IFERROR(AVERAGE(_xlfn._xlws.FILTER($B$2:$B$9999,(IFERROR(VALUE(MID($A$2:$A$9999,4,2)),0)=MONTH(C71))*(IFERROR(VALUE(RIGHT($A$2:$A$9999,4)),0)=YEAR(C71)))),"")</f>
        <v/>
      </c>
      <c r="E71">
        <f>IF(ISNUMBER(D71),IF(MONTH(C71)=7,100,IFERROR(100*D71/INDEX($D$2:$D$9999,MATCH(DATE(IF(MONTH(C71)&gt;=7,YEAR(C71),YEAR(C71)-1),7,1),$C$2:$C$9999,0)),"")),"")</f>
        <v/>
      </c>
    </row>
    <row r="72">
      <c r="A72" s="66" t="inlineStr">
        <is>
          <t>12/11/2004</t>
        </is>
      </c>
      <c r="B72" s="28" t="n">
        <v>63.73</v>
      </c>
      <c r="C72" s="4">
        <f>EOMONTH(C71,0)+1</f>
        <v/>
      </c>
      <c r="D72">
        <f t="array" ref="D72">IFERROR(AVERAGE(_xlfn._xlws.FILTER($B$2:$B$9999,(IFERROR(VALUE(MID($A$2:$A$9999,4,2)),0)=MONTH(C72))*(IFERROR(VALUE(RIGHT($A$2:$A$9999,4)),0)=YEAR(C72)))),"")</f>
        <v/>
      </c>
      <c r="E72">
        <f>IF(ISNUMBER(D72),IF(MONTH(C72)=7,100,IFERROR(100*D72/INDEX($D$2:$D$9999,MATCH(DATE(IF(MONTH(C72)&gt;=7,YEAR(C72),YEAR(C72)-1),7,1),$C$2:$C$9999,0)),"")),"")</f>
        <v/>
      </c>
    </row>
    <row r="73">
      <c r="A73" s="66" t="inlineStr">
        <is>
          <t>16/11/2004</t>
        </is>
      </c>
      <c r="B73" s="28" t="n">
        <v>64.23999999999999</v>
      </c>
      <c r="C73" s="4">
        <f>EOMONTH(C72,0)+1</f>
        <v/>
      </c>
      <c r="D73">
        <f t="array" ref="D73">IFERROR(AVERAGE(_xlfn._xlws.FILTER($B$2:$B$9999,(IFERROR(VALUE(MID($A$2:$A$9999,4,2)),0)=MONTH(C73))*(IFERROR(VALUE(RIGHT($A$2:$A$9999,4)),0)=YEAR(C73)))),"")</f>
        <v/>
      </c>
      <c r="E73">
        <f>IF(ISNUMBER(D73),IF(MONTH(C73)=7,100,IFERROR(100*D73/INDEX($D$2:$D$9999,MATCH(DATE(IF(MONTH(C73)&gt;=7,YEAR(C73),YEAR(C73)-1),7,1),$C$2:$C$9999,0)),"")),"")</f>
        <v/>
      </c>
    </row>
    <row r="74">
      <c r="A74" s="66" t="inlineStr">
        <is>
          <t>17/11/2004</t>
        </is>
      </c>
      <c r="B74" s="28" t="n">
        <v>64.2</v>
      </c>
      <c r="C74" s="4">
        <f>EOMONTH(C73,0)+1</f>
        <v/>
      </c>
      <c r="D74">
        <f t="array" ref="D74">IFERROR(AVERAGE(_xlfn._xlws.FILTER($B$2:$B$9999,(IFERROR(VALUE(MID($A$2:$A$9999,4,2)),0)=MONTH(C74))*(IFERROR(VALUE(RIGHT($A$2:$A$9999,4)),0)=YEAR(C74)))),"")</f>
        <v/>
      </c>
      <c r="E74">
        <f>IF(ISNUMBER(D74),IF(MONTH(C74)=7,100,IFERROR(100*D74/INDEX($D$2:$D$9999,MATCH(DATE(IF(MONTH(C74)&gt;=7,YEAR(C74),YEAR(C74)-1),7,1),$C$2:$C$9999,0)),"")),"")</f>
        <v/>
      </c>
    </row>
    <row r="75">
      <c r="A75" s="66" t="inlineStr">
        <is>
          <t>18/11/2004</t>
        </is>
      </c>
      <c r="B75" s="28" t="n">
        <v>64.45</v>
      </c>
      <c r="C75" s="4">
        <f>EOMONTH(C74,0)+1</f>
        <v/>
      </c>
      <c r="D75">
        <f t="array" ref="D75">IFERROR(AVERAGE(_xlfn._xlws.FILTER($B$2:$B$9999,(IFERROR(VALUE(MID($A$2:$A$9999,4,2)),0)=MONTH(C75))*(IFERROR(VALUE(RIGHT($A$2:$A$9999,4)),0)=YEAR(C75)))),"")</f>
        <v/>
      </c>
      <c r="E75">
        <f>IF(ISNUMBER(D75),IF(MONTH(C75)=7,100,IFERROR(100*D75/INDEX($D$2:$D$9999,MATCH(DATE(IF(MONTH(C75)&gt;=7,YEAR(C75),YEAR(C75)-1),7,1),$C$2:$C$9999,0)),"")),"")</f>
        <v/>
      </c>
    </row>
    <row r="76">
      <c r="A76" s="66" t="inlineStr">
        <is>
          <t>19/11/2004</t>
        </is>
      </c>
      <c r="B76" s="28" t="n">
        <v>64.38</v>
      </c>
      <c r="C76" s="4">
        <f>EOMONTH(C75,0)+1</f>
        <v/>
      </c>
      <c r="D76">
        <f t="array" ref="D76">IFERROR(AVERAGE(_xlfn._xlws.FILTER($B$2:$B$9999,(IFERROR(VALUE(MID($A$2:$A$9999,4,2)),0)=MONTH(C76))*(IFERROR(VALUE(RIGHT($A$2:$A$9999,4)),0)=YEAR(C76)))),"")</f>
        <v/>
      </c>
      <c r="E76">
        <f>IF(ISNUMBER(D76),IF(MONTH(C76)=7,100,IFERROR(100*D76/INDEX($D$2:$D$9999,MATCH(DATE(IF(MONTH(C76)&gt;=7,YEAR(C76),YEAR(C76)-1),7,1),$C$2:$C$9999,0)),"")),"")</f>
        <v/>
      </c>
    </row>
    <row r="77">
      <c r="A77" s="66" t="inlineStr">
        <is>
          <t>22/11/2004</t>
        </is>
      </c>
      <c r="B77" s="28" t="n">
        <v>63.44</v>
      </c>
      <c r="C77" s="4">
        <f>EOMONTH(C76,0)+1</f>
        <v/>
      </c>
      <c r="D77">
        <f t="array" ref="D77">IFERROR(AVERAGE(_xlfn._xlws.FILTER($B$2:$B$9999,(IFERROR(VALUE(MID($A$2:$A$9999,4,2)),0)=MONTH(C77))*(IFERROR(VALUE(RIGHT($A$2:$A$9999,4)),0)=YEAR(C77)))),"")</f>
        <v/>
      </c>
      <c r="E77">
        <f>IF(ISNUMBER(D77),IF(MONTH(C77)=7,100,IFERROR(100*D77/INDEX($D$2:$D$9999,MATCH(DATE(IF(MONTH(C77)&gt;=7,YEAR(C77),YEAR(C77)-1),7,1),$C$2:$C$9999,0)),"")),"")</f>
        <v/>
      </c>
    </row>
    <row r="78">
      <c r="A78" s="66" t="inlineStr">
        <is>
          <t>23/11/2004</t>
        </is>
      </c>
      <c r="B78" s="28" t="n">
        <v>63.66</v>
      </c>
      <c r="C78" s="4">
        <f>EOMONTH(C77,0)+1</f>
        <v/>
      </c>
      <c r="D78">
        <f t="array" ref="D78">IFERROR(AVERAGE(_xlfn._xlws.FILTER($B$2:$B$9999,(IFERROR(VALUE(MID($A$2:$A$9999,4,2)),0)=MONTH(C78))*(IFERROR(VALUE(RIGHT($A$2:$A$9999,4)),0)=YEAR(C78)))),"")</f>
        <v/>
      </c>
      <c r="E78">
        <f>IF(ISNUMBER(D78),IF(MONTH(C78)=7,100,IFERROR(100*D78/INDEX($D$2:$D$9999,MATCH(DATE(IF(MONTH(C78)&gt;=7,YEAR(C78),YEAR(C78)-1),7,1),$C$2:$C$9999,0)),"")),"")</f>
        <v/>
      </c>
    </row>
    <row r="79">
      <c r="A79" s="66" t="inlineStr">
        <is>
          <t>24/11/2004</t>
        </is>
      </c>
      <c r="B79" s="28" t="n">
        <v>63.55</v>
      </c>
      <c r="C79" s="4">
        <f>EOMONTH(C78,0)+1</f>
        <v/>
      </c>
      <c r="D79">
        <f t="array" ref="D79">IFERROR(AVERAGE(_xlfn._xlws.FILTER($B$2:$B$9999,(IFERROR(VALUE(MID($A$2:$A$9999,4,2)),0)=MONTH(C79))*(IFERROR(VALUE(RIGHT($A$2:$A$9999,4)),0)=YEAR(C79)))),"")</f>
        <v/>
      </c>
      <c r="E79">
        <f>IF(ISNUMBER(D79),IF(MONTH(C79)=7,100,IFERROR(100*D79/INDEX($D$2:$D$9999,MATCH(DATE(IF(MONTH(C79)&gt;=7,YEAR(C79),YEAR(C79)-1),7,1),$C$2:$C$9999,0)),"")),"")</f>
        <v/>
      </c>
    </row>
    <row r="80">
      <c r="A80" s="66" t="inlineStr">
        <is>
          <t>25/11/2004</t>
        </is>
      </c>
      <c r="B80" s="28" t="n">
        <v>63.3</v>
      </c>
      <c r="C80" s="4">
        <f>EOMONTH(C79,0)+1</f>
        <v/>
      </c>
      <c r="D80">
        <f t="array" ref="D80">IFERROR(AVERAGE(_xlfn._xlws.FILTER($B$2:$B$9999,(IFERROR(VALUE(MID($A$2:$A$9999,4,2)),0)=MONTH(C80))*(IFERROR(VALUE(RIGHT($A$2:$A$9999,4)),0)=YEAR(C80)))),"")</f>
        <v/>
      </c>
      <c r="E80">
        <f>IF(ISNUMBER(D80),IF(MONTH(C80)=7,100,IFERROR(100*D80/INDEX($D$2:$D$9999,MATCH(DATE(IF(MONTH(C80)&gt;=7,YEAR(C80),YEAR(C80)-1),7,1),$C$2:$C$9999,0)),"")),"")</f>
        <v/>
      </c>
    </row>
    <row r="81">
      <c r="A81" s="66" t="inlineStr">
        <is>
          <t>26/11/2004</t>
        </is>
      </c>
      <c r="B81" s="28" t="n">
        <v>63.23</v>
      </c>
      <c r="C81" s="4">
        <f>EOMONTH(C80,0)+1</f>
        <v/>
      </c>
      <c r="D81">
        <f t="array" ref="D81">IFERROR(AVERAGE(_xlfn._xlws.FILTER($B$2:$B$9999,(IFERROR(VALUE(MID($A$2:$A$9999,4,2)),0)=MONTH(C81))*(IFERROR(VALUE(RIGHT($A$2:$A$9999,4)),0)=YEAR(C81)))),"")</f>
        <v/>
      </c>
      <c r="E81">
        <f>IF(ISNUMBER(D81),IF(MONTH(C81)=7,100,IFERROR(100*D81/INDEX($D$2:$D$9999,MATCH(DATE(IF(MONTH(C81)&gt;=7,YEAR(C81),YEAR(C81)-1),7,1),$C$2:$C$9999,0)),"")),"")</f>
        <v/>
      </c>
    </row>
    <row r="82">
      <c r="A82" s="66" t="inlineStr">
        <is>
          <t>29/11/2004</t>
        </is>
      </c>
      <c r="B82" s="28" t="n">
        <v>62.79</v>
      </c>
      <c r="C82" s="4">
        <f>EOMONTH(C81,0)+1</f>
        <v/>
      </c>
      <c r="D82">
        <f t="array" ref="D82">IFERROR(AVERAGE(_xlfn._xlws.FILTER($B$2:$B$9999,(IFERROR(VALUE(MID($A$2:$A$9999,4,2)),0)=MONTH(C82))*(IFERROR(VALUE(RIGHT($A$2:$A$9999,4)),0)=YEAR(C82)))),"")</f>
        <v/>
      </c>
      <c r="E82">
        <f>IF(ISNUMBER(D82),IF(MONTH(C82)=7,100,IFERROR(100*D82/INDEX($D$2:$D$9999,MATCH(DATE(IF(MONTH(C82)&gt;=7,YEAR(C82),YEAR(C82)-1),7,1),$C$2:$C$9999,0)),"")),"")</f>
        <v/>
      </c>
    </row>
    <row r="83">
      <c r="A83" s="66" t="inlineStr">
        <is>
          <t>30/11/2004</t>
        </is>
      </c>
      <c r="B83" s="28" t="n">
        <v>62.68</v>
      </c>
      <c r="C83" s="4">
        <f>EOMONTH(C82,0)+1</f>
        <v/>
      </c>
      <c r="D83">
        <f t="array" ref="D83">IFERROR(AVERAGE(_xlfn._xlws.FILTER($B$2:$B$9999,(IFERROR(VALUE(MID($A$2:$A$9999,4,2)),0)=MONTH(C83))*(IFERROR(VALUE(RIGHT($A$2:$A$9999,4)),0)=YEAR(C83)))),"")</f>
        <v/>
      </c>
      <c r="E83">
        <f>IF(ISNUMBER(D83),IF(MONTH(C83)=7,100,IFERROR(100*D83/INDEX($D$2:$D$9999,MATCH(DATE(IF(MONTH(C83)&gt;=7,YEAR(C83),YEAR(C83)-1),7,1),$C$2:$C$9999,0)),"")),"")</f>
        <v/>
      </c>
    </row>
    <row r="84">
      <c r="A84" s="66" t="inlineStr">
        <is>
          <t>01/12/2004</t>
        </is>
      </c>
      <c r="B84" s="28" t="n">
        <v>62.15</v>
      </c>
      <c r="C84" s="4">
        <f>EOMONTH(C83,0)+1</f>
        <v/>
      </c>
      <c r="D84">
        <f t="array" ref="D84">IFERROR(AVERAGE(_xlfn._xlws.FILTER($B$2:$B$9999,(IFERROR(VALUE(MID($A$2:$A$9999,4,2)),0)=MONTH(C84))*(IFERROR(VALUE(RIGHT($A$2:$A$9999,4)),0)=YEAR(C84)))),"")</f>
        <v/>
      </c>
      <c r="E84">
        <f>IF(ISNUMBER(D84),IF(MONTH(C84)=7,100,IFERROR(100*D84/INDEX($D$2:$D$9999,MATCH(DATE(IF(MONTH(C84)&gt;=7,YEAR(C84),YEAR(C84)-1),7,1),$C$2:$C$9999,0)),"")),"")</f>
        <v/>
      </c>
    </row>
    <row r="85">
      <c r="A85" s="66" t="inlineStr">
        <is>
          <t>02/12/2004</t>
        </is>
      </c>
      <c r="B85" s="28" t="n">
        <v>61.51</v>
      </c>
      <c r="C85" s="4">
        <f>EOMONTH(C84,0)+1</f>
        <v/>
      </c>
      <c r="D85">
        <f t="array" ref="D85">IFERROR(AVERAGE(_xlfn._xlws.FILTER($B$2:$B$9999,(IFERROR(VALUE(MID($A$2:$A$9999,4,2)),0)=MONTH(C85))*(IFERROR(VALUE(RIGHT($A$2:$A$9999,4)),0)=YEAR(C85)))),"")</f>
        <v/>
      </c>
      <c r="E85">
        <f>IF(ISNUMBER(D85),IF(MONTH(C85)=7,100,IFERROR(100*D85/INDEX($D$2:$D$9999,MATCH(DATE(IF(MONTH(C85)&gt;=7,YEAR(C85),YEAR(C85)-1),7,1),$C$2:$C$9999,0)),"")),"")</f>
        <v/>
      </c>
    </row>
    <row r="86">
      <c r="A86" s="66" t="inlineStr">
        <is>
          <t>03/12/2004</t>
        </is>
      </c>
      <c r="B86" s="28" t="n">
        <v>61.72</v>
      </c>
      <c r="C86" s="4">
        <f>EOMONTH(C85,0)+1</f>
        <v/>
      </c>
      <c r="D86">
        <f t="array" ref="D86">IFERROR(AVERAGE(_xlfn._xlws.FILTER($B$2:$B$9999,(IFERROR(VALUE(MID($A$2:$A$9999,4,2)),0)=MONTH(C86))*(IFERROR(VALUE(RIGHT($A$2:$A$9999,4)),0)=YEAR(C86)))),"")</f>
        <v/>
      </c>
      <c r="E86">
        <f>IF(ISNUMBER(D86),IF(MONTH(C86)=7,100,IFERROR(100*D86/INDEX($D$2:$D$9999,MATCH(DATE(IF(MONTH(C86)&gt;=7,YEAR(C86),YEAR(C86)-1),7,1),$C$2:$C$9999,0)),"")),"")</f>
        <v/>
      </c>
    </row>
    <row r="87">
      <c r="A87" s="66" t="inlineStr">
        <is>
          <t>06/12/2004</t>
        </is>
      </c>
      <c r="B87" s="28" t="n">
        <v>61.22</v>
      </c>
      <c r="C87" s="4">
        <f>EOMONTH(C86,0)+1</f>
        <v/>
      </c>
      <c r="D87">
        <f t="array" ref="D87">IFERROR(AVERAGE(_xlfn._xlws.FILTER($B$2:$B$9999,(IFERROR(VALUE(MID($A$2:$A$9999,4,2)),0)=MONTH(C87))*(IFERROR(VALUE(RIGHT($A$2:$A$9999,4)),0)=YEAR(C87)))),"")</f>
        <v/>
      </c>
      <c r="E87">
        <f>IF(ISNUMBER(D87),IF(MONTH(C87)=7,100,IFERROR(100*D87/INDEX($D$2:$D$9999,MATCH(DATE(IF(MONTH(C87)&gt;=7,YEAR(C87),YEAR(C87)-1),7,1),$C$2:$C$9999,0)),"")),"")</f>
        <v/>
      </c>
    </row>
    <row r="88">
      <c r="A88" s="66" t="inlineStr">
        <is>
          <t>07/12/2004</t>
        </is>
      </c>
      <c r="B88" s="28" t="n">
        <v>61.36</v>
      </c>
      <c r="C88" s="4">
        <f>EOMONTH(C87,0)+1</f>
        <v/>
      </c>
      <c r="D88">
        <f t="array" ref="D88">IFERROR(AVERAGE(_xlfn._xlws.FILTER($B$2:$B$9999,(IFERROR(VALUE(MID($A$2:$A$9999,4,2)),0)=MONTH(C88))*(IFERROR(VALUE(RIGHT($A$2:$A$9999,4)),0)=YEAR(C88)))),"")</f>
        <v/>
      </c>
      <c r="E88">
        <f>IF(ISNUMBER(D88),IF(MONTH(C88)=7,100,IFERROR(100*D88/INDEX($D$2:$D$9999,MATCH(DATE(IF(MONTH(C88)&gt;=7,YEAR(C88),YEAR(C88)-1),7,1),$C$2:$C$9999,0)),"")),"")</f>
        <v/>
      </c>
    </row>
    <row r="89">
      <c r="A89" s="66" t="inlineStr">
        <is>
          <t>08/12/2004</t>
        </is>
      </c>
      <c r="B89" s="28" t="n">
        <v>60.97</v>
      </c>
      <c r="C89" s="4">
        <f>EOMONTH(C88,0)+1</f>
        <v/>
      </c>
      <c r="D89">
        <f t="array" ref="D89">IFERROR(AVERAGE(_xlfn._xlws.FILTER($B$2:$B$9999,(IFERROR(VALUE(MID($A$2:$A$9999,4,2)),0)=MONTH(C89))*(IFERROR(VALUE(RIGHT($A$2:$A$9999,4)),0)=YEAR(C89)))),"")</f>
        <v/>
      </c>
      <c r="E89">
        <f>IF(ISNUMBER(D89),IF(MONTH(C89)=7,100,IFERROR(100*D89/INDEX($D$2:$D$9999,MATCH(DATE(IF(MONTH(C89)&gt;=7,YEAR(C89),YEAR(C89)-1),7,1),$C$2:$C$9999,0)),"")),"")</f>
        <v/>
      </c>
    </row>
    <row r="90">
      <c r="A90" s="66" t="inlineStr">
        <is>
          <t>09/12/2004</t>
        </is>
      </c>
      <c r="B90" s="28" t="n">
        <v>61.04</v>
      </c>
      <c r="C90" s="4">
        <f>EOMONTH(C89,0)+1</f>
        <v/>
      </c>
      <c r="D90">
        <f t="array" ref="D90">IFERROR(AVERAGE(_xlfn._xlws.FILTER($B$2:$B$9999,(IFERROR(VALUE(MID($A$2:$A$9999,4,2)),0)=MONTH(C90))*(IFERROR(VALUE(RIGHT($A$2:$A$9999,4)),0)=YEAR(C90)))),"")</f>
        <v/>
      </c>
      <c r="E90">
        <f>IF(ISNUMBER(D90),IF(MONTH(C90)=7,100,IFERROR(100*D90/INDEX($D$2:$D$9999,MATCH(DATE(IF(MONTH(C90)&gt;=7,YEAR(C90),YEAR(C90)-1),7,1),$C$2:$C$9999,0)),"")),"")</f>
        <v/>
      </c>
    </row>
    <row r="91">
      <c r="A91" s="66" t="inlineStr">
        <is>
          <t>10/12/2004</t>
        </is>
      </c>
      <c r="B91" s="28" t="n">
        <v>60.97</v>
      </c>
      <c r="C91" s="4">
        <f>EOMONTH(C90,0)+1</f>
        <v/>
      </c>
      <c r="D91">
        <f t="array" ref="D91">IFERROR(AVERAGE(_xlfn._xlws.FILTER($B$2:$B$9999,(IFERROR(VALUE(MID($A$2:$A$9999,4,2)),0)=MONTH(C91))*(IFERROR(VALUE(RIGHT($A$2:$A$9999,4)),0)=YEAR(C91)))),"")</f>
        <v/>
      </c>
      <c r="E91">
        <f>IF(ISNUMBER(D91),IF(MONTH(C91)=7,100,IFERROR(100*D91/INDEX($D$2:$D$9999,MATCH(DATE(IF(MONTH(C91)&gt;=7,YEAR(C91),YEAR(C91)-1),7,1),$C$2:$C$9999,0)),"")),"")</f>
        <v/>
      </c>
    </row>
    <row r="92">
      <c r="A92" s="66" t="inlineStr">
        <is>
          <t>13/12/2004</t>
        </is>
      </c>
      <c r="B92" s="28" t="n">
        <v>60.97</v>
      </c>
      <c r="C92" s="4">
        <f>EOMONTH(C91,0)+1</f>
        <v/>
      </c>
      <c r="D92">
        <f t="array" ref="D92">IFERROR(AVERAGE(_xlfn._xlws.FILTER($B$2:$B$9999,(IFERROR(VALUE(MID($A$2:$A$9999,4,2)),0)=MONTH(C92))*(IFERROR(VALUE(RIGHT($A$2:$A$9999,4)),0)=YEAR(C92)))),"")</f>
        <v/>
      </c>
      <c r="E92">
        <f>IF(ISNUMBER(D92),IF(MONTH(C92)=7,100,IFERROR(100*D92/INDEX($D$2:$D$9999,MATCH(DATE(IF(MONTH(C92)&gt;=7,YEAR(C92),YEAR(C92)-1),7,1),$C$2:$C$9999,0)),"")),"")</f>
        <v/>
      </c>
    </row>
    <row r="93">
      <c r="A93" s="66" t="inlineStr">
        <is>
          <t>14/12/2004</t>
        </is>
      </c>
      <c r="B93" s="28" t="n">
        <v>60.9</v>
      </c>
      <c r="C93" s="4">
        <f>EOMONTH(C92,0)+1</f>
        <v/>
      </c>
      <c r="D93">
        <f t="array" ref="D93">IFERROR(AVERAGE(_xlfn._xlws.FILTER($B$2:$B$9999,(IFERROR(VALUE(MID($A$2:$A$9999,4,2)),0)=MONTH(C93))*(IFERROR(VALUE(RIGHT($A$2:$A$9999,4)),0)=YEAR(C93)))),"")</f>
        <v/>
      </c>
      <c r="E93">
        <f>IF(ISNUMBER(D93),IF(MONTH(C93)=7,100,IFERROR(100*D93/INDEX($D$2:$D$9999,MATCH(DATE(IF(MONTH(C93)&gt;=7,YEAR(C93),YEAR(C93)-1),7,1),$C$2:$C$9999,0)),"")),"")</f>
        <v/>
      </c>
    </row>
    <row r="94">
      <c r="A94" s="66" t="inlineStr">
        <is>
          <t>15/12/2004</t>
        </is>
      </c>
      <c r="B94" s="28" t="n">
        <v>60.97</v>
      </c>
      <c r="C94" s="4">
        <f>EOMONTH(C93,0)+1</f>
        <v/>
      </c>
      <c r="D94">
        <f t="array" ref="D94">IFERROR(AVERAGE(_xlfn._xlws.FILTER($B$2:$B$9999,(IFERROR(VALUE(MID($A$2:$A$9999,4,2)),0)=MONTH(C94))*(IFERROR(VALUE(RIGHT($A$2:$A$9999,4)),0)=YEAR(C94)))),"")</f>
        <v/>
      </c>
      <c r="E94">
        <f>IF(ISNUMBER(D94),IF(MONTH(C94)=7,100,IFERROR(100*D94/INDEX($D$2:$D$9999,MATCH(DATE(IF(MONTH(C94)&gt;=7,YEAR(C94),YEAR(C94)-1),7,1),$C$2:$C$9999,0)),"")),"")</f>
        <v/>
      </c>
    </row>
    <row r="95">
      <c r="A95" s="66" t="inlineStr">
        <is>
          <t>16/12/2004</t>
        </is>
      </c>
      <c r="B95" s="28" t="n">
        <v>61.04</v>
      </c>
      <c r="C95" s="4">
        <f>EOMONTH(C94,0)+1</f>
        <v/>
      </c>
      <c r="D95">
        <f t="array" ref="D95">IFERROR(AVERAGE(_xlfn._xlws.FILTER($B$2:$B$9999,(IFERROR(VALUE(MID($A$2:$A$9999,4,2)),0)=MONTH(C95))*(IFERROR(VALUE(RIGHT($A$2:$A$9999,4)),0)=YEAR(C95)))),"")</f>
        <v/>
      </c>
      <c r="E95">
        <f>IF(ISNUMBER(D95),IF(MONTH(C95)=7,100,IFERROR(100*D95/INDEX($D$2:$D$9999,MATCH(DATE(IF(MONTH(C95)&gt;=7,YEAR(C95),YEAR(C95)-1),7,1),$C$2:$C$9999,0)),"")),"")</f>
        <v/>
      </c>
    </row>
    <row r="96">
      <c r="A96" s="66" t="inlineStr">
        <is>
          <t>17/12/2004</t>
        </is>
      </c>
      <c r="B96" s="28" t="n">
        <v>60.61</v>
      </c>
      <c r="C96" s="4">
        <f>EOMONTH(C95,0)+1</f>
        <v/>
      </c>
      <c r="D96">
        <f t="array" ref="D96">IFERROR(AVERAGE(_xlfn._xlws.FILTER($B$2:$B$9999,(IFERROR(VALUE(MID($A$2:$A$9999,4,2)),0)=MONTH(C96))*(IFERROR(VALUE(RIGHT($A$2:$A$9999,4)),0)=YEAR(C96)))),"")</f>
        <v/>
      </c>
      <c r="E96">
        <f>IF(ISNUMBER(D96),IF(MONTH(C96)=7,100,IFERROR(100*D96/INDEX($D$2:$D$9999,MATCH(DATE(IF(MONTH(C96)&gt;=7,YEAR(C96),YEAR(C96)-1),7,1),$C$2:$C$9999,0)),"")),"")</f>
        <v/>
      </c>
    </row>
    <row r="97">
      <c r="A97" s="66" t="inlineStr">
        <is>
          <t>20/12/2004</t>
        </is>
      </c>
      <c r="B97" s="28" t="n">
        <v>60.54</v>
      </c>
      <c r="C97" s="4">
        <f>EOMONTH(C96,0)+1</f>
        <v/>
      </c>
      <c r="D97">
        <f t="array" ref="D97">IFERROR(AVERAGE(_xlfn._xlws.FILTER($B$2:$B$9999,(IFERROR(VALUE(MID($A$2:$A$9999,4,2)),0)=MONTH(C97))*(IFERROR(VALUE(RIGHT($A$2:$A$9999,4)),0)=YEAR(C97)))),"")</f>
        <v/>
      </c>
      <c r="E97">
        <f>IF(ISNUMBER(D97),IF(MONTH(C97)=7,100,IFERROR(100*D97/INDEX($D$2:$D$9999,MATCH(DATE(IF(MONTH(C97)&gt;=7,YEAR(C97),YEAR(C97)-1),7,1),$C$2:$C$9999,0)),"")),"")</f>
        <v/>
      </c>
    </row>
    <row r="98">
      <c r="A98" s="66" t="inlineStr">
        <is>
          <t>21/12/2004</t>
        </is>
      </c>
      <c r="B98" s="28" t="n">
        <v>61.44</v>
      </c>
      <c r="C98" s="4">
        <f>EOMONTH(C97,0)+1</f>
        <v/>
      </c>
      <c r="D98">
        <f t="array" ref="D98">IFERROR(AVERAGE(_xlfn._xlws.FILTER($B$2:$B$9999,(IFERROR(VALUE(MID($A$2:$A$9999,4,2)),0)=MONTH(C98))*(IFERROR(VALUE(RIGHT($A$2:$A$9999,4)),0)=YEAR(C98)))),"")</f>
        <v/>
      </c>
      <c r="E98">
        <f>IF(ISNUMBER(D98),IF(MONTH(C98)=7,100,IFERROR(100*D98/INDEX($D$2:$D$9999,MATCH(DATE(IF(MONTH(C98)&gt;=7,YEAR(C98),YEAR(C98)-1),7,1),$C$2:$C$9999,0)),"")),"")</f>
        <v/>
      </c>
    </row>
    <row r="99">
      <c r="A99" s="66" t="inlineStr">
        <is>
          <t>22/12/2004</t>
        </is>
      </c>
      <c r="B99" s="28" t="n">
        <v>61.87</v>
      </c>
      <c r="C99" s="4">
        <f>EOMONTH(C98,0)+1</f>
        <v/>
      </c>
      <c r="D99">
        <f t="array" ref="D99">IFERROR(AVERAGE(_xlfn._xlws.FILTER($B$2:$B$9999,(IFERROR(VALUE(MID($A$2:$A$9999,4,2)),0)=MONTH(C99))*(IFERROR(VALUE(RIGHT($A$2:$A$9999,4)),0)=YEAR(C99)))),"")</f>
        <v/>
      </c>
      <c r="E99">
        <f>IF(ISNUMBER(D99),IF(MONTH(C99)=7,100,IFERROR(100*D99/INDEX($D$2:$D$9999,MATCH(DATE(IF(MONTH(C99)&gt;=7,YEAR(C99),YEAR(C99)-1),7,1),$C$2:$C$9999,0)),"")),"")</f>
        <v/>
      </c>
    </row>
    <row r="100">
      <c r="A100" s="66" t="inlineStr">
        <is>
          <t>23/12/2004</t>
        </is>
      </c>
      <c r="B100" s="28" t="n">
        <v>61.79</v>
      </c>
      <c r="C100" s="4">
        <f>EOMONTH(C99,0)+1</f>
        <v/>
      </c>
      <c r="D100">
        <f t="array" ref="D100">IFERROR(AVERAGE(_xlfn._xlws.FILTER($B$2:$B$9999,(IFERROR(VALUE(MID($A$2:$A$9999,4,2)),0)=MONTH(C100))*(IFERROR(VALUE(RIGHT($A$2:$A$9999,4)),0)=YEAR(C100)))),"")</f>
        <v/>
      </c>
      <c r="E100">
        <f>IF(ISNUMBER(D100),IF(MONTH(C100)=7,100,IFERROR(100*D100/INDEX($D$2:$D$9999,MATCH(DATE(IF(MONTH(C100)&gt;=7,YEAR(C100),YEAR(C100)-1),7,1),$C$2:$C$9999,0)),"")),"")</f>
        <v/>
      </c>
    </row>
    <row r="101">
      <c r="A101" s="66" t="inlineStr">
        <is>
          <t>27/12/2004</t>
        </is>
      </c>
      <c r="B101" s="28" t="n">
        <v>62.15</v>
      </c>
      <c r="C101" s="4">
        <f>EOMONTH(C100,0)+1</f>
        <v/>
      </c>
      <c r="D101">
        <f t="array" ref="D101">IFERROR(AVERAGE(_xlfn._xlws.FILTER($B$2:$B$9999,(IFERROR(VALUE(MID($A$2:$A$9999,4,2)),0)=MONTH(C101))*(IFERROR(VALUE(RIGHT($A$2:$A$9999,4)),0)=YEAR(C101)))),"")</f>
        <v/>
      </c>
      <c r="E101">
        <f>IF(ISNUMBER(D101),IF(MONTH(C101)=7,100,IFERROR(100*D101/INDEX($D$2:$D$9999,MATCH(DATE(IF(MONTH(C101)&gt;=7,YEAR(C101),YEAR(C101)-1),7,1),$C$2:$C$9999,0)),"")),"")</f>
        <v/>
      </c>
    </row>
    <row r="102">
      <c r="A102" s="66" t="inlineStr">
        <is>
          <t>28/12/2004</t>
        </is>
      </c>
      <c r="B102" s="28" t="n">
        <v>62.08</v>
      </c>
      <c r="C102" s="4">
        <f>EOMONTH(C101,0)+1</f>
        <v/>
      </c>
      <c r="D102">
        <f t="array" ref="D102">IFERROR(AVERAGE(_xlfn._xlws.FILTER($B$2:$B$9999,(IFERROR(VALUE(MID($A$2:$A$9999,4,2)),0)=MONTH(C102))*(IFERROR(VALUE(RIGHT($A$2:$A$9999,4)),0)=YEAR(C102)))),"")</f>
        <v/>
      </c>
      <c r="E102">
        <f>IF(ISNUMBER(D102),IF(MONTH(C102)=7,100,IFERROR(100*D102/INDEX($D$2:$D$9999,MATCH(DATE(IF(MONTH(C102)&gt;=7,YEAR(C102),YEAR(C102)-1),7,1),$C$2:$C$9999,0)),"")),"")</f>
        <v/>
      </c>
    </row>
    <row r="103">
      <c r="A103" s="66" t="inlineStr">
        <is>
          <t>29/12/2004</t>
        </is>
      </c>
      <c r="B103" s="28" t="n">
        <v>62.19</v>
      </c>
      <c r="C103" s="4">
        <f>EOMONTH(C102,0)+1</f>
        <v/>
      </c>
      <c r="D103">
        <f t="array" ref="D103">IFERROR(AVERAGE(_xlfn._xlws.FILTER($B$2:$B$9999,(IFERROR(VALUE(MID($A$2:$A$9999,4,2)),0)=MONTH(C103))*(IFERROR(VALUE(RIGHT($A$2:$A$9999,4)),0)=YEAR(C103)))),"")</f>
        <v/>
      </c>
      <c r="E103">
        <f>IF(ISNUMBER(D103),IF(MONTH(C103)=7,100,IFERROR(100*D103/INDEX($D$2:$D$9999,MATCH(DATE(IF(MONTH(C103)&gt;=7,YEAR(C103),YEAR(C103)-1),7,1),$C$2:$C$9999,0)),"")),"")</f>
        <v/>
      </c>
    </row>
    <row r="104">
      <c r="A104" s="66" t="inlineStr">
        <is>
          <t>30/12/2004</t>
        </is>
      </c>
      <c r="B104" s="28" t="n">
        <v>62.22</v>
      </c>
      <c r="C104" s="4">
        <f>EOMONTH(C103,0)+1</f>
        <v/>
      </c>
      <c r="D104">
        <f t="array" ref="D104">IFERROR(AVERAGE(_xlfn._xlws.FILTER($B$2:$B$9999,(IFERROR(VALUE(MID($A$2:$A$9999,4,2)),0)=MONTH(C104))*(IFERROR(VALUE(RIGHT($A$2:$A$9999,4)),0)=YEAR(C104)))),"")</f>
        <v/>
      </c>
      <c r="E104">
        <f>IF(ISNUMBER(D104),IF(MONTH(C104)=7,100,IFERROR(100*D104/INDEX($D$2:$D$9999,MATCH(DATE(IF(MONTH(C104)&gt;=7,YEAR(C104),YEAR(C104)-1),7,1),$C$2:$C$9999,0)),"")),"")</f>
        <v/>
      </c>
    </row>
    <row r="105">
      <c r="A105" s="66" t="inlineStr">
        <is>
          <t>03/01/2005</t>
        </is>
      </c>
      <c r="B105" s="28" t="n">
        <v>60.77</v>
      </c>
      <c r="C105" s="4">
        <f>EOMONTH(C104,0)+1</f>
        <v/>
      </c>
      <c r="D105">
        <f t="array" ref="D105">IFERROR(AVERAGE(_xlfn._xlws.FILTER($B$2:$B$9999,(IFERROR(VALUE(MID($A$2:$A$9999,4,2)),0)=MONTH(C105))*(IFERROR(VALUE(RIGHT($A$2:$A$9999,4)),0)=YEAR(C105)))),"")</f>
        <v/>
      </c>
      <c r="E105">
        <f>IF(ISNUMBER(D105),IF(MONTH(C105)=7,100,IFERROR(100*D105/INDEX($D$2:$D$9999,MATCH(DATE(IF(MONTH(C105)&gt;=7,YEAR(C105),YEAR(C105)-1),7,1),$C$2:$C$9999,0)),"")),"")</f>
        <v/>
      </c>
    </row>
    <row r="106">
      <c r="A106" s="66" t="inlineStr">
        <is>
          <t>04/01/2005</t>
        </is>
      </c>
      <c r="B106" s="28" t="n">
        <v>62.87</v>
      </c>
      <c r="C106" s="4">
        <f>EOMONTH(C105,0)+1</f>
        <v/>
      </c>
      <c r="D106">
        <f t="array" ref="D106">IFERROR(AVERAGE(_xlfn._xlws.FILTER($B$2:$B$9999,(IFERROR(VALUE(MID($A$2:$A$9999,4,2)),0)=MONTH(C106))*(IFERROR(VALUE(RIGHT($A$2:$A$9999,4)),0)=YEAR(C106)))),"")</f>
        <v/>
      </c>
      <c r="E106">
        <f>IF(ISNUMBER(D106),IF(MONTH(C106)=7,100,IFERROR(100*D106/INDEX($D$2:$D$9999,MATCH(DATE(IF(MONTH(C106)&gt;=7,YEAR(C106),YEAR(C106)-1),7,1),$C$2:$C$9999,0)),"")),"")</f>
        <v/>
      </c>
    </row>
    <row r="107">
      <c r="A107" s="66" t="inlineStr">
        <is>
          <t>05/01/2005</t>
        </is>
      </c>
      <c r="B107" s="28" t="n">
        <v>63.8</v>
      </c>
      <c r="C107" s="4">
        <f>EOMONTH(C106,0)+1</f>
        <v/>
      </c>
      <c r="D107">
        <f t="array" ref="D107">IFERROR(AVERAGE(_xlfn._xlws.FILTER($B$2:$B$9999,(IFERROR(VALUE(MID($A$2:$A$9999,4,2)),0)=MONTH(C107))*(IFERROR(VALUE(RIGHT($A$2:$A$9999,4)),0)=YEAR(C107)))),"")</f>
        <v/>
      </c>
      <c r="E107">
        <f>IF(ISNUMBER(D107),IF(MONTH(C107)=7,100,IFERROR(100*D107/INDEX($D$2:$D$9999,MATCH(DATE(IF(MONTH(C107)&gt;=7,YEAR(C107),YEAR(C107)-1),7,1),$C$2:$C$9999,0)),"")),"")</f>
        <v/>
      </c>
    </row>
    <row r="108">
      <c r="A108" s="66" t="inlineStr">
        <is>
          <t>06/01/2005</t>
        </is>
      </c>
      <c r="B108" s="28" t="n">
        <v>63.77</v>
      </c>
      <c r="C108" s="4">
        <f>EOMONTH(C107,0)+1</f>
        <v/>
      </c>
      <c r="D108">
        <f t="array" ref="D108">IFERROR(AVERAGE(_xlfn._xlws.FILTER($B$2:$B$9999,(IFERROR(VALUE(MID($A$2:$A$9999,4,2)),0)=MONTH(C108))*(IFERROR(VALUE(RIGHT($A$2:$A$9999,4)),0)=YEAR(C108)))),"")</f>
        <v/>
      </c>
      <c r="E108">
        <f>IF(ISNUMBER(D108),IF(MONTH(C108)=7,100,IFERROR(100*D108/INDEX($D$2:$D$9999,MATCH(DATE(IF(MONTH(C108)&gt;=7,YEAR(C108),YEAR(C108)-1),7,1),$C$2:$C$9999,0)),"")),"")</f>
        <v/>
      </c>
    </row>
    <row r="109">
      <c r="A109" s="66" t="inlineStr">
        <is>
          <t>07/01/2005</t>
        </is>
      </c>
      <c r="B109" s="28" t="n">
        <v>63.87</v>
      </c>
      <c r="C109" s="4">
        <f>EOMONTH(C108,0)+1</f>
        <v/>
      </c>
      <c r="D109">
        <f t="array" ref="D109">IFERROR(AVERAGE(_xlfn._xlws.FILTER($B$2:$B$9999,(IFERROR(VALUE(MID($A$2:$A$9999,4,2)),0)=MONTH(C109))*(IFERROR(VALUE(RIGHT($A$2:$A$9999,4)),0)=YEAR(C109)))),"")</f>
        <v/>
      </c>
      <c r="E109">
        <f>IF(ISNUMBER(D109),IF(MONTH(C109)=7,100,IFERROR(100*D109/INDEX($D$2:$D$9999,MATCH(DATE(IF(MONTH(C109)&gt;=7,YEAR(C109),YEAR(C109)-1),7,1),$C$2:$C$9999,0)),"")),"")</f>
        <v/>
      </c>
    </row>
    <row r="110">
      <c r="A110" s="66" t="inlineStr">
        <is>
          <t>10/01/2005</t>
        </is>
      </c>
      <c r="B110" s="28" t="n">
        <v>64.09</v>
      </c>
      <c r="C110" s="4">
        <f>EOMONTH(C109,0)+1</f>
        <v/>
      </c>
      <c r="D110">
        <f t="array" ref="D110">IFERROR(AVERAGE(_xlfn._xlws.FILTER($B$2:$B$9999,(IFERROR(VALUE(MID($A$2:$A$9999,4,2)),0)=MONTH(C110))*(IFERROR(VALUE(RIGHT($A$2:$A$9999,4)),0)=YEAR(C110)))),"")</f>
        <v/>
      </c>
      <c r="E110">
        <f>IF(ISNUMBER(D110),IF(MONTH(C110)=7,100,IFERROR(100*D110/INDEX($D$2:$D$9999,MATCH(DATE(IF(MONTH(C110)&gt;=7,YEAR(C110),YEAR(C110)-1),7,1),$C$2:$C$9999,0)),"")),"")</f>
        <v/>
      </c>
    </row>
    <row r="111">
      <c r="A111" s="66" t="inlineStr">
        <is>
          <t>11/01/2005</t>
        </is>
      </c>
      <c r="B111" s="28" t="n">
        <v>64.09</v>
      </c>
      <c r="C111" s="4">
        <f>EOMONTH(C110,0)+1</f>
        <v/>
      </c>
      <c r="D111">
        <f t="array" ref="D111">IFERROR(AVERAGE(_xlfn._xlws.FILTER($B$2:$B$9999,(IFERROR(VALUE(MID($A$2:$A$9999,4,2)),0)=MONTH(C111))*(IFERROR(VALUE(RIGHT($A$2:$A$9999,4)),0)=YEAR(C111)))),"")</f>
        <v/>
      </c>
      <c r="E111">
        <f>IF(ISNUMBER(D111),IF(MONTH(C111)=7,100,IFERROR(100*D111/INDEX($D$2:$D$9999,MATCH(DATE(IF(MONTH(C111)&gt;=7,YEAR(C111),YEAR(C111)-1),7,1),$C$2:$C$9999,0)),"")),"")</f>
        <v/>
      </c>
    </row>
    <row r="112">
      <c r="A112" s="66" t="inlineStr">
        <is>
          <t>12/01/2005</t>
        </is>
      </c>
      <c r="B112" s="28" t="n">
        <v>63.34</v>
      </c>
      <c r="C112" s="4">
        <f>EOMONTH(C111,0)+1</f>
        <v/>
      </c>
      <c r="D112">
        <f t="array" ref="D112">IFERROR(AVERAGE(_xlfn._xlws.FILTER($B$2:$B$9999,(IFERROR(VALUE(MID($A$2:$A$9999,4,2)),0)=MONTH(C112))*(IFERROR(VALUE(RIGHT($A$2:$A$9999,4)),0)=YEAR(C112)))),"")</f>
        <v/>
      </c>
      <c r="E112">
        <f>IF(ISNUMBER(D112),IF(MONTH(C112)=7,100,IFERROR(100*D112/INDEX($D$2:$D$9999,MATCH(DATE(IF(MONTH(C112)&gt;=7,YEAR(C112),YEAR(C112)-1),7,1),$C$2:$C$9999,0)),"")),"")</f>
        <v/>
      </c>
    </row>
    <row r="113">
      <c r="A113" s="66" t="inlineStr">
        <is>
          <t>13/01/2005</t>
        </is>
      </c>
      <c r="B113" s="28" t="n">
        <v>64.05</v>
      </c>
      <c r="C113" s="4">
        <f>EOMONTH(C112,0)+1</f>
        <v/>
      </c>
      <c r="D113">
        <f t="array" ref="D113">IFERROR(AVERAGE(_xlfn._xlws.FILTER($B$2:$B$9999,(IFERROR(VALUE(MID($A$2:$A$9999,4,2)),0)=MONTH(C113))*(IFERROR(VALUE(RIGHT($A$2:$A$9999,4)),0)=YEAR(C113)))),"")</f>
        <v/>
      </c>
      <c r="E113">
        <f>IF(ISNUMBER(D113),IF(MONTH(C113)=7,100,IFERROR(100*D113/INDEX($D$2:$D$9999,MATCH(DATE(IF(MONTH(C113)&gt;=7,YEAR(C113),YEAR(C113)-1),7,1),$C$2:$C$9999,0)),"")),"")</f>
        <v/>
      </c>
    </row>
    <row r="114">
      <c r="A114" s="66" t="inlineStr">
        <is>
          <t>14/01/2005</t>
        </is>
      </c>
      <c r="B114" s="28" t="n">
        <v>64.3</v>
      </c>
      <c r="C114" s="4">
        <f>EOMONTH(C113,0)+1</f>
        <v/>
      </c>
      <c r="D114">
        <f t="array" ref="D114">IFERROR(AVERAGE(_xlfn._xlws.FILTER($B$2:$B$9999,(IFERROR(VALUE(MID($A$2:$A$9999,4,2)),0)=MONTH(C114))*(IFERROR(VALUE(RIGHT($A$2:$A$9999,4)),0)=YEAR(C114)))),"")</f>
        <v/>
      </c>
      <c r="E114">
        <f>IF(ISNUMBER(D114),IF(MONTH(C114)=7,100,IFERROR(100*D114/INDEX($D$2:$D$9999,MATCH(DATE(IF(MONTH(C114)&gt;=7,YEAR(C114),YEAR(C114)-1),7,1),$C$2:$C$9999,0)),"")),"")</f>
        <v/>
      </c>
    </row>
    <row r="115">
      <c r="A115" s="66" t="inlineStr">
        <is>
          <t>17/01/2005</t>
        </is>
      </c>
      <c r="B115" s="28" t="n">
        <v>64.27</v>
      </c>
      <c r="C115" s="4">
        <f>EOMONTH(C114,0)+1</f>
        <v/>
      </c>
      <c r="D115">
        <f t="array" ref="D115">IFERROR(AVERAGE(_xlfn._xlws.FILTER($B$2:$B$9999,(IFERROR(VALUE(MID($A$2:$A$9999,4,2)),0)=MONTH(C115))*(IFERROR(VALUE(RIGHT($A$2:$A$9999,4)),0)=YEAR(C115)))),"")</f>
        <v/>
      </c>
      <c r="E115">
        <f>IF(ISNUMBER(D115),IF(MONTH(C115)=7,100,IFERROR(100*D115/INDEX($D$2:$D$9999,MATCH(DATE(IF(MONTH(C115)&gt;=7,YEAR(C115),YEAR(C115)-1),7,1),$C$2:$C$9999,0)),"")),"")</f>
        <v/>
      </c>
    </row>
    <row r="116">
      <c r="A116" s="66" t="inlineStr">
        <is>
          <t>18/01/2005</t>
        </is>
      </c>
      <c r="B116" s="28" t="n">
        <v>64.12</v>
      </c>
      <c r="C116" s="4">
        <f>EOMONTH(C115,0)+1</f>
        <v/>
      </c>
      <c r="D116">
        <f t="array" ref="D116">IFERROR(AVERAGE(_xlfn._xlws.FILTER($B$2:$B$9999,(IFERROR(VALUE(MID($A$2:$A$9999,4,2)),0)=MONTH(C116))*(IFERROR(VALUE(RIGHT($A$2:$A$9999,4)),0)=YEAR(C116)))),"")</f>
        <v/>
      </c>
      <c r="E116">
        <f>IF(ISNUMBER(D116),IF(MONTH(C116)=7,100,IFERROR(100*D116/INDEX($D$2:$D$9999,MATCH(DATE(IF(MONTH(C116)&gt;=7,YEAR(C116),YEAR(C116)-1),7,1),$C$2:$C$9999,0)),"")),"")</f>
        <v/>
      </c>
    </row>
    <row r="117">
      <c r="A117" s="66" t="inlineStr">
        <is>
          <t>19/01/2005</t>
        </is>
      </c>
      <c r="B117" s="28" t="n">
        <v>63.91</v>
      </c>
      <c r="C117" s="4">
        <f>EOMONTH(C116,0)+1</f>
        <v/>
      </c>
      <c r="D117">
        <f t="array" ref="D117">IFERROR(AVERAGE(_xlfn._xlws.FILTER($B$2:$B$9999,(IFERROR(VALUE(MID($A$2:$A$9999,4,2)),0)=MONTH(C117))*(IFERROR(VALUE(RIGHT($A$2:$A$9999,4)),0)=YEAR(C117)))),"")</f>
        <v/>
      </c>
      <c r="E117">
        <f>IF(ISNUMBER(D117),IF(MONTH(C117)=7,100,IFERROR(100*D117/INDEX($D$2:$D$9999,MATCH(DATE(IF(MONTH(C117)&gt;=7,YEAR(C117),YEAR(C117)-1),7,1),$C$2:$C$9999,0)),"")),"")</f>
        <v/>
      </c>
    </row>
    <row r="118">
      <c r="A118" s="66" t="inlineStr">
        <is>
          <t>20/01/2005</t>
        </is>
      </c>
      <c r="B118" s="28" t="n">
        <v>63.77</v>
      </c>
      <c r="C118" s="4">
        <f>EOMONTH(C117,0)+1</f>
        <v/>
      </c>
      <c r="D118">
        <f t="array" ref="D118">IFERROR(AVERAGE(_xlfn._xlws.FILTER($B$2:$B$9999,(IFERROR(VALUE(MID($A$2:$A$9999,4,2)),0)=MONTH(C118))*(IFERROR(VALUE(RIGHT($A$2:$A$9999,4)),0)=YEAR(C118)))),"")</f>
        <v/>
      </c>
      <c r="E118">
        <f>IF(ISNUMBER(D118),IF(MONTH(C118)=7,100,IFERROR(100*D118/INDEX($D$2:$D$9999,MATCH(DATE(IF(MONTH(C118)&gt;=7,YEAR(C118),YEAR(C118)-1),7,1),$C$2:$C$9999,0)),"")),"")</f>
        <v/>
      </c>
    </row>
    <row r="119">
      <c r="A119" s="66" t="inlineStr">
        <is>
          <t>21/01/2005</t>
        </is>
      </c>
      <c r="B119" s="28" t="n">
        <v>63.55</v>
      </c>
      <c r="C119" s="4">
        <f>EOMONTH(C118,0)+1</f>
        <v/>
      </c>
      <c r="D119">
        <f t="array" ref="D119">IFERROR(AVERAGE(_xlfn._xlws.FILTER($B$2:$B$9999,(IFERROR(VALUE(MID($A$2:$A$9999,4,2)),0)=MONTH(C119))*(IFERROR(VALUE(RIGHT($A$2:$A$9999,4)),0)=YEAR(C119)))),"")</f>
        <v/>
      </c>
      <c r="E119">
        <f>IF(ISNUMBER(D119),IF(MONTH(C119)=7,100,IFERROR(100*D119/INDEX($D$2:$D$9999,MATCH(DATE(IF(MONTH(C119)&gt;=7,YEAR(C119),YEAR(C119)-1),7,1),$C$2:$C$9999,0)),"")),"")</f>
        <v/>
      </c>
    </row>
    <row r="120">
      <c r="A120" s="66" t="inlineStr">
        <is>
          <t>24/01/2005</t>
        </is>
      </c>
      <c r="B120" s="28" t="n">
        <v>63.52</v>
      </c>
      <c r="C120" s="4">
        <f>EOMONTH(C119,0)+1</f>
        <v/>
      </c>
      <c r="D120">
        <f t="array" ref="D120">IFERROR(AVERAGE(_xlfn._xlws.FILTER($B$2:$B$9999,(IFERROR(VALUE(MID($A$2:$A$9999,4,2)),0)=MONTH(C120))*(IFERROR(VALUE(RIGHT($A$2:$A$9999,4)),0)=YEAR(C120)))),"")</f>
        <v/>
      </c>
      <c r="E120">
        <f>IF(ISNUMBER(D120),IF(MONTH(C120)=7,100,IFERROR(100*D120/INDEX($D$2:$D$9999,MATCH(DATE(IF(MONTH(C120)&gt;=7,YEAR(C120),YEAR(C120)-1),7,1),$C$2:$C$9999,0)),"")),"")</f>
        <v/>
      </c>
    </row>
    <row r="121">
      <c r="A121" s="66" t="inlineStr">
        <is>
          <t>25/01/2005</t>
        </is>
      </c>
      <c r="B121" s="28" t="n">
        <v>63.16</v>
      </c>
      <c r="C121" s="4">
        <f>EOMONTH(C120,0)+1</f>
        <v/>
      </c>
      <c r="D121">
        <f t="array" ref="D121">IFERROR(AVERAGE(_xlfn._xlws.FILTER($B$2:$B$9999,(IFERROR(VALUE(MID($A$2:$A$9999,4,2)),0)=MONTH(C121))*(IFERROR(VALUE(RIGHT($A$2:$A$9999,4)),0)=YEAR(C121)))),"")</f>
        <v/>
      </c>
      <c r="E121">
        <f>IF(ISNUMBER(D121),IF(MONTH(C121)=7,100,IFERROR(100*D121/INDEX($D$2:$D$9999,MATCH(DATE(IF(MONTH(C121)&gt;=7,YEAR(C121),YEAR(C121)-1),7,1),$C$2:$C$9999,0)),"")),"")</f>
        <v/>
      </c>
    </row>
    <row r="122">
      <c r="A122" s="66" t="inlineStr">
        <is>
          <t>26/01/2005</t>
        </is>
      </c>
      <c r="B122" s="28" t="n">
        <v>63.66</v>
      </c>
      <c r="C122" s="4">
        <f>EOMONTH(C121,0)+1</f>
        <v/>
      </c>
      <c r="D122">
        <f t="array" ref="D122">IFERROR(AVERAGE(_xlfn._xlws.FILTER($B$2:$B$9999,(IFERROR(VALUE(MID($A$2:$A$9999,4,2)),0)=MONTH(C122))*(IFERROR(VALUE(RIGHT($A$2:$A$9999,4)),0)=YEAR(C122)))),"")</f>
        <v/>
      </c>
      <c r="E122">
        <f>IF(ISNUMBER(D122),IF(MONTH(C122)=7,100,IFERROR(100*D122/INDEX($D$2:$D$9999,MATCH(DATE(IF(MONTH(C122)&gt;=7,YEAR(C122),YEAR(C122)-1),7,1),$C$2:$C$9999,0)),"")),"")</f>
        <v/>
      </c>
    </row>
    <row r="123">
      <c r="A123" s="66" t="inlineStr">
        <is>
          <t>27/01/2005</t>
        </is>
      </c>
      <c r="B123" s="28" t="n">
        <v>63.34</v>
      </c>
      <c r="C123" s="4">
        <f>EOMONTH(C122,0)+1</f>
        <v/>
      </c>
      <c r="D123">
        <f t="array" ref="D123">IFERROR(AVERAGE(_xlfn._xlws.FILTER($B$2:$B$9999,(IFERROR(VALUE(MID($A$2:$A$9999,4,2)),0)=MONTH(C123))*(IFERROR(VALUE(RIGHT($A$2:$A$9999,4)),0)=YEAR(C123)))),"")</f>
        <v/>
      </c>
      <c r="E123">
        <f>IF(ISNUMBER(D123),IF(MONTH(C123)=7,100,IFERROR(100*D123/INDEX($D$2:$D$9999,MATCH(DATE(IF(MONTH(C123)&gt;=7,YEAR(C123),YEAR(C123)-1),7,1),$C$2:$C$9999,0)),"")),"")</f>
        <v/>
      </c>
    </row>
    <row r="124">
      <c r="A124" s="66" t="inlineStr">
        <is>
          <t>28/01/2005</t>
        </is>
      </c>
      <c r="B124" s="28" t="n">
        <v>63.48</v>
      </c>
      <c r="C124" s="4">
        <f>EOMONTH(C123,0)+1</f>
        <v/>
      </c>
      <c r="D124">
        <f t="array" ref="D124">IFERROR(AVERAGE(_xlfn._xlws.FILTER($B$2:$B$9999,(IFERROR(VALUE(MID($A$2:$A$9999,4,2)),0)=MONTH(C124))*(IFERROR(VALUE(RIGHT($A$2:$A$9999,4)),0)=YEAR(C124)))),"")</f>
        <v/>
      </c>
      <c r="E124">
        <f>IF(ISNUMBER(D124),IF(MONTH(C124)=7,100,IFERROR(100*D124/INDEX($D$2:$D$9999,MATCH(DATE(IF(MONTH(C124)&gt;=7,YEAR(C124),YEAR(C124)-1),7,1),$C$2:$C$9999,0)),"")),"")</f>
        <v/>
      </c>
    </row>
    <row r="125">
      <c r="A125" s="66" t="inlineStr">
        <is>
          <t>31/01/2005</t>
        </is>
      </c>
      <c r="B125" s="28" t="n">
        <v>63.34</v>
      </c>
      <c r="C125" s="4">
        <f>EOMONTH(C124,0)+1</f>
        <v/>
      </c>
      <c r="D125">
        <f t="array" ref="D125">IFERROR(AVERAGE(_xlfn._xlws.FILTER($B$2:$B$9999,(IFERROR(VALUE(MID($A$2:$A$9999,4,2)),0)=MONTH(C125))*(IFERROR(VALUE(RIGHT($A$2:$A$9999,4)),0)=YEAR(C125)))),"")</f>
        <v/>
      </c>
      <c r="E125">
        <f>IF(ISNUMBER(D125),IF(MONTH(C125)=7,100,IFERROR(100*D125/INDEX($D$2:$D$9999,MATCH(DATE(IF(MONTH(C125)&gt;=7,YEAR(C125),YEAR(C125)-1),7,1),$C$2:$C$9999,0)),"")),"")</f>
        <v/>
      </c>
    </row>
    <row r="126">
      <c r="A126" s="66" t="inlineStr">
        <is>
          <t>01/02/2005</t>
        </is>
      </c>
      <c r="B126" s="28" t="n">
        <v>63.04</v>
      </c>
      <c r="C126" s="4">
        <f>EOMONTH(C125,0)+1</f>
        <v/>
      </c>
      <c r="D126">
        <f t="array" ref="D126">IFERROR(AVERAGE(_xlfn._xlws.FILTER($B$2:$B$9999,(IFERROR(VALUE(MID($A$2:$A$9999,4,2)),0)=MONTH(C126))*(IFERROR(VALUE(RIGHT($A$2:$A$9999,4)),0)=YEAR(C126)))),"")</f>
        <v/>
      </c>
      <c r="E126">
        <f>IF(ISNUMBER(D126),IF(MONTH(C126)=7,100,IFERROR(100*D126/INDEX($D$2:$D$9999,MATCH(DATE(IF(MONTH(C126)&gt;=7,YEAR(C126),YEAR(C126)-1),7,1),$C$2:$C$9999,0)),"")),"")</f>
        <v/>
      </c>
    </row>
    <row r="127">
      <c r="A127" s="66" t="inlineStr">
        <is>
          <t>02/02/2005</t>
        </is>
      </c>
      <c r="B127" s="28" t="n">
        <v>62.79</v>
      </c>
      <c r="C127" s="4">
        <f>EOMONTH(C126,0)+1</f>
        <v/>
      </c>
      <c r="D127">
        <f t="array" ref="D127">IFERROR(AVERAGE(_xlfn._xlws.FILTER($B$2:$B$9999,(IFERROR(VALUE(MID($A$2:$A$9999,4,2)),0)=MONTH(C127))*(IFERROR(VALUE(RIGHT($A$2:$A$9999,4)),0)=YEAR(C127)))),"")</f>
        <v/>
      </c>
      <c r="E127">
        <f>IF(ISNUMBER(D127),IF(MONTH(C127)=7,100,IFERROR(100*D127/INDEX($D$2:$D$9999,MATCH(DATE(IF(MONTH(C127)&gt;=7,YEAR(C127),YEAR(C127)-1),7,1),$C$2:$C$9999,0)),"")),"")</f>
        <v/>
      </c>
    </row>
    <row r="128">
      <c r="A128" s="66" t="inlineStr">
        <is>
          <t>03/02/2005</t>
        </is>
      </c>
      <c r="B128" s="28" t="n">
        <v>62.51</v>
      </c>
      <c r="C128" s="4">
        <f>EOMONTH(C127,0)+1</f>
        <v/>
      </c>
      <c r="D128">
        <f t="array" ref="D128">IFERROR(AVERAGE(_xlfn._xlws.FILTER($B$2:$B$9999,(IFERROR(VALUE(MID($A$2:$A$9999,4,2)),0)=MONTH(C128))*(IFERROR(VALUE(RIGHT($A$2:$A$9999,4)),0)=YEAR(C128)))),"")</f>
        <v/>
      </c>
      <c r="E128">
        <f>IF(ISNUMBER(D128),IF(MONTH(C128)=7,100,IFERROR(100*D128/INDEX($D$2:$D$9999,MATCH(DATE(IF(MONTH(C128)&gt;=7,YEAR(C128),YEAR(C128)-1),7,1),$C$2:$C$9999,0)),"")),"")</f>
        <v/>
      </c>
    </row>
    <row r="129">
      <c r="A129" s="66" t="inlineStr">
        <is>
          <t>04/02/2005</t>
        </is>
      </c>
      <c r="B129" s="28" t="n">
        <v>62.76</v>
      </c>
      <c r="C129" s="4">
        <f>EOMONTH(C128,0)+1</f>
        <v/>
      </c>
      <c r="D129">
        <f t="array" ref="D129">IFERROR(AVERAGE(_xlfn._xlws.FILTER($B$2:$B$9999,(IFERROR(VALUE(MID($A$2:$A$9999,4,2)),0)=MONTH(C129))*(IFERROR(VALUE(RIGHT($A$2:$A$9999,4)),0)=YEAR(C129)))),"")</f>
        <v/>
      </c>
      <c r="E129">
        <f>IF(ISNUMBER(D129),IF(MONTH(C129)=7,100,IFERROR(100*D129/INDEX($D$2:$D$9999,MATCH(DATE(IF(MONTH(C129)&gt;=7,YEAR(C129),YEAR(C129)-1),7,1),$C$2:$C$9999,0)),"")),"")</f>
        <v/>
      </c>
    </row>
    <row r="130">
      <c r="A130" s="66" t="inlineStr">
        <is>
          <t>09/02/2005</t>
        </is>
      </c>
      <c r="B130" s="28" t="n">
        <v>62.22</v>
      </c>
      <c r="C130" s="4">
        <f>EOMONTH(C129,0)+1</f>
        <v/>
      </c>
      <c r="D130">
        <f t="array" ref="D130">IFERROR(AVERAGE(_xlfn._xlws.FILTER($B$2:$B$9999,(IFERROR(VALUE(MID($A$2:$A$9999,4,2)),0)=MONTH(C130))*(IFERROR(VALUE(RIGHT($A$2:$A$9999,4)),0)=YEAR(C130)))),"")</f>
        <v/>
      </c>
      <c r="E130">
        <f>IF(ISNUMBER(D130),IF(MONTH(C130)=7,100,IFERROR(100*D130/INDEX($D$2:$D$9999,MATCH(DATE(IF(MONTH(C130)&gt;=7,YEAR(C130),YEAR(C130)-1),7,1),$C$2:$C$9999,0)),"")),"")</f>
        <v/>
      </c>
    </row>
    <row r="131">
      <c r="A131" s="66" t="inlineStr">
        <is>
          <t>10/02/2005</t>
        </is>
      </c>
      <c r="B131" s="28" t="n">
        <v>62.54</v>
      </c>
      <c r="C131" s="4">
        <f>EOMONTH(C130,0)+1</f>
        <v/>
      </c>
      <c r="D131">
        <f t="array" ref="D131">IFERROR(AVERAGE(_xlfn._xlws.FILTER($B$2:$B$9999,(IFERROR(VALUE(MID($A$2:$A$9999,4,2)),0)=MONTH(C131))*(IFERROR(VALUE(RIGHT($A$2:$A$9999,4)),0)=YEAR(C131)))),"")</f>
        <v/>
      </c>
      <c r="E131">
        <f>IF(ISNUMBER(D131),IF(MONTH(C131)=7,100,IFERROR(100*D131/INDEX($D$2:$D$9999,MATCH(DATE(IF(MONTH(C131)&gt;=7,YEAR(C131),YEAR(C131)-1),7,1),$C$2:$C$9999,0)),"")),"")</f>
        <v/>
      </c>
    </row>
    <row r="132">
      <c r="A132" s="66" t="inlineStr">
        <is>
          <t>11/02/2005</t>
        </is>
      </c>
      <c r="B132" s="28" t="n">
        <v>62.47</v>
      </c>
      <c r="C132" s="4">
        <f>EOMONTH(C131,0)+1</f>
        <v/>
      </c>
      <c r="D132">
        <f t="array" ref="D132">IFERROR(AVERAGE(_xlfn._xlws.FILTER($B$2:$B$9999,(IFERROR(VALUE(MID($A$2:$A$9999,4,2)),0)=MONTH(C132))*(IFERROR(VALUE(RIGHT($A$2:$A$9999,4)),0)=YEAR(C132)))),"")</f>
        <v/>
      </c>
      <c r="E132">
        <f>IF(ISNUMBER(D132),IF(MONTH(C132)=7,100,IFERROR(100*D132/INDEX($D$2:$D$9999,MATCH(DATE(IF(MONTH(C132)&gt;=7,YEAR(C132),YEAR(C132)-1),7,1),$C$2:$C$9999,0)),"")),"")</f>
        <v/>
      </c>
    </row>
    <row r="133">
      <c r="A133" s="66" t="inlineStr">
        <is>
          <t>14/02/2005</t>
        </is>
      </c>
      <c r="B133" s="28" t="n">
        <v>61.65</v>
      </c>
      <c r="C133" s="4">
        <f>EOMONTH(C132,0)+1</f>
        <v/>
      </c>
      <c r="D133">
        <f t="array" ref="D133">IFERROR(AVERAGE(_xlfn._xlws.FILTER($B$2:$B$9999,(IFERROR(VALUE(MID($A$2:$A$9999,4,2)),0)=MONTH(C133))*(IFERROR(VALUE(RIGHT($A$2:$A$9999,4)),0)=YEAR(C133)))),"")</f>
        <v/>
      </c>
      <c r="E133">
        <f>IF(ISNUMBER(D133),IF(MONTH(C133)=7,100,IFERROR(100*D133/INDEX($D$2:$D$9999,MATCH(DATE(IF(MONTH(C133)&gt;=7,YEAR(C133),YEAR(C133)-1),7,1),$C$2:$C$9999,0)),"")),"")</f>
        <v/>
      </c>
    </row>
    <row r="134">
      <c r="A134" s="66" t="inlineStr">
        <is>
          <t>15/02/2005</t>
        </is>
      </c>
      <c r="B134" s="28" t="n">
        <v>61.65</v>
      </c>
      <c r="C134" s="4">
        <f>EOMONTH(C133,0)+1</f>
        <v/>
      </c>
      <c r="D134">
        <f t="array" ref="D134">IFERROR(AVERAGE(_xlfn._xlws.FILTER($B$2:$B$9999,(IFERROR(VALUE(MID($A$2:$A$9999,4,2)),0)=MONTH(C134))*(IFERROR(VALUE(RIGHT($A$2:$A$9999,4)),0)=YEAR(C134)))),"")</f>
        <v/>
      </c>
      <c r="E134">
        <f>IF(ISNUMBER(D134),IF(MONTH(C134)=7,100,IFERROR(100*D134/INDEX($D$2:$D$9999,MATCH(DATE(IF(MONTH(C134)&gt;=7,YEAR(C134),YEAR(C134)-1),7,1),$C$2:$C$9999,0)),"")),"")</f>
        <v/>
      </c>
    </row>
    <row r="135">
      <c r="A135" s="66" t="inlineStr">
        <is>
          <t>16/02/2005</t>
        </is>
      </c>
      <c r="B135" s="28" t="n">
        <v>61.48</v>
      </c>
      <c r="C135" s="4">
        <f>EOMONTH(C134,0)+1</f>
        <v/>
      </c>
      <c r="D135">
        <f t="array" ref="D135">IFERROR(AVERAGE(_xlfn._xlws.FILTER($B$2:$B$9999,(IFERROR(VALUE(MID($A$2:$A$9999,4,2)),0)=MONTH(C135))*(IFERROR(VALUE(RIGHT($A$2:$A$9999,4)),0)=YEAR(C135)))),"")</f>
        <v/>
      </c>
      <c r="E135">
        <f>IF(ISNUMBER(D135),IF(MONTH(C135)=7,100,IFERROR(100*D135/INDEX($D$2:$D$9999,MATCH(DATE(IF(MONTH(C135)&gt;=7,YEAR(C135),YEAR(C135)-1),7,1),$C$2:$C$9999,0)),"")),"")</f>
        <v/>
      </c>
    </row>
    <row r="136">
      <c r="A136" s="66" t="inlineStr">
        <is>
          <t>17/02/2005</t>
        </is>
      </c>
      <c r="B136" s="28" t="n">
        <v>61.55</v>
      </c>
      <c r="C136" s="4">
        <f>EOMONTH(C135,0)+1</f>
        <v/>
      </c>
      <c r="D136">
        <f t="array" ref="D136">IFERROR(AVERAGE(_xlfn._xlws.FILTER($B$2:$B$9999,(IFERROR(VALUE(MID($A$2:$A$9999,4,2)),0)=MONTH(C136))*(IFERROR(VALUE(RIGHT($A$2:$A$9999,4)),0)=YEAR(C136)))),"")</f>
        <v/>
      </c>
      <c r="E136">
        <f>IF(ISNUMBER(D136),IF(MONTH(C136)=7,100,IFERROR(100*D136/INDEX($D$2:$D$9999,MATCH(DATE(IF(MONTH(C136)&gt;=7,YEAR(C136),YEAR(C136)-1),7,1),$C$2:$C$9999,0)),"")),"")</f>
        <v/>
      </c>
    </row>
    <row r="137">
      <c r="A137" s="66" t="inlineStr">
        <is>
          <t>18/02/2005</t>
        </is>
      </c>
      <c r="B137" s="28" t="n">
        <v>61.48</v>
      </c>
      <c r="C137" s="4">
        <f>EOMONTH(C136,0)+1</f>
        <v/>
      </c>
      <c r="D137">
        <f t="array" ref="D137">IFERROR(AVERAGE(_xlfn._xlws.FILTER($B$2:$B$9999,(IFERROR(VALUE(MID($A$2:$A$9999,4,2)),0)=MONTH(C137))*(IFERROR(VALUE(RIGHT($A$2:$A$9999,4)),0)=YEAR(C137)))),"")</f>
        <v/>
      </c>
      <c r="E137">
        <f>IF(ISNUMBER(D137),IF(MONTH(C137)=7,100,IFERROR(100*D137/INDEX($D$2:$D$9999,MATCH(DATE(IF(MONTH(C137)&gt;=7,YEAR(C137),YEAR(C137)-1),7,1),$C$2:$C$9999,0)),"")),"")</f>
        <v/>
      </c>
    </row>
    <row r="138">
      <c r="A138" s="66" t="inlineStr">
        <is>
          <t>21/02/2005</t>
        </is>
      </c>
      <c r="B138" s="28" t="n">
        <v>61.48</v>
      </c>
      <c r="C138" s="4">
        <f>EOMONTH(C137,0)+1</f>
        <v/>
      </c>
      <c r="D138">
        <f t="array" ref="D138">IFERROR(AVERAGE(_xlfn._xlws.FILTER($B$2:$B$9999,(IFERROR(VALUE(MID($A$2:$A$9999,4,2)),0)=MONTH(C138))*(IFERROR(VALUE(RIGHT($A$2:$A$9999,4)),0)=YEAR(C138)))),"")</f>
        <v/>
      </c>
      <c r="E138">
        <f>IF(ISNUMBER(D138),IF(MONTH(C138)=7,100,IFERROR(100*D138/INDEX($D$2:$D$9999,MATCH(DATE(IF(MONTH(C138)&gt;=7,YEAR(C138),YEAR(C138)-1),7,1),$C$2:$C$9999,0)),"")),"")</f>
        <v/>
      </c>
    </row>
    <row r="139">
      <c r="A139" s="66" t="inlineStr">
        <is>
          <t>22/02/2005</t>
        </is>
      </c>
      <c r="B139" s="28" t="n">
        <v>61.51</v>
      </c>
      <c r="C139" s="4">
        <f>EOMONTH(C138,0)+1</f>
        <v/>
      </c>
      <c r="D139">
        <f t="array" ref="D139">IFERROR(AVERAGE(_xlfn._xlws.FILTER($B$2:$B$9999,(IFERROR(VALUE(MID($A$2:$A$9999,4,2)),0)=MONTH(C139))*(IFERROR(VALUE(RIGHT($A$2:$A$9999,4)),0)=YEAR(C139)))),"")</f>
        <v/>
      </c>
      <c r="E139">
        <f>IF(ISNUMBER(D139),IF(MONTH(C139)=7,100,IFERROR(100*D139/INDEX($D$2:$D$9999,MATCH(DATE(IF(MONTH(C139)&gt;=7,YEAR(C139),YEAR(C139)-1),7,1),$C$2:$C$9999,0)),"")),"")</f>
        <v/>
      </c>
    </row>
    <row r="140">
      <c r="A140" s="66" t="inlineStr">
        <is>
          <t>23/02/2005</t>
        </is>
      </c>
      <c r="B140" s="28" t="n">
        <v>61.51</v>
      </c>
      <c r="C140" s="4">
        <f>EOMONTH(C139,0)+1</f>
        <v/>
      </c>
      <c r="D140">
        <f t="array" ref="D140">IFERROR(AVERAGE(_xlfn._xlws.FILTER($B$2:$B$9999,(IFERROR(VALUE(MID($A$2:$A$9999,4,2)),0)=MONTH(C140))*(IFERROR(VALUE(RIGHT($A$2:$A$9999,4)),0)=YEAR(C140)))),"")</f>
        <v/>
      </c>
      <c r="E140">
        <f>IF(ISNUMBER(D140),IF(MONTH(C140)=7,100,IFERROR(100*D140/INDEX($D$2:$D$9999,MATCH(DATE(IF(MONTH(C140)&gt;=7,YEAR(C140),YEAR(C140)-1),7,1),$C$2:$C$9999,0)),"")),"")</f>
        <v/>
      </c>
    </row>
    <row r="141">
      <c r="A141" s="66" t="inlineStr">
        <is>
          <t>24/02/2005</t>
        </is>
      </c>
      <c r="B141" s="28" t="n">
        <v>62.12</v>
      </c>
      <c r="C141" s="4">
        <f>EOMONTH(C140,0)+1</f>
        <v/>
      </c>
      <c r="D141">
        <f t="array" ref="D141">IFERROR(AVERAGE(_xlfn._xlws.FILTER($B$2:$B$9999,(IFERROR(VALUE(MID($A$2:$A$9999,4,2)),0)=MONTH(C141))*(IFERROR(VALUE(RIGHT($A$2:$A$9999,4)),0)=YEAR(C141)))),"")</f>
        <v/>
      </c>
      <c r="E141">
        <f>IF(ISNUMBER(D141),IF(MONTH(C141)=7,100,IFERROR(100*D141/INDEX($D$2:$D$9999,MATCH(DATE(IF(MONTH(C141)&gt;=7,YEAR(C141),YEAR(C141)-1),7,1),$C$2:$C$9999,0)),"")),"")</f>
        <v/>
      </c>
    </row>
    <row r="142">
      <c r="A142" s="66" t="inlineStr">
        <is>
          <t>25/02/2005</t>
        </is>
      </c>
      <c r="B142" s="28" t="n">
        <v>62.51</v>
      </c>
      <c r="C142" s="4">
        <f>EOMONTH(C141,0)+1</f>
        <v/>
      </c>
      <c r="D142">
        <f t="array" ref="D142">IFERROR(AVERAGE(_xlfn._xlws.FILTER($B$2:$B$9999,(IFERROR(VALUE(MID($A$2:$A$9999,4,2)),0)=MONTH(C142))*(IFERROR(VALUE(RIGHT($A$2:$A$9999,4)),0)=YEAR(C142)))),"")</f>
        <v/>
      </c>
      <c r="E142">
        <f>IF(ISNUMBER(D142),IF(MONTH(C142)=7,100,IFERROR(100*D142/INDEX($D$2:$D$9999,MATCH(DATE(IF(MONTH(C142)&gt;=7,YEAR(C142),YEAR(C142)-1),7,1),$C$2:$C$9999,0)),"")),"")</f>
        <v/>
      </c>
    </row>
    <row r="143">
      <c r="A143" s="66" t="inlineStr">
        <is>
          <t>28/02/2005</t>
        </is>
      </c>
      <c r="B143" s="28" t="n">
        <v>63.68</v>
      </c>
      <c r="C143" s="4">
        <f>EOMONTH(C142,0)+1</f>
        <v/>
      </c>
      <c r="D143">
        <f t="array" ref="D143">IFERROR(AVERAGE(_xlfn._xlws.FILTER($B$2:$B$9999,(IFERROR(VALUE(MID($A$2:$A$9999,4,2)),0)=MONTH(C143))*(IFERROR(VALUE(RIGHT($A$2:$A$9999,4)),0)=YEAR(C143)))),"")</f>
        <v/>
      </c>
      <c r="E143">
        <f>IF(ISNUMBER(D143),IF(MONTH(C143)=7,100,IFERROR(100*D143/INDEX($D$2:$D$9999,MATCH(DATE(IF(MONTH(C143)&gt;=7,YEAR(C143),YEAR(C143)-1),7,1),$C$2:$C$9999,0)),"")),"")</f>
        <v/>
      </c>
    </row>
    <row r="144">
      <c r="A144" s="66" t="inlineStr">
        <is>
          <t>01/03/2005</t>
        </is>
      </c>
      <c r="B144" s="28" t="n">
        <v>64.2</v>
      </c>
      <c r="C144" s="4">
        <f>EOMONTH(C143,0)+1</f>
        <v/>
      </c>
      <c r="D144">
        <f t="array" ref="D144">IFERROR(AVERAGE(_xlfn._xlws.FILTER($B$2:$B$9999,(IFERROR(VALUE(MID($A$2:$A$9999,4,2)),0)=MONTH(C144))*(IFERROR(VALUE(RIGHT($A$2:$A$9999,4)),0)=YEAR(C144)))),"")</f>
        <v/>
      </c>
      <c r="E144">
        <f>IF(ISNUMBER(D144),IF(MONTH(C144)=7,100,IFERROR(100*D144/INDEX($D$2:$D$9999,MATCH(DATE(IF(MONTH(C144)&gt;=7,YEAR(C144),YEAR(C144)-1),7,1),$C$2:$C$9999,0)),"")),"")</f>
        <v/>
      </c>
    </row>
    <row r="145">
      <c r="A145" s="66" t="inlineStr">
        <is>
          <t>02/03/2005</t>
        </is>
      </c>
      <c r="B145" s="28" t="n">
        <v>64.98</v>
      </c>
      <c r="C145" s="4">
        <f>EOMONTH(C144,0)+1</f>
        <v/>
      </c>
      <c r="D145">
        <f t="array" ref="D145">IFERROR(AVERAGE(_xlfn._xlws.FILTER($B$2:$B$9999,(IFERROR(VALUE(MID($A$2:$A$9999,4,2)),0)=MONTH(C145))*(IFERROR(VALUE(RIGHT($A$2:$A$9999,4)),0)=YEAR(C145)))),"")</f>
        <v/>
      </c>
      <c r="E145">
        <f>IF(ISNUMBER(D145),IF(MONTH(C145)=7,100,IFERROR(100*D145/INDEX($D$2:$D$9999,MATCH(DATE(IF(MONTH(C145)&gt;=7,YEAR(C145),YEAR(C145)-1),7,1),$C$2:$C$9999,0)),"")),"")</f>
        <v/>
      </c>
    </row>
    <row r="146">
      <c r="A146" s="66" t="inlineStr">
        <is>
          <t>03/03/2005</t>
        </is>
      </c>
      <c r="B146" s="28" t="n">
        <v>66.36</v>
      </c>
      <c r="C146" s="4">
        <f>EOMONTH(C145,0)+1</f>
        <v/>
      </c>
      <c r="D146">
        <f t="array" ref="D146">IFERROR(AVERAGE(_xlfn._xlws.FILTER($B$2:$B$9999,(IFERROR(VALUE(MID($A$2:$A$9999,4,2)),0)=MONTH(C146))*(IFERROR(VALUE(RIGHT($A$2:$A$9999,4)),0)=YEAR(C146)))),"")</f>
        <v/>
      </c>
      <c r="E146">
        <f>IF(ISNUMBER(D146),IF(MONTH(C146)=7,100,IFERROR(100*D146/INDEX($D$2:$D$9999,MATCH(DATE(IF(MONTH(C146)&gt;=7,YEAR(C146),YEAR(C146)-1),7,1),$C$2:$C$9999,0)),"")),"")</f>
        <v/>
      </c>
    </row>
    <row r="147">
      <c r="A147" s="66" t="inlineStr">
        <is>
          <t>04/03/2005</t>
        </is>
      </c>
      <c r="B147" s="28" t="n">
        <v>66.53</v>
      </c>
      <c r="C147" s="4">
        <f>EOMONTH(C146,0)+1</f>
        <v/>
      </c>
      <c r="D147">
        <f t="array" ref="D147">IFERROR(AVERAGE(_xlfn._xlws.FILTER($B$2:$B$9999,(IFERROR(VALUE(MID($A$2:$A$9999,4,2)),0)=MONTH(C147))*(IFERROR(VALUE(RIGHT($A$2:$A$9999,4)),0)=YEAR(C147)))),"")</f>
        <v/>
      </c>
      <c r="E147">
        <f>IF(ISNUMBER(D147),IF(MONTH(C147)=7,100,IFERROR(100*D147/INDEX($D$2:$D$9999,MATCH(DATE(IF(MONTH(C147)&gt;=7,YEAR(C147),YEAR(C147)-1),7,1),$C$2:$C$9999,0)),"")),"")</f>
        <v/>
      </c>
    </row>
    <row r="148">
      <c r="A148" s="66" t="inlineStr">
        <is>
          <t>07/03/2005</t>
        </is>
      </c>
      <c r="B148" s="28" t="n">
        <v>66.45999999999999</v>
      </c>
      <c r="C148" s="4">
        <f>EOMONTH(C147,0)+1</f>
        <v/>
      </c>
      <c r="D148">
        <f t="array" ref="D148">IFERROR(AVERAGE(_xlfn._xlws.FILTER($B$2:$B$9999,(IFERROR(VALUE(MID($A$2:$A$9999,4,2)),0)=MONTH(C148))*(IFERROR(VALUE(RIGHT($A$2:$A$9999,4)),0)=YEAR(C148)))),"")</f>
        <v/>
      </c>
      <c r="E148">
        <f>IF(ISNUMBER(D148),IF(MONTH(C148)=7,100,IFERROR(100*D148/INDEX($D$2:$D$9999,MATCH(DATE(IF(MONTH(C148)&gt;=7,YEAR(C148),YEAR(C148)-1),7,1),$C$2:$C$9999,0)),"")),"")</f>
        <v/>
      </c>
    </row>
    <row r="149">
      <c r="A149" s="66" t="inlineStr">
        <is>
          <t>08/03/2005</t>
        </is>
      </c>
      <c r="B149" s="28" t="n">
        <v>67.7</v>
      </c>
      <c r="C149" s="4">
        <f>EOMONTH(C148,0)+1</f>
        <v/>
      </c>
      <c r="D149">
        <f t="array" ref="D149">IFERROR(AVERAGE(_xlfn._xlws.FILTER($B$2:$B$9999,(IFERROR(VALUE(MID($A$2:$A$9999,4,2)),0)=MONTH(C149))*(IFERROR(VALUE(RIGHT($A$2:$A$9999,4)),0)=YEAR(C149)))),"")</f>
        <v/>
      </c>
      <c r="E149">
        <f>IF(ISNUMBER(D149),IF(MONTH(C149)=7,100,IFERROR(100*D149/INDEX($D$2:$D$9999,MATCH(DATE(IF(MONTH(C149)&gt;=7,YEAR(C149),YEAR(C149)-1),7,1),$C$2:$C$9999,0)),"")),"")</f>
        <v/>
      </c>
    </row>
    <row r="150">
      <c r="A150" s="66" t="inlineStr">
        <is>
          <t>09/03/2005</t>
        </is>
      </c>
      <c r="B150" s="28" t="n">
        <v>68.01000000000001</v>
      </c>
      <c r="C150" s="4">
        <f>EOMONTH(C149,0)+1</f>
        <v/>
      </c>
      <c r="D150">
        <f t="array" ref="D150">IFERROR(AVERAGE(_xlfn._xlws.FILTER($B$2:$B$9999,(IFERROR(VALUE(MID($A$2:$A$9999,4,2)),0)=MONTH(C150))*(IFERROR(VALUE(RIGHT($A$2:$A$9999,4)),0)=YEAR(C150)))),"")</f>
        <v/>
      </c>
      <c r="E150">
        <f>IF(ISNUMBER(D150),IF(MONTH(C150)=7,100,IFERROR(100*D150/INDEX($D$2:$D$9999,MATCH(DATE(IF(MONTH(C150)&gt;=7,YEAR(C150),YEAR(C150)-1),7,1),$C$2:$C$9999,0)),"")),"")</f>
        <v/>
      </c>
    </row>
    <row r="151">
      <c r="A151" s="66" t="inlineStr">
        <is>
          <t>10/03/2005</t>
        </is>
      </c>
      <c r="B151" s="28" t="n">
        <v>68.68000000000001</v>
      </c>
      <c r="C151" s="4">
        <f>EOMONTH(C150,0)+1</f>
        <v/>
      </c>
      <c r="D151">
        <f t="array" ref="D151">IFERROR(AVERAGE(_xlfn._xlws.FILTER($B$2:$B$9999,(IFERROR(VALUE(MID($A$2:$A$9999,4,2)),0)=MONTH(C151))*(IFERROR(VALUE(RIGHT($A$2:$A$9999,4)),0)=YEAR(C151)))),"")</f>
        <v/>
      </c>
      <c r="E151">
        <f>IF(ISNUMBER(D151),IF(MONTH(C151)=7,100,IFERROR(100*D151/INDEX($D$2:$D$9999,MATCH(DATE(IF(MONTH(C151)&gt;=7,YEAR(C151),YEAR(C151)-1),7,1),$C$2:$C$9999,0)),"")),"")</f>
        <v/>
      </c>
    </row>
    <row r="152">
      <c r="A152" s="66" t="inlineStr">
        <is>
          <t>11/03/2005</t>
        </is>
      </c>
      <c r="B152" s="28" t="n">
        <v>69.56999999999999</v>
      </c>
      <c r="C152" s="4">
        <f>EOMONTH(C151,0)+1</f>
        <v/>
      </c>
      <c r="D152">
        <f t="array" ref="D152">IFERROR(AVERAGE(_xlfn._xlws.FILTER($B$2:$B$9999,(IFERROR(VALUE(MID($A$2:$A$9999,4,2)),0)=MONTH(C152))*(IFERROR(VALUE(RIGHT($A$2:$A$9999,4)),0)=YEAR(C152)))),"")</f>
        <v/>
      </c>
      <c r="E152">
        <f>IF(ISNUMBER(D152),IF(MONTH(C152)=7,100,IFERROR(100*D152/INDEX($D$2:$D$9999,MATCH(DATE(IF(MONTH(C152)&gt;=7,YEAR(C152),YEAR(C152)-1),7,1),$C$2:$C$9999,0)),"")),"")</f>
        <v/>
      </c>
    </row>
    <row r="153">
      <c r="A153" s="66" t="inlineStr">
        <is>
          <t>14/03/2005</t>
        </is>
      </c>
      <c r="B153" s="28" t="n">
        <v>70.13</v>
      </c>
      <c r="C153" s="4">
        <f>EOMONTH(C152,0)+1</f>
        <v/>
      </c>
      <c r="D153">
        <f t="array" ref="D153">IFERROR(AVERAGE(_xlfn._xlws.FILTER($B$2:$B$9999,(IFERROR(VALUE(MID($A$2:$A$9999,4,2)),0)=MONTH(C153))*(IFERROR(VALUE(RIGHT($A$2:$A$9999,4)),0)=YEAR(C153)))),"")</f>
        <v/>
      </c>
      <c r="E153">
        <f>IF(ISNUMBER(D153),IF(MONTH(C153)=7,100,IFERROR(100*D153/INDEX($D$2:$D$9999,MATCH(DATE(IF(MONTH(C153)&gt;=7,YEAR(C153),YEAR(C153)-1),7,1),$C$2:$C$9999,0)),"")),"")</f>
        <v/>
      </c>
    </row>
    <row r="154">
      <c r="A154" s="66" t="inlineStr">
        <is>
          <t>15/03/2005</t>
        </is>
      </c>
      <c r="B154" s="28" t="n">
        <v>72.31999999999999</v>
      </c>
      <c r="C154" s="4">
        <f>EOMONTH(C153,0)+1</f>
        <v/>
      </c>
      <c r="D154">
        <f t="array" ref="D154">IFERROR(AVERAGE(_xlfn._xlws.FILTER($B$2:$B$9999,(IFERROR(VALUE(MID($A$2:$A$9999,4,2)),0)=MONTH(C154))*(IFERROR(VALUE(RIGHT($A$2:$A$9999,4)),0)=YEAR(C154)))),"")</f>
        <v/>
      </c>
      <c r="E154">
        <f>IF(ISNUMBER(D154),IF(MONTH(C154)=7,100,IFERROR(100*D154/INDEX($D$2:$D$9999,MATCH(DATE(IF(MONTH(C154)&gt;=7,YEAR(C154),YEAR(C154)-1),7,1),$C$2:$C$9999,0)),"")),"")</f>
        <v/>
      </c>
    </row>
    <row r="155">
      <c r="A155" s="66" t="inlineStr">
        <is>
          <t>16/03/2005</t>
        </is>
      </c>
      <c r="B155" s="28" t="n">
        <v>74.47</v>
      </c>
      <c r="C155" s="4">
        <f>EOMONTH(C154,0)+1</f>
        <v/>
      </c>
      <c r="D155">
        <f t="array" ref="D155">IFERROR(AVERAGE(_xlfn._xlws.FILTER($B$2:$B$9999,(IFERROR(VALUE(MID($A$2:$A$9999,4,2)),0)=MONTH(C155))*(IFERROR(VALUE(RIGHT($A$2:$A$9999,4)),0)=YEAR(C155)))),"")</f>
        <v/>
      </c>
      <c r="E155">
        <f>IF(ISNUMBER(D155),IF(MONTH(C155)=7,100,IFERROR(100*D155/INDEX($D$2:$D$9999,MATCH(DATE(IF(MONTH(C155)&gt;=7,YEAR(C155),YEAR(C155)-1),7,1),$C$2:$C$9999,0)),"")),"")</f>
        <v/>
      </c>
    </row>
    <row r="156">
      <c r="A156" s="66" t="inlineStr">
        <is>
          <t>17/03/2005</t>
        </is>
      </c>
      <c r="B156" s="28" t="n">
        <v>74.93000000000001</v>
      </c>
      <c r="C156" s="4">
        <f>EOMONTH(C155,0)+1</f>
        <v/>
      </c>
      <c r="D156">
        <f t="array" ref="D156">IFERROR(AVERAGE(_xlfn._xlws.FILTER($B$2:$B$9999,(IFERROR(VALUE(MID($A$2:$A$9999,4,2)),0)=MONTH(C156))*(IFERROR(VALUE(RIGHT($A$2:$A$9999,4)),0)=YEAR(C156)))),"")</f>
        <v/>
      </c>
      <c r="E156">
        <f>IF(ISNUMBER(D156),IF(MONTH(C156)=7,100,IFERROR(100*D156/INDEX($D$2:$D$9999,MATCH(DATE(IF(MONTH(C156)&gt;=7,YEAR(C156),YEAR(C156)-1),7,1),$C$2:$C$9999,0)),"")),"")</f>
        <v/>
      </c>
    </row>
    <row r="157">
      <c r="A157" s="66" t="inlineStr">
        <is>
          <t>18/03/2005</t>
        </is>
      </c>
      <c r="B157" s="28" t="n">
        <v>74.79000000000001</v>
      </c>
      <c r="C157" s="4">
        <f>EOMONTH(C156,0)+1</f>
        <v/>
      </c>
      <c r="D157">
        <f t="array" ref="D157">IFERROR(AVERAGE(_xlfn._xlws.FILTER($B$2:$B$9999,(IFERROR(VALUE(MID($A$2:$A$9999,4,2)),0)=MONTH(C157))*(IFERROR(VALUE(RIGHT($A$2:$A$9999,4)),0)=YEAR(C157)))),"")</f>
        <v/>
      </c>
      <c r="E157">
        <f>IF(ISNUMBER(D157),IF(MONTH(C157)=7,100,IFERROR(100*D157/INDEX($D$2:$D$9999,MATCH(DATE(IF(MONTH(C157)&gt;=7,YEAR(C157),YEAR(C157)-1),7,1),$C$2:$C$9999,0)),"")),"")</f>
        <v/>
      </c>
    </row>
    <row r="158">
      <c r="A158" s="66" t="inlineStr">
        <is>
          <t>21/03/2005</t>
        </is>
      </c>
      <c r="B158" s="28" t="n">
        <v>74.58</v>
      </c>
      <c r="C158" s="4">
        <f>EOMONTH(C157,0)+1</f>
        <v/>
      </c>
      <c r="D158">
        <f t="array" ref="D158">IFERROR(AVERAGE(_xlfn._xlws.FILTER($B$2:$B$9999,(IFERROR(VALUE(MID($A$2:$A$9999,4,2)),0)=MONTH(C158))*(IFERROR(VALUE(RIGHT($A$2:$A$9999,4)),0)=YEAR(C158)))),"")</f>
        <v/>
      </c>
      <c r="E158">
        <f>IF(ISNUMBER(D158),IF(MONTH(C158)=7,100,IFERROR(100*D158/INDEX($D$2:$D$9999,MATCH(DATE(IF(MONTH(C158)&gt;=7,YEAR(C158),YEAR(C158)-1),7,1),$C$2:$C$9999,0)),"")),"")</f>
        <v/>
      </c>
    </row>
    <row r="159">
      <c r="A159" s="66" t="inlineStr">
        <is>
          <t>22/03/2005</t>
        </is>
      </c>
      <c r="B159" s="28" t="n">
        <v>74.54000000000001</v>
      </c>
      <c r="C159" s="4">
        <f>EOMONTH(C158,0)+1</f>
        <v/>
      </c>
      <c r="D159">
        <f t="array" ref="D159">IFERROR(AVERAGE(_xlfn._xlws.FILTER($B$2:$B$9999,(IFERROR(VALUE(MID($A$2:$A$9999,4,2)),0)=MONTH(C159))*(IFERROR(VALUE(RIGHT($A$2:$A$9999,4)),0)=YEAR(C159)))),"")</f>
        <v/>
      </c>
      <c r="E159">
        <f>IF(ISNUMBER(D159),IF(MONTH(C159)=7,100,IFERROR(100*D159/INDEX($D$2:$D$9999,MATCH(DATE(IF(MONTH(C159)&gt;=7,YEAR(C159),YEAR(C159)-1),7,1),$C$2:$C$9999,0)),"")),"")</f>
        <v/>
      </c>
    </row>
    <row r="160">
      <c r="A160" s="66" t="inlineStr">
        <is>
          <t>23/03/2005</t>
        </is>
      </c>
      <c r="B160" s="28" t="n">
        <v>74.51000000000001</v>
      </c>
      <c r="C160" s="4">
        <f>EOMONTH(C159,0)+1</f>
        <v/>
      </c>
      <c r="D160">
        <f t="array" ref="D160">IFERROR(AVERAGE(_xlfn._xlws.FILTER($B$2:$B$9999,(IFERROR(VALUE(MID($A$2:$A$9999,4,2)),0)=MONTH(C160))*(IFERROR(VALUE(RIGHT($A$2:$A$9999,4)),0)=YEAR(C160)))),"")</f>
        <v/>
      </c>
      <c r="E160">
        <f>IF(ISNUMBER(D160),IF(MONTH(C160)=7,100,IFERROR(100*D160/INDEX($D$2:$D$9999,MATCH(DATE(IF(MONTH(C160)&gt;=7,YEAR(C160),YEAR(C160)-1),7,1),$C$2:$C$9999,0)),"")),"")</f>
        <v/>
      </c>
    </row>
    <row r="161">
      <c r="A161" s="66" t="inlineStr">
        <is>
          <t>24/03/2005</t>
        </is>
      </c>
      <c r="B161" s="28" t="n">
        <v>73.23999999999999</v>
      </c>
      <c r="C161" s="4">
        <f>EOMONTH(C160,0)+1</f>
        <v/>
      </c>
      <c r="D161">
        <f t="array" ref="D161">IFERROR(AVERAGE(_xlfn._xlws.FILTER($B$2:$B$9999,(IFERROR(VALUE(MID($A$2:$A$9999,4,2)),0)=MONTH(C161))*(IFERROR(VALUE(RIGHT($A$2:$A$9999,4)),0)=YEAR(C161)))),"")</f>
        <v/>
      </c>
      <c r="E161">
        <f>IF(ISNUMBER(D161),IF(MONTH(C161)=7,100,IFERROR(100*D161/INDEX($D$2:$D$9999,MATCH(DATE(IF(MONTH(C161)&gt;=7,YEAR(C161),YEAR(C161)-1),7,1),$C$2:$C$9999,0)),"")),"")</f>
        <v/>
      </c>
    </row>
    <row r="162">
      <c r="A162" s="66" t="inlineStr">
        <is>
          <t>28/03/2005</t>
        </is>
      </c>
      <c r="B162" s="28" t="n">
        <v>72.81</v>
      </c>
      <c r="C162" s="4">
        <f>EOMONTH(C161,0)+1</f>
        <v/>
      </c>
      <c r="D162">
        <f t="array" ref="D162">IFERROR(AVERAGE(_xlfn._xlws.FILTER($B$2:$B$9999,(IFERROR(VALUE(MID($A$2:$A$9999,4,2)),0)=MONTH(C162))*(IFERROR(VALUE(RIGHT($A$2:$A$9999,4)),0)=YEAR(C162)))),"")</f>
        <v/>
      </c>
      <c r="E162">
        <f>IF(ISNUMBER(D162),IF(MONTH(C162)=7,100,IFERROR(100*D162/INDEX($D$2:$D$9999,MATCH(DATE(IF(MONTH(C162)&gt;=7,YEAR(C162),YEAR(C162)-1),7,1),$C$2:$C$9999,0)),"")),"")</f>
        <v/>
      </c>
    </row>
    <row r="163">
      <c r="A163" s="66" t="inlineStr">
        <is>
          <t>29/03/2005</t>
        </is>
      </c>
      <c r="B163" s="28" t="n">
        <v>72.59999999999999</v>
      </c>
      <c r="C163" s="4">
        <f>EOMONTH(C162,0)+1</f>
        <v/>
      </c>
      <c r="D163">
        <f t="array" ref="D163">IFERROR(AVERAGE(_xlfn._xlws.FILTER($B$2:$B$9999,(IFERROR(VALUE(MID($A$2:$A$9999,4,2)),0)=MONTH(C163))*(IFERROR(VALUE(RIGHT($A$2:$A$9999,4)),0)=YEAR(C163)))),"")</f>
        <v/>
      </c>
      <c r="E163">
        <f>IF(ISNUMBER(D163),IF(MONTH(C163)=7,100,IFERROR(100*D163/INDEX($D$2:$D$9999,MATCH(DATE(IF(MONTH(C163)&gt;=7,YEAR(C163),YEAR(C163)-1),7,1),$C$2:$C$9999,0)),"")),"")</f>
        <v/>
      </c>
    </row>
    <row r="164">
      <c r="A164" s="66" t="inlineStr">
        <is>
          <t>30/03/2005</t>
        </is>
      </c>
      <c r="B164" s="28" t="n">
        <v>73.16</v>
      </c>
      <c r="C164" s="4">
        <f>EOMONTH(C163,0)+1</f>
        <v/>
      </c>
      <c r="D164">
        <f t="array" ref="D164">IFERROR(AVERAGE(_xlfn._xlws.FILTER($B$2:$B$9999,(IFERROR(VALUE(MID($A$2:$A$9999,4,2)),0)=MONTH(C164))*(IFERROR(VALUE(RIGHT($A$2:$A$9999,4)),0)=YEAR(C164)))),"")</f>
        <v/>
      </c>
      <c r="E164">
        <f>IF(ISNUMBER(D164),IF(MONTH(C164)=7,100,IFERROR(100*D164/INDEX($D$2:$D$9999,MATCH(DATE(IF(MONTH(C164)&gt;=7,YEAR(C164),YEAR(C164)-1),7,1),$C$2:$C$9999,0)),"")),"")</f>
        <v/>
      </c>
    </row>
    <row r="165">
      <c r="A165" s="66" t="inlineStr">
        <is>
          <t>31/03/2005</t>
        </is>
      </c>
      <c r="B165" s="28" t="n">
        <v>72.04000000000001</v>
      </c>
      <c r="C165" s="4">
        <f>EOMONTH(C164,0)+1</f>
        <v/>
      </c>
      <c r="D165">
        <f t="array" ref="D165">IFERROR(AVERAGE(_xlfn._xlws.FILTER($B$2:$B$9999,(IFERROR(VALUE(MID($A$2:$A$9999,4,2)),0)=MONTH(C165))*(IFERROR(VALUE(RIGHT($A$2:$A$9999,4)),0)=YEAR(C165)))),"")</f>
        <v/>
      </c>
      <c r="E165">
        <f>IF(ISNUMBER(D165),IF(MONTH(C165)=7,100,IFERROR(100*D165/INDEX($D$2:$D$9999,MATCH(DATE(IF(MONTH(C165)&gt;=7,YEAR(C165),YEAR(C165)-1),7,1),$C$2:$C$9999,0)),"")),"")</f>
        <v/>
      </c>
    </row>
    <row r="166">
      <c r="A166" s="66" t="inlineStr">
        <is>
          <t>01/04/2005</t>
        </is>
      </c>
      <c r="B166" s="28" t="n">
        <v>70.51000000000001</v>
      </c>
      <c r="C166" s="4">
        <f>EOMONTH(C165,0)+1</f>
        <v/>
      </c>
      <c r="D166">
        <f t="array" ref="D166">IFERROR(AVERAGE(_xlfn._xlws.FILTER($B$2:$B$9999,(IFERROR(VALUE(MID($A$2:$A$9999,4,2)),0)=MONTH(C166))*(IFERROR(VALUE(RIGHT($A$2:$A$9999,4)),0)=YEAR(C166)))),"")</f>
        <v/>
      </c>
      <c r="E166">
        <f>IF(ISNUMBER(D166),IF(MONTH(C166)=7,100,IFERROR(100*D166/INDEX($D$2:$D$9999,MATCH(DATE(IF(MONTH(C166)&gt;=7,YEAR(C166),YEAR(C166)-1),7,1),$C$2:$C$9999,0)),"")),"")</f>
        <v/>
      </c>
    </row>
    <row r="167">
      <c r="A167" s="66" t="inlineStr">
        <is>
          <t>04/04/2005</t>
        </is>
      </c>
      <c r="B167" s="28" t="n">
        <v>70.69</v>
      </c>
      <c r="C167" s="4">
        <f>EOMONTH(C166,0)+1</f>
        <v/>
      </c>
      <c r="D167">
        <f t="array" ref="D167">IFERROR(AVERAGE(_xlfn._xlws.FILTER($B$2:$B$9999,(IFERROR(VALUE(MID($A$2:$A$9999,4,2)),0)=MONTH(C167))*(IFERROR(VALUE(RIGHT($A$2:$A$9999,4)),0)=YEAR(C167)))),"")</f>
        <v/>
      </c>
      <c r="E167">
        <f>IF(ISNUMBER(D167),IF(MONTH(C167)=7,100,IFERROR(100*D167/INDEX($D$2:$D$9999,MATCH(DATE(IF(MONTH(C167)&gt;=7,YEAR(C167),YEAR(C167)-1),7,1),$C$2:$C$9999,0)),"")),"")</f>
        <v/>
      </c>
    </row>
    <row r="168">
      <c r="A168" s="66" t="inlineStr">
        <is>
          <t>05/04/2005</t>
        </is>
      </c>
      <c r="B168" s="28" t="n">
        <v>70.41</v>
      </c>
      <c r="C168" s="4">
        <f>EOMONTH(C167,0)+1</f>
        <v/>
      </c>
      <c r="D168">
        <f t="array" ref="D168">IFERROR(AVERAGE(_xlfn._xlws.FILTER($B$2:$B$9999,(IFERROR(VALUE(MID($A$2:$A$9999,4,2)),0)=MONTH(C168))*(IFERROR(VALUE(RIGHT($A$2:$A$9999,4)),0)=YEAR(C168)))),"")</f>
        <v/>
      </c>
      <c r="E168">
        <f>IF(ISNUMBER(D168),IF(MONTH(C168)=7,100,IFERROR(100*D168/INDEX($D$2:$D$9999,MATCH(DATE(IF(MONTH(C168)&gt;=7,YEAR(C168),YEAR(C168)-1),7,1),$C$2:$C$9999,0)),"")),"")</f>
        <v/>
      </c>
    </row>
    <row r="169">
      <c r="A169" s="66" t="inlineStr">
        <is>
          <t>06/04/2005</t>
        </is>
      </c>
      <c r="B169" s="28" t="n">
        <v>69.39</v>
      </c>
      <c r="C169" s="4">
        <f>EOMONTH(C168,0)+1</f>
        <v/>
      </c>
      <c r="D169">
        <f t="array" ref="D169">IFERROR(AVERAGE(_xlfn._xlws.FILTER($B$2:$B$9999,(IFERROR(VALUE(MID($A$2:$A$9999,4,2)),0)=MONTH(C169))*(IFERROR(VALUE(RIGHT($A$2:$A$9999,4)),0)=YEAR(C169)))),"")</f>
        <v/>
      </c>
      <c r="E169">
        <f>IF(ISNUMBER(D169),IF(MONTH(C169)=7,100,IFERROR(100*D169/INDEX($D$2:$D$9999,MATCH(DATE(IF(MONTH(C169)&gt;=7,YEAR(C169),YEAR(C169)-1),7,1),$C$2:$C$9999,0)),"")),"")</f>
        <v/>
      </c>
    </row>
    <row r="170">
      <c r="A170" s="66" t="inlineStr">
        <is>
          <t>07/04/2005</t>
        </is>
      </c>
      <c r="B170" s="28" t="n">
        <v>68.94</v>
      </c>
      <c r="C170" s="4">
        <f>EOMONTH(C169,0)+1</f>
        <v/>
      </c>
      <c r="D170">
        <f t="array" ref="D170">IFERROR(AVERAGE(_xlfn._xlws.FILTER($B$2:$B$9999,(IFERROR(VALUE(MID($A$2:$A$9999,4,2)),0)=MONTH(C170))*(IFERROR(VALUE(RIGHT($A$2:$A$9999,4)),0)=YEAR(C170)))),"")</f>
        <v/>
      </c>
      <c r="E170">
        <f>IF(ISNUMBER(D170),IF(MONTH(C170)=7,100,IFERROR(100*D170/INDEX($D$2:$D$9999,MATCH(DATE(IF(MONTH(C170)&gt;=7,YEAR(C170),YEAR(C170)-1),7,1),$C$2:$C$9999,0)),"")),"")</f>
        <v/>
      </c>
    </row>
    <row r="171">
      <c r="A171" s="66" t="inlineStr">
        <is>
          <t>08/04/2005</t>
        </is>
      </c>
      <c r="B171" s="28" t="n">
        <v>69.29000000000001</v>
      </c>
      <c r="C171" s="4">
        <f>EOMONTH(C170,0)+1</f>
        <v/>
      </c>
      <c r="D171">
        <f t="array" ref="D171">IFERROR(AVERAGE(_xlfn._xlws.FILTER($B$2:$B$9999,(IFERROR(VALUE(MID($A$2:$A$9999,4,2)),0)=MONTH(C171))*(IFERROR(VALUE(RIGHT($A$2:$A$9999,4)),0)=YEAR(C171)))),"")</f>
        <v/>
      </c>
      <c r="E171">
        <f>IF(ISNUMBER(D171),IF(MONTH(C171)=7,100,IFERROR(100*D171/INDEX($D$2:$D$9999,MATCH(DATE(IF(MONTH(C171)&gt;=7,YEAR(C171),YEAR(C171)-1),7,1),$C$2:$C$9999,0)),"")),"")</f>
        <v/>
      </c>
    </row>
    <row r="172">
      <c r="A172" s="66" t="inlineStr">
        <is>
          <t>11/04/2005</t>
        </is>
      </c>
      <c r="B172" s="28" t="n">
        <v>69.45999999999999</v>
      </c>
      <c r="C172" s="4">
        <f>EOMONTH(C171,0)+1</f>
        <v/>
      </c>
      <c r="D172">
        <f t="array" ref="D172">IFERROR(AVERAGE(_xlfn._xlws.FILTER($B$2:$B$9999,(IFERROR(VALUE(MID($A$2:$A$9999,4,2)),0)=MONTH(C172))*(IFERROR(VALUE(RIGHT($A$2:$A$9999,4)),0)=YEAR(C172)))),"")</f>
        <v/>
      </c>
      <c r="E172">
        <f>IF(ISNUMBER(D172),IF(MONTH(C172)=7,100,IFERROR(100*D172/INDEX($D$2:$D$9999,MATCH(DATE(IF(MONTH(C172)&gt;=7,YEAR(C172),YEAR(C172)-1),7,1),$C$2:$C$9999,0)),"")),"")</f>
        <v/>
      </c>
    </row>
    <row r="173">
      <c r="A173" s="66" t="inlineStr">
        <is>
          <t>12/04/2005</t>
        </is>
      </c>
      <c r="B173" s="28" t="n">
        <v>68.66</v>
      </c>
      <c r="C173" s="4">
        <f>EOMONTH(C172,0)+1</f>
        <v/>
      </c>
      <c r="D173">
        <f t="array" ref="D173">IFERROR(AVERAGE(_xlfn._xlws.FILTER($B$2:$B$9999,(IFERROR(VALUE(MID($A$2:$A$9999,4,2)),0)=MONTH(C173))*(IFERROR(VALUE(RIGHT($A$2:$A$9999,4)),0)=YEAR(C173)))),"")</f>
        <v/>
      </c>
      <c r="E173">
        <f>IF(ISNUMBER(D173),IF(MONTH(C173)=7,100,IFERROR(100*D173/INDEX($D$2:$D$9999,MATCH(DATE(IF(MONTH(C173)&gt;=7,YEAR(C173),YEAR(C173)-1),7,1),$C$2:$C$9999,0)),"")),"")</f>
        <v/>
      </c>
    </row>
    <row r="174">
      <c r="A174" s="66" t="inlineStr">
        <is>
          <t>13/04/2005</t>
        </is>
      </c>
      <c r="B174" s="28" t="n">
        <v>67.61</v>
      </c>
      <c r="C174" s="4">
        <f>EOMONTH(C173,0)+1</f>
        <v/>
      </c>
      <c r="D174">
        <f t="array" ref="D174">IFERROR(AVERAGE(_xlfn._xlws.FILTER($B$2:$B$9999,(IFERROR(VALUE(MID($A$2:$A$9999,4,2)),0)=MONTH(C174))*(IFERROR(VALUE(RIGHT($A$2:$A$9999,4)),0)=YEAR(C174)))),"")</f>
        <v/>
      </c>
      <c r="E174">
        <f>IF(ISNUMBER(D174),IF(MONTH(C174)=7,100,IFERROR(100*D174/INDEX($D$2:$D$9999,MATCH(DATE(IF(MONTH(C174)&gt;=7,YEAR(C174),YEAR(C174)-1),7,1),$C$2:$C$9999,0)),"")),"")</f>
        <v/>
      </c>
    </row>
    <row r="175">
      <c r="A175" s="66" t="inlineStr">
        <is>
          <t>14/04/2005</t>
        </is>
      </c>
      <c r="B175" s="28" t="n">
        <v>67.68000000000001</v>
      </c>
      <c r="C175" s="4">
        <f>EOMONTH(C174,0)+1</f>
        <v/>
      </c>
      <c r="D175">
        <f t="array" ref="D175">IFERROR(AVERAGE(_xlfn._xlws.FILTER($B$2:$B$9999,(IFERROR(VALUE(MID($A$2:$A$9999,4,2)),0)=MONTH(C175))*(IFERROR(VALUE(RIGHT($A$2:$A$9999,4)),0)=YEAR(C175)))),"")</f>
        <v/>
      </c>
      <c r="E175">
        <f>IF(ISNUMBER(D175),IF(MONTH(C175)=7,100,IFERROR(100*D175/INDEX($D$2:$D$9999,MATCH(DATE(IF(MONTH(C175)&gt;=7,YEAR(C175),YEAR(C175)-1),7,1),$C$2:$C$9999,0)),"")),"")</f>
        <v/>
      </c>
    </row>
    <row r="176">
      <c r="A176" s="66" t="inlineStr">
        <is>
          <t>15/04/2005</t>
        </is>
      </c>
      <c r="B176" s="28" t="n">
        <v>66.98</v>
      </c>
      <c r="C176" s="4">
        <f>EOMONTH(C175,0)+1</f>
        <v/>
      </c>
      <c r="D176">
        <f t="array" ref="D176">IFERROR(AVERAGE(_xlfn._xlws.FILTER($B$2:$B$9999,(IFERROR(VALUE(MID($A$2:$A$9999,4,2)),0)=MONTH(C176))*(IFERROR(VALUE(RIGHT($A$2:$A$9999,4)),0)=YEAR(C176)))),"")</f>
        <v/>
      </c>
      <c r="E176">
        <f>IF(ISNUMBER(D176),IF(MONTH(C176)=7,100,IFERROR(100*D176/INDEX($D$2:$D$9999,MATCH(DATE(IF(MONTH(C176)&gt;=7,YEAR(C176),YEAR(C176)-1),7,1),$C$2:$C$9999,0)),"")),"")</f>
        <v/>
      </c>
    </row>
    <row r="177">
      <c r="A177" s="66" t="inlineStr">
        <is>
          <t>18/04/2005</t>
        </is>
      </c>
      <c r="B177" s="28" t="n">
        <v>66.20999999999999</v>
      </c>
      <c r="C177" s="4">
        <f>EOMONTH(C176,0)+1</f>
        <v/>
      </c>
      <c r="D177">
        <f t="array" ref="D177">IFERROR(AVERAGE(_xlfn._xlws.FILTER($B$2:$B$9999,(IFERROR(VALUE(MID($A$2:$A$9999,4,2)),0)=MONTH(C177))*(IFERROR(VALUE(RIGHT($A$2:$A$9999,4)),0)=YEAR(C177)))),"")</f>
        <v/>
      </c>
      <c r="E177">
        <f>IF(ISNUMBER(D177),IF(MONTH(C177)=7,100,IFERROR(100*D177/INDEX($D$2:$D$9999,MATCH(DATE(IF(MONTH(C177)&gt;=7,YEAR(C177),YEAR(C177)-1),7,1),$C$2:$C$9999,0)),"")),"")</f>
        <v/>
      </c>
    </row>
    <row r="178">
      <c r="A178" s="66" t="inlineStr">
        <is>
          <t>19/04/2005</t>
        </is>
      </c>
      <c r="B178" s="28" t="n">
        <v>65.58</v>
      </c>
      <c r="C178" s="4">
        <f>EOMONTH(C177,0)+1</f>
        <v/>
      </c>
      <c r="D178">
        <f t="array" ref="D178">IFERROR(AVERAGE(_xlfn._xlws.FILTER($B$2:$B$9999,(IFERROR(VALUE(MID($A$2:$A$9999,4,2)),0)=MONTH(C178))*(IFERROR(VALUE(RIGHT($A$2:$A$9999,4)),0)=YEAR(C178)))),"")</f>
        <v/>
      </c>
      <c r="E178">
        <f>IF(ISNUMBER(D178),IF(MONTH(C178)=7,100,IFERROR(100*D178/INDEX($D$2:$D$9999,MATCH(DATE(IF(MONTH(C178)&gt;=7,YEAR(C178),YEAR(C178)-1),7,1),$C$2:$C$9999,0)),"")),"")</f>
        <v/>
      </c>
    </row>
    <row r="179">
      <c r="A179" s="66" t="inlineStr">
        <is>
          <t>20/04/2005</t>
        </is>
      </c>
      <c r="B179" s="28" t="n">
        <v>66</v>
      </c>
      <c r="C179" s="4">
        <f>EOMONTH(C178,0)+1</f>
        <v/>
      </c>
      <c r="D179">
        <f t="array" ref="D179">IFERROR(AVERAGE(_xlfn._xlws.FILTER($B$2:$B$9999,(IFERROR(VALUE(MID($A$2:$A$9999,4,2)),0)=MONTH(C179))*(IFERROR(VALUE(RIGHT($A$2:$A$9999,4)),0)=YEAR(C179)))),"")</f>
        <v/>
      </c>
      <c r="E179">
        <f>IF(ISNUMBER(D179),IF(MONTH(C179)=7,100,IFERROR(100*D179/INDEX($D$2:$D$9999,MATCH(DATE(IF(MONTH(C179)&gt;=7,YEAR(C179),YEAR(C179)-1),7,1),$C$2:$C$9999,0)),"")),"")</f>
        <v/>
      </c>
    </row>
    <row r="180">
      <c r="A180" s="66" t="inlineStr">
        <is>
          <t>22/04/2005</t>
        </is>
      </c>
      <c r="B180" s="28" t="n">
        <v>65.44</v>
      </c>
      <c r="C180" s="4">
        <f>EOMONTH(C179,0)+1</f>
        <v/>
      </c>
      <c r="D180">
        <f t="array" ref="D180">IFERROR(AVERAGE(_xlfn._xlws.FILTER($B$2:$B$9999,(IFERROR(VALUE(MID($A$2:$A$9999,4,2)),0)=MONTH(C180))*(IFERROR(VALUE(RIGHT($A$2:$A$9999,4)),0)=YEAR(C180)))),"")</f>
        <v/>
      </c>
      <c r="E180">
        <f>IF(ISNUMBER(D180),IF(MONTH(C180)=7,100,IFERROR(100*D180/INDEX($D$2:$D$9999,MATCH(DATE(IF(MONTH(C180)&gt;=7,YEAR(C180),YEAR(C180)-1),7,1),$C$2:$C$9999,0)),"")),"")</f>
        <v/>
      </c>
    </row>
    <row r="181">
      <c r="A181" s="66" t="inlineStr">
        <is>
          <t>25/04/2005</t>
        </is>
      </c>
      <c r="B181" s="28" t="n">
        <v>65.90000000000001</v>
      </c>
      <c r="C181" s="4">
        <f>EOMONTH(C180,0)+1</f>
        <v/>
      </c>
      <c r="D181">
        <f t="array" ref="D181">IFERROR(AVERAGE(_xlfn._xlws.FILTER($B$2:$B$9999,(IFERROR(VALUE(MID($A$2:$A$9999,4,2)),0)=MONTH(C181))*(IFERROR(VALUE(RIGHT($A$2:$A$9999,4)),0)=YEAR(C181)))),"")</f>
        <v/>
      </c>
      <c r="E181">
        <f>IF(ISNUMBER(D181),IF(MONTH(C181)=7,100,IFERROR(100*D181/INDEX($D$2:$D$9999,MATCH(DATE(IF(MONTH(C181)&gt;=7,YEAR(C181),YEAR(C181)-1),7,1),$C$2:$C$9999,0)),"")),"")</f>
        <v/>
      </c>
    </row>
    <row r="182">
      <c r="A182" s="66" t="inlineStr">
        <is>
          <t>26/04/2005</t>
        </is>
      </c>
      <c r="B182" s="28" t="n">
        <v>65.97</v>
      </c>
      <c r="C182" s="4">
        <f>EOMONTH(C181,0)+1</f>
        <v/>
      </c>
      <c r="D182">
        <f t="array" ref="D182">IFERROR(AVERAGE(_xlfn._xlws.FILTER($B$2:$B$9999,(IFERROR(VALUE(MID($A$2:$A$9999,4,2)),0)=MONTH(C182))*(IFERROR(VALUE(RIGHT($A$2:$A$9999,4)),0)=YEAR(C182)))),"")</f>
        <v/>
      </c>
      <c r="E182">
        <f>IF(ISNUMBER(D182),IF(MONTH(C182)=7,100,IFERROR(100*D182/INDEX($D$2:$D$9999,MATCH(DATE(IF(MONTH(C182)&gt;=7,YEAR(C182),YEAR(C182)-1),7,1),$C$2:$C$9999,0)),"")),"")</f>
        <v/>
      </c>
    </row>
    <row r="183">
      <c r="A183" s="66" t="inlineStr">
        <is>
          <t>27/04/2005</t>
        </is>
      </c>
      <c r="B183" s="28" t="n">
        <v>65.97</v>
      </c>
      <c r="C183" s="4">
        <f>EOMONTH(C182,0)+1</f>
        <v/>
      </c>
      <c r="D183">
        <f t="array" ref="D183">IFERROR(AVERAGE(_xlfn._xlws.FILTER($B$2:$B$9999,(IFERROR(VALUE(MID($A$2:$A$9999,4,2)),0)=MONTH(C183))*(IFERROR(VALUE(RIGHT($A$2:$A$9999,4)),0)=YEAR(C183)))),"")</f>
        <v/>
      </c>
      <c r="E183">
        <f>IF(ISNUMBER(D183),IF(MONTH(C183)=7,100,IFERROR(100*D183/INDEX($D$2:$D$9999,MATCH(DATE(IF(MONTH(C183)&gt;=7,YEAR(C183),YEAR(C183)-1),7,1),$C$2:$C$9999,0)),"")),"")</f>
        <v/>
      </c>
    </row>
    <row r="184">
      <c r="A184" s="66" t="inlineStr">
        <is>
          <t>28/04/2005</t>
        </is>
      </c>
      <c r="B184" s="28" t="n">
        <v>66.45</v>
      </c>
      <c r="C184" s="4">
        <f>EOMONTH(C183,0)+1</f>
        <v/>
      </c>
      <c r="D184">
        <f t="array" ref="D184">IFERROR(AVERAGE(_xlfn._xlws.FILTER($B$2:$B$9999,(IFERROR(VALUE(MID($A$2:$A$9999,4,2)),0)=MONTH(C184))*(IFERROR(VALUE(RIGHT($A$2:$A$9999,4)),0)=YEAR(C184)))),"")</f>
        <v/>
      </c>
      <c r="E184">
        <f>IF(ISNUMBER(D184),IF(MONTH(C184)=7,100,IFERROR(100*D184/INDEX($D$2:$D$9999,MATCH(DATE(IF(MONTH(C184)&gt;=7,YEAR(C184),YEAR(C184)-1),7,1),$C$2:$C$9999,0)),"")),"")</f>
        <v/>
      </c>
    </row>
    <row r="185">
      <c r="A185" s="66" t="inlineStr">
        <is>
          <t>29/04/2005</t>
        </is>
      </c>
      <c r="B185" s="28" t="n">
        <v>66.23999999999999</v>
      </c>
      <c r="C185" s="4">
        <f>EOMONTH(C184,0)+1</f>
        <v/>
      </c>
      <c r="D185">
        <f t="array" ref="D185">IFERROR(AVERAGE(_xlfn._xlws.FILTER($B$2:$B$9999,(IFERROR(VALUE(MID($A$2:$A$9999,4,2)),0)=MONTH(C185))*(IFERROR(VALUE(RIGHT($A$2:$A$9999,4)),0)=YEAR(C185)))),"")</f>
        <v/>
      </c>
      <c r="E185">
        <f>IF(ISNUMBER(D185),IF(MONTH(C185)=7,100,IFERROR(100*D185/INDEX($D$2:$D$9999,MATCH(DATE(IF(MONTH(C185)&gt;=7,YEAR(C185),YEAR(C185)-1),7,1),$C$2:$C$9999,0)),"")),"")</f>
        <v/>
      </c>
    </row>
    <row r="186">
      <c r="A186" s="66" t="inlineStr">
        <is>
          <t>02/05/2005</t>
        </is>
      </c>
      <c r="B186" s="28" t="n">
        <v>66.84999999999999</v>
      </c>
      <c r="C186" s="4">
        <f>EOMONTH(C185,0)+1</f>
        <v/>
      </c>
      <c r="D186">
        <f t="array" ref="D186">IFERROR(AVERAGE(_xlfn._xlws.FILTER($B$2:$B$9999,(IFERROR(VALUE(MID($A$2:$A$9999,4,2)),0)=MONTH(C186))*(IFERROR(VALUE(RIGHT($A$2:$A$9999,4)),0)=YEAR(C186)))),"")</f>
        <v/>
      </c>
      <c r="E186">
        <f>IF(ISNUMBER(D186),IF(MONTH(C186)=7,100,IFERROR(100*D186/INDEX($D$2:$D$9999,MATCH(DATE(IF(MONTH(C186)&gt;=7,YEAR(C186),YEAR(C186)-1),7,1),$C$2:$C$9999,0)),"")),"")</f>
        <v/>
      </c>
    </row>
    <row r="187">
      <c r="A187" s="66" t="inlineStr">
        <is>
          <t>03/05/2005</t>
        </is>
      </c>
      <c r="B187" s="28" t="n">
        <v>66.88</v>
      </c>
      <c r="C187" s="4">
        <f>EOMONTH(C186,0)+1</f>
        <v/>
      </c>
      <c r="D187">
        <f t="array" ref="D187">IFERROR(AVERAGE(_xlfn._xlws.FILTER($B$2:$B$9999,(IFERROR(VALUE(MID($A$2:$A$9999,4,2)),0)=MONTH(C187))*(IFERROR(VALUE(RIGHT($A$2:$A$9999,4)),0)=YEAR(C187)))),"")</f>
        <v/>
      </c>
      <c r="E187">
        <f>IF(ISNUMBER(D187),IF(MONTH(C187)=7,100,IFERROR(100*D187/INDEX($D$2:$D$9999,MATCH(DATE(IF(MONTH(C187)&gt;=7,YEAR(C187),YEAR(C187)-1),7,1),$C$2:$C$9999,0)),"")),"")</f>
        <v/>
      </c>
    </row>
    <row r="188">
      <c r="A188" s="66" t="inlineStr">
        <is>
          <t>04/05/2005</t>
        </is>
      </c>
      <c r="B188" s="28" t="n">
        <v>67.13</v>
      </c>
      <c r="C188" s="4">
        <f>EOMONTH(C187,0)+1</f>
        <v/>
      </c>
      <c r="D188">
        <f t="array" ref="D188">IFERROR(AVERAGE(_xlfn._xlws.FILTER($B$2:$B$9999,(IFERROR(VALUE(MID($A$2:$A$9999,4,2)),0)=MONTH(C188))*(IFERROR(VALUE(RIGHT($A$2:$A$9999,4)),0)=YEAR(C188)))),"")</f>
        <v/>
      </c>
      <c r="E188">
        <f>IF(ISNUMBER(D188),IF(MONTH(C188)=7,100,IFERROR(100*D188/INDEX($D$2:$D$9999,MATCH(DATE(IF(MONTH(C188)&gt;=7,YEAR(C188),YEAR(C188)-1),7,1),$C$2:$C$9999,0)),"")),"")</f>
        <v/>
      </c>
    </row>
    <row r="189">
      <c r="A189" s="66" t="inlineStr">
        <is>
          <t>05/05/2005</t>
        </is>
      </c>
      <c r="B189" s="28" t="n">
        <v>67.3</v>
      </c>
      <c r="C189" s="4">
        <f>EOMONTH(C188,0)+1</f>
        <v/>
      </c>
      <c r="D189">
        <f t="array" ref="D189">IFERROR(AVERAGE(_xlfn._xlws.FILTER($B$2:$B$9999,(IFERROR(VALUE(MID($A$2:$A$9999,4,2)),0)=MONTH(C189))*(IFERROR(VALUE(RIGHT($A$2:$A$9999,4)),0)=YEAR(C189)))),"")</f>
        <v/>
      </c>
      <c r="E189">
        <f>IF(ISNUMBER(D189),IF(MONTH(C189)=7,100,IFERROR(100*D189/INDEX($D$2:$D$9999,MATCH(DATE(IF(MONTH(C189)&gt;=7,YEAR(C189),YEAR(C189)-1),7,1),$C$2:$C$9999,0)),"")),"")</f>
        <v/>
      </c>
    </row>
    <row r="190">
      <c r="A190" s="66" t="inlineStr">
        <is>
          <t>06/05/2005</t>
        </is>
      </c>
      <c r="B190" s="28" t="n">
        <v>67.48</v>
      </c>
      <c r="C190" s="4">
        <f>EOMONTH(C189,0)+1</f>
        <v/>
      </c>
      <c r="D190">
        <f t="array" ref="D190">IFERROR(AVERAGE(_xlfn._xlws.FILTER($B$2:$B$9999,(IFERROR(VALUE(MID($A$2:$A$9999,4,2)),0)=MONTH(C190))*(IFERROR(VALUE(RIGHT($A$2:$A$9999,4)),0)=YEAR(C190)))),"")</f>
        <v/>
      </c>
      <c r="E190">
        <f>IF(ISNUMBER(D190),IF(MONTH(C190)=7,100,IFERROR(100*D190/INDEX($D$2:$D$9999,MATCH(DATE(IF(MONTH(C190)&gt;=7,YEAR(C190),YEAR(C190)-1),7,1),$C$2:$C$9999,0)),"")),"")</f>
        <v/>
      </c>
    </row>
    <row r="191">
      <c r="A191" s="66" t="inlineStr">
        <is>
          <t>09/05/2005</t>
        </is>
      </c>
      <c r="B191" s="28" t="n">
        <v>67.16</v>
      </c>
      <c r="C191" s="4">
        <f>EOMONTH(C190,0)+1</f>
        <v/>
      </c>
      <c r="D191">
        <f t="array" ref="D191">IFERROR(AVERAGE(_xlfn._xlws.FILTER($B$2:$B$9999,(IFERROR(VALUE(MID($A$2:$A$9999,4,2)),0)=MONTH(C191))*(IFERROR(VALUE(RIGHT($A$2:$A$9999,4)),0)=YEAR(C191)))),"")</f>
        <v/>
      </c>
      <c r="E191">
        <f>IF(ISNUMBER(D191),IF(MONTH(C191)=7,100,IFERROR(100*D191/INDEX($D$2:$D$9999,MATCH(DATE(IF(MONTH(C191)&gt;=7,YEAR(C191),YEAR(C191)-1),7,1),$C$2:$C$9999,0)),"")),"")</f>
        <v/>
      </c>
    </row>
    <row r="192">
      <c r="A192" s="66" t="inlineStr">
        <is>
          <t>10/05/2005</t>
        </is>
      </c>
      <c r="B192" s="28" t="n">
        <v>66.25</v>
      </c>
      <c r="C192" s="4">
        <f>EOMONTH(C191,0)+1</f>
        <v/>
      </c>
      <c r="D192">
        <f t="array" ref="D192">IFERROR(AVERAGE(_xlfn._xlws.FILTER($B$2:$B$9999,(IFERROR(VALUE(MID($A$2:$A$9999,4,2)),0)=MONTH(C192))*(IFERROR(VALUE(RIGHT($A$2:$A$9999,4)),0)=YEAR(C192)))),"")</f>
        <v/>
      </c>
      <c r="E192">
        <f>IF(ISNUMBER(D192),IF(MONTH(C192)=7,100,IFERROR(100*D192/INDEX($D$2:$D$9999,MATCH(DATE(IF(MONTH(C192)&gt;=7,YEAR(C192),YEAR(C192)-1),7,1),$C$2:$C$9999,0)),"")),"")</f>
        <v/>
      </c>
    </row>
    <row r="193">
      <c r="A193" s="66" t="inlineStr">
        <is>
          <t>11/05/2005</t>
        </is>
      </c>
      <c r="B193" s="28" t="n">
        <v>66.36</v>
      </c>
      <c r="C193" s="4">
        <f>EOMONTH(C192,0)+1</f>
        <v/>
      </c>
      <c r="D193">
        <f t="array" ref="D193">IFERROR(AVERAGE(_xlfn._xlws.FILTER($B$2:$B$9999,(IFERROR(VALUE(MID($A$2:$A$9999,4,2)),0)=MONTH(C193))*(IFERROR(VALUE(RIGHT($A$2:$A$9999,4)),0)=YEAR(C193)))),"")</f>
        <v/>
      </c>
      <c r="E193">
        <f>IF(ISNUMBER(D193),IF(MONTH(C193)=7,100,IFERROR(100*D193/INDEX($D$2:$D$9999,MATCH(DATE(IF(MONTH(C193)&gt;=7,YEAR(C193),YEAR(C193)-1),7,1),$C$2:$C$9999,0)),"")),"")</f>
        <v/>
      </c>
    </row>
    <row r="194">
      <c r="A194" s="66" t="inlineStr">
        <is>
          <t>12/05/2005</t>
        </is>
      </c>
      <c r="B194" s="28" t="n">
        <v>66.25</v>
      </c>
      <c r="C194" s="4">
        <f>EOMONTH(C193,0)+1</f>
        <v/>
      </c>
      <c r="D194">
        <f t="array" ref="D194">IFERROR(AVERAGE(_xlfn._xlws.FILTER($B$2:$B$9999,(IFERROR(VALUE(MID($A$2:$A$9999,4,2)),0)=MONTH(C194))*(IFERROR(VALUE(RIGHT($A$2:$A$9999,4)),0)=YEAR(C194)))),"")</f>
        <v/>
      </c>
      <c r="E194">
        <f>IF(ISNUMBER(D194),IF(MONTH(C194)=7,100,IFERROR(100*D194/INDEX($D$2:$D$9999,MATCH(DATE(IF(MONTH(C194)&gt;=7,YEAR(C194),YEAR(C194)-1),7,1),$C$2:$C$9999,0)),"")),"")</f>
        <v/>
      </c>
    </row>
    <row r="195">
      <c r="A195" s="66" t="inlineStr">
        <is>
          <t>13/05/2005</t>
        </is>
      </c>
      <c r="B195" s="28" t="n">
        <v>66.70999999999999</v>
      </c>
      <c r="C195" s="4">
        <f>EOMONTH(C194,0)+1</f>
        <v/>
      </c>
      <c r="D195">
        <f t="array" ref="D195">IFERROR(AVERAGE(_xlfn._xlws.FILTER($B$2:$B$9999,(IFERROR(VALUE(MID($A$2:$A$9999,4,2)),0)=MONTH(C195))*(IFERROR(VALUE(RIGHT($A$2:$A$9999,4)),0)=YEAR(C195)))),"")</f>
        <v/>
      </c>
      <c r="E195">
        <f>IF(ISNUMBER(D195),IF(MONTH(C195)=7,100,IFERROR(100*D195/INDEX($D$2:$D$9999,MATCH(DATE(IF(MONTH(C195)&gt;=7,YEAR(C195),YEAR(C195)-1),7,1),$C$2:$C$9999,0)),"")),"")</f>
        <v/>
      </c>
    </row>
    <row r="196">
      <c r="A196" s="66" t="inlineStr">
        <is>
          <t>16/05/2005</t>
        </is>
      </c>
      <c r="B196" s="28" t="n">
        <v>66.73999999999999</v>
      </c>
      <c r="C196" s="4">
        <f>EOMONTH(C195,0)+1</f>
        <v/>
      </c>
      <c r="D196">
        <f t="array" ref="D196">IFERROR(AVERAGE(_xlfn._xlws.FILTER($B$2:$B$9999,(IFERROR(VALUE(MID($A$2:$A$9999,4,2)),0)=MONTH(C196))*(IFERROR(VALUE(RIGHT($A$2:$A$9999,4)),0)=YEAR(C196)))),"")</f>
        <v/>
      </c>
      <c r="E196">
        <f>IF(ISNUMBER(D196),IF(MONTH(C196)=7,100,IFERROR(100*D196/INDEX($D$2:$D$9999,MATCH(DATE(IF(MONTH(C196)&gt;=7,YEAR(C196),YEAR(C196)-1),7,1),$C$2:$C$9999,0)),"")),"")</f>
        <v/>
      </c>
    </row>
    <row r="197">
      <c r="A197" s="66" t="inlineStr">
        <is>
          <t>17/05/2005</t>
        </is>
      </c>
      <c r="B197" s="28" t="n">
        <v>66.92</v>
      </c>
      <c r="C197" s="4">
        <f>EOMONTH(C196,0)+1</f>
        <v/>
      </c>
      <c r="D197">
        <f t="array" ref="D197">IFERROR(AVERAGE(_xlfn._xlws.FILTER($B$2:$B$9999,(IFERROR(VALUE(MID($A$2:$A$9999,4,2)),0)=MONTH(C197))*(IFERROR(VALUE(RIGHT($A$2:$A$9999,4)),0)=YEAR(C197)))),"")</f>
        <v/>
      </c>
      <c r="E197">
        <f>IF(ISNUMBER(D197),IF(MONTH(C197)=7,100,IFERROR(100*D197/INDEX($D$2:$D$9999,MATCH(DATE(IF(MONTH(C197)&gt;=7,YEAR(C197),YEAR(C197)-1),7,1),$C$2:$C$9999,0)),"")),"")</f>
        <v/>
      </c>
    </row>
    <row r="198">
      <c r="A198" s="66" t="inlineStr">
        <is>
          <t>18/05/2005</t>
        </is>
      </c>
      <c r="B198" s="28" t="n">
        <v>67.09</v>
      </c>
      <c r="C198" s="4">
        <f>EOMONTH(C197,0)+1</f>
        <v/>
      </c>
      <c r="D198">
        <f t="array" ref="D198">IFERROR(AVERAGE(_xlfn._xlws.FILTER($B$2:$B$9999,(IFERROR(VALUE(MID($A$2:$A$9999,4,2)),0)=MONTH(C198))*(IFERROR(VALUE(RIGHT($A$2:$A$9999,4)),0)=YEAR(C198)))),"")</f>
        <v/>
      </c>
      <c r="E198">
        <f>IF(ISNUMBER(D198),IF(MONTH(C198)=7,100,IFERROR(100*D198/INDEX($D$2:$D$9999,MATCH(DATE(IF(MONTH(C198)&gt;=7,YEAR(C198),YEAR(C198)-1),7,1),$C$2:$C$9999,0)),"")),"")</f>
        <v/>
      </c>
    </row>
    <row r="199">
      <c r="A199" s="66" t="inlineStr">
        <is>
          <t>19/05/2005</t>
        </is>
      </c>
      <c r="B199" s="28" t="n">
        <v>67.06</v>
      </c>
      <c r="C199" s="4">
        <f>EOMONTH(C198,0)+1</f>
        <v/>
      </c>
      <c r="D199">
        <f t="array" ref="D199">IFERROR(AVERAGE(_xlfn._xlws.FILTER($B$2:$B$9999,(IFERROR(VALUE(MID($A$2:$A$9999,4,2)),0)=MONTH(C199))*(IFERROR(VALUE(RIGHT($A$2:$A$9999,4)),0)=YEAR(C199)))),"")</f>
        <v/>
      </c>
      <c r="E199">
        <f>IF(ISNUMBER(D199),IF(MONTH(C199)=7,100,IFERROR(100*D199/INDEX($D$2:$D$9999,MATCH(DATE(IF(MONTH(C199)&gt;=7,YEAR(C199),YEAR(C199)-1),7,1),$C$2:$C$9999,0)),"")),"")</f>
        <v/>
      </c>
    </row>
    <row r="200">
      <c r="A200" s="66" t="inlineStr">
        <is>
          <t>20/05/2005</t>
        </is>
      </c>
      <c r="B200" s="28" t="n">
        <v>66.81</v>
      </c>
      <c r="C200" s="4">
        <f>EOMONTH(C199,0)+1</f>
        <v/>
      </c>
      <c r="D200">
        <f t="array" ref="D200">IFERROR(AVERAGE(_xlfn._xlws.FILTER($B$2:$B$9999,(IFERROR(VALUE(MID($A$2:$A$9999,4,2)),0)=MONTH(C200))*(IFERROR(VALUE(RIGHT($A$2:$A$9999,4)),0)=YEAR(C200)))),"")</f>
        <v/>
      </c>
      <c r="E200">
        <f>IF(ISNUMBER(D200),IF(MONTH(C200)=7,100,IFERROR(100*D200/INDEX($D$2:$D$9999,MATCH(DATE(IF(MONTH(C200)&gt;=7,YEAR(C200),YEAR(C200)-1),7,1),$C$2:$C$9999,0)),"")),"")</f>
        <v/>
      </c>
    </row>
    <row r="201">
      <c r="A201" s="66" t="inlineStr">
        <is>
          <t>23/05/2005</t>
        </is>
      </c>
      <c r="B201" s="28" t="n">
        <v>66.84999999999999</v>
      </c>
      <c r="C201" s="4">
        <f>EOMONTH(C200,0)+1</f>
        <v/>
      </c>
      <c r="D201">
        <f t="array" ref="D201">IFERROR(AVERAGE(_xlfn._xlws.FILTER($B$2:$B$9999,(IFERROR(VALUE(MID($A$2:$A$9999,4,2)),0)=MONTH(C201))*(IFERROR(VALUE(RIGHT($A$2:$A$9999,4)),0)=YEAR(C201)))),"")</f>
        <v/>
      </c>
      <c r="E201">
        <f>IF(ISNUMBER(D201),IF(MONTH(C201)=7,100,IFERROR(100*D201/INDEX($D$2:$D$9999,MATCH(DATE(IF(MONTH(C201)&gt;=7,YEAR(C201),YEAR(C201)-1),7,1),$C$2:$C$9999,0)),"")),"")</f>
        <v/>
      </c>
    </row>
    <row r="202">
      <c r="A202" s="66" t="inlineStr">
        <is>
          <t>24/05/2005</t>
        </is>
      </c>
      <c r="B202" s="28" t="n">
        <v>66.67</v>
      </c>
      <c r="C202" s="4">
        <f>EOMONTH(C201,0)+1</f>
        <v/>
      </c>
      <c r="D202">
        <f t="array" ref="D202">IFERROR(AVERAGE(_xlfn._xlws.FILTER($B$2:$B$9999,(IFERROR(VALUE(MID($A$2:$A$9999,4,2)),0)=MONTH(C202))*(IFERROR(VALUE(RIGHT($A$2:$A$9999,4)),0)=YEAR(C202)))),"")</f>
        <v/>
      </c>
      <c r="E202">
        <f>IF(ISNUMBER(D202),IF(MONTH(C202)=7,100,IFERROR(100*D202/INDEX($D$2:$D$9999,MATCH(DATE(IF(MONTH(C202)&gt;=7,YEAR(C202),YEAR(C202)-1),7,1),$C$2:$C$9999,0)),"")),"")</f>
        <v/>
      </c>
    </row>
    <row r="203">
      <c r="A203" s="66" t="inlineStr">
        <is>
          <t>25/05/2005</t>
        </is>
      </c>
      <c r="B203" s="28" t="n">
        <v>66.31999999999999</v>
      </c>
      <c r="C203" s="4">
        <f>EOMONTH(C202,0)+1</f>
        <v/>
      </c>
      <c r="D203">
        <f t="array" ref="D203">IFERROR(AVERAGE(_xlfn._xlws.FILTER($B$2:$B$9999,(IFERROR(VALUE(MID($A$2:$A$9999,4,2)),0)=MONTH(C203))*(IFERROR(VALUE(RIGHT($A$2:$A$9999,4)),0)=YEAR(C203)))),"")</f>
        <v/>
      </c>
      <c r="E203">
        <f>IF(ISNUMBER(D203),IF(MONTH(C203)=7,100,IFERROR(100*D203/INDEX($D$2:$D$9999,MATCH(DATE(IF(MONTH(C203)&gt;=7,YEAR(C203),YEAR(C203)-1),7,1),$C$2:$C$9999,0)),"")),"")</f>
        <v/>
      </c>
    </row>
    <row r="204">
      <c r="A204" s="66" t="inlineStr">
        <is>
          <t>27/05/2005</t>
        </is>
      </c>
      <c r="B204" s="28" t="n">
        <v>65.72</v>
      </c>
      <c r="C204" s="4">
        <f>EOMONTH(C203,0)+1</f>
        <v/>
      </c>
      <c r="D204">
        <f t="array" ref="D204">IFERROR(AVERAGE(_xlfn._xlws.FILTER($B$2:$B$9999,(IFERROR(VALUE(MID($A$2:$A$9999,4,2)),0)=MONTH(C204))*(IFERROR(VALUE(RIGHT($A$2:$A$9999,4)),0)=YEAR(C204)))),"")</f>
        <v/>
      </c>
      <c r="E204">
        <f>IF(ISNUMBER(D204),IF(MONTH(C204)=7,100,IFERROR(100*D204/INDEX($D$2:$D$9999,MATCH(DATE(IF(MONTH(C204)&gt;=7,YEAR(C204),YEAR(C204)-1),7,1),$C$2:$C$9999,0)),"")),"")</f>
        <v/>
      </c>
    </row>
    <row r="205">
      <c r="A205" s="66" t="inlineStr">
        <is>
          <t>30/05/2005</t>
        </is>
      </c>
      <c r="B205" s="28" t="n">
        <v>65.90000000000001</v>
      </c>
      <c r="C205" s="4">
        <f>EOMONTH(C204,0)+1</f>
        <v/>
      </c>
      <c r="D205">
        <f t="array" ref="D205">IFERROR(AVERAGE(_xlfn._xlws.FILTER($B$2:$B$9999,(IFERROR(VALUE(MID($A$2:$A$9999,4,2)),0)=MONTH(C205))*(IFERROR(VALUE(RIGHT($A$2:$A$9999,4)),0)=YEAR(C205)))),"")</f>
        <v/>
      </c>
      <c r="E205">
        <f>IF(ISNUMBER(D205),IF(MONTH(C205)=7,100,IFERROR(100*D205/INDEX($D$2:$D$9999,MATCH(DATE(IF(MONTH(C205)&gt;=7,YEAR(C205),YEAR(C205)-1),7,1),$C$2:$C$9999,0)),"")),"")</f>
        <v/>
      </c>
    </row>
    <row r="206">
      <c r="A206" s="66" t="inlineStr">
        <is>
          <t>31/05/2005</t>
        </is>
      </c>
      <c r="B206" s="28" t="n">
        <v>65.97</v>
      </c>
      <c r="C206" s="4">
        <f>EOMONTH(C205,0)+1</f>
        <v/>
      </c>
      <c r="D206">
        <f t="array" ref="D206">IFERROR(AVERAGE(_xlfn._xlws.FILTER($B$2:$B$9999,(IFERROR(VALUE(MID($A$2:$A$9999,4,2)),0)=MONTH(C206))*(IFERROR(VALUE(RIGHT($A$2:$A$9999,4)),0)=YEAR(C206)))),"")</f>
        <v/>
      </c>
      <c r="E206">
        <f>IF(ISNUMBER(D206),IF(MONTH(C206)=7,100,IFERROR(100*D206/INDEX($D$2:$D$9999,MATCH(DATE(IF(MONTH(C206)&gt;=7,YEAR(C206),YEAR(C206)-1),7,1),$C$2:$C$9999,0)),"")),"")</f>
        <v/>
      </c>
    </row>
    <row r="207">
      <c r="A207" s="66" t="inlineStr">
        <is>
          <t>01/06/2005</t>
        </is>
      </c>
      <c r="B207" s="28" t="n">
        <v>66.26000000000001</v>
      </c>
      <c r="C207" s="4">
        <f>EOMONTH(C206,0)+1</f>
        <v/>
      </c>
      <c r="D207">
        <f t="array" ref="D207">IFERROR(AVERAGE(_xlfn._xlws.FILTER($B$2:$B$9999,(IFERROR(VALUE(MID($A$2:$A$9999,4,2)),0)=MONTH(C207))*(IFERROR(VALUE(RIGHT($A$2:$A$9999,4)),0)=YEAR(C207)))),"")</f>
        <v/>
      </c>
      <c r="E207">
        <f>IF(ISNUMBER(D207),IF(MONTH(C207)=7,100,IFERROR(100*D207/INDEX($D$2:$D$9999,MATCH(DATE(IF(MONTH(C207)&gt;=7,YEAR(C207),YEAR(C207)-1),7,1),$C$2:$C$9999,0)),"")),"")</f>
        <v/>
      </c>
    </row>
    <row r="208">
      <c r="A208" s="66" t="inlineStr">
        <is>
          <t>02/06/2005</t>
        </is>
      </c>
      <c r="B208" s="28" t="n">
        <v>66.51000000000001</v>
      </c>
      <c r="C208" s="4">
        <f>EOMONTH(C207,0)+1</f>
        <v/>
      </c>
      <c r="D208">
        <f t="array" ref="D208">IFERROR(AVERAGE(_xlfn._xlws.FILTER($B$2:$B$9999,(IFERROR(VALUE(MID($A$2:$A$9999,4,2)),0)=MONTH(C208))*(IFERROR(VALUE(RIGHT($A$2:$A$9999,4)),0)=YEAR(C208)))),"")</f>
        <v/>
      </c>
      <c r="E208">
        <f>IF(ISNUMBER(D208),IF(MONTH(C208)=7,100,IFERROR(100*D208/INDEX($D$2:$D$9999,MATCH(DATE(IF(MONTH(C208)&gt;=7,YEAR(C208),YEAR(C208)-1),7,1),$C$2:$C$9999,0)),"")),"")</f>
        <v/>
      </c>
    </row>
    <row r="209">
      <c r="A209" s="66" t="inlineStr">
        <is>
          <t>03/06/2005</t>
        </is>
      </c>
      <c r="B209" s="28" t="n">
        <v>66.90000000000001</v>
      </c>
      <c r="C209" s="4">
        <f>EOMONTH(C208,0)+1</f>
        <v/>
      </c>
      <c r="D209">
        <f t="array" ref="D209">IFERROR(AVERAGE(_xlfn._xlws.FILTER($B$2:$B$9999,(IFERROR(VALUE(MID($A$2:$A$9999,4,2)),0)=MONTH(C209))*(IFERROR(VALUE(RIGHT($A$2:$A$9999,4)),0)=YEAR(C209)))),"")</f>
        <v/>
      </c>
      <c r="E209">
        <f>IF(ISNUMBER(D209),IF(MONTH(C209)=7,100,IFERROR(100*D209/INDEX($D$2:$D$9999,MATCH(DATE(IF(MONTH(C209)&gt;=7,YEAR(C209),YEAR(C209)-1),7,1),$C$2:$C$9999,0)),"")),"")</f>
        <v/>
      </c>
    </row>
    <row r="210">
      <c r="A210" s="66" t="inlineStr">
        <is>
          <t>06/06/2005</t>
        </is>
      </c>
      <c r="B210" s="28" t="n">
        <v>67.88</v>
      </c>
      <c r="C210" s="4">
        <f>EOMONTH(C209,0)+1</f>
        <v/>
      </c>
      <c r="D210">
        <f t="array" ref="D210">IFERROR(AVERAGE(_xlfn._xlws.FILTER($B$2:$B$9999,(IFERROR(VALUE(MID($A$2:$A$9999,4,2)),0)=MONTH(C210))*(IFERROR(VALUE(RIGHT($A$2:$A$9999,4)),0)=YEAR(C210)))),"")</f>
        <v/>
      </c>
      <c r="E210">
        <f>IF(ISNUMBER(D210),IF(MONTH(C210)=7,100,IFERROR(100*D210/INDEX($D$2:$D$9999,MATCH(DATE(IF(MONTH(C210)&gt;=7,YEAR(C210),YEAR(C210)-1),7,1),$C$2:$C$9999,0)),"")),"")</f>
        <v/>
      </c>
    </row>
    <row r="211">
      <c r="A211" s="66" t="inlineStr">
        <is>
          <t>07/06/2005</t>
        </is>
      </c>
      <c r="B211" s="28" t="n">
        <v>68.62</v>
      </c>
      <c r="C211" s="4">
        <f>EOMONTH(C210,0)+1</f>
        <v/>
      </c>
      <c r="D211">
        <f t="array" ref="D211">IFERROR(AVERAGE(_xlfn._xlws.FILTER($B$2:$B$9999,(IFERROR(VALUE(MID($A$2:$A$9999,4,2)),0)=MONTH(C211))*(IFERROR(VALUE(RIGHT($A$2:$A$9999,4)),0)=YEAR(C211)))),"")</f>
        <v/>
      </c>
      <c r="E211">
        <f>IF(ISNUMBER(D211),IF(MONTH(C211)=7,100,IFERROR(100*D211/INDEX($D$2:$D$9999,MATCH(DATE(IF(MONTH(C211)&gt;=7,YEAR(C211),YEAR(C211)-1),7,1),$C$2:$C$9999,0)),"")),"")</f>
        <v/>
      </c>
    </row>
    <row r="212">
      <c r="A212" s="66" t="inlineStr">
        <is>
          <t>08/06/2005</t>
        </is>
      </c>
      <c r="B212" s="28" t="n">
        <v>68.90000000000001</v>
      </c>
      <c r="C212" s="4">
        <f>EOMONTH(C211,0)+1</f>
        <v/>
      </c>
      <c r="D212">
        <f t="array" ref="D212">IFERROR(AVERAGE(_xlfn._xlws.FILTER($B$2:$B$9999,(IFERROR(VALUE(MID($A$2:$A$9999,4,2)),0)=MONTH(C212))*(IFERROR(VALUE(RIGHT($A$2:$A$9999,4)),0)=YEAR(C212)))),"")</f>
        <v/>
      </c>
      <c r="E212">
        <f>IF(ISNUMBER(D212),IF(MONTH(C212)=7,100,IFERROR(100*D212/INDEX($D$2:$D$9999,MATCH(DATE(IF(MONTH(C212)&gt;=7,YEAR(C212),YEAR(C212)-1),7,1),$C$2:$C$9999,0)),"")),"")</f>
        <v/>
      </c>
    </row>
    <row r="213">
      <c r="A213" s="66" t="inlineStr">
        <is>
          <t>09/06/2005</t>
        </is>
      </c>
      <c r="B213" s="28" t="n">
        <v>68.94</v>
      </c>
      <c r="C213" s="4">
        <f>EOMONTH(C212,0)+1</f>
        <v/>
      </c>
      <c r="D213">
        <f t="array" ref="D213">IFERROR(AVERAGE(_xlfn._xlws.FILTER($B$2:$B$9999,(IFERROR(VALUE(MID($A$2:$A$9999,4,2)),0)=MONTH(C213))*(IFERROR(VALUE(RIGHT($A$2:$A$9999,4)),0)=YEAR(C213)))),"")</f>
        <v/>
      </c>
      <c r="E213">
        <f>IF(ISNUMBER(D213),IF(MONTH(C213)=7,100,IFERROR(100*D213/INDEX($D$2:$D$9999,MATCH(DATE(IF(MONTH(C213)&gt;=7,YEAR(C213),YEAR(C213)-1),7,1),$C$2:$C$9999,0)),"")),"")</f>
        <v/>
      </c>
    </row>
    <row r="214">
      <c r="A214" s="66" t="inlineStr">
        <is>
          <t>10/06/2005</t>
        </is>
      </c>
      <c r="B214" s="28" t="n">
        <v>69.08</v>
      </c>
      <c r="C214" s="4">
        <f>EOMONTH(C213,0)+1</f>
        <v/>
      </c>
      <c r="D214">
        <f t="array" ref="D214">IFERROR(AVERAGE(_xlfn._xlws.FILTER($B$2:$B$9999,(IFERROR(VALUE(MID($A$2:$A$9999,4,2)),0)=MONTH(C214))*(IFERROR(VALUE(RIGHT($A$2:$A$9999,4)),0)=YEAR(C214)))),"")</f>
        <v/>
      </c>
      <c r="E214">
        <f>IF(ISNUMBER(D214),IF(MONTH(C214)=7,100,IFERROR(100*D214/INDEX($D$2:$D$9999,MATCH(DATE(IF(MONTH(C214)&gt;=7,YEAR(C214),YEAR(C214)-1),7,1),$C$2:$C$9999,0)),"")),"")</f>
        <v/>
      </c>
    </row>
    <row r="215">
      <c r="A215" s="66" t="inlineStr">
        <is>
          <t>13/06/2005</t>
        </is>
      </c>
      <c r="B215" s="28" t="n">
        <v>69.15000000000001</v>
      </c>
      <c r="C215" s="4">
        <f>EOMONTH(C214,0)+1</f>
        <v/>
      </c>
      <c r="D215">
        <f t="array" ref="D215">IFERROR(AVERAGE(_xlfn._xlws.FILTER($B$2:$B$9999,(IFERROR(VALUE(MID($A$2:$A$9999,4,2)),0)=MONTH(C215))*(IFERROR(VALUE(RIGHT($A$2:$A$9999,4)),0)=YEAR(C215)))),"")</f>
        <v/>
      </c>
      <c r="E215">
        <f>IF(ISNUMBER(D215),IF(MONTH(C215)=7,100,IFERROR(100*D215/INDEX($D$2:$D$9999,MATCH(DATE(IF(MONTH(C215)&gt;=7,YEAR(C215),YEAR(C215)-1),7,1),$C$2:$C$9999,0)),"")),"")</f>
        <v/>
      </c>
    </row>
    <row r="216">
      <c r="A216" s="66" t="inlineStr">
        <is>
          <t>14/06/2005</t>
        </is>
      </c>
      <c r="B216" s="28" t="n">
        <v>68.87</v>
      </c>
      <c r="C216" s="4">
        <f>EOMONTH(C215,0)+1</f>
        <v/>
      </c>
      <c r="D216">
        <f t="array" ref="D216">IFERROR(AVERAGE(_xlfn._xlws.FILTER($B$2:$B$9999,(IFERROR(VALUE(MID($A$2:$A$9999,4,2)),0)=MONTH(C216))*(IFERROR(VALUE(RIGHT($A$2:$A$9999,4)),0)=YEAR(C216)))),"")</f>
        <v/>
      </c>
      <c r="E216">
        <f>IF(ISNUMBER(D216),IF(MONTH(C216)=7,100,IFERROR(100*D216/INDEX($D$2:$D$9999,MATCH(DATE(IF(MONTH(C216)&gt;=7,YEAR(C216),YEAR(C216)-1),7,1),$C$2:$C$9999,0)),"")),"")</f>
        <v/>
      </c>
    </row>
    <row r="217">
      <c r="A217" s="66" t="inlineStr">
        <is>
          <t>15/06/2005</t>
        </is>
      </c>
      <c r="B217" s="28" t="n">
        <v>69.56999999999999</v>
      </c>
      <c r="C217" s="4">
        <f>EOMONTH(C216,0)+1</f>
        <v/>
      </c>
      <c r="D217">
        <f t="array" ref="D217">IFERROR(AVERAGE(_xlfn._xlws.FILTER($B$2:$B$9999,(IFERROR(VALUE(MID($A$2:$A$9999,4,2)),0)=MONTH(C217))*(IFERROR(VALUE(RIGHT($A$2:$A$9999,4)),0)=YEAR(C217)))),"")</f>
        <v/>
      </c>
      <c r="E217">
        <f>IF(ISNUMBER(D217),IF(MONTH(C217)=7,100,IFERROR(100*D217/INDEX($D$2:$D$9999,MATCH(DATE(IF(MONTH(C217)&gt;=7,YEAR(C217),YEAR(C217)-1),7,1),$C$2:$C$9999,0)),"")),"")</f>
        <v/>
      </c>
    </row>
    <row r="218">
      <c r="A218" s="66" t="inlineStr">
        <is>
          <t>16/06/2005</t>
        </is>
      </c>
      <c r="B218" s="28" t="n">
        <v>69.81999999999999</v>
      </c>
      <c r="C218" s="4">
        <f>EOMONTH(C217,0)+1</f>
        <v/>
      </c>
      <c r="D218">
        <f t="array" ref="D218">IFERROR(AVERAGE(_xlfn._xlws.FILTER($B$2:$B$9999,(IFERROR(VALUE(MID($A$2:$A$9999,4,2)),0)=MONTH(C218))*(IFERROR(VALUE(RIGHT($A$2:$A$9999,4)),0)=YEAR(C218)))),"")</f>
        <v/>
      </c>
      <c r="E218">
        <f>IF(ISNUMBER(D218),IF(MONTH(C218)=7,100,IFERROR(100*D218/INDEX($D$2:$D$9999,MATCH(DATE(IF(MONTH(C218)&gt;=7,YEAR(C218),YEAR(C218)-1),7,1),$C$2:$C$9999,0)),"")),"")</f>
        <v/>
      </c>
    </row>
    <row r="219">
      <c r="A219" s="66" t="inlineStr">
        <is>
          <t>17/06/2005</t>
        </is>
      </c>
      <c r="B219" s="28" t="n">
        <v>69.36</v>
      </c>
      <c r="C219" s="4">
        <f>EOMONTH(C218,0)+1</f>
        <v/>
      </c>
      <c r="D219">
        <f t="array" ref="D219">IFERROR(AVERAGE(_xlfn._xlws.FILTER($B$2:$B$9999,(IFERROR(VALUE(MID($A$2:$A$9999,4,2)),0)=MONTH(C219))*(IFERROR(VALUE(RIGHT($A$2:$A$9999,4)),0)=YEAR(C219)))),"")</f>
        <v/>
      </c>
      <c r="E219">
        <f>IF(ISNUMBER(D219),IF(MONTH(C219)=7,100,IFERROR(100*D219/INDEX($D$2:$D$9999,MATCH(DATE(IF(MONTH(C219)&gt;=7,YEAR(C219),YEAR(C219)-1),7,1),$C$2:$C$9999,0)),"")),"")</f>
        <v/>
      </c>
    </row>
    <row r="220">
      <c r="A220" s="66" t="inlineStr">
        <is>
          <t>20/06/2005</t>
        </is>
      </c>
      <c r="B220" s="28" t="n">
        <v>69.43000000000001</v>
      </c>
      <c r="C220" s="4">
        <f>EOMONTH(C219,0)+1</f>
        <v/>
      </c>
      <c r="D220">
        <f t="array" ref="D220">IFERROR(AVERAGE(_xlfn._xlws.FILTER($B$2:$B$9999,(IFERROR(VALUE(MID($A$2:$A$9999,4,2)),0)=MONTH(C220))*(IFERROR(VALUE(RIGHT($A$2:$A$9999,4)),0)=YEAR(C220)))),"")</f>
        <v/>
      </c>
      <c r="E220">
        <f>IF(ISNUMBER(D220),IF(MONTH(C220)=7,100,IFERROR(100*D220/INDEX($D$2:$D$9999,MATCH(DATE(IF(MONTH(C220)&gt;=7,YEAR(C220),YEAR(C220)-1),7,1),$C$2:$C$9999,0)),"")),"")</f>
        <v/>
      </c>
    </row>
    <row r="221">
      <c r="A221" s="66" t="inlineStr">
        <is>
          <t>21/06/2005</t>
        </is>
      </c>
      <c r="B221" s="28" t="n">
        <v>69.43000000000001</v>
      </c>
      <c r="C221" s="4">
        <f>EOMONTH(C220,0)+1</f>
        <v/>
      </c>
      <c r="D221">
        <f t="array" ref="D221">IFERROR(AVERAGE(_xlfn._xlws.FILTER($B$2:$B$9999,(IFERROR(VALUE(MID($A$2:$A$9999,4,2)),0)=MONTH(C221))*(IFERROR(VALUE(RIGHT($A$2:$A$9999,4)),0)=YEAR(C221)))),"")</f>
        <v/>
      </c>
      <c r="E221">
        <f>IF(ISNUMBER(D221),IF(MONTH(C221)=7,100,IFERROR(100*D221/INDEX($D$2:$D$9999,MATCH(DATE(IF(MONTH(C221)&gt;=7,YEAR(C221),YEAR(C221)-1),7,1),$C$2:$C$9999,0)),"")),"")</f>
        <v/>
      </c>
    </row>
    <row r="222">
      <c r="A222" s="66" t="inlineStr">
        <is>
          <t>22/06/2005</t>
        </is>
      </c>
      <c r="B222" s="28" t="n">
        <v>69.56999999999999</v>
      </c>
      <c r="C222" s="4">
        <f>EOMONTH(C221,0)+1</f>
        <v/>
      </c>
      <c r="D222">
        <f t="array" ref="D222">IFERROR(AVERAGE(_xlfn._xlws.FILTER($B$2:$B$9999,(IFERROR(VALUE(MID($A$2:$A$9999,4,2)),0)=MONTH(C222))*(IFERROR(VALUE(RIGHT($A$2:$A$9999,4)),0)=YEAR(C222)))),"")</f>
        <v/>
      </c>
      <c r="E222">
        <f>IF(ISNUMBER(D222),IF(MONTH(C222)=7,100,IFERROR(100*D222/INDEX($D$2:$D$9999,MATCH(DATE(IF(MONTH(C222)&gt;=7,YEAR(C222),YEAR(C222)-1),7,1),$C$2:$C$9999,0)),"")),"")</f>
        <v/>
      </c>
    </row>
    <row r="223">
      <c r="A223" s="66" t="inlineStr">
        <is>
          <t>23/06/2005</t>
        </is>
      </c>
      <c r="B223" s="28" t="n">
        <v>69.43000000000001</v>
      </c>
      <c r="C223" s="4">
        <f>EOMONTH(C222,0)+1</f>
        <v/>
      </c>
      <c r="D223">
        <f t="array" ref="D223">IFERROR(AVERAGE(_xlfn._xlws.FILTER($B$2:$B$9999,(IFERROR(VALUE(MID($A$2:$A$9999,4,2)),0)=MONTH(C223))*(IFERROR(VALUE(RIGHT($A$2:$A$9999,4)),0)=YEAR(C223)))),"")</f>
        <v/>
      </c>
      <c r="E223">
        <f>IF(ISNUMBER(D223),IF(MONTH(C223)=7,100,IFERROR(100*D223/INDEX($D$2:$D$9999,MATCH(DATE(IF(MONTH(C223)&gt;=7,YEAR(C223),YEAR(C223)-1),7,1),$C$2:$C$9999,0)),"")),"")</f>
        <v/>
      </c>
    </row>
    <row r="224">
      <c r="A224" s="66" t="inlineStr">
        <is>
          <t>24/06/2005</t>
        </is>
      </c>
      <c r="B224" s="28" t="n">
        <v>69.33</v>
      </c>
      <c r="C224" s="4">
        <f>EOMONTH(C223,0)+1</f>
        <v/>
      </c>
      <c r="D224">
        <f t="array" ref="D224">IFERROR(AVERAGE(_xlfn._xlws.FILTER($B$2:$B$9999,(IFERROR(VALUE(MID($A$2:$A$9999,4,2)),0)=MONTH(C224))*(IFERROR(VALUE(RIGHT($A$2:$A$9999,4)),0)=YEAR(C224)))),"")</f>
        <v/>
      </c>
      <c r="E224">
        <f>IF(ISNUMBER(D224),IF(MONTH(C224)=7,100,IFERROR(100*D224/INDEX($D$2:$D$9999,MATCH(DATE(IF(MONTH(C224)&gt;=7,YEAR(C224),YEAR(C224)-1),7,1),$C$2:$C$9999,0)),"")),"")</f>
        <v/>
      </c>
    </row>
    <row r="225">
      <c r="A225" s="66" t="inlineStr">
        <is>
          <t>27/06/2005</t>
        </is>
      </c>
      <c r="B225" s="28" t="n">
        <v>69.47</v>
      </c>
      <c r="C225" s="4">
        <f>EOMONTH(C224,0)+1</f>
        <v/>
      </c>
      <c r="D225">
        <f t="array" ref="D225">IFERROR(AVERAGE(_xlfn._xlws.FILTER($B$2:$B$9999,(IFERROR(VALUE(MID($A$2:$A$9999,4,2)),0)=MONTH(C225))*(IFERROR(VALUE(RIGHT($A$2:$A$9999,4)),0)=YEAR(C225)))),"")</f>
        <v/>
      </c>
      <c r="E225">
        <f>IF(ISNUMBER(D225),IF(MONTH(C225)=7,100,IFERROR(100*D225/INDEX($D$2:$D$9999,MATCH(DATE(IF(MONTH(C225)&gt;=7,YEAR(C225),YEAR(C225)-1),7,1),$C$2:$C$9999,0)),"")),"")</f>
        <v/>
      </c>
    </row>
    <row r="226">
      <c r="A226" s="66" t="inlineStr">
        <is>
          <t>28/06/2005</t>
        </is>
      </c>
      <c r="B226" s="28" t="n">
        <v>69.15000000000001</v>
      </c>
      <c r="C226" s="4">
        <f>EOMONTH(C225,0)+1</f>
        <v/>
      </c>
      <c r="D226">
        <f t="array" ref="D226">IFERROR(AVERAGE(_xlfn._xlws.FILTER($B$2:$B$9999,(IFERROR(VALUE(MID($A$2:$A$9999,4,2)),0)=MONTH(C226))*(IFERROR(VALUE(RIGHT($A$2:$A$9999,4)),0)=YEAR(C226)))),"")</f>
        <v/>
      </c>
      <c r="E226">
        <f>IF(ISNUMBER(D226),IF(MONTH(C226)=7,100,IFERROR(100*D226/INDEX($D$2:$D$9999,MATCH(DATE(IF(MONTH(C226)&gt;=7,YEAR(C226),YEAR(C226)-1),7,1),$C$2:$C$9999,0)),"")),"")</f>
        <v/>
      </c>
    </row>
    <row r="227">
      <c r="A227" s="66" t="inlineStr">
        <is>
          <t>29/06/2005</t>
        </is>
      </c>
      <c r="B227" s="28" t="n">
        <v>69.22</v>
      </c>
      <c r="C227" s="4">
        <f>EOMONTH(C226,0)+1</f>
        <v/>
      </c>
      <c r="D227">
        <f t="array" ref="D227">IFERROR(AVERAGE(_xlfn._xlws.FILTER($B$2:$B$9999,(IFERROR(VALUE(MID($A$2:$A$9999,4,2)),0)=MONTH(C227))*(IFERROR(VALUE(RIGHT($A$2:$A$9999,4)),0)=YEAR(C227)))),"")</f>
        <v/>
      </c>
      <c r="E227">
        <f>IF(ISNUMBER(D227),IF(MONTH(C227)=7,100,IFERROR(100*D227/INDEX($D$2:$D$9999,MATCH(DATE(IF(MONTH(C227)&gt;=7,YEAR(C227),YEAR(C227)-1),7,1),$C$2:$C$9999,0)),"")),"")</f>
        <v/>
      </c>
    </row>
    <row r="228">
      <c r="A228" s="66" t="inlineStr">
        <is>
          <t>30/06/2005</t>
        </is>
      </c>
      <c r="B228" s="28" t="n">
        <v>69.36</v>
      </c>
      <c r="C228" s="4">
        <f>EOMONTH(C227,0)+1</f>
        <v/>
      </c>
      <c r="D228">
        <f t="array" ref="D228">IFERROR(AVERAGE(_xlfn._xlws.FILTER($B$2:$B$9999,(IFERROR(VALUE(MID($A$2:$A$9999,4,2)),0)=MONTH(C228))*(IFERROR(VALUE(RIGHT($A$2:$A$9999,4)),0)=YEAR(C228)))),"")</f>
        <v/>
      </c>
      <c r="E228">
        <f>IF(ISNUMBER(D228),IF(MONTH(C228)=7,100,IFERROR(100*D228/INDEX($D$2:$D$9999,MATCH(DATE(IF(MONTH(C228)&gt;=7,YEAR(C228),YEAR(C228)-1),7,1),$C$2:$C$9999,0)),"")),"")</f>
        <v/>
      </c>
    </row>
    <row r="229">
      <c r="A229" s="66" t="inlineStr">
        <is>
          <t>01/07/2005</t>
        </is>
      </c>
      <c r="B229" s="28" t="n">
        <v>69.42</v>
      </c>
      <c r="C229" s="4">
        <f>EOMONTH(C228,0)+1</f>
        <v/>
      </c>
      <c r="D229">
        <f t="array" ref="D229">IFERROR(AVERAGE(_xlfn._xlws.FILTER($B$2:$B$9999,(IFERROR(VALUE(MID($A$2:$A$9999,4,2)),0)=MONTH(C229))*(IFERROR(VALUE(RIGHT($A$2:$A$9999,4)),0)=YEAR(C229)))),"")</f>
        <v/>
      </c>
      <c r="E229">
        <f>IF(ISNUMBER(D229),IF(MONTH(C229)=7,100,IFERROR(100*D229/INDEX($D$2:$D$9999,MATCH(DATE(IF(MONTH(C229)&gt;=7,YEAR(C229),YEAR(C229)-1),7,1),$C$2:$C$9999,0)),"")),"")</f>
        <v/>
      </c>
    </row>
    <row r="230">
      <c r="A230" s="66" t="inlineStr">
        <is>
          <t>04/07/2005</t>
        </is>
      </c>
      <c r="B230" s="28" t="n">
        <v>69.20999999999999</v>
      </c>
      <c r="C230" s="4">
        <f>EOMONTH(C229,0)+1</f>
        <v/>
      </c>
      <c r="D230">
        <f t="array" ref="D230">IFERROR(AVERAGE(_xlfn._xlws.FILTER($B$2:$B$9999,(IFERROR(VALUE(MID($A$2:$A$9999,4,2)),0)=MONTH(C230))*(IFERROR(VALUE(RIGHT($A$2:$A$9999,4)),0)=YEAR(C230)))),"")</f>
        <v/>
      </c>
      <c r="E230">
        <f>IF(ISNUMBER(D230),IF(MONTH(C230)=7,100,IFERROR(100*D230/INDEX($D$2:$D$9999,MATCH(DATE(IF(MONTH(C230)&gt;=7,YEAR(C230),YEAR(C230)-1),7,1),$C$2:$C$9999,0)),"")),"")</f>
        <v/>
      </c>
    </row>
    <row r="231">
      <c r="A231" s="66" t="inlineStr">
        <is>
          <t>05/07/2005</t>
        </is>
      </c>
      <c r="B231" s="28" t="n">
        <v>69.14</v>
      </c>
      <c r="C231" s="4">
        <f>EOMONTH(C230,0)+1</f>
        <v/>
      </c>
      <c r="D231">
        <f t="array" ref="D231">IFERROR(AVERAGE(_xlfn._xlws.FILTER($B$2:$B$9999,(IFERROR(VALUE(MID($A$2:$A$9999,4,2)),0)=MONTH(C231))*(IFERROR(VALUE(RIGHT($A$2:$A$9999,4)),0)=YEAR(C231)))),"")</f>
        <v/>
      </c>
      <c r="E231">
        <f>IF(ISNUMBER(D231),IF(MONTH(C231)=7,100,IFERROR(100*D231/INDEX($D$2:$D$9999,MATCH(DATE(IF(MONTH(C231)&gt;=7,YEAR(C231),YEAR(C231)-1),7,1),$C$2:$C$9999,0)),"")),"")</f>
        <v/>
      </c>
    </row>
    <row r="232">
      <c r="A232" s="66" t="inlineStr">
        <is>
          <t>06/07/2005</t>
        </is>
      </c>
      <c r="B232" s="28" t="n">
        <v>69.03</v>
      </c>
      <c r="C232" s="4">
        <f>EOMONTH(C231,0)+1</f>
        <v/>
      </c>
      <c r="D232">
        <f t="array" ref="D232">IFERROR(AVERAGE(_xlfn._xlws.FILTER($B$2:$B$9999,(IFERROR(VALUE(MID($A$2:$A$9999,4,2)),0)=MONTH(C232))*(IFERROR(VALUE(RIGHT($A$2:$A$9999,4)),0)=YEAR(C232)))),"")</f>
        <v/>
      </c>
      <c r="E232">
        <f>IF(ISNUMBER(D232),IF(MONTH(C232)=7,100,IFERROR(100*D232/INDEX($D$2:$D$9999,MATCH(DATE(IF(MONTH(C232)&gt;=7,YEAR(C232),YEAR(C232)-1),7,1),$C$2:$C$9999,0)),"")),"")</f>
        <v/>
      </c>
    </row>
    <row r="233">
      <c r="A233" s="66" t="inlineStr">
        <is>
          <t>07/07/2005</t>
        </is>
      </c>
      <c r="B233" s="28" t="n">
        <v>69.09999999999999</v>
      </c>
      <c r="C233" s="4">
        <f>EOMONTH(C232,0)+1</f>
        <v/>
      </c>
      <c r="D233">
        <f t="array" ref="D233">IFERROR(AVERAGE(_xlfn._xlws.FILTER($B$2:$B$9999,(IFERROR(VALUE(MID($A$2:$A$9999,4,2)),0)=MONTH(C233))*(IFERROR(VALUE(RIGHT($A$2:$A$9999,4)),0)=YEAR(C233)))),"")</f>
        <v/>
      </c>
      <c r="E233">
        <f>IF(ISNUMBER(D233),IF(MONTH(C233)=7,100,IFERROR(100*D233/INDEX($D$2:$D$9999,MATCH(DATE(IF(MONTH(C233)&gt;=7,YEAR(C233),YEAR(C233)-1),7,1),$C$2:$C$9999,0)),"")),"")</f>
        <v/>
      </c>
    </row>
    <row r="234">
      <c r="A234" s="66" t="inlineStr">
        <is>
          <t>08/07/2005</t>
        </is>
      </c>
      <c r="B234" s="28" t="n">
        <v>69.14</v>
      </c>
      <c r="C234" s="4">
        <f>EOMONTH(C233,0)+1</f>
        <v/>
      </c>
      <c r="D234">
        <f t="array" ref="D234">IFERROR(AVERAGE(_xlfn._xlws.FILTER($B$2:$B$9999,(IFERROR(VALUE(MID($A$2:$A$9999,4,2)),0)=MONTH(C234))*(IFERROR(VALUE(RIGHT($A$2:$A$9999,4)),0)=YEAR(C234)))),"")</f>
        <v/>
      </c>
      <c r="E234">
        <f>IF(ISNUMBER(D234),IF(MONTH(C234)=7,100,IFERROR(100*D234/INDEX($D$2:$D$9999,MATCH(DATE(IF(MONTH(C234)&gt;=7,YEAR(C234),YEAR(C234)-1),7,1),$C$2:$C$9999,0)),"")),"")</f>
        <v/>
      </c>
    </row>
    <row r="235">
      <c r="A235" s="66" t="inlineStr">
        <is>
          <t>11/07/2005</t>
        </is>
      </c>
      <c r="B235" s="28" t="n">
        <v>69.09999999999999</v>
      </c>
      <c r="C235" s="4">
        <f>EOMONTH(C234,0)+1</f>
        <v/>
      </c>
      <c r="D235">
        <f t="array" ref="D235">IFERROR(AVERAGE(_xlfn._xlws.FILTER($B$2:$B$9999,(IFERROR(VALUE(MID($A$2:$A$9999,4,2)),0)=MONTH(C235))*(IFERROR(VALUE(RIGHT($A$2:$A$9999,4)),0)=YEAR(C235)))),"")</f>
        <v/>
      </c>
      <c r="E235">
        <f>IF(ISNUMBER(D235),IF(MONTH(C235)=7,100,IFERROR(100*D235/INDEX($D$2:$D$9999,MATCH(DATE(IF(MONTH(C235)&gt;=7,YEAR(C235),YEAR(C235)-1),7,1),$C$2:$C$9999,0)),"")),"")</f>
        <v/>
      </c>
    </row>
    <row r="236">
      <c r="A236" s="66" t="inlineStr">
        <is>
          <t>12/07/2005</t>
        </is>
      </c>
      <c r="B236" s="28" t="n">
        <v>68.81999999999999</v>
      </c>
      <c r="C236" s="4">
        <f>EOMONTH(C235,0)+1</f>
        <v/>
      </c>
      <c r="D236">
        <f t="array" ref="D236">IFERROR(AVERAGE(_xlfn._xlws.FILTER($B$2:$B$9999,(IFERROR(VALUE(MID($A$2:$A$9999,4,2)),0)=MONTH(C236))*(IFERROR(VALUE(RIGHT($A$2:$A$9999,4)),0)=YEAR(C236)))),"")</f>
        <v/>
      </c>
      <c r="E236">
        <f>IF(ISNUMBER(D236),IF(MONTH(C236)=7,100,IFERROR(100*D236/INDEX($D$2:$D$9999,MATCH(DATE(IF(MONTH(C236)&gt;=7,YEAR(C236),YEAR(C236)-1),7,1),$C$2:$C$9999,0)),"")),"")</f>
        <v/>
      </c>
    </row>
    <row r="237">
      <c r="A237" s="66" t="inlineStr">
        <is>
          <t>13/07/2005</t>
        </is>
      </c>
      <c r="B237" s="28" t="n">
        <v>68.89</v>
      </c>
      <c r="C237" s="4">
        <f>EOMONTH(C236,0)+1</f>
        <v/>
      </c>
      <c r="D237">
        <f t="array" ref="D237">IFERROR(AVERAGE(_xlfn._xlws.FILTER($B$2:$B$9999,(IFERROR(VALUE(MID($A$2:$A$9999,4,2)),0)=MONTH(C237))*(IFERROR(VALUE(RIGHT($A$2:$A$9999,4)),0)=YEAR(C237)))),"")</f>
        <v/>
      </c>
      <c r="E237">
        <f>IF(ISNUMBER(D237),IF(MONTH(C237)=7,100,IFERROR(100*D237/INDEX($D$2:$D$9999,MATCH(DATE(IF(MONTH(C237)&gt;=7,YEAR(C237),YEAR(C237)-1),7,1),$C$2:$C$9999,0)),"")),"")</f>
        <v/>
      </c>
    </row>
    <row r="238">
      <c r="A238" s="66" t="inlineStr">
        <is>
          <t>14/07/2005</t>
        </is>
      </c>
      <c r="B238" s="28" t="n">
        <v>68.64</v>
      </c>
      <c r="C238" s="4">
        <f>EOMONTH(C237,0)+1</f>
        <v/>
      </c>
      <c r="D238">
        <f t="array" ref="D238">IFERROR(AVERAGE(_xlfn._xlws.FILTER($B$2:$B$9999,(IFERROR(VALUE(MID($A$2:$A$9999,4,2)),0)=MONTH(C238))*(IFERROR(VALUE(RIGHT($A$2:$A$9999,4)),0)=YEAR(C238)))),"")</f>
        <v/>
      </c>
      <c r="E238">
        <f>IF(ISNUMBER(D238),IF(MONTH(C238)=7,100,IFERROR(100*D238/INDEX($D$2:$D$9999,MATCH(DATE(IF(MONTH(C238)&gt;=7,YEAR(C238),YEAR(C238)-1),7,1),$C$2:$C$9999,0)),"")),"")</f>
        <v/>
      </c>
    </row>
    <row r="239">
      <c r="A239" s="66" t="inlineStr">
        <is>
          <t>15/07/2005</t>
        </is>
      </c>
      <c r="B239" s="28" t="n">
        <v>68.25</v>
      </c>
      <c r="C239" s="4">
        <f>EOMONTH(C238,0)+1</f>
        <v/>
      </c>
      <c r="D239">
        <f t="array" ref="D239">IFERROR(AVERAGE(_xlfn._xlws.FILTER($B$2:$B$9999,(IFERROR(VALUE(MID($A$2:$A$9999,4,2)),0)=MONTH(C239))*(IFERROR(VALUE(RIGHT($A$2:$A$9999,4)),0)=YEAR(C239)))),"")</f>
        <v/>
      </c>
      <c r="E239">
        <f>IF(ISNUMBER(D239),IF(MONTH(C239)=7,100,IFERROR(100*D239/INDEX($D$2:$D$9999,MATCH(DATE(IF(MONTH(C239)&gt;=7,YEAR(C239),YEAR(C239)-1),7,1),$C$2:$C$9999,0)),"")),"")</f>
        <v/>
      </c>
    </row>
    <row r="240">
      <c r="A240" s="66" t="inlineStr">
        <is>
          <t>18/07/2005</t>
        </is>
      </c>
      <c r="B240" s="28" t="n">
        <v>68.43000000000001</v>
      </c>
      <c r="C240" s="4">
        <f>EOMONTH(C239,0)+1</f>
        <v/>
      </c>
      <c r="D240">
        <f t="array" ref="D240">IFERROR(AVERAGE(_xlfn._xlws.FILTER($B$2:$B$9999,(IFERROR(VALUE(MID($A$2:$A$9999,4,2)),0)=MONTH(C240))*(IFERROR(VALUE(RIGHT($A$2:$A$9999,4)),0)=YEAR(C240)))),"")</f>
        <v/>
      </c>
      <c r="E240">
        <f>IF(ISNUMBER(D240),IF(MONTH(C240)=7,100,IFERROR(100*D240/INDEX($D$2:$D$9999,MATCH(DATE(IF(MONTH(C240)&gt;=7,YEAR(C240),YEAR(C240)-1),7,1),$C$2:$C$9999,0)),"")),"")</f>
        <v/>
      </c>
    </row>
    <row r="241">
      <c r="A241" s="66" t="inlineStr">
        <is>
          <t>19/07/2005</t>
        </is>
      </c>
      <c r="B241" s="28" t="n">
        <v>68.15000000000001</v>
      </c>
      <c r="C241" s="4">
        <f>EOMONTH(C240,0)+1</f>
        <v/>
      </c>
      <c r="D241">
        <f t="array" ref="D241">IFERROR(AVERAGE(_xlfn._xlws.FILTER($B$2:$B$9999,(IFERROR(VALUE(MID($A$2:$A$9999,4,2)),0)=MONTH(C241))*(IFERROR(VALUE(RIGHT($A$2:$A$9999,4)),0)=YEAR(C241)))),"")</f>
        <v/>
      </c>
      <c r="E241">
        <f>IF(ISNUMBER(D241),IF(MONTH(C241)=7,100,IFERROR(100*D241/INDEX($D$2:$D$9999,MATCH(DATE(IF(MONTH(C241)&gt;=7,YEAR(C241),YEAR(C241)-1),7,1),$C$2:$C$9999,0)),"")),"")</f>
        <v/>
      </c>
    </row>
    <row r="242">
      <c r="A242" s="66" t="inlineStr">
        <is>
          <t>20/07/2005</t>
        </is>
      </c>
      <c r="B242" s="28" t="n">
        <v>67.12</v>
      </c>
      <c r="C242" s="4">
        <f>EOMONTH(C241,0)+1</f>
        <v/>
      </c>
      <c r="D242">
        <f t="array" ref="D242">IFERROR(AVERAGE(_xlfn._xlws.FILTER($B$2:$B$9999,(IFERROR(VALUE(MID($A$2:$A$9999,4,2)),0)=MONTH(C242))*(IFERROR(VALUE(RIGHT($A$2:$A$9999,4)),0)=YEAR(C242)))),"")</f>
        <v/>
      </c>
      <c r="E242">
        <f>IF(ISNUMBER(D242),IF(MONTH(C242)=7,100,IFERROR(100*D242/INDEX($D$2:$D$9999,MATCH(DATE(IF(MONTH(C242)&gt;=7,YEAR(C242),YEAR(C242)-1),7,1),$C$2:$C$9999,0)),"")),"")</f>
        <v/>
      </c>
    </row>
    <row r="243">
      <c r="A243" s="66" t="inlineStr">
        <is>
          <t>21/07/2005</t>
        </is>
      </c>
      <c r="B243" s="28" t="n">
        <v>66.91</v>
      </c>
      <c r="C243" s="4">
        <f>EOMONTH(C242,0)+1</f>
        <v/>
      </c>
      <c r="D243">
        <f t="array" ref="D243">IFERROR(AVERAGE(_xlfn._xlws.FILTER($B$2:$B$9999,(IFERROR(VALUE(MID($A$2:$A$9999,4,2)),0)=MONTH(C243))*(IFERROR(VALUE(RIGHT($A$2:$A$9999,4)),0)=YEAR(C243)))),"")</f>
        <v/>
      </c>
      <c r="E243">
        <f>IF(ISNUMBER(D243),IF(MONTH(C243)=7,100,IFERROR(100*D243/INDEX($D$2:$D$9999,MATCH(DATE(IF(MONTH(C243)&gt;=7,YEAR(C243),YEAR(C243)-1),7,1),$C$2:$C$9999,0)),"")),"")</f>
        <v/>
      </c>
    </row>
    <row r="244">
      <c r="A244" s="66" t="inlineStr">
        <is>
          <t>22/07/2005</t>
        </is>
      </c>
      <c r="B244" s="28" t="n">
        <v>66.84</v>
      </c>
      <c r="C244" s="4">
        <f>EOMONTH(C243,0)+1</f>
        <v/>
      </c>
      <c r="D244">
        <f t="array" ref="D244">IFERROR(AVERAGE(_xlfn._xlws.FILTER($B$2:$B$9999,(IFERROR(VALUE(MID($A$2:$A$9999,4,2)),0)=MONTH(C244))*(IFERROR(VALUE(RIGHT($A$2:$A$9999,4)),0)=YEAR(C244)))),"")</f>
        <v/>
      </c>
      <c r="E244">
        <f>IF(ISNUMBER(D244),IF(MONTH(C244)=7,100,IFERROR(100*D244/INDEX($D$2:$D$9999,MATCH(DATE(IF(MONTH(C244)&gt;=7,YEAR(C244),YEAR(C244)-1),7,1),$C$2:$C$9999,0)),"")),"")</f>
        <v/>
      </c>
    </row>
    <row r="245">
      <c r="A245" s="66" t="inlineStr">
        <is>
          <t>25/07/2005</t>
        </is>
      </c>
      <c r="B245" s="28" t="n">
        <v>66.7</v>
      </c>
      <c r="C245" s="4">
        <f>EOMONTH(C244,0)+1</f>
        <v/>
      </c>
      <c r="D245">
        <f t="array" ref="D245">IFERROR(AVERAGE(_xlfn._xlws.FILTER($B$2:$B$9999,(IFERROR(VALUE(MID($A$2:$A$9999,4,2)),0)=MONTH(C245))*(IFERROR(VALUE(RIGHT($A$2:$A$9999,4)),0)=YEAR(C245)))),"")</f>
        <v/>
      </c>
      <c r="E245">
        <f>IF(ISNUMBER(D245),IF(MONTH(C245)=7,100,IFERROR(100*D245/INDEX($D$2:$D$9999,MATCH(DATE(IF(MONTH(C245)&gt;=7,YEAR(C245),YEAR(C245)-1),7,1),$C$2:$C$9999,0)),"")),"")</f>
        <v/>
      </c>
    </row>
    <row r="246">
      <c r="A246" s="66" t="inlineStr">
        <is>
          <t>26/07/2005</t>
        </is>
      </c>
      <c r="B246" s="28" t="n">
        <v>66.63</v>
      </c>
      <c r="C246" s="4">
        <f>EOMONTH(C245,0)+1</f>
        <v/>
      </c>
      <c r="D246">
        <f t="array" ref="D246">IFERROR(AVERAGE(_xlfn._xlws.FILTER($B$2:$B$9999,(IFERROR(VALUE(MID($A$2:$A$9999,4,2)),0)=MONTH(C246))*(IFERROR(VALUE(RIGHT($A$2:$A$9999,4)),0)=YEAR(C246)))),"")</f>
        <v/>
      </c>
      <c r="E246">
        <f>IF(ISNUMBER(D246),IF(MONTH(C246)=7,100,IFERROR(100*D246/INDEX($D$2:$D$9999,MATCH(DATE(IF(MONTH(C246)&gt;=7,YEAR(C246),YEAR(C246)-1),7,1),$C$2:$C$9999,0)),"")),"")</f>
        <v/>
      </c>
    </row>
    <row r="247">
      <c r="A247" s="66" t="inlineStr">
        <is>
          <t>27/07/2005</t>
        </is>
      </c>
      <c r="B247" s="28" t="n">
        <v>66.45</v>
      </c>
      <c r="C247" s="4">
        <f>EOMONTH(C246,0)+1</f>
        <v/>
      </c>
      <c r="D247">
        <f t="array" ref="D247">IFERROR(AVERAGE(_xlfn._xlws.FILTER($B$2:$B$9999,(IFERROR(VALUE(MID($A$2:$A$9999,4,2)),0)=MONTH(C247))*(IFERROR(VALUE(RIGHT($A$2:$A$9999,4)),0)=YEAR(C247)))),"")</f>
        <v/>
      </c>
      <c r="E247">
        <f>IF(ISNUMBER(D247),IF(MONTH(C247)=7,100,IFERROR(100*D247/INDEX($D$2:$D$9999,MATCH(DATE(IF(MONTH(C247)&gt;=7,YEAR(C247),YEAR(C247)-1),7,1),$C$2:$C$9999,0)),"")),"")</f>
        <v/>
      </c>
    </row>
    <row r="248">
      <c r="A248" s="66" t="inlineStr">
        <is>
          <t>28/07/2005</t>
        </is>
      </c>
      <c r="B248" s="28" t="n">
        <v>66.7</v>
      </c>
      <c r="C248" s="4">
        <f>EOMONTH(C247,0)+1</f>
        <v/>
      </c>
      <c r="D248">
        <f t="array" ref="D248">IFERROR(AVERAGE(_xlfn._xlws.FILTER($B$2:$B$9999,(IFERROR(VALUE(MID($A$2:$A$9999,4,2)),0)=MONTH(C248))*(IFERROR(VALUE(RIGHT($A$2:$A$9999,4)),0)=YEAR(C248)))),"")</f>
        <v/>
      </c>
      <c r="E248">
        <f>IF(ISNUMBER(D248),IF(MONTH(C248)=7,100,IFERROR(100*D248/INDEX($D$2:$D$9999,MATCH(DATE(IF(MONTH(C248)&gt;=7,YEAR(C248),YEAR(C248)-1),7,1),$C$2:$C$9999,0)),"")),"")</f>
        <v/>
      </c>
    </row>
    <row r="249">
      <c r="A249" s="66" t="inlineStr">
        <is>
          <t>29/07/2005</t>
        </is>
      </c>
      <c r="B249" s="28" t="n">
        <v>66.52</v>
      </c>
      <c r="C249" s="4">
        <f>EOMONTH(C248,0)+1</f>
        <v/>
      </c>
      <c r="D249">
        <f t="array" ref="D249">IFERROR(AVERAGE(_xlfn._xlws.FILTER($B$2:$B$9999,(IFERROR(VALUE(MID($A$2:$A$9999,4,2)),0)=MONTH(C249))*(IFERROR(VALUE(RIGHT($A$2:$A$9999,4)),0)=YEAR(C249)))),"")</f>
        <v/>
      </c>
      <c r="E249">
        <f>IF(ISNUMBER(D249),IF(MONTH(C249)=7,100,IFERROR(100*D249/INDEX($D$2:$D$9999,MATCH(DATE(IF(MONTH(C249)&gt;=7,YEAR(C249),YEAR(C249)-1),7,1),$C$2:$C$9999,0)),"")),"")</f>
        <v/>
      </c>
    </row>
    <row r="250">
      <c r="A250" s="66" t="inlineStr">
        <is>
          <t>01/08/2005</t>
        </is>
      </c>
      <c r="B250" s="28" t="n">
        <v>67.06999999999999</v>
      </c>
      <c r="C250" s="4">
        <f>EOMONTH(C249,0)+1</f>
        <v/>
      </c>
      <c r="D250">
        <f t="array" ref="D250">IFERROR(AVERAGE(_xlfn._xlws.FILTER($B$2:$B$9999,(IFERROR(VALUE(MID($A$2:$A$9999,4,2)),0)=MONTH(C250))*(IFERROR(VALUE(RIGHT($A$2:$A$9999,4)),0)=YEAR(C250)))),"")</f>
        <v/>
      </c>
      <c r="E250">
        <f>IF(ISNUMBER(D250),IF(MONTH(C250)=7,100,IFERROR(100*D250/INDEX($D$2:$D$9999,MATCH(DATE(IF(MONTH(C250)&gt;=7,YEAR(C250),YEAR(C250)-1),7,1),$C$2:$C$9999,0)),"")),"")</f>
        <v/>
      </c>
    </row>
    <row r="251">
      <c r="A251" s="66" t="inlineStr">
        <is>
          <t>02/08/2005</t>
        </is>
      </c>
      <c r="B251" s="28" t="n">
        <v>66.95999999999999</v>
      </c>
      <c r="C251" s="4">
        <f>EOMONTH(C250,0)+1</f>
        <v/>
      </c>
      <c r="D251">
        <f t="array" ref="D251">IFERROR(AVERAGE(_xlfn._xlws.FILTER($B$2:$B$9999,(IFERROR(VALUE(MID($A$2:$A$9999,4,2)),0)=MONTH(C251))*(IFERROR(VALUE(RIGHT($A$2:$A$9999,4)),0)=YEAR(C251)))),"")</f>
        <v/>
      </c>
      <c r="E251">
        <f>IF(ISNUMBER(D251),IF(MONTH(C251)=7,100,IFERROR(100*D251/INDEX($D$2:$D$9999,MATCH(DATE(IF(MONTH(C251)&gt;=7,YEAR(C251),YEAR(C251)-1),7,1),$C$2:$C$9999,0)),"")),"")</f>
        <v/>
      </c>
    </row>
    <row r="252">
      <c r="A252" s="66" t="inlineStr">
        <is>
          <t>03/08/2005</t>
        </is>
      </c>
      <c r="B252" s="28" t="n">
        <v>66.53</v>
      </c>
      <c r="C252" s="4">
        <f>EOMONTH(C251,0)+1</f>
        <v/>
      </c>
      <c r="D252">
        <f t="array" ref="D252">IFERROR(AVERAGE(_xlfn._xlws.FILTER($B$2:$B$9999,(IFERROR(VALUE(MID($A$2:$A$9999,4,2)),0)=MONTH(C252))*(IFERROR(VALUE(RIGHT($A$2:$A$9999,4)),0)=YEAR(C252)))),"")</f>
        <v/>
      </c>
      <c r="E252">
        <f>IF(ISNUMBER(D252),IF(MONTH(C252)=7,100,IFERROR(100*D252/INDEX($D$2:$D$9999,MATCH(DATE(IF(MONTH(C252)&gt;=7,YEAR(C252),YEAR(C252)-1),7,1),$C$2:$C$9999,0)),"")),"")</f>
        <v/>
      </c>
    </row>
    <row r="253">
      <c r="A253" s="66" t="inlineStr">
        <is>
          <t>04/08/2005</t>
        </is>
      </c>
      <c r="B253" s="28" t="n">
        <v>66.92</v>
      </c>
      <c r="C253" s="4">
        <f>EOMONTH(C252,0)+1</f>
        <v/>
      </c>
      <c r="D253">
        <f t="array" ref="D253">IFERROR(AVERAGE(_xlfn._xlws.FILTER($B$2:$B$9999,(IFERROR(VALUE(MID($A$2:$A$9999,4,2)),0)=MONTH(C253))*(IFERROR(VALUE(RIGHT($A$2:$A$9999,4)),0)=YEAR(C253)))),"")</f>
        <v/>
      </c>
      <c r="E253">
        <f>IF(ISNUMBER(D253),IF(MONTH(C253)=7,100,IFERROR(100*D253/INDEX($D$2:$D$9999,MATCH(DATE(IF(MONTH(C253)&gt;=7,YEAR(C253),YEAR(C253)-1),7,1),$C$2:$C$9999,0)),"")),"")</f>
        <v/>
      </c>
    </row>
    <row r="254">
      <c r="A254" s="66" t="inlineStr">
        <is>
          <t>05/08/2005</t>
        </is>
      </c>
      <c r="B254" s="28" t="n">
        <v>66.92</v>
      </c>
      <c r="C254" s="4">
        <f>EOMONTH(C253,0)+1</f>
        <v/>
      </c>
      <c r="D254">
        <f t="array" ref="D254">IFERROR(AVERAGE(_xlfn._xlws.FILTER($B$2:$B$9999,(IFERROR(VALUE(MID($A$2:$A$9999,4,2)),0)=MONTH(C254))*(IFERROR(VALUE(RIGHT($A$2:$A$9999,4)),0)=YEAR(C254)))),"")</f>
        <v/>
      </c>
      <c r="E254">
        <f>IF(ISNUMBER(D254),IF(MONTH(C254)=7,100,IFERROR(100*D254/INDEX($D$2:$D$9999,MATCH(DATE(IF(MONTH(C254)&gt;=7,YEAR(C254),YEAR(C254)-1),7,1),$C$2:$C$9999,0)),"")),"")</f>
        <v/>
      </c>
    </row>
    <row r="255">
      <c r="A255" s="66" t="inlineStr">
        <is>
          <t>08/08/2005</t>
        </is>
      </c>
      <c r="B255" s="28" t="n">
        <v>66.70999999999999</v>
      </c>
      <c r="C255" s="4">
        <f>EOMONTH(C254,0)+1</f>
        <v/>
      </c>
      <c r="D255">
        <f t="array" ref="D255">IFERROR(AVERAGE(_xlfn._xlws.FILTER($B$2:$B$9999,(IFERROR(VALUE(MID($A$2:$A$9999,4,2)),0)=MONTH(C255))*(IFERROR(VALUE(RIGHT($A$2:$A$9999,4)),0)=YEAR(C255)))),"")</f>
        <v/>
      </c>
      <c r="E255">
        <f>IF(ISNUMBER(D255),IF(MONTH(C255)=7,100,IFERROR(100*D255/INDEX($D$2:$D$9999,MATCH(DATE(IF(MONTH(C255)&gt;=7,YEAR(C255),YEAR(C255)-1),7,1),$C$2:$C$9999,0)),"")),"")</f>
        <v/>
      </c>
    </row>
    <row r="256">
      <c r="A256" s="66" t="inlineStr">
        <is>
          <t>09/08/2005</t>
        </is>
      </c>
      <c r="B256" s="28" t="n">
        <v>66.67</v>
      </c>
      <c r="C256" s="4">
        <f>EOMONTH(C255,0)+1</f>
        <v/>
      </c>
      <c r="D256">
        <f t="array" ref="D256">IFERROR(AVERAGE(_xlfn._xlws.FILTER($B$2:$B$9999,(IFERROR(VALUE(MID($A$2:$A$9999,4,2)),0)=MONTH(C256))*(IFERROR(VALUE(RIGHT($A$2:$A$9999,4)),0)=YEAR(C256)))),"")</f>
        <v/>
      </c>
      <c r="E256">
        <f>IF(ISNUMBER(D256),IF(MONTH(C256)=7,100,IFERROR(100*D256/INDEX($D$2:$D$9999,MATCH(DATE(IF(MONTH(C256)&gt;=7,YEAR(C256),YEAR(C256)-1),7,1),$C$2:$C$9999,0)),"")),"")</f>
        <v/>
      </c>
    </row>
    <row r="257">
      <c r="A257" s="66" t="inlineStr">
        <is>
          <t>10/08/2005</t>
        </is>
      </c>
      <c r="B257" s="28" t="n">
        <v>66.70999999999999</v>
      </c>
      <c r="C257" s="4">
        <f>EOMONTH(C256,0)+1</f>
        <v/>
      </c>
      <c r="D257">
        <f t="array" ref="D257">IFERROR(AVERAGE(_xlfn._xlws.FILTER($B$2:$B$9999,(IFERROR(VALUE(MID($A$2:$A$9999,4,2)),0)=MONTH(C257))*(IFERROR(VALUE(RIGHT($A$2:$A$9999,4)),0)=YEAR(C257)))),"")</f>
        <v/>
      </c>
      <c r="E257">
        <f>IF(ISNUMBER(D257),IF(MONTH(C257)=7,100,IFERROR(100*D257/INDEX($D$2:$D$9999,MATCH(DATE(IF(MONTH(C257)&gt;=7,YEAR(C257),YEAR(C257)-1),7,1),$C$2:$C$9999,0)),"")),"")</f>
        <v/>
      </c>
    </row>
    <row r="258">
      <c r="A258" s="66" t="inlineStr">
        <is>
          <t>11/08/2005</t>
        </is>
      </c>
      <c r="B258" s="28" t="n">
        <v>66.53</v>
      </c>
      <c r="C258" s="4">
        <f>EOMONTH(C257,0)+1</f>
        <v/>
      </c>
      <c r="D258">
        <f t="array" ref="D258">IFERROR(AVERAGE(_xlfn._xlws.FILTER($B$2:$B$9999,(IFERROR(VALUE(MID($A$2:$A$9999,4,2)),0)=MONTH(C258))*(IFERROR(VALUE(RIGHT($A$2:$A$9999,4)),0)=YEAR(C258)))),"")</f>
        <v/>
      </c>
      <c r="E258">
        <f>IF(ISNUMBER(D258),IF(MONTH(C258)=7,100,IFERROR(100*D258/INDEX($D$2:$D$9999,MATCH(DATE(IF(MONTH(C258)&gt;=7,YEAR(C258),YEAR(C258)-1),7,1),$C$2:$C$9999,0)),"")),"")</f>
        <v/>
      </c>
    </row>
    <row r="259">
      <c r="A259" s="66" t="inlineStr">
        <is>
          <t>12/08/2005</t>
        </is>
      </c>
      <c r="B259" s="28" t="n">
        <v>66.43000000000001</v>
      </c>
      <c r="C259" s="4">
        <f>EOMONTH(C258,0)+1</f>
        <v/>
      </c>
      <c r="D259">
        <f t="array" ref="D259">IFERROR(AVERAGE(_xlfn._xlws.FILTER($B$2:$B$9999,(IFERROR(VALUE(MID($A$2:$A$9999,4,2)),0)=MONTH(C259))*(IFERROR(VALUE(RIGHT($A$2:$A$9999,4)),0)=YEAR(C259)))),"")</f>
        <v/>
      </c>
      <c r="E259">
        <f>IF(ISNUMBER(D259),IF(MONTH(C259)=7,100,IFERROR(100*D259/INDEX($D$2:$D$9999,MATCH(DATE(IF(MONTH(C259)&gt;=7,YEAR(C259),YEAR(C259)-1),7,1),$C$2:$C$9999,0)),"")),"")</f>
        <v/>
      </c>
    </row>
    <row r="260">
      <c r="A260" s="66" t="inlineStr">
        <is>
          <t>15/08/2005</t>
        </is>
      </c>
      <c r="B260" s="28" t="n">
        <v>66.31999999999999</v>
      </c>
      <c r="C260" s="4">
        <f>EOMONTH(C259,0)+1</f>
        <v/>
      </c>
      <c r="D260">
        <f t="array" ref="D260">IFERROR(AVERAGE(_xlfn._xlws.FILTER($B$2:$B$9999,(IFERROR(VALUE(MID($A$2:$A$9999,4,2)),0)=MONTH(C260))*(IFERROR(VALUE(RIGHT($A$2:$A$9999,4)),0)=YEAR(C260)))),"")</f>
        <v/>
      </c>
      <c r="E260">
        <f>IF(ISNUMBER(D260),IF(MONTH(C260)=7,100,IFERROR(100*D260/INDEX($D$2:$D$9999,MATCH(DATE(IF(MONTH(C260)&gt;=7,YEAR(C260),YEAR(C260)-1),7,1),$C$2:$C$9999,0)),"")),"")</f>
        <v/>
      </c>
    </row>
    <row r="261">
      <c r="A261" s="66" t="inlineStr">
        <is>
          <t>16/08/2005</t>
        </is>
      </c>
      <c r="B261" s="28" t="n">
        <v>66.03</v>
      </c>
      <c r="C261" s="4">
        <f>EOMONTH(C260,0)+1</f>
        <v/>
      </c>
      <c r="D261">
        <f t="array" ref="D261">IFERROR(AVERAGE(_xlfn._xlws.FILTER($B$2:$B$9999,(IFERROR(VALUE(MID($A$2:$A$9999,4,2)),0)=MONTH(C261))*(IFERROR(VALUE(RIGHT($A$2:$A$9999,4)),0)=YEAR(C261)))),"")</f>
        <v/>
      </c>
      <c r="E261">
        <f>IF(ISNUMBER(D261),IF(MONTH(C261)=7,100,IFERROR(100*D261/INDEX($D$2:$D$9999,MATCH(DATE(IF(MONTH(C261)&gt;=7,YEAR(C261),YEAR(C261)-1),7,1),$C$2:$C$9999,0)),"")),"")</f>
        <v/>
      </c>
    </row>
    <row r="262">
      <c r="A262" s="66" t="inlineStr">
        <is>
          <t>17/08/2005</t>
        </is>
      </c>
      <c r="B262" s="28" t="n">
        <v>65.70999999999999</v>
      </c>
      <c r="C262" s="4">
        <f>EOMONTH(C261,0)+1</f>
        <v/>
      </c>
      <c r="D262">
        <f t="array" ref="D262">IFERROR(AVERAGE(_xlfn._xlws.FILTER($B$2:$B$9999,(IFERROR(VALUE(MID($A$2:$A$9999,4,2)),0)=MONTH(C262))*(IFERROR(VALUE(RIGHT($A$2:$A$9999,4)),0)=YEAR(C262)))),"")</f>
        <v/>
      </c>
      <c r="E262">
        <f>IF(ISNUMBER(D262),IF(MONTH(C262)=7,100,IFERROR(100*D262/INDEX($D$2:$D$9999,MATCH(DATE(IF(MONTH(C262)&gt;=7,YEAR(C262),YEAR(C262)-1),7,1),$C$2:$C$9999,0)),"")),"")</f>
        <v/>
      </c>
    </row>
    <row r="263">
      <c r="A263" s="66" t="inlineStr">
        <is>
          <t>18/08/2005</t>
        </is>
      </c>
      <c r="B263" s="28" t="n">
        <v>65.70999999999999</v>
      </c>
      <c r="C263" s="4">
        <f>EOMONTH(C262,0)+1</f>
        <v/>
      </c>
      <c r="D263">
        <f t="array" ref="D263">IFERROR(AVERAGE(_xlfn._xlws.FILTER($B$2:$B$9999,(IFERROR(VALUE(MID($A$2:$A$9999,4,2)),0)=MONTH(C263))*(IFERROR(VALUE(RIGHT($A$2:$A$9999,4)),0)=YEAR(C263)))),"")</f>
        <v/>
      </c>
      <c r="E263">
        <f>IF(ISNUMBER(D263),IF(MONTH(C263)=7,100,IFERROR(100*D263/INDEX($D$2:$D$9999,MATCH(DATE(IF(MONTH(C263)&gt;=7,YEAR(C263),YEAR(C263)-1),7,1),$C$2:$C$9999,0)),"")),"")</f>
        <v/>
      </c>
    </row>
    <row r="264">
      <c r="A264" s="66" t="inlineStr">
        <is>
          <t>19/08/2005</t>
        </is>
      </c>
      <c r="B264" s="28" t="n">
        <v>65.68000000000001</v>
      </c>
      <c r="C264" s="4">
        <f>EOMONTH(C263,0)+1</f>
        <v/>
      </c>
      <c r="D264">
        <f t="array" ref="D264">IFERROR(AVERAGE(_xlfn._xlws.FILTER($B$2:$B$9999,(IFERROR(VALUE(MID($A$2:$A$9999,4,2)),0)=MONTH(C264))*(IFERROR(VALUE(RIGHT($A$2:$A$9999,4)),0)=YEAR(C264)))),"")</f>
        <v/>
      </c>
      <c r="E264">
        <f>IF(ISNUMBER(D264),IF(MONTH(C264)=7,100,IFERROR(100*D264/INDEX($D$2:$D$9999,MATCH(DATE(IF(MONTH(C264)&gt;=7,YEAR(C264),YEAR(C264)-1),7,1),$C$2:$C$9999,0)),"")),"")</f>
        <v/>
      </c>
    </row>
    <row r="265">
      <c r="A265" s="66" t="inlineStr">
        <is>
          <t>22/08/2005</t>
        </is>
      </c>
      <c r="B265" s="28" t="n">
        <v>65.79000000000001</v>
      </c>
      <c r="C265" s="4">
        <f>EOMONTH(C264,0)+1</f>
        <v/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/>
      </c>
      <c r="E265">
        <f>IF(ISNUMBER(D265),IF(MONTH(C265)=7,100,IFERROR(100*D265/INDEX($D$2:$D$9999,MATCH(DATE(IF(MONTH(C265)&gt;=7,YEAR(C265),YEAR(C265)-1),7,1),$C$2:$C$9999,0)),"")),"")</f>
        <v/>
      </c>
    </row>
    <row r="266">
      <c r="A266" s="66" t="inlineStr">
        <is>
          <t>23/08/2005</t>
        </is>
      </c>
      <c r="B266" s="28" t="n">
        <v>65.70999999999999</v>
      </c>
      <c r="C266" s="4">
        <f>EOMONTH(C265,0)+1</f>
        <v/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/>
      </c>
      <c r="E266">
        <f>IF(ISNUMBER(D266),IF(MONTH(C266)=7,100,IFERROR(100*D266/INDEX($D$2:$D$9999,MATCH(DATE(IF(MONTH(C266)&gt;=7,YEAR(C266),YEAR(C266)-1),7,1),$C$2:$C$9999,0)),"")),"")</f>
        <v/>
      </c>
    </row>
    <row r="267">
      <c r="A267" s="66" t="inlineStr">
        <is>
          <t>24/08/2005</t>
        </is>
      </c>
      <c r="B267" s="28" t="n">
        <v>65.93000000000001</v>
      </c>
      <c r="C267" s="4">
        <f>EOMONTH(C266,0)+1</f>
        <v/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/>
      </c>
      <c r="E267">
        <f>IF(ISNUMBER(D267),IF(MONTH(C267)=7,100,IFERROR(100*D267/INDEX($D$2:$D$9999,MATCH(DATE(IF(MONTH(C267)&gt;=7,YEAR(C267),YEAR(C267)-1),7,1),$C$2:$C$9999,0)),"")),"")</f>
        <v/>
      </c>
    </row>
    <row r="268">
      <c r="A268" s="66" t="inlineStr">
        <is>
          <t>25/08/2005</t>
        </is>
      </c>
      <c r="B268" s="28" t="n">
        <v>66.06999999999999</v>
      </c>
      <c r="C268" s="4">
        <f>EOMONTH(C267,0)+1</f>
        <v/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/>
      </c>
      <c r="E268">
        <f>IF(ISNUMBER(D268),IF(MONTH(C268)=7,100,IFERROR(100*D268/INDEX($D$2:$D$9999,MATCH(DATE(IF(MONTH(C268)&gt;=7,YEAR(C268),YEAR(C268)-1),7,1),$C$2:$C$9999,0)),"")),"")</f>
        <v/>
      </c>
    </row>
    <row r="269">
      <c r="A269" s="66" t="inlineStr">
        <is>
          <t>26/08/2005</t>
        </is>
      </c>
      <c r="B269" s="28" t="n">
        <v>66.14</v>
      </c>
      <c r="C269" s="4">
        <f>EOMONTH(C268,0)+1</f>
        <v/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/>
      </c>
      <c r="E269">
        <f>IF(ISNUMBER(D269),IF(MONTH(C269)=7,100,IFERROR(100*D269/INDEX($D$2:$D$9999,MATCH(DATE(IF(MONTH(C269)&gt;=7,YEAR(C269),YEAR(C269)-1),7,1),$C$2:$C$9999,0)),"")),"")</f>
        <v/>
      </c>
    </row>
    <row r="270">
      <c r="A270" s="66" t="inlineStr">
        <is>
          <t>29/08/2005</t>
        </is>
      </c>
      <c r="B270" s="28" t="n">
        <v>66.11</v>
      </c>
      <c r="C270" s="4">
        <f>EOMONTH(C269,0)+1</f>
        <v/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/>
      </c>
      <c r="E270">
        <f>IF(ISNUMBER(D270),IF(MONTH(C270)=7,100,IFERROR(100*D270/INDEX($D$2:$D$9999,MATCH(DATE(IF(MONTH(C270)&gt;=7,YEAR(C270),YEAR(C270)-1),7,1),$C$2:$C$9999,0)),"")),"")</f>
        <v/>
      </c>
    </row>
    <row r="271">
      <c r="A271" s="66" t="inlineStr">
        <is>
          <t>30/08/2005</t>
        </is>
      </c>
      <c r="B271" s="28" t="n">
        <v>65.95999999999999</v>
      </c>
      <c r="C271" s="4">
        <f>EOMONTH(C270,0)+1</f>
        <v/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/>
      </c>
      <c r="E271">
        <f>IF(ISNUMBER(D271),IF(MONTH(C271)=7,100,IFERROR(100*D271/INDEX($D$2:$D$9999,MATCH(DATE(IF(MONTH(C271)&gt;=7,YEAR(C271),YEAR(C271)-1),7,1),$C$2:$C$9999,0)),"")),"")</f>
        <v/>
      </c>
    </row>
    <row r="272">
      <c r="A272" s="66" t="inlineStr">
        <is>
          <t>31/08/2005</t>
        </is>
      </c>
      <c r="B272" s="28" t="n">
        <v>66.18000000000001</v>
      </c>
      <c r="C272" s="4">
        <f>EOMONTH(C271,0)+1</f>
        <v/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/>
      </c>
      <c r="E272">
        <f>IF(ISNUMBER(D272),IF(MONTH(C272)=7,100,IFERROR(100*D272/INDEX($D$2:$D$9999,MATCH(DATE(IF(MONTH(C272)&gt;=7,YEAR(C272),YEAR(C272)-1),7,1),$C$2:$C$9999,0)),"")),"")</f>
        <v/>
      </c>
    </row>
    <row r="273">
      <c r="A273" s="66" t="inlineStr">
        <is>
          <t>01/09/2005</t>
        </is>
      </c>
      <c r="B273" s="28" t="n">
        <v>66.42</v>
      </c>
      <c r="C273" s="4">
        <f>EOMONTH(C272,0)+1</f>
        <v/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/>
      </c>
      <c r="E273">
        <f>IF(ISNUMBER(D273),IF(MONTH(C273)=7,100,IFERROR(100*D273/INDEX($D$2:$D$9999,MATCH(DATE(IF(MONTH(C273)&gt;=7,YEAR(C273),YEAR(C273)-1),7,1),$C$2:$C$9999,0)),"")),"")</f>
        <v/>
      </c>
    </row>
    <row r="274">
      <c r="A274" s="66" t="inlineStr">
        <is>
          <t>02/09/2005</t>
        </is>
      </c>
      <c r="B274" s="28" t="n">
        <v>66.31</v>
      </c>
      <c r="C274" s="4">
        <f>EOMONTH(C273,0)+1</f>
        <v/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/>
      </c>
      <c r="E274">
        <f>IF(ISNUMBER(D274),IF(MONTH(C274)=7,100,IFERROR(100*D274/INDEX($D$2:$D$9999,MATCH(DATE(IF(MONTH(C274)&gt;=7,YEAR(C274),YEAR(C274)-1),7,1),$C$2:$C$9999,0)),"")),"")</f>
        <v/>
      </c>
    </row>
    <row r="275">
      <c r="A275" s="66" t="inlineStr">
        <is>
          <t>05/09/2005</t>
        </is>
      </c>
      <c r="B275" s="28" t="n">
        <v>66.17</v>
      </c>
      <c r="C275" s="4">
        <f>EOMONTH(C274,0)+1</f>
        <v/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/>
      </c>
      <c r="E275">
        <f>IF(ISNUMBER(D275),IF(MONTH(C275)=7,100,IFERROR(100*D275/INDEX($D$2:$D$9999,MATCH(DATE(IF(MONTH(C275)&gt;=7,YEAR(C275),YEAR(C275)-1),7,1),$C$2:$C$9999,0)),"")),"")</f>
        <v/>
      </c>
    </row>
    <row r="276">
      <c r="A276" s="66" t="inlineStr">
        <is>
          <t>06/09/2005</t>
        </is>
      </c>
      <c r="B276" s="28" t="n">
        <v>66.23999999999999</v>
      </c>
      <c r="C276" s="4">
        <f>EOMONTH(C275,0)+1</f>
        <v/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/>
      </c>
      <c r="E276">
        <f>IF(ISNUMBER(D276),IF(MONTH(C276)=7,100,IFERROR(100*D276/INDEX($D$2:$D$9999,MATCH(DATE(IF(MONTH(C276)&gt;=7,YEAR(C276),YEAR(C276)-1),7,1),$C$2:$C$9999,0)),"")),"")</f>
        <v/>
      </c>
    </row>
    <row r="277">
      <c r="A277" s="66" t="inlineStr">
        <is>
          <t>08/09/2005</t>
        </is>
      </c>
      <c r="B277" s="28" t="n">
        <v>65.98999999999999</v>
      </c>
      <c r="C277" s="4">
        <f>EOMONTH(C276,0)+1</f>
        <v/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/>
      </c>
      <c r="E277">
        <f>IF(ISNUMBER(D277),IF(MONTH(C277)=7,100,IFERROR(100*D277/INDEX($D$2:$D$9999,MATCH(DATE(IF(MONTH(C277)&gt;=7,YEAR(C277),YEAR(C277)-1),7,1),$C$2:$C$9999,0)),"")),"")</f>
        <v/>
      </c>
    </row>
    <row r="278">
      <c r="A278" s="66" t="inlineStr">
        <is>
          <t>09/09/2005</t>
        </is>
      </c>
      <c r="B278" s="28" t="n">
        <v>65.67</v>
      </c>
      <c r="C278" s="4">
        <f>EOMONTH(C277,0)+1</f>
        <v/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/>
      </c>
      <c r="E278">
        <f>IF(ISNUMBER(D278),IF(MONTH(C278)=7,100,IFERROR(100*D278/INDEX($D$2:$D$9999,MATCH(DATE(IF(MONTH(C278)&gt;=7,YEAR(C278),YEAR(C278)-1),7,1),$C$2:$C$9999,0)),"")),"")</f>
        <v/>
      </c>
    </row>
    <row r="279">
      <c r="A279" s="66" t="inlineStr">
        <is>
          <t>12/09/2005</t>
        </is>
      </c>
      <c r="B279" s="28" t="n">
        <v>65.53</v>
      </c>
      <c r="C279" s="4">
        <f>EOMONTH(C278,0)+1</f>
        <v/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/>
      </c>
      <c r="E279">
        <f>IF(ISNUMBER(D279),IF(MONTH(C279)=7,100,IFERROR(100*D279/INDEX($D$2:$D$9999,MATCH(DATE(IF(MONTH(C279)&gt;=7,YEAR(C279),YEAR(C279)-1),7,1),$C$2:$C$9999,0)),"")),"")</f>
        <v/>
      </c>
    </row>
    <row r="280">
      <c r="A280" s="66" t="inlineStr">
        <is>
          <t>13/09/2005</t>
        </is>
      </c>
      <c r="B280" s="28" t="n">
        <v>65.70999999999999</v>
      </c>
      <c r="C280" s="4">
        <f>EOMONTH(C279,0)+1</f>
        <v/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/>
      </c>
      <c r="E280">
        <f>IF(ISNUMBER(D280),IF(MONTH(C280)=7,100,IFERROR(100*D280/INDEX($D$2:$D$9999,MATCH(DATE(IF(MONTH(C280)&gt;=7,YEAR(C280),YEAR(C280)-1),7,1),$C$2:$C$9999,0)),"")),"")</f>
        <v/>
      </c>
    </row>
    <row r="281">
      <c r="A281" s="66" t="inlineStr">
        <is>
          <t>14/09/2005</t>
        </is>
      </c>
      <c r="B281" s="28" t="n">
        <v>65.56</v>
      </c>
      <c r="C281" s="4">
        <f>EOMONTH(C280,0)+1</f>
        <v/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/>
      </c>
      <c r="E281">
        <f>IF(ISNUMBER(D281),IF(MONTH(C281)=7,100,IFERROR(100*D281/INDEX($D$2:$D$9999,MATCH(DATE(IF(MONTH(C281)&gt;=7,YEAR(C281),YEAR(C281)-1),7,1),$C$2:$C$9999,0)),"")),"")</f>
        <v/>
      </c>
    </row>
    <row r="282">
      <c r="A282" s="66" t="inlineStr">
        <is>
          <t>15/09/2005</t>
        </is>
      </c>
      <c r="B282" s="28" t="n">
        <v>65.59999999999999</v>
      </c>
      <c r="C282" s="4">
        <f>EOMONTH(C281,0)+1</f>
        <v/>
      </c>
      <c r="D282">
        <f t="array" ref="D282">IFERROR(AVERAGE(_xlfn._xlws.FILTER($B$2:$B$9999,(IFERROR(VALUE(MID($A$2:$A$9999,4,2)),0)=MONTH(C282))*(IFERROR(VALUE(RIGHT($A$2:$A$9999,4)),0)=YEAR(C282)))),"")</f>
        <v/>
      </c>
      <c r="E282">
        <f>IF(ISNUMBER(D282),IF(MONTH(C282)=7,100,IFERROR(100*D282/INDEX($D$2:$D$9999,MATCH(DATE(IF(MONTH(C282)&gt;=7,YEAR(C282),YEAR(C282)-1),7,1),$C$2:$C$9999,0)),"")),"")</f>
        <v/>
      </c>
    </row>
    <row r="283">
      <c r="A283" s="66" t="inlineStr">
        <is>
          <t>16/09/2005</t>
        </is>
      </c>
      <c r="B283" s="28" t="n">
        <v>65.56</v>
      </c>
      <c r="C283" s="4">
        <f>EOMONTH(C282,0)+1</f>
        <v/>
      </c>
      <c r="D283">
        <f t="array" ref="D283">IFERROR(AVERAGE(_xlfn._xlws.FILTER($B$2:$B$9999,(IFERROR(VALUE(MID($A$2:$A$9999,4,2)),0)=MONTH(C283))*(IFERROR(VALUE(RIGHT($A$2:$A$9999,4)),0)=YEAR(C283)))),"")</f>
        <v/>
      </c>
      <c r="E283">
        <f>IF(ISNUMBER(D283),IF(MONTH(C283)=7,100,IFERROR(100*D283/INDEX($D$2:$D$9999,MATCH(DATE(IF(MONTH(C283)&gt;=7,YEAR(C283),YEAR(C283)-1),7,1),$C$2:$C$9999,0)),"")),"")</f>
        <v/>
      </c>
    </row>
    <row r="284">
      <c r="A284" s="66" t="inlineStr">
        <is>
          <t>19/09/2005</t>
        </is>
      </c>
      <c r="B284" s="28" t="n">
        <v>65.31</v>
      </c>
      <c r="C284" s="4">
        <f>EOMONTH(C283,0)+1</f>
        <v/>
      </c>
      <c r="D284">
        <f t="array" ref="D284">IFERROR(AVERAGE(_xlfn._xlws.FILTER($B$2:$B$9999,(IFERROR(VALUE(MID($A$2:$A$9999,4,2)),0)=MONTH(C284))*(IFERROR(VALUE(RIGHT($A$2:$A$9999,4)),0)=YEAR(C284)))),"")</f>
        <v/>
      </c>
      <c r="E284">
        <f>IF(ISNUMBER(D284),IF(MONTH(C284)=7,100,IFERROR(100*D284/INDEX($D$2:$D$9999,MATCH(DATE(IF(MONTH(C284)&gt;=7,YEAR(C284),YEAR(C284)-1),7,1),$C$2:$C$9999,0)),"")),"")</f>
        <v/>
      </c>
    </row>
    <row r="285">
      <c r="A285" s="66" t="inlineStr">
        <is>
          <t>20/09/2005</t>
        </is>
      </c>
      <c r="B285" s="28" t="n">
        <v>65.70999999999999</v>
      </c>
      <c r="C285" s="4">
        <f>EOMONTH(C284,0)+1</f>
        <v/>
      </c>
      <c r="D285">
        <f t="array" ref="D285">IFERROR(AVERAGE(_xlfn._xlws.FILTER($B$2:$B$9999,(IFERROR(VALUE(MID($A$2:$A$9999,4,2)),0)=MONTH(C285))*(IFERROR(VALUE(RIGHT($A$2:$A$9999,4)),0)=YEAR(C285)))),"")</f>
        <v/>
      </c>
      <c r="E285">
        <f>IF(ISNUMBER(D285),IF(MONTH(C285)=7,100,IFERROR(100*D285/INDEX($D$2:$D$9999,MATCH(DATE(IF(MONTH(C285)&gt;=7,YEAR(C285),YEAR(C285)-1),7,1),$C$2:$C$9999,0)),"")),"")</f>
        <v/>
      </c>
    </row>
    <row r="286">
      <c r="A286" s="66" t="inlineStr">
        <is>
          <t>21/09/2005</t>
        </is>
      </c>
      <c r="B286" s="28" t="n">
        <v>65.70999999999999</v>
      </c>
      <c r="C286" s="4">
        <f>EOMONTH(C285,0)+1</f>
        <v/>
      </c>
      <c r="D286">
        <f t="array" ref="D286">IFERROR(AVERAGE(_xlfn._xlws.FILTER($B$2:$B$9999,(IFERROR(VALUE(MID($A$2:$A$9999,4,2)),0)=MONTH(C286))*(IFERROR(VALUE(RIGHT($A$2:$A$9999,4)),0)=YEAR(C286)))),"")</f>
        <v/>
      </c>
      <c r="E286">
        <f>IF(ISNUMBER(D286),IF(MONTH(C286)=7,100,IFERROR(100*D286/INDEX($D$2:$D$9999,MATCH(DATE(IF(MONTH(C286)&gt;=7,YEAR(C286),YEAR(C286)-1),7,1),$C$2:$C$9999,0)),"")),"")</f>
        <v/>
      </c>
    </row>
    <row r="287">
      <c r="A287" s="66" t="inlineStr">
        <is>
          <t>22/09/2005</t>
        </is>
      </c>
      <c r="B287" s="28" t="n">
        <v>65.48999999999999</v>
      </c>
      <c r="C287" s="4">
        <f>EOMONTH(C286,0)+1</f>
        <v/>
      </c>
      <c r="D287">
        <f t="array" ref="D287">IFERROR(AVERAGE(_xlfn._xlws.FILTER($B$2:$B$9999,(IFERROR(VALUE(MID($A$2:$A$9999,4,2)),0)=MONTH(C287))*(IFERROR(VALUE(RIGHT($A$2:$A$9999,4)),0)=YEAR(C287)))),"")</f>
        <v/>
      </c>
      <c r="E287">
        <f>IF(ISNUMBER(D287),IF(MONTH(C287)=7,100,IFERROR(100*D287/INDEX($D$2:$D$9999,MATCH(DATE(IF(MONTH(C287)&gt;=7,YEAR(C287),YEAR(C287)-1),7,1),$C$2:$C$9999,0)),"")),"")</f>
        <v/>
      </c>
    </row>
    <row r="288">
      <c r="A288" s="66" t="inlineStr">
        <is>
          <t>23/09/2005</t>
        </is>
      </c>
      <c r="B288" s="28" t="n">
        <v>65.56</v>
      </c>
      <c r="C288" s="4">
        <f>EOMONTH(C287,0)+1</f>
        <v/>
      </c>
      <c r="D288">
        <f t="array" ref="D288">IFERROR(AVERAGE(_xlfn._xlws.FILTER($B$2:$B$9999,(IFERROR(VALUE(MID($A$2:$A$9999,4,2)),0)=MONTH(C288))*(IFERROR(VALUE(RIGHT($A$2:$A$9999,4)),0)=YEAR(C288)))),"")</f>
        <v/>
      </c>
      <c r="E288">
        <f>IF(ISNUMBER(D288),IF(MONTH(C288)=7,100,IFERROR(100*D288/INDEX($D$2:$D$9999,MATCH(DATE(IF(MONTH(C288)&gt;=7,YEAR(C288),YEAR(C288)-1),7,1),$C$2:$C$9999,0)),"")),"")</f>
        <v/>
      </c>
    </row>
    <row r="289">
      <c r="A289" s="66" t="inlineStr">
        <is>
          <t>26/09/2005</t>
        </is>
      </c>
      <c r="B289" s="28" t="n">
        <v>65.31</v>
      </c>
      <c r="C289" s="4">
        <f>EOMONTH(C288,0)+1</f>
        <v/>
      </c>
      <c r="D289">
        <f t="array" ref="D289">IFERROR(AVERAGE(_xlfn._xlws.FILTER($B$2:$B$9999,(IFERROR(VALUE(MID($A$2:$A$9999,4,2)),0)=MONTH(C289))*(IFERROR(VALUE(RIGHT($A$2:$A$9999,4)),0)=YEAR(C289)))),"")</f>
        <v/>
      </c>
      <c r="E289">
        <f>IF(ISNUMBER(D289),IF(MONTH(C289)=7,100,IFERROR(100*D289/INDEX($D$2:$D$9999,MATCH(DATE(IF(MONTH(C289)&gt;=7,YEAR(C289),YEAR(C289)-1),7,1),$C$2:$C$9999,0)),"")),"")</f>
        <v/>
      </c>
    </row>
    <row r="290">
      <c r="A290" s="66" t="inlineStr">
        <is>
          <t>27/09/2005</t>
        </is>
      </c>
      <c r="B290" s="28" t="n">
        <v>65.45999999999999</v>
      </c>
      <c r="C290" s="4">
        <f>EOMONTH(C289,0)+1</f>
        <v/>
      </c>
      <c r="D290">
        <f t="array" ref="D290">IFERROR(AVERAGE(_xlfn._xlws.FILTER($B$2:$B$9999,(IFERROR(VALUE(MID($A$2:$A$9999,4,2)),0)=MONTH(C290))*(IFERROR(VALUE(RIGHT($A$2:$A$9999,4)),0)=YEAR(C290)))),"")</f>
        <v/>
      </c>
      <c r="E290">
        <f>IF(ISNUMBER(D290),IF(MONTH(C290)=7,100,IFERROR(100*D290/INDEX($D$2:$D$9999,MATCH(DATE(IF(MONTH(C290)&gt;=7,YEAR(C290),YEAR(C290)-1),7,1),$C$2:$C$9999,0)),"")),"")</f>
        <v/>
      </c>
    </row>
    <row r="291">
      <c r="A291" s="66" t="inlineStr">
        <is>
          <t>28/09/2005</t>
        </is>
      </c>
      <c r="B291" s="28" t="n">
        <v>65.28</v>
      </c>
      <c r="C291" s="4">
        <f>EOMONTH(C290,0)+1</f>
        <v/>
      </c>
      <c r="D291">
        <f t="array" ref="D291">IFERROR(AVERAGE(_xlfn._xlws.FILTER($B$2:$B$9999,(IFERROR(VALUE(MID($A$2:$A$9999,4,2)),0)=MONTH(C291))*(IFERROR(VALUE(RIGHT($A$2:$A$9999,4)),0)=YEAR(C291)))),"")</f>
        <v/>
      </c>
      <c r="E291">
        <f>IF(ISNUMBER(D291),IF(MONTH(C291)=7,100,IFERROR(100*D291/INDEX($D$2:$D$9999,MATCH(DATE(IF(MONTH(C291)&gt;=7,YEAR(C291),YEAR(C291)-1),7,1),$C$2:$C$9999,0)),"")),"")</f>
        <v/>
      </c>
    </row>
    <row r="292">
      <c r="A292" s="66" t="inlineStr">
        <is>
          <t>29/09/2005</t>
        </is>
      </c>
      <c r="B292" s="28" t="n">
        <v>64.81</v>
      </c>
      <c r="C292" s="4">
        <f>EOMONTH(C291,0)+1</f>
        <v/>
      </c>
      <c r="D292">
        <f t="array" ref="D292">IFERROR(AVERAGE(_xlfn._xlws.FILTER($B$2:$B$9999,(IFERROR(VALUE(MID($A$2:$A$9999,4,2)),0)=MONTH(C292))*(IFERROR(VALUE(RIGHT($A$2:$A$9999,4)),0)=YEAR(C292)))),"")</f>
        <v/>
      </c>
      <c r="E292">
        <f>IF(ISNUMBER(D292),IF(MONTH(C292)=7,100,IFERROR(100*D292/INDEX($D$2:$D$9999,MATCH(DATE(IF(MONTH(C292)&gt;=7,YEAR(C292),YEAR(C292)-1),7,1),$C$2:$C$9999,0)),"")),"")</f>
        <v/>
      </c>
    </row>
    <row r="293">
      <c r="A293" s="66" t="inlineStr">
        <is>
          <t>30/09/2005</t>
        </is>
      </c>
      <c r="B293" s="28" t="n">
        <v>64.98999999999999</v>
      </c>
      <c r="C293" s="4">
        <f>EOMONTH(C292,0)+1</f>
        <v/>
      </c>
      <c r="D293">
        <f t="array" ref="D293">IFERROR(AVERAGE(_xlfn._xlws.FILTER($B$2:$B$9999,(IFERROR(VALUE(MID($A$2:$A$9999,4,2)),0)=MONTH(C293))*(IFERROR(VALUE(RIGHT($A$2:$A$9999,4)),0)=YEAR(C293)))),"")</f>
        <v/>
      </c>
      <c r="E293">
        <f>IF(ISNUMBER(D293),IF(MONTH(C293)=7,100,IFERROR(100*D293/INDEX($D$2:$D$9999,MATCH(DATE(IF(MONTH(C293)&gt;=7,YEAR(C293),YEAR(C293)-1),7,1),$C$2:$C$9999,0)),"")),"")</f>
        <v/>
      </c>
    </row>
    <row r="294">
      <c r="A294" s="66" t="inlineStr">
        <is>
          <t>03/10/2005</t>
        </is>
      </c>
      <c r="B294" s="28" t="n">
        <v>64.28</v>
      </c>
      <c r="C294" s="4">
        <f>EOMONTH(C293,0)+1</f>
        <v/>
      </c>
      <c r="D294">
        <f t="array" ref="D294">IFERROR(AVERAGE(_xlfn._xlws.FILTER($B$2:$B$9999,(IFERROR(VALUE(MID($A$2:$A$9999,4,2)),0)=MONTH(C294))*(IFERROR(VALUE(RIGHT($A$2:$A$9999,4)),0)=YEAR(C294)))),"")</f>
        <v/>
      </c>
      <c r="E294">
        <f>IF(ISNUMBER(D294),IF(MONTH(C294)=7,100,IFERROR(100*D294/INDEX($D$2:$D$9999,MATCH(DATE(IF(MONTH(C294)&gt;=7,YEAR(C294),YEAR(C294)-1),7,1),$C$2:$C$9999,0)),"")),"")</f>
        <v/>
      </c>
    </row>
    <row r="295">
      <c r="A295" s="66" t="inlineStr">
        <is>
          <t>04/10/2005</t>
        </is>
      </c>
      <c r="B295" s="28" t="n">
        <v>64.18000000000001</v>
      </c>
      <c r="C295" s="4">
        <f>EOMONTH(C294,0)+1</f>
        <v/>
      </c>
      <c r="D295">
        <f t="array" ref="D295">IFERROR(AVERAGE(_xlfn._xlws.FILTER($B$2:$B$9999,(IFERROR(VALUE(MID($A$2:$A$9999,4,2)),0)=MONTH(C295))*(IFERROR(VALUE(RIGHT($A$2:$A$9999,4)),0)=YEAR(C295)))),"")</f>
        <v/>
      </c>
      <c r="E295">
        <f>IF(ISNUMBER(D295),IF(MONTH(C295)=7,100,IFERROR(100*D295/INDEX($D$2:$D$9999,MATCH(DATE(IF(MONTH(C295)&gt;=7,YEAR(C295),YEAR(C295)-1),7,1),$C$2:$C$9999,0)),"")),"")</f>
        <v/>
      </c>
    </row>
    <row r="296">
      <c r="A296" s="66" t="inlineStr">
        <is>
          <t>05/10/2005</t>
        </is>
      </c>
      <c r="B296" s="28" t="n">
        <v>64.31999999999999</v>
      </c>
      <c r="C296" s="4">
        <f>EOMONTH(C295,0)+1</f>
        <v/>
      </c>
      <c r="D296">
        <f t="array" ref="D296">IFERROR(AVERAGE(_xlfn._xlws.FILTER($B$2:$B$9999,(IFERROR(VALUE(MID($A$2:$A$9999,4,2)),0)=MONTH(C296))*(IFERROR(VALUE(RIGHT($A$2:$A$9999,4)),0)=YEAR(C296)))),"")</f>
        <v/>
      </c>
      <c r="E296">
        <f>IF(ISNUMBER(D296),IF(MONTH(C296)=7,100,IFERROR(100*D296/INDEX($D$2:$D$9999,MATCH(DATE(IF(MONTH(C296)&gt;=7,YEAR(C296),YEAR(C296)-1),7,1),$C$2:$C$9999,0)),"")),"")</f>
        <v/>
      </c>
    </row>
    <row r="297">
      <c r="A297" s="66" t="inlineStr">
        <is>
          <t>06/10/2005</t>
        </is>
      </c>
      <c r="B297" s="28" t="n">
        <v>64.31999999999999</v>
      </c>
      <c r="C297" s="4">
        <f>EOMONTH(C296,0)+1</f>
        <v/>
      </c>
      <c r="D297">
        <f t="array" ref="D297">IFERROR(AVERAGE(_xlfn._xlws.FILTER($B$2:$B$9999,(IFERROR(VALUE(MID($A$2:$A$9999,4,2)),0)=MONTH(C297))*(IFERROR(VALUE(RIGHT($A$2:$A$9999,4)),0)=YEAR(C297)))),"")</f>
        <v/>
      </c>
      <c r="E297">
        <f>IF(ISNUMBER(D297),IF(MONTH(C297)=7,100,IFERROR(100*D297/INDEX($D$2:$D$9999,MATCH(DATE(IF(MONTH(C297)&gt;=7,YEAR(C297),YEAR(C297)-1),7,1),$C$2:$C$9999,0)),"")),"")</f>
        <v/>
      </c>
    </row>
    <row r="298">
      <c r="A298" s="66" t="inlineStr">
        <is>
          <t>07/10/2005</t>
        </is>
      </c>
      <c r="B298" s="28" t="n">
        <v>64.06999999999999</v>
      </c>
      <c r="C298" s="4">
        <f>EOMONTH(C297,0)+1</f>
        <v/>
      </c>
      <c r="D298">
        <f t="array" ref="D298">IFERROR(AVERAGE(_xlfn._xlws.FILTER($B$2:$B$9999,(IFERROR(VALUE(MID($A$2:$A$9999,4,2)),0)=MONTH(C298))*(IFERROR(VALUE(RIGHT($A$2:$A$9999,4)),0)=YEAR(C298)))),"")</f>
        <v/>
      </c>
      <c r="E298">
        <f>IF(ISNUMBER(D298),IF(MONTH(C298)=7,100,IFERROR(100*D298/INDEX($D$2:$D$9999,MATCH(DATE(IF(MONTH(C298)&gt;=7,YEAR(C298),YEAR(C298)-1),7,1),$C$2:$C$9999,0)),"")),"")</f>
        <v/>
      </c>
    </row>
    <row r="299">
      <c r="A299" s="66" t="inlineStr">
        <is>
          <t>10/10/2005</t>
        </is>
      </c>
      <c r="B299" s="28" t="n">
        <v>64.28</v>
      </c>
      <c r="C299" s="4">
        <f>EOMONTH(C298,0)+1</f>
        <v/>
      </c>
      <c r="D299">
        <f t="array" ref="D299">IFERROR(AVERAGE(_xlfn._xlws.FILTER($B$2:$B$9999,(IFERROR(VALUE(MID($A$2:$A$9999,4,2)),0)=MONTH(C299))*(IFERROR(VALUE(RIGHT($A$2:$A$9999,4)),0)=YEAR(C299)))),"")</f>
        <v/>
      </c>
      <c r="E299">
        <f>IF(ISNUMBER(D299),IF(MONTH(C299)=7,100,IFERROR(100*D299/INDEX($D$2:$D$9999,MATCH(DATE(IF(MONTH(C299)&gt;=7,YEAR(C299),YEAR(C299)-1),7,1),$C$2:$C$9999,0)),"")),"")</f>
        <v/>
      </c>
    </row>
    <row r="300">
      <c r="A300" s="66" t="inlineStr">
        <is>
          <t>11/10/2005</t>
        </is>
      </c>
      <c r="B300" s="28" t="n">
        <v>64.11</v>
      </c>
      <c r="C300" s="4">
        <f>EOMONTH(C299,0)+1</f>
        <v/>
      </c>
      <c r="D300">
        <f t="array" ref="D300">IFERROR(AVERAGE(_xlfn._xlws.FILTER($B$2:$B$9999,(IFERROR(VALUE(MID($A$2:$A$9999,4,2)),0)=MONTH(C300))*(IFERROR(VALUE(RIGHT($A$2:$A$9999,4)),0)=YEAR(C300)))),"")</f>
        <v/>
      </c>
      <c r="E300">
        <f>IF(ISNUMBER(D300),IF(MONTH(C300)=7,100,IFERROR(100*D300/INDEX($D$2:$D$9999,MATCH(DATE(IF(MONTH(C300)&gt;=7,YEAR(C300),YEAR(C300)-1),7,1),$C$2:$C$9999,0)),"")),"")</f>
        <v/>
      </c>
    </row>
    <row r="301">
      <c r="A301" s="66" t="inlineStr">
        <is>
          <t>13/10/2005</t>
        </is>
      </c>
      <c r="B301" s="28" t="n">
        <v>64.18000000000001</v>
      </c>
    </row>
    <row r="302">
      <c r="A302" s="66" t="inlineStr">
        <is>
          <t>14/10/2005</t>
        </is>
      </c>
      <c r="B302" s="28" t="n">
        <v>63.75</v>
      </c>
    </row>
    <row r="303">
      <c r="A303" s="66" t="inlineStr">
        <is>
          <t>17/10/2005</t>
        </is>
      </c>
      <c r="B303" s="28" t="n">
        <v>64</v>
      </c>
    </row>
    <row r="304">
      <c r="A304" s="66" t="inlineStr">
        <is>
          <t>18/10/2005</t>
        </is>
      </c>
      <c r="B304" s="28" t="n">
        <v>63.64</v>
      </c>
    </row>
    <row r="305">
      <c r="A305" s="66" t="inlineStr">
        <is>
          <t>19/10/2005</t>
        </is>
      </c>
      <c r="B305" s="28" t="n">
        <v>63.29</v>
      </c>
    </row>
    <row r="306">
      <c r="A306" s="66" t="inlineStr">
        <is>
          <t>20/10/2005</t>
        </is>
      </c>
      <c r="B306" s="28" t="n">
        <v>62.72</v>
      </c>
    </row>
    <row r="307">
      <c r="A307" s="66" t="inlineStr">
        <is>
          <t>21/10/2005</t>
        </is>
      </c>
      <c r="B307" s="28" t="n">
        <v>62.29</v>
      </c>
    </row>
    <row r="308">
      <c r="A308" s="66" t="inlineStr">
        <is>
          <t>24/10/2005</t>
        </is>
      </c>
      <c r="B308" s="28" t="n">
        <v>62.05</v>
      </c>
    </row>
    <row r="309">
      <c r="A309" s="66" t="inlineStr">
        <is>
          <t>25/10/2005</t>
        </is>
      </c>
      <c r="B309" s="28" t="n">
        <v>62.01</v>
      </c>
    </row>
    <row r="310">
      <c r="A310" s="66" t="inlineStr">
        <is>
          <t>26/10/2005</t>
        </is>
      </c>
      <c r="B310" s="28" t="n">
        <v>62.22</v>
      </c>
    </row>
    <row r="311">
      <c r="A311" s="66" t="inlineStr">
        <is>
          <t>27/10/2005</t>
        </is>
      </c>
      <c r="B311" s="28" t="n">
        <v>61.87</v>
      </c>
    </row>
    <row r="312">
      <c r="A312" s="66" t="inlineStr">
        <is>
          <t>28/10/2005</t>
        </is>
      </c>
      <c r="B312" s="28" t="n">
        <v>61.48</v>
      </c>
    </row>
    <row r="313">
      <c r="A313" s="66" t="inlineStr">
        <is>
          <t>31/10/2005</t>
        </is>
      </c>
      <c r="B313" s="28" t="n">
        <v>60.34</v>
      </c>
    </row>
    <row r="314">
      <c r="A314" s="66" t="inlineStr">
        <is>
          <t>01/11/2005</t>
        </is>
      </c>
      <c r="B314" s="28" t="n">
        <v>59.96</v>
      </c>
    </row>
    <row r="315">
      <c r="A315" s="66" t="inlineStr">
        <is>
          <t>03/11/2005</t>
        </is>
      </c>
      <c r="B315" s="28" t="n">
        <v>59.43</v>
      </c>
    </row>
    <row r="316">
      <c r="A316" s="66" t="inlineStr">
        <is>
          <t>04/11/2005</t>
        </is>
      </c>
      <c r="B316" s="28" t="n">
        <v>59.5</v>
      </c>
    </row>
    <row r="317">
      <c r="A317" s="66" t="inlineStr">
        <is>
          <t>07/11/2005</t>
        </is>
      </c>
      <c r="B317" s="28" t="n">
        <v>59.07</v>
      </c>
    </row>
    <row r="318">
      <c r="A318" s="66" t="inlineStr">
        <is>
          <t>08/11/2005</t>
        </is>
      </c>
      <c r="B318" s="28" t="n">
        <v>59.53</v>
      </c>
    </row>
    <row r="319">
      <c r="A319" s="66" t="inlineStr">
        <is>
          <t>09/11/2005</t>
        </is>
      </c>
      <c r="B319" s="28" t="n">
        <v>59.14</v>
      </c>
    </row>
    <row r="320">
      <c r="A320" s="66" t="inlineStr">
        <is>
          <t>10/11/2005</t>
        </is>
      </c>
      <c r="B320" s="28" t="n">
        <v>59.04</v>
      </c>
    </row>
    <row r="321">
      <c r="A321" s="66" t="inlineStr">
        <is>
          <t>11/11/2005</t>
        </is>
      </c>
      <c r="B321" s="28" t="n">
        <v>58.33</v>
      </c>
    </row>
    <row r="322">
      <c r="A322" s="66" t="inlineStr">
        <is>
          <t>14/11/2005</t>
        </is>
      </c>
      <c r="B322" s="28" t="n">
        <v>58.19</v>
      </c>
    </row>
    <row r="323">
      <c r="A323" s="66" t="inlineStr">
        <is>
          <t>16/11/2005</t>
        </is>
      </c>
      <c r="B323" s="28" t="n">
        <v>58.51</v>
      </c>
    </row>
    <row r="324">
      <c r="A324" s="66" t="inlineStr">
        <is>
          <t>17/11/2005</t>
        </is>
      </c>
      <c r="B324" s="28" t="n">
        <v>58.51</v>
      </c>
    </row>
    <row r="325">
      <c r="A325" s="66" t="inlineStr">
        <is>
          <t>18/11/2005</t>
        </is>
      </c>
      <c r="B325" s="28" t="n">
        <v>58.65</v>
      </c>
    </row>
    <row r="326">
      <c r="A326" s="66" t="inlineStr">
        <is>
          <t>21/11/2005</t>
        </is>
      </c>
      <c r="B326" s="28" t="n">
        <v>58.19</v>
      </c>
    </row>
    <row r="327">
      <c r="A327" s="66" t="inlineStr">
        <is>
          <t>22/11/2005</t>
        </is>
      </c>
      <c r="B327" s="28" t="n">
        <v>58.08</v>
      </c>
    </row>
    <row r="328">
      <c r="A328" s="66" t="inlineStr">
        <is>
          <t>23/11/2005</t>
        </is>
      </c>
      <c r="B328" s="28" t="n">
        <v>57.9</v>
      </c>
    </row>
    <row r="329">
      <c r="A329" s="66" t="inlineStr">
        <is>
          <t>24/11/2005</t>
        </is>
      </c>
      <c r="B329" s="28" t="n">
        <v>57.66</v>
      </c>
    </row>
    <row r="330">
      <c r="A330" s="66" t="inlineStr">
        <is>
          <t>25/11/2005</t>
        </is>
      </c>
      <c r="B330" s="28" t="n">
        <v>57.37</v>
      </c>
    </row>
    <row r="331">
      <c r="A331" s="66" t="inlineStr">
        <is>
          <t>28/11/2005</t>
        </is>
      </c>
      <c r="B331" s="28" t="n">
        <v>57.13</v>
      </c>
    </row>
    <row r="332">
      <c r="A332" s="66" t="inlineStr">
        <is>
          <t>29/11/2005</t>
        </is>
      </c>
      <c r="B332" s="28" t="n">
        <v>56.91</v>
      </c>
    </row>
    <row r="333">
      <c r="A333" s="66" t="inlineStr">
        <is>
          <t>30/11/2005</t>
        </is>
      </c>
      <c r="B333" s="28" t="n">
        <v>56.7</v>
      </c>
    </row>
    <row r="334">
      <c r="A334" s="66" t="inlineStr">
        <is>
          <t>01/12/2005</t>
        </is>
      </c>
      <c r="B334" s="28" t="n">
        <v>56.74</v>
      </c>
    </row>
    <row r="335">
      <c r="A335" s="66" t="inlineStr">
        <is>
          <t>02/12/2005</t>
        </is>
      </c>
      <c r="B335" s="28" t="n">
        <v>56.64</v>
      </c>
    </row>
    <row r="336">
      <c r="A336" s="66" t="inlineStr">
        <is>
          <t>05/12/2005</t>
        </is>
      </c>
      <c r="B336" s="28" t="n">
        <v>57.06</v>
      </c>
    </row>
    <row r="337">
      <c r="A337" s="66" t="inlineStr">
        <is>
          <t>06/12/2005</t>
        </is>
      </c>
      <c r="B337" s="28" t="n">
        <v>57.2</v>
      </c>
    </row>
    <row r="338">
      <c r="A338" s="66" t="inlineStr">
        <is>
          <t>07/12/2005</t>
        </is>
      </c>
      <c r="B338" s="28" t="n">
        <v>56.92</v>
      </c>
    </row>
    <row r="339">
      <c r="A339" s="66" t="inlineStr">
        <is>
          <t>08/12/2005</t>
        </is>
      </c>
      <c r="B339" s="28" t="n">
        <v>57.7</v>
      </c>
    </row>
    <row r="340">
      <c r="A340" s="66" t="inlineStr">
        <is>
          <t>09/12/2005</t>
        </is>
      </c>
      <c r="B340" s="28" t="n">
        <v>57.7</v>
      </c>
    </row>
    <row r="341">
      <c r="A341" s="66" t="inlineStr">
        <is>
          <t>12/12/2005</t>
        </is>
      </c>
      <c r="B341" s="28" t="n">
        <v>57.38</v>
      </c>
    </row>
    <row r="342">
      <c r="A342" s="66" t="inlineStr">
        <is>
          <t>13/12/2005</t>
        </is>
      </c>
      <c r="B342" s="28" t="n">
        <v>57.56</v>
      </c>
    </row>
    <row r="343">
      <c r="A343" s="66" t="inlineStr">
        <is>
          <t>14/12/2005</t>
        </is>
      </c>
      <c r="B343" s="28" t="n">
        <v>58.65</v>
      </c>
    </row>
    <row r="344">
      <c r="A344" s="66" t="inlineStr">
        <is>
          <t>15/12/2005</t>
        </is>
      </c>
      <c r="B344" s="28" t="n">
        <v>59.57</v>
      </c>
    </row>
    <row r="345">
      <c r="A345" s="66" t="inlineStr">
        <is>
          <t>16/12/2005</t>
        </is>
      </c>
      <c r="B345" s="28" t="n">
        <v>59.26</v>
      </c>
    </row>
    <row r="346">
      <c r="A346" s="66" t="inlineStr">
        <is>
          <t>19/12/2005</t>
        </is>
      </c>
      <c r="B346" s="28" t="n">
        <v>60.21</v>
      </c>
    </row>
    <row r="347">
      <c r="A347" s="66" t="inlineStr">
        <is>
          <t>20/12/2005</t>
        </is>
      </c>
      <c r="B347" s="28" t="n">
        <v>60.64</v>
      </c>
    </row>
    <row r="348">
      <c r="A348" s="66" t="inlineStr">
        <is>
          <t>21/12/2005</t>
        </is>
      </c>
      <c r="B348" s="28" t="n">
        <v>60.74</v>
      </c>
    </row>
    <row r="349">
      <c r="A349" s="66" t="inlineStr">
        <is>
          <t>22/12/2005</t>
        </is>
      </c>
      <c r="B349" s="28" t="n">
        <v>61.17</v>
      </c>
    </row>
    <row r="350">
      <c r="A350" s="66" t="inlineStr">
        <is>
          <t>23/12/2005</t>
        </is>
      </c>
      <c r="B350" s="28" t="n">
        <v>61.42</v>
      </c>
    </row>
    <row r="351">
      <c r="A351" s="66" t="inlineStr">
        <is>
          <t>26/12/2005</t>
        </is>
      </c>
      <c r="B351" s="28" t="n">
        <v>61.42</v>
      </c>
    </row>
    <row r="352">
      <c r="A352" s="66" t="inlineStr">
        <is>
          <t>27/12/2005</t>
        </is>
      </c>
      <c r="B352" s="28" t="n">
        <v>61.95</v>
      </c>
    </row>
    <row r="353">
      <c r="A353" s="66" t="inlineStr">
        <is>
          <t>28/12/2005</t>
        </is>
      </c>
      <c r="B353" s="28" t="n">
        <v>61.98</v>
      </c>
    </row>
    <row r="354">
      <c r="A354" s="66" t="inlineStr">
        <is>
          <t>29/12/2005</t>
        </is>
      </c>
      <c r="B354" s="28" t="n">
        <v>62.12</v>
      </c>
    </row>
    <row r="355">
      <c r="A355" s="66" t="inlineStr">
        <is>
          <t>02/01/2006</t>
        </is>
      </c>
      <c r="B355" s="28" t="n">
        <v>61.73</v>
      </c>
    </row>
    <row r="356">
      <c r="A356" s="66" t="inlineStr">
        <is>
          <t>03/01/2006</t>
        </is>
      </c>
      <c r="B356" s="28" t="n">
        <v>61.87</v>
      </c>
    </row>
    <row r="357">
      <c r="A357" s="66" t="inlineStr">
        <is>
          <t>04/01/2006</t>
        </is>
      </c>
      <c r="B357" s="28" t="n">
        <v>62.12</v>
      </c>
    </row>
    <row r="358">
      <c r="A358" s="66" t="inlineStr">
        <is>
          <t>05/01/2006</t>
        </is>
      </c>
      <c r="B358" s="28" t="n">
        <v>62.68</v>
      </c>
    </row>
    <row r="359">
      <c r="A359" s="66" t="inlineStr">
        <is>
          <t>06/01/2006</t>
        </is>
      </c>
      <c r="B359" s="28" t="n">
        <v>62.92</v>
      </c>
    </row>
    <row r="360">
      <c r="A360" s="66" t="inlineStr">
        <is>
          <t>09/01/2006</t>
        </is>
      </c>
      <c r="B360" s="28" t="n">
        <v>63.24</v>
      </c>
    </row>
    <row r="361">
      <c r="A361" s="66" t="inlineStr">
        <is>
          <t>10/01/2006</t>
        </is>
      </c>
      <c r="B361" s="28" t="n">
        <v>63.35</v>
      </c>
    </row>
    <row r="362">
      <c r="A362" s="66" t="inlineStr">
        <is>
          <t>11/01/2006</t>
        </is>
      </c>
      <c r="B362" s="28" t="n">
        <v>62.4</v>
      </c>
    </row>
    <row r="363">
      <c r="A363" s="66" t="inlineStr">
        <is>
          <t>12/01/2006</t>
        </is>
      </c>
      <c r="B363" s="28" t="n">
        <v>61.91</v>
      </c>
    </row>
    <row r="364">
      <c r="A364" s="66" t="inlineStr">
        <is>
          <t>13/01/2006</t>
        </is>
      </c>
      <c r="B364" s="28" t="n">
        <v>62.4</v>
      </c>
    </row>
    <row r="365">
      <c r="A365" s="66" t="inlineStr">
        <is>
          <t>16/01/2006</t>
        </is>
      </c>
      <c r="B365" s="28" t="n">
        <v>62.4</v>
      </c>
    </row>
    <row r="366">
      <c r="A366" s="66" t="inlineStr">
        <is>
          <t>17/01/2006</t>
        </is>
      </c>
      <c r="B366" s="28" t="n">
        <v>61.8</v>
      </c>
    </row>
    <row r="367">
      <c r="A367" s="66" t="inlineStr">
        <is>
          <t>18/01/2006</t>
        </is>
      </c>
      <c r="B367" s="28" t="n">
        <v>62.26</v>
      </c>
    </row>
    <row r="368">
      <c r="A368" s="66" t="inlineStr">
        <is>
          <t>19/01/2006</t>
        </is>
      </c>
      <c r="B368" s="28" t="n">
        <v>61.73</v>
      </c>
    </row>
    <row r="369">
      <c r="A369" s="66" t="inlineStr">
        <is>
          <t>20/01/2006</t>
        </is>
      </c>
      <c r="B369" s="28" t="n">
        <v>61.38</v>
      </c>
    </row>
    <row r="370">
      <c r="A370" s="66" t="inlineStr">
        <is>
          <t>23/01/2006</t>
        </is>
      </c>
      <c r="B370" s="28" t="n">
        <v>60.79</v>
      </c>
    </row>
    <row r="371">
      <c r="A371" s="66" t="inlineStr">
        <is>
          <t>24/01/2006</t>
        </is>
      </c>
      <c r="B371" s="28" t="n">
        <v>60.29</v>
      </c>
    </row>
    <row r="372">
      <c r="A372" s="66" t="inlineStr">
        <is>
          <t>25/01/2006</t>
        </is>
      </c>
      <c r="B372" s="28" t="n">
        <v>60.47</v>
      </c>
    </row>
    <row r="373">
      <c r="A373" s="66" t="inlineStr">
        <is>
          <t>26/01/2006</t>
        </is>
      </c>
      <c r="B373" s="28" t="n">
        <v>60.01</v>
      </c>
    </row>
    <row r="374">
      <c r="A374" s="66" t="inlineStr">
        <is>
          <t>27/01/2006</t>
        </is>
      </c>
      <c r="B374" s="28" t="n">
        <v>59.84</v>
      </c>
    </row>
    <row r="375">
      <c r="A375" s="66" t="inlineStr">
        <is>
          <t>30/01/2006</t>
        </is>
      </c>
      <c r="B375" s="28" t="n">
        <v>59.66</v>
      </c>
    </row>
    <row r="376">
      <c r="A376" s="66" t="inlineStr">
        <is>
          <t>31/01/2006</t>
        </is>
      </c>
      <c r="B376" s="28" t="n">
        <v>59.31</v>
      </c>
    </row>
    <row r="377">
      <c r="A377" s="66" t="inlineStr">
        <is>
          <t>01/02/2006</t>
        </is>
      </c>
      <c r="B377" s="28" t="n">
        <v>59.59</v>
      </c>
    </row>
    <row r="378">
      <c r="A378" s="66" t="inlineStr">
        <is>
          <t>02/02/2006</t>
        </is>
      </c>
      <c r="B378" s="28" t="n">
        <v>59.87</v>
      </c>
    </row>
    <row r="379">
      <c r="A379" s="66" t="inlineStr">
        <is>
          <t>03/02/2006</t>
        </is>
      </c>
      <c r="B379" s="28" t="n">
        <v>59.45</v>
      </c>
    </row>
    <row r="380">
      <c r="A380" s="66" t="inlineStr">
        <is>
          <t>06/02/2006</t>
        </is>
      </c>
      <c r="B380" s="28" t="n">
        <v>58.67</v>
      </c>
    </row>
    <row r="381">
      <c r="A381" s="66" t="inlineStr">
        <is>
          <t>07/02/2006</t>
        </is>
      </c>
      <c r="B381" s="28" t="n">
        <v>58.53</v>
      </c>
    </row>
    <row r="382">
      <c r="A382" s="66" t="inlineStr">
        <is>
          <t>08/02/2006</t>
        </is>
      </c>
      <c r="B382" s="28" t="n">
        <v>58.15</v>
      </c>
    </row>
    <row r="383">
      <c r="A383" s="66" t="inlineStr">
        <is>
          <t>09/02/2006</t>
        </is>
      </c>
      <c r="B383" s="28" t="n">
        <v>58.01</v>
      </c>
    </row>
    <row r="384">
      <c r="A384" s="66" t="inlineStr">
        <is>
          <t>10/02/2006</t>
        </is>
      </c>
      <c r="B384" s="28" t="n">
        <v>57.94</v>
      </c>
    </row>
    <row r="385">
      <c r="A385" s="66" t="inlineStr">
        <is>
          <t>13/02/2006</t>
        </is>
      </c>
      <c r="B385" s="28" t="n">
        <v>57.9</v>
      </c>
    </row>
    <row r="386">
      <c r="A386" s="66" t="inlineStr">
        <is>
          <t>14/02/2006</t>
        </is>
      </c>
      <c r="B386" s="28" t="n">
        <v>57.27</v>
      </c>
    </row>
    <row r="387">
      <c r="A387" s="66" t="inlineStr">
        <is>
          <t>15/02/2006</t>
        </is>
      </c>
      <c r="B387" s="28" t="n">
        <v>57.24</v>
      </c>
    </row>
    <row r="388">
      <c r="A388" s="66" t="inlineStr">
        <is>
          <t>16/02/2006</t>
        </is>
      </c>
      <c r="B388" s="28" t="n">
        <v>57.17</v>
      </c>
    </row>
    <row r="389">
      <c r="A389" s="66" t="inlineStr">
        <is>
          <t>17/02/2006</t>
        </is>
      </c>
      <c r="B389" s="28" t="n">
        <v>57.27</v>
      </c>
    </row>
    <row r="390">
      <c r="A390" s="66" t="inlineStr">
        <is>
          <t>20/02/2006</t>
        </is>
      </c>
      <c r="B390" s="28" t="n">
        <v>57.13</v>
      </c>
    </row>
    <row r="391">
      <c r="A391" s="66" t="inlineStr">
        <is>
          <t>21/02/2006</t>
        </is>
      </c>
      <c r="B391" s="28" t="n">
        <v>57.27</v>
      </c>
    </row>
    <row r="392">
      <c r="A392" s="66" t="inlineStr">
        <is>
          <t>22/02/2006</t>
        </is>
      </c>
      <c r="B392" s="28" t="n">
        <v>57.24</v>
      </c>
    </row>
    <row r="393">
      <c r="A393" s="66" t="inlineStr">
        <is>
          <t>23/02/2006</t>
        </is>
      </c>
      <c r="B393" s="28" t="n">
        <v>57.24</v>
      </c>
    </row>
    <row r="394">
      <c r="A394" s="66" t="inlineStr">
        <is>
          <t>24/02/2006</t>
        </is>
      </c>
      <c r="B394" s="28" t="n">
        <v>57.13</v>
      </c>
    </row>
    <row r="395">
      <c r="A395" s="66" t="inlineStr">
        <is>
          <t>01/03/2006</t>
        </is>
      </c>
      <c r="B395" s="28" t="n">
        <v>57.16</v>
      </c>
    </row>
    <row r="396">
      <c r="A396" s="66" t="inlineStr">
        <is>
          <t>02/03/2006</t>
        </is>
      </c>
      <c r="B396" s="28" t="n">
        <v>56.45</v>
      </c>
    </row>
    <row r="397">
      <c r="A397" s="66" t="inlineStr">
        <is>
          <t>03/03/2006</t>
        </is>
      </c>
      <c r="B397" s="28" t="n">
        <v>56.03</v>
      </c>
    </row>
    <row r="398">
      <c r="A398" s="66" t="inlineStr">
        <is>
          <t>06/03/2006</t>
        </is>
      </c>
      <c r="B398" s="28" t="n">
        <v>55.75</v>
      </c>
    </row>
    <row r="399">
      <c r="A399" s="66" t="inlineStr">
        <is>
          <t>07/03/2006</t>
        </is>
      </c>
      <c r="B399" s="28" t="n">
        <v>55.4</v>
      </c>
    </row>
    <row r="400">
      <c r="A400" s="66" t="inlineStr">
        <is>
          <t>08/03/2006</t>
        </is>
      </c>
      <c r="B400" s="28" t="n">
        <v>54.49</v>
      </c>
    </row>
    <row r="401">
      <c r="A401" s="66" t="inlineStr">
        <is>
          <t>09/03/2006</t>
        </is>
      </c>
      <c r="B401" s="28" t="n">
        <v>54.2</v>
      </c>
    </row>
    <row r="402">
      <c r="A402" s="66" t="inlineStr">
        <is>
          <t>10/03/2006</t>
        </is>
      </c>
      <c r="B402" s="28" t="n">
        <v>54.17</v>
      </c>
    </row>
    <row r="403">
      <c r="A403" s="66" t="inlineStr">
        <is>
          <t>13/03/2006</t>
        </is>
      </c>
      <c r="B403" s="28" t="n">
        <v>53.47</v>
      </c>
    </row>
    <row r="404">
      <c r="A404" s="66" t="inlineStr">
        <is>
          <t>14/03/2006</t>
        </is>
      </c>
      <c r="B404" s="28" t="n">
        <v>53.01</v>
      </c>
    </row>
    <row r="405">
      <c r="A405" s="66" t="inlineStr">
        <is>
          <t>15/03/2006</t>
        </is>
      </c>
      <c r="B405" s="28" t="n">
        <v>51.39</v>
      </c>
    </row>
    <row r="406">
      <c r="A406" s="66" t="inlineStr">
        <is>
          <t>16/03/2006</t>
        </is>
      </c>
      <c r="B406" s="28" t="n">
        <v>49.88</v>
      </c>
    </row>
    <row r="407">
      <c r="A407" s="66" t="inlineStr">
        <is>
          <t>17/03/2006</t>
        </is>
      </c>
      <c r="B407" s="28" t="n">
        <v>50.27</v>
      </c>
    </row>
    <row r="408">
      <c r="A408" s="66" t="inlineStr">
        <is>
          <t>20/03/2006</t>
        </is>
      </c>
      <c r="B408" s="28" t="n">
        <v>50.34</v>
      </c>
    </row>
    <row r="409">
      <c r="A409" s="66" t="inlineStr">
        <is>
          <t>21/03/2006</t>
        </is>
      </c>
      <c r="B409" s="28" t="n">
        <v>49.53</v>
      </c>
    </row>
    <row r="410">
      <c r="A410" s="66" t="inlineStr">
        <is>
          <t>22/03/2006</t>
        </is>
      </c>
      <c r="B410" s="28" t="n">
        <v>48.3</v>
      </c>
    </row>
    <row r="411">
      <c r="A411" s="66" t="inlineStr">
        <is>
          <t>23/03/2006</t>
        </is>
      </c>
      <c r="B411" s="28" t="n">
        <v>48.4</v>
      </c>
    </row>
    <row r="412">
      <c r="A412" s="66" t="inlineStr">
        <is>
          <t>24/03/2006</t>
        </is>
      </c>
      <c r="B412" s="28" t="n">
        <v>48.16</v>
      </c>
    </row>
    <row r="413">
      <c r="A413" s="66" t="inlineStr">
        <is>
          <t>27/03/2006</t>
        </is>
      </c>
      <c r="B413" s="28" t="n">
        <v>47.46</v>
      </c>
    </row>
    <row r="414">
      <c r="A414" s="66" t="inlineStr">
        <is>
          <t>28/03/2006</t>
        </is>
      </c>
      <c r="B414" s="28" t="n">
        <v>47.46</v>
      </c>
    </row>
    <row r="415">
      <c r="A415" s="66" t="inlineStr">
        <is>
          <t>29/03/2006</t>
        </is>
      </c>
      <c r="B415" s="28" t="n">
        <v>47.24</v>
      </c>
    </row>
    <row r="416">
      <c r="A416" s="66" t="inlineStr">
        <is>
          <t>30/03/2006</t>
        </is>
      </c>
      <c r="B416" s="28" t="n">
        <v>46.82</v>
      </c>
    </row>
    <row r="417">
      <c r="A417" s="66" t="inlineStr">
        <is>
          <t>31/03/2006</t>
        </is>
      </c>
      <c r="B417" s="28" t="n">
        <v>46.86</v>
      </c>
    </row>
    <row r="418">
      <c r="A418" s="66" t="inlineStr">
        <is>
          <t>03/04/2006</t>
        </is>
      </c>
      <c r="B418" s="28" t="n">
        <v>47.09</v>
      </c>
    </row>
    <row r="419">
      <c r="A419" s="66" t="inlineStr">
        <is>
          <t>04/04/2006</t>
        </is>
      </c>
      <c r="B419" s="28" t="n">
        <v>47.23</v>
      </c>
    </row>
    <row r="420">
      <c r="A420" s="66" t="inlineStr">
        <is>
          <t>05/04/2006</t>
        </is>
      </c>
      <c r="B420" s="28" t="n">
        <v>47.55</v>
      </c>
    </row>
    <row r="421">
      <c r="A421" s="66" t="inlineStr">
        <is>
          <t>06/04/2006</t>
        </is>
      </c>
      <c r="B421" s="28" t="n">
        <v>47.41</v>
      </c>
    </row>
    <row r="422">
      <c r="A422" s="66" t="inlineStr">
        <is>
          <t>07/04/2006</t>
        </is>
      </c>
      <c r="B422" s="28" t="n">
        <v>47.48</v>
      </c>
    </row>
    <row r="423">
      <c r="A423" s="66" t="inlineStr">
        <is>
          <t>10/04/2006</t>
        </is>
      </c>
      <c r="B423" s="28" t="n">
        <v>47.62</v>
      </c>
    </row>
    <row r="424">
      <c r="A424" s="66" t="inlineStr">
        <is>
          <t>11/04/2006</t>
        </is>
      </c>
      <c r="B424" s="28" t="n">
        <v>49.03</v>
      </c>
    </row>
    <row r="425">
      <c r="A425" s="66" t="inlineStr">
        <is>
          <t>12/04/2006</t>
        </is>
      </c>
      <c r="B425" s="28" t="n">
        <v>49.63</v>
      </c>
    </row>
    <row r="426">
      <c r="A426" s="66" t="inlineStr">
        <is>
          <t>13/04/2006</t>
        </is>
      </c>
      <c r="B426" s="28" t="n">
        <v>49.81</v>
      </c>
    </row>
    <row r="427">
      <c r="A427" s="66" t="inlineStr">
        <is>
          <t>17/04/2006</t>
        </is>
      </c>
      <c r="B427" s="28" t="n">
        <v>50.48</v>
      </c>
    </row>
    <row r="428">
      <c r="A428" s="66" t="inlineStr">
        <is>
          <t>18/04/2006</t>
        </is>
      </c>
      <c r="B428" s="28" t="n">
        <v>52.42</v>
      </c>
    </row>
    <row r="429">
      <c r="A429" s="66" t="inlineStr">
        <is>
          <t>19/04/2006</t>
        </is>
      </c>
      <c r="B429" s="28" t="n">
        <v>54.15</v>
      </c>
    </row>
    <row r="430">
      <c r="A430" s="66" t="inlineStr">
        <is>
          <t>20/04/2006</t>
        </is>
      </c>
      <c r="B430" s="28" t="n">
        <v>53.94</v>
      </c>
    </row>
    <row r="431">
      <c r="A431" s="66" t="inlineStr">
        <is>
          <t>24/04/2006</t>
        </is>
      </c>
      <c r="B431" s="28" t="n">
        <v>54.61</v>
      </c>
    </row>
    <row r="432">
      <c r="A432" s="66" t="inlineStr">
        <is>
          <t>25/04/2006</t>
        </is>
      </c>
      <c r="B432" s="28" t="n">
        <v>55.14</v>
      </c>
    </row>
    <row r="433">
      <c r="A433" s="66" t="inlineStr">
        <is>
          <t>26/04/2006</t>
        </is>
      </c>
      <c r="B433" s="28" t="n">
        <v>55.1</v>
      </c>
    </row>
    <row r="434">
      <c r="A434" s="66" t="inlineStr">
        <is>
          <t>27/04/2006</t>
        </is>
      </c>
      <c r="B434" s="28" t="n">
        <v>54.4</v>
      </c>
    </row>
    <row r="435">
      <c r="A435" s="66" t="inlineStr">
        <is>
          <t>28/04/2006</t>
        </is>
      </c>
      <c r="B435" s="28" t="n">
        <v>54.43</v>
      </c>
    </row>
    <row r="436">
      <c r="A436" s="66" t="inlineStr">
        <is>
          <t>02/05/2006</t>
        </is>
      </c>
      <c r="B436" s="28" t="n">
        <v>54.05</v>
      </c>
    </row>
    <row r="437">
      <c r="A437" s="66" t="inlineStr">
        <is>
          <t>03/05/2006</t>
        </is>
      </c>
      <c r="B437" s="28" t="n">
        <v>53.81</v>
      </c>
    </row>
    <row r="438">
      <c r="A438" s="66" t="inlineStr">
        <is>
          <t>04/05/2006</t>
        </is>
      </c>
      <c r="B438" s="28" t="n">
        <v>53.49</v>
      </c>
    </row>
    <row r="439">
      <c r="A439" s="66" t="inlineStr">
        <is>
          <t>05/05/2006</t>
        </is>
      </c>
      <c r="B439" s="28" t="n">
        <v>53.42</v>
      </c>
    </row>
    <row r="440">
      <c r="A440" s="66" t="inlineStr">
        <is>
          <t>08/05/2006</t>
        </is>
      </c>
      <c r="B440" s="28" t="n">
        <v>53.24</v>
      </c>
    </row>
    <row r="441">
      <c r="A441" s="66" t="inlineStr">
        <is>
          <t>09/05/2006</t>
        </is>
      </c>
      <c r="B441" s="28" t="n">
        <v>53</v>
      </c>
    </row>
    <row r="442">
      <c r="A442" s="66" t="inlineStr">
        <is>
          <t>10/05/2006</t>
        </is>
      </c>
      <c r="B442" s="28" t="n">
        <v>52.96</v>
      </c>
    </row>
    <row r="443">
      <c r="A443" s="66" t="inlineStr">
        <is>
          <t>11/05/2006</t>
        </is>
      </c>
      <c r="B443" s="28" t="n">
        <v>52.79</v>
      </c>
    </row>
    <row r="444">
      <c r="A444" s="66" t="inlineStr">
        <is>
          <t>12/05/2006</t>
        </is>
      </c>
      <c r="B444" s="28" t="n">
        <v>52.82</v>
      </c>
    </row>
    <row r="445">
      <c r="A445" s="66" t="inlineStr">
        <is>
          <t>15/05/2006</t>
        </is>
      </c>
      <c r="B445" s="28" t="n">
        <v>52.93</v>
      </c>
    </row>
    <row r="446">
      <c r="A446" s="66" t="inlineStr">
        <is>
          <t>16/05/2006</t>
        </is>
      </c>
      <c r="B446" s="28" t="n">
        <v>52.75</v>
      </c>
    </row>
    <row r="447">
      <c r="A447" s="66" t="inlineStr">
        <is>
          <t>17/05/2006</t>
        </is>
      </c>
      <c r="B447" s="28" t="n">
        <v>53.07</v>
      </c>
    </row>
    <row r="448">
      <c r="A448" s="66" t="inlineStr">
        <is>
          <t>18/05/2006</t>
        </is>
      </c>
      <c r="B448" s="28" t="n">
        <v>53.17</v>
      </c>
    </row>
    <row r="449">
      <c r="A449" s="66" t="inlineStr">
        <is>
          <t>19/05/2006</t>
        </is>
      </c>
      <c r="B449" s="28" t="n">
        <v>52.93</v>
      </c>
    </row>
    <row r="450">
      <c r="A450" s="66" t="inlineStr">
        <is>
          <t>22/05/2006</t>
        </is>
      </c>
      <c r="B450" s="28" t="n">
        <v>53.1</v>
      </c>
    </row>
    <row r="451">
      <c r="A451" s="66" t="inlineStr">
        <is>
          <t>23/05/2006</t>
        </is>
      </c>
      <c r="B451" s="28" t="n">
        <v>53.77</v>
      </c>
    </row>
    <row r="452">
      <c r="A452" s="66" t="inlineStr">
        <is>
          <t>24/05/2006</t>
        </is>
      </c>
      <c r="B452" s="28" t="n">
        <v>54.44</v>
      </c>
    </row>
    <row r="453">
      <c r="A453" s="66" t="inlineStr">
        <is>
          <t>25/05/2006</t>
        </is>
      </c>
      <c r="B453" s="28" t="n">
        <v>54.79</v>
      </c>
    </row>
    <row r="454">
      <c r="A454" s="66" t="inlineStr">
        <is>
          <t>26/05/2006</t>
        </is>
      </c>
      <c r="B454" s="28" t="n">
        <v>54.86</v>
      </c>
    </row>
    <row r="455">
      <c r="A455" s="66" t="inlineStr">
        <is>
          <t>29/05/2006</t>
        </is>
      </c>
      <c r="B455" s="28" t="n">
        <v>54.83</v>
      </c>
    </row>
    <row r="456">
      <c r="A456" s="66" t="inlineStr">
        <is>
          <t>30/05/2006</t>
        </is>
      </c>
      <c r="B456" s="28" t="n">
        <v>54.76</v>
      </c>
    </row>
    <row r="457">
      <c r="A457" s="66" t="inlineStr">
        <is>
          <t>31/05/2006</t>
        </is>
      </c>
      <c r="B457" s="28" t="n">
        <v>55.18</v>
      </c>
    </row>
    <row r="458">
      <c r="A458" s="66" t="inlineStr">
        <is>
          <t>01/06/2006</t>
        </is>
      </c>
      <c r="B458" s="28" t="n">
        <v>54.91</v>
      </c>
    </row>
    <row r="459">
      <c r="A459" s="66" t="inlineStr">
        <is>
          <t>02/06/2006</t>
        </is>
      </c>
      <c r="B459" s="28" t="n">
        <v>55.81</v>
      </c>
    </row>
    <row r="460">
      <c r="A460" s="66" t="inlineStr">
        <is>
          <t>05/06/2006</t>
        </is>
      </c>
      <c r="B460" s="28" t="n">
        <v>55.99</v>
      </c>
    </row>
    <row r="461">
      <c r="A461" s="66" t="inlineStr">
        <is>
          <t>06/06/2006</t>
        </is>
      </c>
      <c r="B461" s="28" t="n">
        <v>56.06</v>
      </c>
    </row>
    <row r="462">
      <c r="A462" s="66" t="inlineStr">
        <is>
          <t>07/06/2006</t>
        </is>
      </c>
      <c r="B462" s="28" t="n">
        <v>56.51</v>
      </c>
    </row>
    <row r="463">
      <c r="A463" s="66" t="inlineStr">
        <is>
          <t>08/06/2006</t>
        </is>
      </c>
      <c r="B463" s="28" t="n">
        <v>56.97</v>
      </c>
    </row>
    <row r="464">
      <c r="A464" s="66" t="inlineStr">
        <is>
          <t>09/06/2006</t>
        </is>
      </c>
      <c r="B464" s="28" t="n">
        <v>57.21</v>
      </c>
    </row>
    <row r="465">
      <c r="A465" s="66" t="inlineStr">
        <is>
          <t>12/06/2006</t>
        </is>
      </c>
      <c r="B465" s="28" t="n">
        <v>56.83</v>
      </c>
    </row>
    <row r="466">
      <c r="A466" s="66" t="inlineStr">
        <is>
          <t>13/06/2006</t>
        </is>
      </c>
      <c r="B466" s="28" t="n">
        <v>56.93</v>
      </c>
    </row>
    <row r="467">
      <c r="A467" s="66" t="inlineStr">
        <is>
          <t>14/06/2006</t>
        </is>
      </c>
      <c r="B467" s="28" t="n">
        <v>57.8</v>
      </c>
    </row>
    <row r="468">
      <c r="A468" s="66" t="inlineStr">
        <is>
          <t>16/06/2006</t>
        </is>
      </c>
      <c r="B468" s="28" t="n">
        <v>57.8</v>
      </c>
    </row>
    <row r="469">
      <c r="A469" s="66" t="inlineStr">
        <is>
          <t>19/06/2006</t>
        </is>
      </c>
      <c r="B469" s="28" t="n">
        <v>57.94</v>
      </c>
    </row>
    <row r="470">
      <c r="A470" s="66" t="inlineStr">
        <is>
          <t>20/06/2006</t>
        </is>
      </c>
      <c r="B470" s="28" t="n">
        <v>57.87</v>
      </c>
    </row>
    <row r="471">
      <c r="A471" s="66" t="inlineStr">
        <is>
          <t>21/06/2006</t>
        </is>
      </c>
      <c r="B471" s="28" t="n">
        <v>58.61</v>
      </c>
    </row>
    <row r="472">
      <c r="A472" s="66" t="inlineStr">
        <is>
          <t>22/06/2006</t>
        </is>
      </c>
      <c r="B472" s="28" t="n">
        <v>58.57</v>
      </c>
    </row>
    <row r="473">
      <c r="A473" s="66" t="inlineStr">
        <is>
          <t>23/06/2006</t>
        </is>
      </c>
      <c r="B473" s="28" t="n">
        <v>58.57</v>
      </c>
    </row>
    <row r="474">
      <c r="A474" s="66" t="inlineStr">
        <is>
          <t>26/06/2006</t>
        </is>
      </c>
      <c r="B474" s="28" t="n">
        <v>58.19</v>
      </c>
    </row>
    <row r="475">
      <c r="A475" s="66" t="inlineStr">
        <is>
          <t>27/06/2006</t>
        </is>
      </c>
      <c r="B475" s="28" t="n">
        <v>58.43</v>
      </c>
    </row>
    <row r="476">
      <c r="A476" s="66" t="inlineStr">
        <is>
          <t>28/06/2006</t>
        </is>
      </c>
      <c r="B476" s="28" t="n">
        <v>58.68</v>
      </c>
    </row>
    <row r="477">
      <c r="A477" s="66" t="inlineStr">
        <is>
          <t>29/06/2006</t>
        </is>
      </c>
      <c r="B477" s="28" t="n">
        <v>58.82</v>
      </c>
    </row>
    <row r="478">
      <c r="A478" s="66" t="inlineStr">
        <is>
          <t>30/06/2006</t>
        </is>
      </c>
      <c r="B478" s="28" t="n">
        <v>58.78</v>
      </c>
    </row>
    <row r="479">
      <c r="A479" s="66" t="inlineStr">
        <is>
          <t>03/07/2006</t>
        </is>
      </c>
      <c r="B479" s="28" t="n">
        <v>58.74</v>
      </c>
    </row>
    <row r="480">
      <c r="A480" s="66" t="inlineStr">
        <is>
          <t>04/07/2006</t>
        </is>
      </c>
      <c r="B480" s="28" t="n">
        <v>58.74</v>
      </c>
    </row>
    <row r="481">
      <c r="A481" s="66" t="inlineStr">
        <is>
          <t>05/07/2006</t>
        </is>
      </c>
      <c r="B481" s="28" t="n">
        <v>58.78</v>
      </c>
    </row>
    <row r="482">
      <c r="A482" s="66" t="inlineStr">
        <is>
          <t>06/07/2006</t>
        </is>
      </c>
      <c r="B482" s="28" t="n">
        <v>58.78</v>
      </c>
    </row>
    <row r="483">
      <c r="A483" s="66" t="inlineStr">
        <is>
          <t>07/07/2006</t>
        </is>
      </c>
      <c r="B483" s="28" t="n">
        <v>58.67</v>
      </c>
    </row>
    <row r="484">
      <c r="A484" s="66" t="inlineStr">
        <is>
          <t>10/07/2006</t>
        </is>
      </c>
      <c r="B484" s="28" t="n">
        <v>58.78</v>
      </c>
    </row>
    <row r="485">
      <c r="A485" s="66" t="inlineStr">
        <is>
          <t>11/07/2006</t>
        </is>
      </c>
      <c r="B485" s="28" t="n">
        <v>58.95</v>
      </c>
    </row>
    <row r="486">
      <c r="A486" s="66" t="inlineStr">
        <is>
          <t>12/07/2006</t>
        </is>
      </c>
      <c r="B486" s="28" t="n">
        <v>59.09</v>
      </c>
    </row>
    <row r="487">
      <c r="A487" s="66" t="inlineStr">
        <is>
          <t>13/07/2006</t>
        </is>
      </c>
      <c r="B487" s="28" t="n">
        <v>58.99</v>
      </c>
    </row>
    <row r="488">
      <c r="A488" s="66" t="inlineStr">
        <is>
          <t>14/07/2006</t>
        </is>
      </c>
      <c r="B488" s="28" t="n">
        <v>58.78</v>
      </c>
    </row>
    <row r="489">
      <c r="A489" s="66" t="inlineStr">
        <is>
          <t>17/07/2006</t>
        </is>
      </c>
      <c r="B489" s="28" t="n">
        <v>58.74</v>
      </c>
    </row>
    <row r="490">
      <c r="A490" s="66" t="inlineStr">
        <is>
          <t>18/07/2006</t>
        </is>
      </c>
      <c r="B490" s="28" t="n">
        <v>58.78</v>
      </c>
    </row>
    <row r="491">
      <c r="A491" s="66" t="inlineStr">
        <is>
          <t>19/07/2006</t>
        </is>
      </c>
      <c r="B491" s="28" t="n">
        <v>58.47</v>
      </c>
    </row>
    <row r="492">
      <c r="A492" s="66" t="inlineStr">
        <is>
          <t>20/07/2006</t>
        </is>
      </c>
      <c r="B492" s="28" t="n">
        <v>57.8</v>
      </c>
    </row>
    <row r="493">
      <c r="A493" s="66" t="inlineStr">
        <is>
          <t>21/07/2006</t>
        </is>
      </c>
      <c r="B493" s="28" t="n">
        <v>57.52</v>
      </c>
    </row>
    <row r="494">
      <c r="A494" s="66" t="inlineStr">
        <is>
          <t>24/07/2006</t>
        </is>
      </c>
      <c r="B494" s="28" t="n">
        <v>57.59</v>
      </c>
    </row>
    <row r="495">
      <c r="A495" s="66" t="inlineStr">
        <is>
          <t>25/07/2006</t>
        </is>
      </c>
      <c r="B495" s="28" t="n">
        <v>57.28</v>
      </c>
    </row>
    <row r="496">
      <c r="A496" s="66" t="inlineStr">
        <is>
          <t>26/07/2006</t>
        </is>
      </c>
      <c r="B496" s="28" t="n">
        <v>56.97</v>
      </c>
    </row>
    <row r="497">
      <c r="A497" s="66" t="inlineStr">
        <is>
          <t>27/07/2006</t>
        </is>
      </c>
      <c r="B497" s="28" t="n">
        <v>56.79</v>
      </c>
    </row>
    <row r="498">
      <c r="A498" s="66" t="inlineStr">
        <is>
          <t>28/07/2006</t>
        </is>
      </c>
      <c r="B498" s="28" t="n">
        <v>56.44</v>
      </c>
    </row>
    <row r="499">
      <c r="A499" s="66" t="inlineStr">
        <is>
          <t>31/07/2006</t>
        </is>
      </c>
      <c r="B499" s="28" t="n">
        <v>56.48</v>
      </c>
    </row>
    <row r="500">
      <c r="A500" s="66" t="inlineStr">
        <is>
          <t>01/08/2006</t>
        </is>
      </c>
      <c r="B500" s="28" t="n">
        <v>56.38</v>
      </c>
    </row>
    <row r="501">
      <c r="A501" s="66" t="inlineStr">
        <is>
          <t>02/08/2006</t>
        </is>
      </c>
      <c r="B501" s="28" t="n">
        <v>56.79</v>
      </c>
    </row>
    <row r="502">
      <c r="A502" s="66" t="inlineStr">
        <is>
          <t>03/08/2006</t>
        </is>
      </c>
      <c r="B502" s="28" t="n">
        <v>56.72</v>
      </c>
    </row>
    <row r="503">
      <c r="A503" s="66" t="inlineStr">
        <is>
          <t>04/08/2006</t>
        </is>
      </c>
      <c r="B503" s="28" t="n">
        <v>56.79</v>
      </c>
    </row>
    <row r="504">
      <c r="A504" s="66" t="inlineStr">
        <is>
          <t>07/08/2006</t>
        </is>
      </c>
      <c r="B504" s="28" t="n">
        <v>56.79</v>
      </c>
    </row>
    <row r="505">
      <c r="A505" s="66" t="inlineStr">
        <is>
          <t>08/08/2006</t>
        </is>
      </c>
      <c r="B505" s="28" t="n">
        <v>56.58</v>
      </c>
    </row>
    <row r="506">
      <c r="A506" s="66" t="inlineStr">
        <is>
          <t>09/08/2006</t>
        </is>
      </c>
      <c r="B506" s="28" t="n">
        <v>57.94</v>
      </c>
    </row>
    <row r="507">
      <c r="A507" s="66" t="inlineStr">
        <is>
          <t>10/08/2006</t>
        </is>
      </c>
      <c r="B507" s="28" t="n">
        <v>58.35</v>
      </c>
    </row>
    <row r="508">
      <c r="A508" s="66" t="inlineStr">
        <is>
          <t>11/08/2006</t>
        </is>
      </c>
      <c r="B508" s="28" t="n">
        <v>58.25</v>
      </c>
    </row>
    <row r="509">
      <c r="A509" s="66" t="inlineStr">
        <is>
          <t>14/08/2006</t>
        </is>
      </c>
      <c r="B509" s="28" t="n">
        <v>58.7</v>
      </c>
    </row>
    <row r="510">
      <c r="A510" s="66" t="inlineStr">
        <is>
          <t>15/08/2006</t>
        </is>
      </c>
      <c r="B510" s="28" t="n">
        <v>58.84</v>
      </c>
    </row>
    <row r="511">
      <c r="A511" s="66" t="inlineStr">
        <is>
          <t>16/08/2006</t>
        </is>
      </c>
      <c r="B511" s="28" t="n">
        <v>59.08</v>
      </c>
    </row>
    <row r="512">
      <c r="A512" s="66" t="inlineStr">
        <is>
          <t>17/08/2006</t>
        </is>
      </c>
      <c r="B512" s="28" t="n">
        <v>59.12</v>
      </c>
    </row>
    <row r="513">
      <c r="A513" s="66" t="inlineStr">
        <is>
          <t>18/08/2006</t>
        </is>
      </c>
      <c r="B513" s="28" t="n">
        <v>59.19</v>
      </c>
    </row>
    <row r="514">
      <c r="A514" s="66" t="inlineStr">
        <is>
          <t>21/08/2006</t>
        </is>
      </c>
      <c r="B514" s="28" t="n">
        <v>59.47</v>
      </c>
    </row>
    <row r="515">
      <c r="A515" s="66" t="inlineStr">
        <is>
          <t>22/08/2006</t>
        </is>
      </c>
      <c r="B515" s="28" t="n">
        <v>59.85</v>
      </c>
    </row>
    <row r="516">
      <c r="A516" s="66" t="inlineStr">
        <is>
          <t>23/08/2006</t>
        </is>
      </c>
      <c r="B516" s="28" t="n">
        <v>59.6</v>
      </c>
    </row>
    <row r="517">
      <c r="A517" s="66" t="inlineStr">
        <is>
          <t>24/08/2006</t>
        </is>
      </c>
      <c r="B517" s="28" t="n">
        <v>59.6</v>
      </c>
    </row>
    <row r="518">
      <c r="A518" s="66" t="inlineStr">
        <is>
          <t>25/08/2006</t>
        </is>
      </c>
      <c r="B518" s="28" t="n">
        <v>59.53</v>
      </c>
    </row>
    <row r="519">
      <c r="A519" s="66" t="inlineStr">
        <is>
          <t>28/08/2006</t>
        </is>
      </c>
      <c r="B519" s="28" t="n">
        <v>59.71</v>
      </c>
    </row>
    <row r="520">
      <c r="A520" s="66" t="inlineStr">
        <is>
          <t>29/08/2006</t>
        </is>
      </c>
      <c r="B520" s="28" t="n">
        <v>59.53</v>
      </c>
    </row>
    <row r="521">
      <c r="A521" s="66" t="inlineStr">
        <is>
          <t>30/08/2006</t>
        </is>
      </c>
      <c r="B521" s="28" t="n">
        <v>59.74</v>
      </c>
    </row>
    <row r="522">
      <c r="A522" s="66" t="inlineStr">
        <is>
          <t>31/08/2006</t>
        </is>
      </c>
      <c r="B522" s="28" t="n">
        <v>59.47</v>
      </c>
    </row>
    <row r="523">
      <c r="A523" s="66" t="inlineStr">
        <is>
          <t>01/09/2006</t>
        </is>
      </c>
      <c r="B523" s="28" t="n">
        <v>59.4</v>
      </c>
    </row>
    <row r="524">
      <c r="A524" s="66" t="inlineStr">
        <is>
          <t>04/09/2006</t>
        </is>
      </c>
      <c r="B524" s="28" t="n">
        <v>59.43</v>
      </c>
    </row>
    <row r="525">
      <c r="A525" s="66" t="inlineStr">
        <is>
          <t>05/09/2006</t>
        </is>
      </c>
      <c r="B525" s="28" t="n">
        <v>59.5</v>
      </c>
    </row>
    <row r="526">
      <c r="A526" s="66" t="inlineStr">
        <is>
          <t>06/09/2006</t>
        </is>
      </c>
      <c r="B526" s="28" t="n">
        <v>59.5</v>
      </c>
    </row>
    <row r="527">
      <c r="A527" s="66" t="inlineStr">
        <is>
          <t>08/09/2006</t>
        </is>
      </c>
      <c r="B527" s="28" t="n">
        <v>59.81</v>
      </c>
    </row>
    <row r="528">
      <c r="A528" s="66" t="inlineStr">
        <is>
          <t>11/09/2006</t>
        </is>
      </c>
      <c r="B528" s="28" t="n">
        <v>60.02</v>
      </c>
    </row>
    <row r="529">
      <c r="A529" s="66" t="inlineStr">
        <is>
          <t>12/09/2006</t>
        </is>
      </c>
      <c r="B529" s="28" t="n">
        <v>60.12</v>
      </c>
    </row>
    <row r="530">
      <c r="A530" s="66" t="inlineStr">
        <is>
          <t>13/09/2006</t>
        </is>
      </c>
      <c r="B530" s="28" t="n">
        <v>60.99</v>
      </c>
    </row>
    <row r="531">
      <c r="A531" s="66" t="inlineStr">
        <is>
          <t>14/09/2006</t>
        </is>
      </c>
      <c r="B531" s="28" t="n">
        <v>61.13</v>
      </c>
    </row>
    <row r="532">
      <c r="A532" s="66" t="inlineStr">
        <is>
          <t>15/09/2006</t>
        </is>
      </c>
      <c r="B532" s="28" t="n">
        <v>61.72</v>
      </c>
    </row>
    <row r="533">
      <c r="A533" s="66" t="inlineStr">
        <is>
          <t>18/09/2006</t>
        </is>
      </c>
      <c r="B533" s="28" t="n">
        <v>62.89</v>
      </c>
    </row>
    <row r="534">
      <c r="A534" s="66" t="inlineStr">
        <is>
          <t>19/09/2006</t>
        </is>
      </c>
      <c r="B534" s="28" t="n">
        <v>62.96</v>
      </c>
    </row>
    <row r="535">
      <c r="A535" s="66" t="inlineStr">
        <is>
          <t>20/09/2006</t>
        </is>
      </c>
      <c r="B535" s="28" t="n">
        <v>63.59</v>
      </c>
    </row>
    <row r="536">
      <c r="A536" s="66" t="inlineStr">
        <is>
          <t>21/09/2006</t>
        </is>
      </c>
      <c r="B536" s="28" t="n">
        <v>63.79</v>
      </c>
    </row>
    <row r="537">
      <c r="A537" s="66" t="inlineStr">
        <is>
          <t>22/09/2006</t>
        </is>
      </c>
      <c r="B537" s="28" t="n">
        <v>63.9</v>
      </c>
    </row>
    <row r="538">
      <c r="A538" s="66" t="inlineStr">
        <is>
          <t>25/09/2006</t>
        </is>
      </c>
      <c r="B538" s="28" t="n">
        <v>63.69</v>
      </c>
    </row>
    <row r="539">
      <c r="A539" s="66" t="inlineStr">
        <is>
          <t>26/09/2006</t>
        </is>
      </c>
      <c r="B539" s="28" t="n">
        <v>63.93</v>
      </c>
    </row>
    <row r="540">
      <c r="A540" s="66" t="inlineStr">
        <is>
          <t>27/09/2006</t>
        </is>
      </c>
      <c r="B540" s="28" t="n">
        <v>64.76000000000001</v>
      </c>
    </row>
    <row r="541">
      <c r="A541" s="66" t="inlineStr">
        <is>
          <t>28/09/2006</t>
        </is>
      </c>
      <c r="B541" s="28" t="n">
        <v>65.45</v>
      </c>
    </row>
    <row r="542">
      <c r="A542" s="66" t="inlineStr">
        <is>
          <t>29/09/2006</t>
        </is>
      </c>
      <c r="B542" s="28" t="n">
        <v>65.52</v>
      </c>
    </row>
    <row r="543">
      <c r="A543" s="66" t="inlineStr">
        <is>
          <t>02/10/2006</t>
        </is>
      </c>
      <c r="B543" s="28" t="n">
        <v>66.8</v>
      </c>
    </row>
    <row r="544">
      <c r="A544" s="66" t="inlineStr">
        <is>
          <t>03/10/2006</t>
        </is>
      </c>
      <c r="B544" s="28" t="n">
        <v>67.97</v>
      </c>
    </row>
    <row r="545">
      <c r="A545" s="66" t="inlineStr">
        <is>
          <t>04/10/2006</t>
        </is>
      </c>
      <c r="B545" s="28" t="n">
        <v>68.39</v>
      </c>
    </row>
    <row r="546">
      <c r="A546" s="66" t="inlineStr">
        <is>
          <t>05/10/2006</t>
        </is>
      </c>
      <c r="B546" s="28" t="n">
        <v>68.73</v>
      </c>
    </row>
    <row r="547">
      <c r="A547" s="66" t="inlineStr">
        <is>
          <t>06/10/2006</t>
        </is>
      </c>
      <c r="B547" s="28" t="n">
        <v>71.18000000000001</v>
      </c>
    </row>
    <row r="548">
      <c r="A548" s="66" t="inlineStr">
        <is>
          <t>09/10/2006</t>
        </is>
      </c>
      <c r="B548" s="28" t="n">
        <v>72.20999999999999</v>
      </c>
    </row>
    <row r="549">
      <c r="A549" s="66" t="inlineStr">
        <is>
          <t>10/10/2006</t>
        </is>
      </c>
      <c r="B549" s="28" t="n">
        <v>72.34999999999999</v>
      </c>
    </row>
    <row r="550">
      <c r="A550" s="66" t="inlineStr">
        <is>
          <t>11/10/2006</t>
        </is>
      </c>
      <c r="B550" s="28" t="n">
        <v>72.97</v>
      </c>
    </row>
    <row r="551">
      <c r="A551" s="66" t="inlineStr">
        <is>
          <t>13/10/2006</t>
        </is>
      </c>
      <c r="B551" s="28" t="n">
        <v>73.73</v>
      </c>
    </row>
    <row r="552">
      <c r="A552" s="66" t="inlineStr">
        <is>
          <t>16/10/2006</t>
        </is>
      </c>
      <c r="B552" s="28" t="n">
        <v>74.11</v>
      </c>
    </row>
    <row r="553">
      <c r="A553" s="66" t="inlineStr">
        <is>
          <t>17/10/2006</t>
        </is>
      </c>
      <c r="B553" s="28" t="n">
        <v>74.17</v>
      </c>
    </row>
    <row r="554">
      <c r="A554" s="66" t="inlineStr">
        <is>
          <t>18/10/2006</t>
        </is>
      </c>
      <c r="B554" s="28" t="n">
        <v>74.14</v>
      </c>
    </row>
    <row r="555">
      <c r="A555" s="66" t="inlineStr">
        <is>
          <t>19/10/2006</t>
        </is>
      </c>
      <c r="B555" s="28" t="n">
        <v>75.48</v>
      </c>
    </row>
    <row r="556">
      <c r="A556" s="66" t="inlineStr">
        <is>
          <t>20/10/2006</t>
        </is>
      </c>
      <c r="B556" s="28" t="n">
        <v>75.86</v>
      </c>
    </row>
    <row r="557">
      <c r="A557" s="66" t="inlineStr">
        <is>
          <t>23/10/2006</t>
        </is>
      </c>
      <c r="B557" s="28" t="n">
        <v>74.45</v>
      </c>
    </row>
    <row r="558">
      <c r="A558" s="66" t="inlineStr">
        <is>
          <t>24/10/2006</t>
        </is>
      </c>
      <c r="B558" s="28" t="n">
        <v>74.42</v>
      </c>
    </row>
    <row r="559">
      <c r="A559" s="66" t="inlineStr">
        <is>
          <t>25/10/2006</t>
        </is>
      </c>
      <c r="B559" s="28" t="n">
        <v>73.83</v>
      </c>
    </row>
    <row r="560">
      <c r="A560" s="66" t="inlineStr">
        <is>
          <t>26/10/2006</t>
        </is>
      </c>
      <c r="B560" s="28" t="n">
        <v>74.04000000000001</v>
      </c>
    </row>
    <row r="561">
      <c r="A561" s="66" t="inlineStr">
        <is>
          <t>27/10/2006</t>
        </is>
      </c>
      <c r="B561" s="28" t="n">
        <v>73.90000000000001</v>
      </c>
    </row>
    <row r="562">
      <c r="A562" s="66" t="inlineStr">
        <is>
          <t>30/10/2006</t>
        </is>
      </c>
      <c r="B562" s="28" t="n">
        <v>73.66</v>
      </c>
    </row>
    <row r="563">
      <c r="A563" s="66" t="inlineStr">
        <is>
          <t>31/10/2006</t>
        </is>
      </c>
      <c r="B563" s="28" t="n">
        <v>73.52</v>
      </c>
    </row>
    <row r="564">
      <c r="A564" s="66" t="inlineStr">
        <is>
          <t>01/11/2006</t>
        </is>
      </c>
      <c r="B564" s="28" t="n">
        <v>72.94</v>
      </c>
    </row>
    <row r="565">
      <c r="A565" s="66" t="inlineStr">
        <is>
          <t>03/11/2006</t>
        </is>
      </c>
      <c r="B565" s="28" t="n">
        <v>72.7</v>
      </c>
    </row>
    <row r="566">
      <c r="A566" s="66" t="inlineStr">
        <is>
          <t>06/11/2006</t>
        </is>
      </c>
      <c r="B566" s="28" t="n">
        <v>73.79000000000001</v>
      </c>
    </row>
    <row r="567">
      <c r="A567" s="66" t="inlineStr">
        <is>
          <t>07/11/2006</t>
        </is>
      </c>
      <c r="B567" s="28" t="n">
        <v>75.70999999999999</v>
      </c>
    </row>
    <row r="568">
      <c r="A568" s="66" t="inlineStr">
        <is>
          <t>08/11/2006</t>
        </is>
      </c>
      <c r="B568" s="28" t="n">
        <v>76.45999999999999</v>
      </c>
    </row>
    <row r="569">
      <c r="A569" s="66" t="inlineStr">
        <is>
          <t>09/11/2006</t>
        </is>
      </c>
      <c r="B569" s="28" t="n">
        <v>77.42</v>
      </c>
    </row>
    <row r="570">
      <c r="A570" s="66" t="inlineStr">
        <is>
          <t>10/11/2006</t>
        </is>
      </c>
      <c r="B570" s="28" t="n">
        <v>77.11</v>
      </c>
    </row>
    <row r="571">
      <c r="A571" s="66" t="inlineStr">
        <is>
          <t>13/11/2006</t>
        </is>
      </c>
      <c r="B571" s="28" t="n">
        <v>77.34999999999999</v>
      </c>
    </row>
    <row r="572">
      <c r="A572" s="66" t="inlineStr">
        <is>
          <t>14/11/2006</t>
        </is>
      </c>
      <c r="B572" s="28" t="n">
        <v>77.14</v>
      </c>
    </row>
    <row r="573">
      <c r="A573" s="66" t="inlineStr">
        <is>
          <t>16/11/2006</t>
        </is>
      </c>
      <c r="B573" s="28" t="n">
        <v>77.31999999999999</v>
      </c>
    </row>
    <row r="574">
      <c r="A574" s="66" t="inlineStr">
        <is>
          <t>17/11/2006</t>
        </is>
      </c>
      <c r="B574" s="28" t="n">
        <v>77.38</v>
      </c>
    </row>
    <row r="575">
      <c r="A575" s="66" t="inlineStr">
        <is>
          <t>20/11/2006</t>
        </is>
      </c>
      <c r="B575" s="28" t="n">
        <v>78.48</v>
      </c>
    </row>
    <row r="576">
      <c r="A576" s="66" t="inlineStr">
        <is>
          <t>21/11/2006</t>
        </is>
      </c>
      <c r="B576" s="28" t="n">
        <v>78.79000000000001</v>
      </c>
    </row>
    <row r="577">
      <c r="A577" s="66" t="inlineStr">
        <is>
          <t>22/11/2006</t>
        </is>
      </c>
      <c r="B577" s="28" t="n">
        <v>79.64</v>
      </c>
    </row>
    <row r="578">
      <c r="A578" s="66" t="inlineStr">
        <is>
          <t>23/11/2006</t>
        </is>
      </c>
      <c r="B578" s="28" t="n">
        <v>80.63</v>
      </c>
    </row>
    <row r="579">
      <c r="A579" s="66" t="inlineStr">
        <is>
          <t>24/11/2006</t>
        </is>
      </c>
      <c r="B579" s="28" t="n">
        <v>81.59</v>
      </c>
    </row>
    <row r="580">
      <c r="A580" s="66" t="inlineStr">
        <is>
          <t>27/11/2006</t>
        </is>
      </c>
      <c r="B580" s="28" t="n">
        <v>82.41</v>
      </c>
    </row>
    <row r="581">
      <c r="A581" s="66" t="inlineStr">
        <is>
          <t>28/11/2006</t>
        </is>
      </c>
      <c r="B581" s="28" t="n">
        <v>83.23</v>
      </c>
    </row>
    <row r="582">
      <c r="A582" s="66" t="inlineStr">
        <is>
          <t>29/11/2006</t>
        </is>
      </c>
      <c r="B582" s="28" t="n">
        <v>83.56999999999999</v>
      </c>
    </row>
    <row r="583">
      <c r="A583" s="66" t="inlineStr">
        <is>
          <t>30/11/2006</t>
        </is>
      </c>
      <c r="B583" s="28" t="n">
        <v>84.7</v>
      </c>
    </row>
    <row r="584">
      <c r="A584" s="66" t="inlineStr">
        <is>
          <t>01/12/2006</t>
        </is>
      </c>
      <c r="B584" s="28" t="n">
        <v>84.77</v>
      </c>
    </row>
    <row r="585">
      <c r="A585" s="66" t="inlineStr">
        <is>
          <t>04/12/2006</t>
        </is>
      </c>
      <c r="B585" s="28" t="n">
        <v>84.87</v>
      </c>
    </row>
    <row r="586">
      <c r="A586" s="66" t="inlineStr">
        <is>
          <t>05/12/2006</t>
        </is>
      </c>
      <c r="B586" s="28" t="n">
        <v>85.05</v>
      </c>
    </row>
    <row r="587">
      <c r="A587" s="66" t="inlineStr">
        <is>
          <t>06/12/2006</t>
        </is>
      </c>
      <c r="B587" s="28" t="n">
        <v>85.39</v>
      </c>
    </row>
    <row r="588">
      <c r="A588" s="66" t="inlineStr">
        <is>
          <t>07/12/2006</t>
        </is>
      </c>
      <c r="B588" s="28" t="n">
        <v>85.22</v>
      </c>
    </row>
    <row r="589">
      <c r="A589" s="66" t="inlineStr">
        <is>
          <t>08/12/2006</t>
        </is>
      </c>
      <c r="B589" s="28" t="n">
        <v>85.42</v>
      </c>
    </row>
    <row r="590">
      <c r="A590" s="66" t="inlineStr">
        <is>
          <t>11/12/2006</t>
        </is>
      </c>
      <c r="B590" s="28" t="n">
        <v>85.62</v>
      </c>
    </row>
    <row r="591">
      <c r="A591" s="66" t="inlineStr">
        <is>
          <t>12/12/2006</t>
        </is>
      </c>
      <c r="B591" s="28" t="n">
        <v>85.66</v>
      </c>
    </row>
    <row r="592">
      <c r="A592" s="66" t="inlineStr">
        <is>
          <t>13/12/2006</t>
        </is>
      </c>
      <c r="B592" s="28" t="n">
        <v>85.59</v>
      </c>
    </row>
    <row r="593">
      <c r="A593" s="66" t="inlineStr">
        <is>
          <t>14/12/2006</t>
        </is>
      </c>
      <c r="B593" s="28" t="n">
        <v>85.97</v>
      </c>
    </row>
    <row r="594">
      <c r="A594" s="66" t="inlineStr">
        <is>
          <t>15/12/2006</t>
        </is>
      </c>
      <c r="B594" s="28" t="n">
        <v>85.62</v>
      </c>
    </row>
    <row r="595">
      <c r="A595" s="66" t="inlineStr">
        <is>
          <t>18/12/2006</t>
        </is>
      </c>
      <c r="B595" s="28" t="n">
        <v>85.31999999999999</v>
      </c>
    </row>
    <row r="596">
      <c r="A596" s="66" t="inlineStr">
        <is>
          <t>19/12/2006</t>
        </is>
      </c>
      <c r="B596" s="28" t="n">
        <v>85.25</v>
      </c>
    </row>
    <row r="597">
      <c r="A597" s="66" t="inlineStr">
        <is>
          <t>20/12/2006</t>
        </is>
      </c>
      <c r="B597" s="28" t="n">
        <v>85.05</v>
      </c>
    </row>
    <row r="598">
      <c r="A598" s="66" t="inlineStr">
        <is>
          <t>21/12/2006</t>
        </is>
      </c>
      <c r="B598" s="28" t="n">
        <v>84.73999999999999</v>
      </c>
    </row>
    <row r="599">
      <c r="A599" s="66" t="inlineStr">
        <is>
          <t>22/12/2006</t>
        </is>
      </c>
      <c r="B599" s="28" t="n">
        <v>84.47</v>
      </c>
    </row>
    <row r="600">
      <c r="A600" s="66" t="inlineStr">
        <is>
          <t>26/12/2006</t>
        </is>
      </c>
      <c r="B600" s="28" t="n">
        <v>84.02</v>
      </c>
    </row>
    <row r="601">
      <c r="A601" s="66" t="inlineStr">
        <is>
          <t>27/12/2006</t>
        </is>
      </c>
      <c r="B601" s="28" t="n">
        <v>84.12</v>
      </c>
    </row>
    <row r="602">
      <c r="A602" s="66" t="inlineStr">
        <is>
          <t>28/12/2006</t>
        </is>
      </c>
      <c r="B602" s="28" t="n">
        <v>84.33</v>
      </c>
    </row>
    <row r="603">
      <c r="A603" s="66" t="inlineStr">
        <is>
          <t>02/01/2007</t>
        </is>
      </c>
      <c r="B603" s="28" t="n">
        <v>84.11</v>
      </c>
    </row>
    <row r="604">
      <c r="A604" s="66" t="inlineStr">
        <is>
          <t>03/01/2007</t>
        </is>
      </c>
      <c r="B604" s="28" t="n">
        <v>84.11</v>
      </c>
    </row>
    <row r="605">
      <c r="A605" s="66" t="inlineStr">
        <is>
          <t>04/01/2007</t>
        </is>
      </c>
      <c r="B605" s="28" t="n">
        <v>84.48999999999999</v>
      </c>
    </row>
    <row r="606">
      <c r="A606" s="66" t="inlineStr">
        <is>
          <t>05/01/2007</t>
        </is>
      </c>
      <c r="B606" s="28" t="n">
        <v>84.95999999999999</v>
      </c>
    </row>
    <row r="607">
      <c r="A607" s="66" t="inlineStr">
        <is>
          <t>08/01/2007</t>
        </is>
      </c>
      <c r="B607" s="28" t="n">
        <v>85.3</v>
      </c>
    </row>
    <row r="608">
      <c r="A608" s="66" t="inlineStr">
        <is>
          <t>09/01/2007</t>
        </is>
      </c>
      <c r="B608" s="28" t="n">
        <v>85.88</v>
      </c>
    </row>
    <row r="609">
      <c r="A609" s="66" t="inlineStr">
        <is>
          <t>10/01/2007</t>
        </is>
      </c>
      <c r="B609" s="28" t="n">
        <v>85.98</v>
      </c>
    </row>
    <row r="610">
      <c r="A610" s="66" t="inlineStr">
        <is>
          <t>11/01/2007</t>
        </is>
      </c>
      <c r="B610" s="28" t="n">
        <v>85.91</v>
      </c>
    </row>
    <row r="611">
      <c r="A611" s="66" t="inlineStr">
        <is>
          <t>12/01/2007</t>
        </is>
      </c>
      <c r="B611" s="28" t="n">
        <v>86.25</v>
      </c>
    </row>
    <row r="612">
      <c r="A612" s="66" t="inlineStr">
        <is>
          <t>15/01/2007</t>
        </is>
      </c>
      <c r="B612" s="28" t="n">
        <v>85.81</v>
      </c>
    </row>
    <row r="613">
      <c r="A613" s="66" t="inlineStr">
        <is>
          <t>16/01/2007</t>
        </is>
      </c>
      <c r="B613" s="28" t="n">
        <v>84.18000000000001</v>
      </c>
    </row>
    <row r="614">
      <c r="A614" s="66" t="inlineStr">
        <is>
          <t>17/01/2007</t>
        </is>
      </c>
      <c r="B614" s="28" t="n">
        <v>84.83</v>
      </c>
    </row>
    <row r="615">
      <c r="A615" s="66" t="inlineStr">
        <is>
          <t>18/01/2007</t>
        </is>
      </c>
      <c r="B615" s="28" t="n">
        <v>85.2</v>
      </c>
    </row>
    <row r="616">
      <c r="A616" s="66" t="inlineStr">
        <is>
          <t>19/01/2007</t>
        </is>
      </c>
      <c r="B616" s="28" t="n">
        <v>85.27</v>
      </c>
    </row>
    <row r="617">
      <c r="A617" s="66" t="inlineStr">
        <is>
          <t>22/01/2007</t>
        </is>
      </c>
      <c r="B617" s="28" t="n">
        <v>85.37</v>
      </c>
    </row>
    <row r="618">
      <c r="A618" s="66" t="inlineStr">
        <is>
          <t>23/01/2007</t>
        </is>
      </c>
      <c r="B618" s="28" t="n">
        <v>85.47</v>
      </c>
    </row>
    <row r="619">
      <c r="A619" s="66" t="inlineStr">
        <is>
          <t>24/01/2007</t>
        </is>
      </c>
      <c r="B619" s="28" t="n">
        <v>84.42</v>
      </c>
    </row>
    <row r="620">
      <c r="A620" s="66" t="inlineStr">
        <is>
          <t>25/01/2007</t>
        </is>
      </c>
      <c r="B620" s="28" t="n">
        <v>84.31999999999999</v>
      </c>
    </row>
    <row r="621">
      <c r="A621" s="66" t="inlineStr">
        <is>
          <t>26/01/2007</t>
        </is>
      </c>
      <c r="B621" s="28" t="n">
        <v>84.18000000000001</v>
      </c>
    </row>
    <row r="622">
      <c r="A622" s="66" t="inlineStr">
        <is>
          <t>29/01/2007</t>
        </is>
      </c>
      <c r="B622" s="28" t="n">
        <v>84.15000000000001</v>
      </c>
    </row>
    <row r="623">
      <c r="A623" s="66" t="inlineStr">
        <is>
          <t>30/01/2007</t>
        </is>
      </c>
      <c r="B623" s="28" t="n">
        <v>83.67</v>
      </c>
    </row>
    <row r="624">
      <c r="A624" s="66" t="inlineStr">
        <is>
          <t>31/01/2007</t>
        </is>
      </c>
      <c r="B624" s="28" t="n">
        <v>83.3</v>
      </c>
    </row>
    <row r="625">
      <c r="A625" s="66" t="inlineStr">
        <is>
          <t>01/02/2007</t>
        </is>
      </c>
      <c r="B625" s="28" t="n">
        <v>82.91</v>
      </c>
    </row>
    <row r="626">
      <c r="A626" s="66" t="inlineStr">
        <is>
          <t>02/02/2007</t>
        </is>
      </c>
      <c r="B626" s="28" t="n">
        <v>80.98</v>
      </c>
    </row>
    <row r="627">
      <c r="A627" s="66" t="inlineStr">
        <is>
          <t>05/02/2007</t>
        </is>
      </c>
      <c r="B627" s="28" t="n">
        <v>79.95999999999999</v>
      </c>
    </row>
    <row r="628">
      <c r="A628" s="66" t="inlineStr">
        <is>
          <t>06/02/2007</t>
        </is>
      </c>
      <c r="B628" s="28" t="n">
        <v>78.06999999999999</v>
      </c>
    </row>
    <row r="629">
      <c r="A629" s="66" t="inlineStr">
        <is>
          <t>07/02/2007</t>
        </is>
      </c>
      <c r="B629" s="28" t="n">
        <v>76.81999999999999</v>
      </c>
    </row>
    <row r="630">
      <c r="A630" s="66" t="inlineStr">
        <is>
          <t>08/02/2007</t>
        </is>
      </c>
      <c r="B630" s="28" t="n">
        <v>76.75</v>
      </c>
    </row>
    <row r="631">
      <c r="A631" s="66" t="inlineStr">
        <is>
          <t>09/02/2007</t>
        </is>
      </c>
      <c r="B631" s="28" t="n">
        <v>76.23999999999999</v>
      </c>
    </row>
    <row r="632">
      <c r="A632" s="66" t="inlineStr">
        <is>
          <t>12/02/2007</t>
        </is>
      </c>
      <c r="B632" s="28" t="n">
        <v>75.43000000000001</v>
      </c>
    </row>
    <row r="633">
      <c r="A633" s="66" t="inlineStr">
        <is>
          <t>13/02/2007</t>
        </is>
      </c>
      <c r="B633" s="28" t="n">
        <v>73.94</v>
      </c>
    </row>
    <row r="634">
      <c r="A634" s="66" t="inlineStr">
        <is>
          <t>14/02/2007</t>
        </is>
      </c>
      <c r="B634" s="28" t="n">
        <v>72.28</v>
      </c>
    </row>
    <row r="635">
      <c r="A635" s="66" t="inlineStr">
        <is>
          <t>15/02/2007</t>
        </is>
      </c>
      <c r="B635" s="28" t="n">
        <v>72.34999999999999</v>
      </c>
    </row>
    <row r="636">
      <c r="A636" s="66" t="inlineStr">
        <is>
          <t>16/02/2007</t>
        </is>
      </c>
      <c r="B636" s="28" t="n">
        <v>72.05</v>
      </c>
    </row>
    <row r="637">
      <c r="A637" s="66" t="inlineStr">
        <is>
          <t>21/02/2007</t>
        </is>
      </c>
      <c r="B637" s="28" t="n">
        <v>72.05</v>
      </c>
    </row>
    <row r="638">
      <c r="A638" s="66" t="inlineStr">
        <is>
          <t>22/02/2007</t>
        </is>
      </c>
      <c r="B638" s="28" t="n">
        <v>70.59</v>
      </c>
    </row>
    <row r="639">
      <c r="A639" s="66" t="inlineStr">
        <is>
          <t>23/02/2007</t>
        </is>
      </c>
      <c r="B639" s="28" t="n">
        <v>70.42</v>
      </c>
    </row>
    <row r="640">
      <c r="A640" s="66" t="inlineStr">
        <is>
          <t>26/02/2007</t>
        </is>
      </c>
      <c r="B640" s="28" t="n">
        <v>70.48999999999999</v>
      </c>
    </row>
    <row r="641">
      <c r="A641" s="66" t="inlineStr">
        <is>
          <t>27/02/2007</t>
        </is>
      </c>
      <c r="B641" s="28" t="n">
        <v>69.98</v>
      </c>
    </row>
    <row r="642">
      <c r="A642" s="66" t="inlineStr">
        <is>
          <t>28/02/2007</t>
        </is>
      </c>
      <c r="B642" s="28" t="n">
        <v>69.58</v>
      </c>
    </row>
    <row r="643">
      <c r="A643" s="66" t="inlineStr">
        <is>
          <t>01/03/2007</t>
        </is>
      </c>
      <c r="B643" s="28" t="n">
        <v>69.20999999999999</v>
      </c>
    </row>
    <row r="644">
      <c r="A644" s="66" t="inlineStr">
        <is>
          <t>02/03/2007</t>
        </is>
      </c>
      <c r="B644" s="28" t="n">
        <v>68.63</v>
      </c>
    </row>
    <row r="645">
      <c r="A645" s="66" t="inlineStr">
        <is>
          <t>05/03/2007</t>
        </is>
      </c>
      <c r="B645" s="28" t="n">
        <v>68.59999999999999</v>
      </c>
    </row>
    <row r="646">
      <c r="A646" s="66" t="inlineStr">
        <is>
          <t>06/03/2007</t>
        </is>
      </c>
      <c r="B646" s="28" t="n">
        <v>68.7</v>
      </c>
    </row>
    <row r="647">
      <c r="A647" s="66" t="inlineStr">
        <is>
          <t>07/03/2007</t>
        </is>
      </c>
      <c r="B647" s="28" t="n">
        <v>68.8</v>
      </c>
    </row>
    <row r="648">
      <c r="A648" s="66" t="inlineStr">
        <is>
          <t>08/03/2007</t>
        </is>
      </c>
      <c r="B648" s="28" t="n">
        <v>68.43000000000001</v>
      </c>
    </row>
    <row r="649">
      <c r="A649" s="66" t="inlineStr">
        <is>
          <t>09/03/2007</t>
        </is>
      </c>
      <c r="B649" s="28" t="n">
        <v>68.13</v>
      </c>
    </row>
    <row r="650">
      <c r="A650" s="66" t="inlineStr">
        <is>
          <t>12/03/2007</t>
        </is>
      </c>
      <c r="B650" s="28" t="n">
        <v>67.89</v>
      </c>
    </row>
    <row r="651">
      <c r="A651" s="66" t="inlineStr">
        <is>
          <t>13/03/2007</t>
        </is>
      </c>
      <c r="B651" s="28" t="n">
        <v>67.69</v>
      </c>
    </row>
    <row r="652">
      <c r="A652" s="66" t="inlineStr">
        <is>
          <t>14/03/2007</t>
        </is>
      </c>
      <c r="B652" s="28" t="n">
        <v>67.39</v>
      </c>
    </row>
    <row r="653">
      <c r="A653" s="66" t="inlineStr">
        <is>
          <t>15/03/2007</t>
        </is>
      </c>
      <c r="B653" s="28" t="n">
        <v>67.89</v>
      </c>
    </row>
    <row r="654">
      <c r="A654" s="66" t="inlineStr">
        <is>
          <t>16/03/2007</t>
        </is>
      </c>
      <c r="B654" s="28" t="n">
        <v>67.89</v>
      </c>
    </row>
    <row r="655">
      <c r="A655" s="66" t="inlineStr">
        <is>
          <t>19/03/2007</t>
        </is>
      </c>
      <c r="B655" s="28" t="n">
        <v>67.86</v>
      </c>
    </row>
    <row r="656">
      <c r="A656" s="66" t="inlineStr">
        <is>
          <t>20/03/2007</t>
        </is>
      </c>
      <c r="B656" s="28" t="n">
        <v>67.86</v>
      </c>
    </row>
    <row r="657">
      <c r="A657" s="66" t="inlineStr">
        <is>
          <t>21/03/2007</t>
        </is>
      </c>
      <c r="B657" s="28" t="n">
        <v>68.06</v>
      </c>
    </row>
    <row r="658">
      <c r="A658" s="66" t="inlineStr">
        <is>
          <t>22/03/2007</t>
        </is>
      </c>
      <c r="B658" s="28" t="n">
        <v>68.26000000000001</v>
      </c>
    </row>
    <row r="659">
      <c r="A659" s="66" t="inlineStr">
        <is>
          <t>23/03/2007</t>
        </is>
      </c>
      <c r="B659" s="28" t="n">
        <v>68.40000000000001</v>
      </c>
    </row>
    <row r="660">
      <c r="A660" s="66" t="inlineStr">
        <is>
          <t>26/03/2007</t>
        </is>
      </c>
      <c r="B660" s="28" t="n">
        <v>67.93000000000001</v>
      </c>
    </row>
    <row r="661">
      <c r="A661" s="66" t="inlineStr">
        <is>
          <t>27/03/2007</t>
        </is>
      </c>
      <c r="B661" s="28" t="n">
        <v>67.86</v>
      </c>
    </row>
    <row r="662">
      <c r="A662" s="66" t="inlineStr">
        <is>
          <t>28/03/2007</t>
        </is>
      </c>
      <c r="B662" s="28" t="n">
        <v>67.45999999999999</v>
      </c>
    </row>
    <row r="663">
      <c r="A663" s="66" t="inlineStr">
        <is>
          <t>29/03/2007</t>
        </is>
      </c>
      <c r="B663" s="28" t="n">
        <v>67.59</v>
      </c>
    </row>
    <row r="664">
      <c r="A664" s="66" t="inlineStr">
        <is>
          <t>30/03/2007</t>
        </is>
      </c>
      <c r="B664" s="28" t="n">
        <v>67.25</v>
      </c>
    </row>
    <row r="665">
      <c r="A665" s="66" t="inlineStr">
        <is>
          <t>02/04/2007</t>
        </is>
      </c>
      <c r="B665" s="28" t="n">
        <v>66.72</v>
      </c>
    </row>
    <row r="666">
      <c r="A666" s="66" t="inlineStr">
        <is>
          <t>03/04/2007</t>
        </is>
      </c>
      <c r="B666" s="28" t="n">
        <v>66.72</v>
      </c>
    </row>
    <row r="667">
      <c r="A667" s="66" t="inlineStr">
        <is>
          <t>04/04/2007</t>
        </is>
      </c>
      <c r="B667" s="28" t="n">
        <v>66.18000000000001</v>
      </c>
    </row>
    <row r="668">
      <c r="A668" s="66" t="inlineStr">
        <is>
          <t>05/04/2007</t>
        </is>
      </c>
      <c r="B668" s="28" t="n">
        <v>65.91</v>
      </c>
    </row>
    <row r="669">
      <c r="A669" s="66" t="inlineStr">
        <is>
          <t>09/04/2007</t>
        </is>
      </c>
      <c r="B669" s="28" t="n">
        <v>65.64</v>
      </c>
    </row>
    <row r="670">
      <c r="A670" s="66" t="inlineStr">
        <is>
          <t>10/04/2007</t>
        </is>
      </c>
      <c r="B670" s="28" t="n">
        <v>65.51000000000001</v>
      </c>
    </row>
    <row r="671">
      <c r="A671" s="66" t="inlineStr">
        <is>
          <t>11/04/2007</t>
        </is>
      </c>
      <c r="B671" s="28" t="n">
        <v>65.04000000000001</v>
      </c>
    </row>
    <row r="672">
      <c r="A672" s="66" t="inlineStr">
        <is>
          <t>12/04/2007</t>
        </is>
      </c>
      <c r="B672" s="28" t="n">
        <v>64.7</v>
      </c>
    </row>
    <row r="673">
      <c r="A673" s="66" t="inlineStr">
        <is>
          <t>13/04/2007</t>
        </is>
      </c>
      <c r="B673" s="28" t="n">
        <v>64.77</v>
      </c>
    </row>
    <row r="674">
      <c r="A674" s="66" t="inlineStr">
        <is>
          <t>16/04/2007</t>
        </is>
      </c>
      <c r="B674" s="28" t="n">
        <v>64.59999999999999</v>
      </c>
    </row>
    <row r="675">
      <c r="A675" s="66" t="inlineStr">
        <is>
          <t>17/04/2007</t>
        </is>
      </c>
      <c r="B675" s="28" t="n">
        <v>64.5</v>
      </c>
    </row>
    <row r="676">
      <c r="A676" s="66" t="inlineStr">
        <is>
          <t>18/04/2007</t>
        </is>
      </c>
      <c r="B676" s="28" t="n">
        <v>64.59999999999999</v>
      </c>
    </row>
    <row r="677">
      <c r="A677" s="66" t="inlineStr">
        <is>
          <t>19/04/2007</t>
        </is>
      </c>
      <c r="B677" s="28" t="n">
        <v>64.09</v>
      </c>
    </row>
    <row r="678">
      <c r="A678" s="66" t="inlineStr">
        <is>
          <t>20/04/2007</t>
        </is>
      </c>
      <c r="B678" s="28" t="n">
        <v>64.02</v>
      </c>
    </row>
    <row r="679">
      <c r="A679" s="66" t="inlineStr">
        <is>
          <t>23/04/2007</t>
        </is>
      </c>
      <c r="B679" s="28" t="n">
        <v>63.86</v>
      </c>
    </row>
    <row r="680">
      <c r="A680" s="66" t="inlineStr">
        <is>
          <t>24/04/2007</t>
        </is>
      </c>
      <c r="B680" s="28" t="n">
        <v>63.76</v>
      </c>
    </row>
    <row r="681">
      <c r="A681" s="66" t="inlineStr">
        <is>
          <t>25/04/2007</t>
        </is>
      </c>
      <c r="B681" s="28" t="n">
        <v>63.38</v>
      </c>
    </row>
    <row r="682">
      <c r="A682" s="66" t="inlineStr">
        <is>
          <t>26/04/2007</t>
        </is>
      </c>
      <c r="B682" s="28" t="n">
        <v>63.52</v>
      </c>
    </row>
    <row r="683">
      <c r="A683" s="66" t="inlineStr">
        <is>
          <t>27/04/2007</t>
        </is>
      </c>
      <c r="B683" s="28" t="n">
        <v>63.76</v>
      </c>
    </row>
    <row r="684">
      <c r="A684" s="66" t="inlineStr">
        <is>
          <t>30/04/2007</t>
        </is>
      </c>
      <c r="B684" s="28" t="n">
        <v>63.11</v>
      </c>
    </row>
    <row r="685">
      <c r="A685" s="66" t="inlineStr">
        <is>
          <t>02/05/2007</t>
        </is>
      </c>
      <c r="B685" s="28" t="n">
        <v>62.92</v>
      </c>
    </row>
    <row r="686">
      <c r="A686" s="66" t="inlineStr">
        <is>
          <t>03/05/2007</t>
        </is>
      </c>
      <c r="B686" s="28" t="n">
        <v>63.06</v>
      </c>
    </row>
    <row r="687">
      <c r="A687" s="66" t="inlineStr">
        <is>
          <t>04/05/2007</t>
        </is>
      </c>
      <c r="B687" s="28" t="n">
        <v>63.16</v>
      </c>
    </row>
    <row r="688">
      <c r="A688" s="66" t="inlineStr">
        <is>
          <t>07/05/2007</t>
        </is>
      </c>
      <c r="B688" s="28" t="n">
        <v>62.95</v>
      </c>
    </row>
    <row r="689">
      <c r="A689" s="66" t="inlineStr">
        <is>
          <t>08/05/2007</t>
        </is>
      </c>
      <c r="B689" s="28" t="n">
        <v>62.99</v>
      </c>
    </row>
    <row r="690">
      <c r="A690" s="66" t="inlineStr">
        <is>
          <t>09/05/2007</t>
        </is>
      </c>
      <c r="B690" s="28" t="n">
        <v>63.19</v>
      </c>
    </row>
    <row r="691">
      <c r="A691" s="66" t="inlineStr">
        <is>
          <t>10/05/2007</t>
        </is>
      </c>
      <c r="B691" s="28" t="n">
        <v>62.99</v>
      </c>
    </row>
    <row r="692">
      <c r="A692" s="66" t="inlineStr">
        <is>
          <t>11/05/2007</t>
        </is>
      </c>
      <c r="B692" s="28" t="n">
        <v>62.72</v>
      </c>
    </row>
    <row r="693">
      <c r="A693" s="66" t="inlineStr">
        <is>
          <t>14/05/2007</t>
        </is>
      </c>
      <c r="B693" s="28" t="n">
        <v>62.75</v>
      </c>
    </row>
    <row r="694">
      <c r="A694" s="66" t="inlineStr">
        <is>
          <t>15/05/2007</t>
        </is>
      </c>
      <c r="B694" s="28" t="n">
        <v>62.65</v>
      </c>
    </row>
    <row r="695">
      <c r="A695" s="66" t="inlineStr">
        <is>
          <t>16/05/2007</t>
        </is>
      </c>
      <c r="B695" s="28" t="n">
        <v>62.99</v>
      </c>
    </row>
    <row r="696">
      <c r="A696" s="66" t="inlineStr">
        <is>
          <t>17/05/2007</t>
        </is>
      </c>
      <c r="B696" s="28" t="n">
        <v>62.92</v>
      </c>
    </row>
    <row r="697">
      <c r="A697" s="66" t="inlineStr">
        <is>
          <t>18/05/2007</t>
        </is>
      </c>
      <c r="B697" s="28" t="n">
        <v>63.19</v>
      </c>
    </row>
    <row r="698">
      <c r="A698" s="66" t="inlineStr">
        <is>
          <t>21/05/2007</t>
        </is>
      </c>
      <c r="B698" s="28" t="n">
        <v>63.49</v>
      </c>
    </row>
    <row r="699">
      <c r="A699" s="66" t="inlineStr">
        <is>
          <t>22/05/2007</t>
        </is>
      </c>
      <c r="B699" s="28" t="n">
        <v>63.66</v>
      </c>
    </row>
    <row r="700">
      <c r="A700" s="66" t="inlineStr">
        <is>
          <t>23/05/2007</t>
        </is>
      </c>
      <c r="B700" s="28" t="n">
        <v>64.47</v>
      </c>
    </row>
    <row r="701">
      <c r="A701" s="66" t="inlineStr">
        <is>
          <t>24/05/2007</t>
        </is>
      </c>
      <c r="B701" s="28" t="n">
        <v>64.73999999999999</v>
      </c>
    </row>
    <row r="702">
      <c r="A702" s="66" t="inlineStr">
        <is>
          <t>25/05/2007</t>
        </is>
      </c>
      <c r="B702" s="28" t="n">
        <v>64.87</v>
      </c>
    </row>
    <row r="703">
      <c r="A703" s="66" t="inlineStr">
        <is>
          <t>28/05/2007</t>
        </is>
      </c>
      <c r="B703" s="28" t="n">
        <v>65.31</v>
      </c>
    </row>
    <row r="704">
      <c r="A704" s="66" t="inlineStr">
        <is>
          <t>29/05/2007</t>
        </is>
      </c>
      <c r="B704" s="28" t="n">
        <v>65.72</v>
      </c>
    </row>
    <row r="705">
      <c r="A705" s="66" t="inlineStr">
        <is>
          <t>30/05/2007</t>
        </is>
      </c>
      <c r="B705" s="28" t="n">
        <v>65.92</v>
      </c>
    </row>
    <row r="706">
      <c r="A706" s="66" t="inlineStr">
        <is>
          <t>31/05/2007</t>
        </is>
      </c>
      <c r="B706" s="28" t="n">
        <v>66.26000000000001</v>
      </c>
    </row>
    <row r="707">
      <c r="A707" s="66" t="inlineStr">
        <is>
          <t>01/06/2007</t>
        </is>
      </c>
      <c r="B707" s="28" t="n">
        <v>66.08</v>
      </c>
    </row>
    <row r="708">
      <c r="A708" s="66" t="inlineStr">
        <is>
          <t>04/06/2007</t>
        </is>
      </c>
      <c r="B708" s="28" t="n">
        <v>65.88</v>
      </c>
    </row>
    <row r="709">
      <c r="A709" s="66" t="inlineStr">
        <is>
          <t>05/06/2007</t>
        </is>
      </c>
      <c r="B709" s="28" t="n">
        <v>66.12</v>
      </c>
    </row>
    <row r="710">
      <c r="A710" s="66" t="inlineStr">
        <is>
          <t>06/06/2007</t>
        </is>
      </c>
      <c r="B710" s="28" t="n">
        <v>66.18000000000001</v>
      </c>
    </row>
    <row r="711">
      <c r="A711" s="66" t="inlineStr">
        <is>
          <t>08/06/2007</t>
        </is>
      </c>
      <c r="B711" s="28" t="n">
        <v>66.55</v>
      </c>
    </row>
    <row r="712">
      <c r="A712" s="66" t="inlineStr">
        <is>
          <t>11/06/2007</t>
        </is>
      </c>
      <c r="B712" s="28" t="n">
        <v>66.66</v>
      </c>
    </row>
    <row r="713">
      <c r="A713" s="66" t="inlineStr">
        <is>
          <t>12/06/2007</t>
        </is>
      </c>
      <c r="B713" s="28" t="n">
        <v>66.55</v>
      </c>
    </row>
    <row r="714">
      <c r="A714" s="66" t="inlineStr">
        <is>
          <t>13/06/2007</t>
        </is>
      </c>
      <c r="B714" s="28" t="n">
        <v>66.48999999999999</v>
      </c>
    </row>
    <row r="715">
      <c r="A715" s="66" t="inlineStr">
        <is>
          <t>14/06/2007</t>
        </is>
      </c>
      <c r="B715" s="28" t="n">
        <v>66.34999999999999</v>
      </c>
    </row>
    <row r="716">
      <c r="A716" s="66" t="inlineStr">
        <is>
          <t>15/06/2007</t>
        </is>
      </c>
      <c r="B716" s="28" t="n">
        <v>66.72</v>
      </c>
    </row>
    <row r="717">
      <c r="A717" s="66" t="inlineStr">
        <is>
          <t>18/06/2007</t>
        </is>
      </c>
      <c r="B717" s="28" t="n">
        <v>66.72</v>
      </c>
    </row>
    <row r="718">
      <c r="A718" s="66" t="inlineStr">
        <is>
          <t>19/06/2007</t>
        </is>
      </c>
      <c r="B718" s="28" t="n">
        <v>66.25</v>
      </c>
    </row>
    <row r="719">
      <c r="A719" s="66" t="inlineStr">
        <is>
          <t>20/06/2007</t>
        </is>
      </c>
      <c r="B719" s="28" t="n">
        <v>65.84999999999999</v>
      </c>
    </row>
    <row r="720">
      <c r="A720" s="66" t="inlineStr">
        <is>
          <t>21/06/2007</t>
        </is>
      </c>
      <c r="B720" s="28" t="n">
        <v>65.58</v>
      </c>
    </row>
    <row r="721">
      <c r="A721" s="66" t="inlineStr">
        <is>
          <t>22/06/2007</t>
        </is>
      </c>
      <c r="B721" s="28" t="n">
        <v>65.48</v>
      </c>
    </row>
    <row r="722">
      <c r="A722" s="66" t="inlineStr">
        <is>
          <t>25/06/2007</t>
        </is>
      </c>
      <c r="B722" s="28" t="n">
        <v>65.11</v>
      </c>
    </row>
    <row r="723">
      <c r="A723" s="66" t="inlineStr">
        <is>
          <t>26/06/2007</t>
        </is>
      </c>
      <c r="B723" s="28" t="n">
        <v>64.54000000000001</v>
      </c>
    </row>
    <row r="724">
      <c r="A724" s="66" t="inlineStr">
        <is>
          <t>27/06/2007</t>
        </is>
      </c>
      <c r="B724" s="28" t="n">
        <v>64.61</v>
      </c>
    </row>
    <row r="725">
      <c r="A725" s="66" t="inlineStr">
        <is>
          <t>28/06/2007</t>
        </is>
      </c>
      <c r="B725" s="28" t="n">
        <v>64.06999999999999</v>
      </c>
    </row>
    <row r="726">
      <c r="A726" s="66" t="inlineStr">
        <is>
          <t>29/06/2007</t>
        </is>
      </c>
      <c r="B726" s="28" t="n">
        <v>63.87</v>
      </c>
    </row>
    <row r="727">
      <c r="A727" s="66" t="inlineStr">
        <is>
          <t>02/07/2007</t>
        </is>
      </c>
      <c r="B727" s="28" t="n">
        <v>63.69</v>
      </c>
    </row>
    <row r="728">
      <c r="A728" s="66" t="inlineStr">
        <is>
          <t>03/07/2007</t>
        </is>
      </c>
      <c r="B728" s="28" t="n">
        <v>63.39</v>
      </c>
    </row>
    <row r="729">
      <c r="A729" s="66" t="inlineStr">
        <is>
          <t>04/07/2007</t>
        </is>
      </c>
      <c r="B729" s="28" t="n">
        <v>63.15</v>
      </c>
    </row>
    <row r="730">
      <c r="A730" s="66" t="inlineStr">
        <is>
          <t>05/07/2007</t>
        </is>
      </c>
      <c r="B730" s="28" t="n">
        <v>62.88</v>
      </c>
    </row>
    <row r="731">
      <c r="A731" s="66" t="inlineStr">
        <is>
          <t>06/07/2007</t>
        </is>
      </c>
      <c r="B731" s="28" t="n">
        <v>62.78</v>
      </c>
    </row>
    <row r="732">
      <c r="A732" s="66" t="inlineStr">
        <is>
          <t>10/07/2007</t>
        </is>
      </c>
      <c r="B732" s="28" t="n">
        <v>62.45</v>
      </c>
    </row>
    <row r="733">
      <c r="A733" s="66" t="inlineStr">
        <is>
          <t>11/07/2007</t>
        </is>
      </c>
      <c r="B733" s="28" t="n">
        <v>62.62</v>
      </c>
    </row>
    <row r="734">
      <c r="A734" s="66" t="inlineStr">
        <is>
          <t>12/07/2007</t>
        </is>
      </c>
      <c r="B734" s="28" t="n">
        <v>62.72</v>
      </c>
    </row>
    <row r="735">
      <c r="A735" s="66" t="inlineStr">
        <is>
          <t>13/07/2007</t>
        </is>
      </c>
      <c r="B735" s="28" t="n">
        <v>62.48</v>
      </c>
    </row>
    <row r="736">
      <c r="A736" s="66" t="inlineStr">
        <is>
          <t>16/07/2007</t>
        </is>
      </c>
      <c r="B736" s="28" t="n">
        <v>62.52</v>
      </c>
    </row>
    <row r="737">
      <c r="A737" s="66" t="inlineStr">
        <is>
          <t>17/07/2007</t>
        </is>
      </c>
      <c r="B737" s="28" t="n">
        <v>62.78</v>
      </c>
    </row>
    <row r="738">
      <c r="A738" s="66" t="inlineStr">
        <is>
          <t>18/07/2007</t>
        </is>
      </c>
      <c r="B738" s="28" t="n">
        <v>63.09</v>
      </c>
    </row>
    <row r="739">
      <c r="A739" s="66" t="inlineStr">
        <is>
          <t>19/07/2007</t>
        </is>
      </c>
      <c r="B739" s="28" t="n">
        <v>63.52</v>
      </c>
    </row>
    <row r="740">
      <c r="A740" s="66" t="inlineStr">
        <is>
          <t>20/07/2007</t>
        </is>
      </c>
      <c r="B740" s="28" t="n">
        <v>63.72</v>
      </c>
    </row>
    <row r="741">
      <c r="A741" s="66" t="inlineStr">
        <is>
          <t>23/07/2007</t>
        </is>
      </c>
      <c r="B741" s="28" t="n">
        <v>64.19</v>
      </c>
    </row>
    <row r="742">
      <c r="A742" s="66" t="inlineStr">
        <is>
          <t>24/07/2007</t>
        </is>
      </c>
      <c r="B742" s="28" t="n">
        <v>64.48999999999999</v>
      </c>
    </row>
    <row r="743">
      <c r="A743" s="66" t="inlineStr">
        <is>
          <t>25/07/2007</t>
        </is>
      </c>
      <c r="B743" s="28" t="n">
        <v>64.53</v>
      </c>
    </row>
    <row r="744">
      <c r="A744" s="66" t="inlineStr">
        <is>
          <t>26/07/2007</t>
        </is>
      </c>
      <c r="B744" s="28" t="n">
        <v>64.76000000000001</v>
      </c>
    </row>
    <row r="745">
      <c r="A745" s="66" t="inlineStr">
        <is>
          <t>27/07/2007</t>
        </is>
      </c>
      <c r="B745" s="28" t="n">
        <v>64.89</v>
      </c>
    </row>
    <row r="746">
      <c r="A746" s="66" t="inlineStr">
        <is>
          <t>30/07/2007</t>
        </is>
      </c>
      <c r="B746" s="28" t="n">
        <v>64.95999999999999</v>
      </c>
    </row>
    <row r="747">
      <c r="A747" s="66" t="inlineStr">
        <is>
          <t>31/07/2007</t>
        </is>
      </c>
      <c r="B747" s="28" t="n">
        <v>65.03</v>
      </c>
    </row>
    <row r="748">
      <c r="A748" s="66" t="inlineStr">
        <is>
          <t>01/08/2007</t>
        </is>
      </c>
      <c r="B748" s="28" t="n">
        <v>64.98999999999999</v>
      </c>
    </row>
    <row r="749">
      <c r="A749" s="66" t="inlineStr">
        <is>
          <t>02/08/2007</t>
        </is>
      </c>
      <c r="B749" s="28" t="n">
        <v>65.66</v>
      </c>
    </row>
    <row r="750">
      <c r="A750" s="66" t="inlineStr">
        <is>
          <t>03/08/2007</t>
        </is>
      </c>
      <c r="B750" s="28" t="n">
        <v>66.65000000000001</v>
      </c>
    </row>
    <row r="751">
      <c r="A751" s="66" t="inlineStr">
        <is>
          <t>06/08/2007</t>
        </is>
      </c>
      <c r="B751" s="28" t="n">
        <v>67.22</v>
      </c>
    </row>
    <row r="752">
      <c r="A752" s="66" t="inlineStr">
        <is>
          <t>07/08/2007</t>
        </is>
      </c>
      <c r="B752" s="28" t="n">
        <v>68.11</v>
      </c>
    </row>
    <row r="753">
      <c r="A753" s="66" t="inlineStr">
        <is>
          <t>08/08/2007</t>
        </is>
      </c>
      <c r="B753" s="28" t="n">
        <v>69.11</v>
      </c>
    </row>
    <row r="754">
      <c r="A754" s="66" t="inlineStr">
        <is>
          <t>09/08/2007</t>
        </is>
      </c>
      <c r="B754" s="28" t="n">
        <v>68.81</v>
      </c>
    </row>
    <row r="755">
      <c r="A755" s="66" t="inlineStr">
        <is>
          <t>10/08/2007</t>
        </is>
      </c>
      <c r="B755" s="28" t="n">
        <v>69.77</v>
      </c>
    </row>
    <row r="756">
      <c r="A756" s="66" t="inlineStr">
        <is>
          <t>13/08/2007</t>
        </is>
      </c>
      <c r="B756" s="28" t="n">
        <v>71.23</v>
      </c>
    </row>
    <row r="757">
      <c r="A757" s="66" t="inlineStr">
        <is>
          <t>14/08/2007</t>
        </is>
      </c>
      <c r="B757" s="28" t="n">
        <v>72.36</v>
      </c>
    </row>
    <row r="758">
      <c r="A758" s="66" t="inlineStr">
        <is>
          <t>15/08/2007</t>
        </is>
      </c>
      <c r="B758" s="28" t="n">
        <v>73.45</v>
      </c>
    </row>
    <row r="759">
      <c r="A759" s="66" t="inlineStr">
        <is>
          <t>16/08/2007</t>
        </is>
      </c>
      <c r="B759" s="28" t="n">
        <v>74.62</v>
      </c>
    </row>
    <row r="760">
      <c r="A760" s="66" t="inlineStr">
        <is>
          <t>17/08/2007</t>
        </is>
      </c>
      <c r="B760" s="28" t="n">
        <v>76.87</v>
      </c>
    </row>
    <row r="761">
      <c r="A761" s="66" t="inlineStr">
        <is>
          <t>20/08/2007</t>
        </is>
      </c>
      <c r="B761" s="28" t="n">
        <v>77.09999999999999</v>
      </c>
    </row>
    <row r="762">
      <c r="A762" s="66" t="inlineStr">
        <is>
          <t>21/08/2007</t>
        </is>
      </c>
      <c r="B762" s="28" t="n">
        <v>77.7</v>
      </c>
    </row>
    <row r="763">
      <c r="A763" s="66" t="inlineStr">
        <is>
          <t>22/08/2007</t>
        </is>
      </c>
      <c r="B763" s="28" t="n">
        <v>77.77</v>
      </c>
    </row>
    <row r="764">
      <c r="A764" s="66" t="inlineStr">
        <is>
          <t>23/08/2007</t>
        </is>
      </c>
      <c r="B764" s="28" t="n">
        <v>77.47</v>
      </c>
    </row>
    <row r="765">
      <c r="A765" s="66" t="inlineStr">
        <is>
          <t>24/08/2007</t>
        </is>
      </c>
      <c r="B765" s="28" t="n">
        <v>77.44</v>
      </c>
    </row>
    <row r="766">
      <c r="A766" s="66" t="inlineStr">
        <is>
          <t>27/08/2007</t>
        </is>
      </c>
      <c r="B766" s="28" t="n">
        <v>77.40000000000001</v>
      </c>
    </row>
    <row r="767">
      <c r="A767" s="66" t="inlineStr">
        <is>
          <t>28/08/2007</t>
        </is>
      </c>
      <c r="B767" s="28" t="n">
        <v>78</v>
      </c>
    </row>
    <row r="768">
      <c r="A768" s="66" t="inlineStr">
        <is>
          <t>29/08/2007</t>
        </is>
      </c>
      <c r="B768" s="28" t="n">
        <v>78.66</v>
      </c>
    </row>
    <row r="769">
      <c r="A769" s="66" t="inlineStr">
        <is>
          <t>30/08/2007</t>
        </is>
      </c>
      <c r="B769" s="28" t="n">
        <v>79.29000000000001</v>
      </c>
    </row>
    <row r="770">
      <c r="A770" s="66" t="inlineStr">
        <is>
          <t>31/08/2007</t>
        </is>
      </c>
      <c r="B770" s="28" t="n">
        <v>79.23</v>
      </c>
    </row>
    <row r="771">
      <c r="A771" s="66" t="inlineStr">
        <is>
          <t>03/09/2007</t>
        </is>
      </c>
      <c r="B771" s="28" t="n">
        <v>79.45999999999999</v>
      </c>
    </row>
    <row r="772">
      <c r="A772" s="66" t="inlineStr">
        <is>
          <t>04/09/2007</t>
        </is>
      </c>
      <c r="B772" s="28" t="n">
        <v>81.45999999999999</v>
      </c>
    </row>
    <row r="773">
      <c r="A773" s="66" t="inlineStr">
        <is>
          <t>05/09/2007</t>
        </is>
      </c>
      <c r="B773" s="28" t="n">
        <v>83.36</v>
      </c>
    </row>
    <row r="774">
      <c r="A774" s="66" t="inlineStr">
        <is>
          <t>06/09/2007</t>
        </is>
      </c>
      <c r="B774" s="28" t="n">
        <v>84.7</v>
      </c>
    </row>
    <row r="775">
      <c r="A775" s="66" t="inlineStr">
        <is>
          <t>10/09/2007</t>
        </is>
      </c>
      <c r="B775" s="28" t="n">
        <v>86.59999999999999</v>
      </c>
    </row>
    <row r="776">
      <c r="A776" s="66" t="inlineStr">
        <is>
          <t>11/09/2007</t>
        </is>
      </c>
      <c r="B776" s="28" t="n">
        <v>87.55</v>
      </c>
    </row>
    <row r="777">
      <c r="A777" s="66" t="inlineStr">
        <is>
          <t>12/09/2007</t>
        </is>
      </c>
      <c r="B777" s="28" t="n">
        <v>87.91</v>
      </c>
    </row>
    <row r="778">
      <c r="A778" s="66" t="inlineStr">
        <is>
          <t>13/09/2007</t>
        </is>
      </c>
      <c r="B778" s="28" t="n">
        <v>89.09</v>
      </c>
    </row>
    <row r="779">
      <c r="A779" s="66" t="inlineStr">
        <is>
          <t>14/09/2007</t>
        </is>
      </c>
      <c r="B779" s="28" t="n">
        <v>90.04000000000001</v>
      </c>
    </row>
    <row r="780">
      <c r="A780" s="66" t="inlineStr">
        <is>
          <t>17/09/2007</t>
        </is>
      </c>
      <c r="B780" s="28" t="n">
        <v>90.27</v>
      </c>
    </row>
    <row r="781">
      <c r="A781" s="66" t="inlineStr">
        <is>
          <t>18/09/2007</t>
        </is>
      </c>
      <c r="B781" s="28" t="n">
        <v>90.5</v>
      </c>
    </row>
    <row r="782">
      <c r="A782" s="66" t="inlineStr">
        <is>
          <t>19/09/2007</t>
        </is>
      </c>
      <c r="B782" s="28" t="n">
        <v>90.17</v>
      </c>
    </row>
    <row r="783">
      <c r="A783" s="66" t="inlineStr">
        <is>
          <t>20/09/2007</t>
        </is>
      </c>
      <c r="B783" s="28" t="n">
        <v>91.03</v>
      </c>
    </row>
    <row r="784">
      <c r="A784" s="66" t="inlineStr">
        <is>
          <t>21/09/2007</t>
        </is>
      </c>
      <c r="B784" s="28" t="n">
        <v>90.63</v>
      </c>
    </row>
    <row r="785">
      <c r="A785" s="66" t="inlineStr">
        <is>
          <t>24/09/2007</t>
        </is>
      </c>
      <c r="B785" s="28" t="n">
        <v>92.23999999999999</v>
      </c>
    </row>
    <row r="786">
      <c r="A786" s="66" t="inlineStr">
        <is>
          <t>25/09/2007</t>
        </is>
      </c>
      <c r="B786" s="28" t="n">
        <v>91.84</v>
      </c>
    </row>
    <row r="787">
      <c r="A787" s="66" t="inlineStr">
        <is>
          <t>26/09/2007</t>
        </is>
      </c>
      <c r="B787" s="28" t="n">
        <v>90.76000000000001</v>
      </c>
    </row>
    <row r="788">
      <c r="A788" s="66" t="inlineStr">
        <is>
          <t>27/09/2007</t>
        </is>
      </c>
      <c r="B788" s="28" t="n">
        <v>90.34</v>
      </c>
    </row>
    <row r="789">
      <c r="A789" s="66" t="inlineStr">
        <is>
          <t>28/09/2007</t>
        </is>
      </c>
      <c r="B789" s="28" t="n">
        <v>89.48999999999999</v>
      </c>
    </row>
    <row r="790">
      <c r="A790" s="66" t="inlineStr">
        <is>
          <t>01/10/2007</t>
        </is>
      </c>
      <c r="B790" s="28" t="n">
        <v>87.84</v>
      </c>
    </row>
    <row r="791">
      <c r="A791" s="66" t="inlineStr">
        <is>
          <t>02/10/2007</t>
        </is>
      </c>
      <c r="B791" s="28" t="n">
        <v>87.42</v>
      </c>
    </row>
    <row r="792">
      <c r="A792" s="66" t="inlineStr">
        <is>
          <t>03/10/2007</t>
        </is>
      </c>
      <c r="B792" s="28" t="n">
        <v>87.23</v>
      </c>
    </row>
    <row r="793">
      <c r="A793" s="66" t="inlineStr">
        <is>
          <t>04/10/2007</t>
        </is>
      </c>
      <c r="B793" s="28" t="n">
        <v>86.81</v>
      </c>
    </row>
    <row r="794">
      <c r="A794" s="66" t="inlineStr">
        <is>
          <t>05/10/2007</t>
        </is>
      </c>
      <c r="B794" s="28" t="n">
        <v>86.87</v>
      </c>
    </row>
    <row r="795">
      <c r="A795" s="66" t="inlineStr">
        <is>
          <t>08/10/2007</t>
        </is>
      </c>
      <c r="B795" s="28" t="n">
        <v>86.61</v>
      </c>
    </row>
    <row r="796">
      <c r="A796" s="66" t="inlineStr">
        <is>
          <t>09/10/2007</t>
        </is>
      </c>
      <c r="B796" s="28" t="n">
        <v>86.70999999999999</v>
      </c>
    </row>
    <row r="797">
      <c r="A797" s="66" t="inlineStr">
        <is>
          <t>10/10/2007</t>
        </is>
      </c>
      <c r="B797" s="28" t="n">
        <v>85.95999999999999</v>
      </c>
    </row>
    <row r="798">
      <c r="A798" s="66" t="inlineStr">
        <is>
          <t>11/10/2007</t>
        </is>
      </c>
      <c r="B798" s="28" t="n">
        <v>86.09</v>
      </c>
    </row>
    <row r="799">
      <c r="A799" s="66" t="inlineStr">
        <is>
          <t>15/10/2007</t>
        </is>
      </c>
      <c r="B799" s="28" t="n">
        <v>86.51000000000001</v>
      </c>
    </row>
    <row r="800">
      <c r="A800" s="66" t="inlineStr">
        <is>
          <t>16/10/2007</t>
        </is>
      </c>
      <c r="B800" s="28" t="n">
        <v>86.94</v>
      </c>
    </row>
    <row r="801">
      <c r="A801" s="66" t="inlineStr">
        <is>
          <t>17/10/2007</t>
        </is>
      </c>
      <c r="B801" s="28" t="n">
        <v>87.13</v>
      </c>
    </row>
    <row r="802">
      <c r="A802" s="66" t="inlineStr">
        <is>
          <t>18/10/2007</t>
        </is>
      </c>
      <c r="B802" s="28" t="n">
        <v>88.04000000000001</v>
      </c>
    </row>
    <row r="803">
      <c r="A803" s="66" t="inlineStr">
        <is>
          <t>19/10/2007</t>
        </is>
      </c>
      <c r="B803" s="28" t="n">
        <v>88.23</v>
      </c>
    </row>
    <row r="804">
      <c r="A804" s="66" t="inlineStr">
        <is>
          <t>22/10/2007</t>
        </is>
      </c>
      <c r="B804" s="28" t="n">
        <v>88.59</v>
      </c>
    </row>
    <row r="805">
      <c r="A805" s="66" t="inlineStr">
        <is>
          <t>23/10/2007</t>
        </is>
      </c>
      <c r="B805" s="28" t="n">
        <v>90.08</v>
      </c>
    </row>
    <row r="806">
      <c r="A806" s="66" t="inlineStr">
        <is>
          <t>24/10/2007</t>
        </is>
      </c>
      <c r="B806" s="28" t="n">
        <v>90.89</v>
      </c>
    </row>
    <row r="807">
      <c r="A807" s="66" t="inlineStr">
        <is>
          <t>25/10/2007</t>
        </is>
      </c>
      <c r="B807" s="28" t="n">
        <v>91.56999999999999</v>
      </c>
    </row>
    <row r="808">
      <c r="A808" s="66" t="inlineStr">
        <is>
          <t>26/10/2007</t>
        </is>
      </c>
      <c r="B808" s="28" t="n">
        <v>91.31</v>
      </c>
    </row>
    <row r="809">
      <c r="A809" s="66" t="inlineStr">
        <is>
          <t>29/10/2007</t>
        </is>
      </c>
      <c r="B809" s="28" t="n">
        <v>92.38</v>
      </c>
    </row>
    <row r="810">
      <c r="A810" s="66" t="inlineStr">
        <is>
          <t>30/10/2007</t>
        </is>
      </c>
      <c r="B810" s="28" t="n">
        <v>93.65000000000001</v>
      </c>
    </row>
    <row r="811">
      <c r="A811" s="66" t="inlineStr">
        <is>
          <t>31/10/2007</t>
        </is>
      </c>
      <c r="B811" s="28" t="n">
        <v>94.42</v>
      </c>
    </row>
    <row r="812">
      <c r="A812" s="66" t="inlineStr">
        <is>
          <t>01/11/2007</t>
        </is>
      </c>
      <c r="B812" s="28" t="n">
        <v>94.52</v>
      </c>
    </row>
    <row r="813">
      <c r="A813" s="66" t="inlineStr">
        <is>
          <t>05/11/2007</t>
        </is>
      </c>
      <c r="B813" s="28" t="n">
        <v>94.61</v>
      </c>
    </row>
    <row r="814">
      <c r="A814" s="66" t="inlineStr">
        <is>
          <t>06/11/2007</t>
        </is>
      </c>
      <c r="B814" s="28" t="n">
        <v>96.55</v>
      </c>
    </row>
    <row r="815">
      <c r="A815" s="66" t="inlineStr">
        <is>
          <t>07/11/2007</t>
        </is>
      </c>
      <c r="B815" s="28" t="n">
        <v>97.77</v>
      </c>
    </row>
    <row r="816">
      <c r="A816" s="66" t="inlineStr">
        <is>
          <t>08/11/2007</t>
        </is>
      </c>
      <c r="B816" s="28" t="n">
        <v>98.86</v>
      </c>
    </row>
    <row r="817">
      <c r="A817" s="66" t="inlineStr">
        <is>
          <t>09/11/2007</t>
        </is>
      </c>
      <c r="B817" s="28" t="n">
        <v>98.77</v>
      </c>
    </row>
    <row r="818">
      <c r="A818" s="66" t="inlineStr">
        <is>
          <t>12/11/2007</t>
        </is>
      </c>
      <c r="B818" s="28" t="n">
        <v>99.38</v>
      </c>
    </row>
    <row r="819">
      <c r="A819" s="66" t="inlineStr">
        <is>
          <t>13/11/2007</t>
        </is>
      </c>
      <c r="B819" s="28" t="n">
        <v>99.89</v>
      </c>
    </row>
    <row r="820">
      <c r="A820" s="66" t="inlineStr">
        <is>
          <t>14/11/2007</t>
        </is>
      </c>
      <c r="B820" s="28" t="n">
        <v>100.05</v>
      </c>
    </row>
    <row r="821">
      <c r="A821" s="66" t="inlineStr">
        <is>
          <t>16/11/2007</t>
        </is>
      </c>
      <c r="B821" s="28" t="n">
        <v>100.31</v>
      </c>
    </row>
    <row r="822">
      <c r="A822" s="66" t="inlineStr">
        <is>
          <t>19/11/2007</t>
        </is>
      </c>
      <c r="B822" s="28" t="n">
        <v>102.02</v>
      </c>
    </row>
    <row r="823">
      <c r="A823" s="66" t="inlineStr">
        <is>
          <t>20/11/2007</t>
        </is>
      </c>
      <c r="B823" s="28" t="n">
        <v>101.95</v>
      </c>
    </row>
    <row r="824">
      <c r="A824" s="66" t="inlineStr">
        <is>
          <t>21/11/2007</t>
        </is>
      </c>
      <c r="B824" s="28" t="n">
        <v>103.27</v>
      </c>
    </row>
    <row r="825">
      <c r="A825" s="66" t="inlineStr">
        <is>
          <t>22/11/2007</t>
        </is>
      </c>
      <c r="B825" s="28" t="n">
        <v>104.37</v>
      </c>
    </row>
    <row r="826">
      <c r="A826" s="66" t="inlineStr">
        <is>
          <t>23/11/2007</t>
        </is>
      </c>
      <c r="B826" s="28" t="n">
        <v>105.43</v>
      </c>
    </row>
    <row r="827">
      <c r="A827" s="66" t="inlineStr">
        <is>
          <t>26/11/2007</t>
        </is>
      </c>
      <c r="B827" s="28" t="n">
        <v>105.98</v>
      </c>
    </row>
    <row r="828">
      <c r="A828" s="66" t="inlineStr">
        <is>
          <t>27/11/2007</t>
        </is>
      </c>
      <c r="B828" s="28" t="n">
        <v>108.87</v>
      </c>
    </row>
    <row r="829">
      <c r="A829" s="66" t="inlineStr">
        <is>
          <t>28/11/2007</t>
        </is>
      </c>
      <c r="B829" s="28" t="n">
        <v>109.13</v>
      </c>
    </row>
    <row r="830">
      <c r="A830" s="66" t="inlineStr">
        <is>
          <t>29/11/2007</t>
        </is>
      </c>
      <c r="B830" s="28" t="n">
        <v>109.33</v>
      </c>
    </row>
    <row r="831">
      <c r="A831" s="66" t="inlineStr">
        <is>
          <t>30/11/2007</t>
        </is>
      </c>
      <c r="B831" s="28" t="n">
        <v>111.1</v>
      </c>
    </row>
    <row r="832">
      <c r="A832" s="66" t="inlineStr">
        <is>
          <t>03/12/2007</t>
        </is>
      </c>
      <c r="B832" s="28" t="n">
        <v>109.05</v>
      </c>
    </row>
    <row r="833">
      <c r="A833" s="66" t="inlineStr">
        <is>
          <t>04/12/2007</t>
        </is>
      </c>
      <c r="B833" s="28" t="n">
        <v>109.21</v>
      </c>
    </row>
    <row r="834">
      <c r="A834" s="66" t="inlineStr">
        <is>
          <t>05/12/2007</t>
        </is>
      </c>
      <c r="B834" s="28" t="n">
        <v>109.4</v>
      </c>
    </row>
    <row r="835">
      <c r="A835" s="66" t="inlineStr">
        <is>
          <t>06/12/2007</t>
        </is>
      </c>
      <c r="B835" s="28" t="n">
        <v>109.52</v>
      </c>
    </row>
    <row r="836">
      <c r="A836" s="66" t="inlineStr">
        <is>
          <t>07/12/2007</t>
        </is>
      </c>
      <c r="B836" s="28" t="n">
        <v>109.3</v>
      </c>
    </row>
    <row r="837">
      <c r="A837" s="66" t="inlineStr">
        <is>
          <t>10/12/2007</t>
        </is>
      </c>
      <c r="B837" s="28" t="n">
        <v>109.27</v>
      </c>
    </row>
    <row r="838">
      <c r="A838" s="66" t="inlineStr">
        <is>
          <t>11/12/2007</t>
        </is>
      </c>
      <c r="B838" s="28" t="n">
        <v>109.02</v>
      </c>
    </row>
    <row r="839">
      <c r="A839" s="66" t="inlineStr">
        <is>
          <t>12/12/2007</t>
        </is>
      </c>
      <c r="B839" s="28" t="n">
        <v>108.61</v>
      </c>
    </row>
    <row r="840">
      <c r="A840" s="66" t="inlineStr">
        <is>
          <t>13/12/2007</t>
        </is>
      </c>
      <c r="B840" s="28" t="n">
        <v>107.34</v>
      </c>
    </row>
    <row r="841">
      <c r="A841" s="66" t="inlineStr">
        <is>
          <t>14/12/2007</t>
        </is>
      </c>
      <c r="B841" s="28" t="n">
        <v>106.8</v>
      </c>
    </row>
    <row r="842">
      <c r="A842" s="66" t="inlineStr">
        <is>
          <t>17/12/2007</t>
        </is>
      </c>
      <c r="B842" s="28" t="n">
        <v>106.33</v>
      </c>
    </row>
    <row r="843">
      <c r="A843" s="66" t="inlineStr">
        <is>
          <t>18/12/2007</t>
        </is>
      </c>
      <c r="B843" s="28" t="n">
        <v>105.41</v>
      </c>
    </row>
    <row r="844">
      <c r="A844" s="66" t="inlineStr">
        <is>
          <t>19/12/2007</t>
        </is>
      </c>
      <c r="B844" s="28" t="n">
        <v>105.22</v>
      </c>
    </row>
    <row r="845">
      <c r="A845" s="66" t="inlineStr">
        <is>
          <t>20/12/2007</t>
        </is>
      </c>
      <c r="B845" s="28" t="n">
        <v>104.9</v>
      </c>
    </row>
    <row r="846">
      <c r="A846" s="66" t="inlineStr">
        <is>
          <t>21/12/2007</t>
        </is>
      </c>
      <c r="B846" s="28" t="n">
        <v>104.49</v>
      </c>
    </row>
    <row r="847">
      <c r="A847" s="66" t="inlineStr">
        <is>
          <t>26/12/2007</t>
        </is>
      </c>
      <c r="B847" s="28" t="n">
        <v>103.58</v>
      </c>
    </row>
    <row r="848">
      <c r="A848" s="66" t="inlineStr">
        <is>
          <t>27/12/2007</t>
        </is>
      </c>
      <c r="B848" s="28" t="n">
        <v>103.45</v>
      </c>
    </row>
    <row r="849">
      <c r="A849" s="66" t="inlineStr">
        <is>
          <t>28/12/2007</t>
        </is>
      </c>
      <c r="B849" s="28" t="n">
        <v>103.54</v>
      </c>
    </row>
    <row r="850">
      <c r="A850" s="66" t="inlineStr">
        <is>
          <t>02/01/2008</t>
        </is>
      </c>
      <c r="B850" s="28" t="n">
        <v>102.58</v>
      </c>
    </row>
    <row r="851">
      <c r="A851" s="66" t="inlineStr">
        <is>
          <t>03/01/2008</t>
        </is>
      </c>
      <c r="B851" s="28" t="n">
        <v>103.02</v>
      </c>
    </row>
    <row r="852">
      <c r="A852" s="66" t="inlineStr">
        <is>
          <t>04/01/2008</t>
        </is>
      </c>
      <c r="B852" s="28" t="n">
        <v>103.12</v>
      </c>
    </row>
    <row r="853">
      <c r="A853" s="66" t="inlineStr">
        <is>
          <t>07/01/2008</t>
        </is>
      </c>
      <c r="B853" s="28" t="n">
        <v>103.52</v>
      </c>
    </row>
    <row r="854">
      <c r="A854" s="66" t="inlineStr">
        <is>
          <t>08/01/2008</t>
        </is>
      </c>
      <c r="B854" s="28" t="n">
        <v>102.55</v>
      </c>
    </row>
    <row r="855">
      <c r="A855" s="66" t="inlineStr">
        <is>
          <t>09/01/2008</t>
        </is>
      </c>
      <c r="B855" s="28" t="n">
        <v>102.58</v>
      </c>
    </row>
    <row r="856">
      <c r="A856" s="66" t="inlineStr">
        <is>
          <t>10/01/2008</t>
        </is>
      </c>
      <c r="B856" s="28" t="n">
        <v>102.11</v>
      </c>
    </row>
    <row r="857">
      <c r="A857" s="66" t="inlineStr">
        <is>
          <t>11/01/2008</t>
        </is>
      </c>
      <c r="B857" s="28" t="n">
        <v>101.8</v>
      </c>
    </row>
    <row r="858">
      <c r="A858" s="66" t="inlineStr">
        <is>
          <t>14/01/2008</t>
        </is>
      </c>
      <c r="B858" s="28" t="n">
        <v>100.74</v>
      </c>
    </row>
    <row r="859">
      <c r="A859" s="66" t="inlineStr">
        <is>
          <t>15/01/2008</t>
        </is>
      </c>
      <c r="B859" s="28" t="n">
        <v>99.95</v>
      </c>
    </row>
    <row r="860">
      <c r="A860" s="66" t="inlineStr">
        <is>
          <t>16/01/2008</t>
        </is>
      </c>
      <c r="B860" s="28" t="n">
        <v>99.39</v>
      </c>
    </row>
    <row r="861">
      <c r="A861" s="66" t="inlineStr">
        <is>
          <t>17/01/2008</t>
        </is>
      </c>
      <c r="B861" s="28" t="n">
        <v>96.2</v>
      </c>
    </row>
    <row r="862">
      <c r="A862" s="66" t="inlineStr">
        <is>
          <t>18/01/2008</t>
        </is>
      </c>
      <c r="B862" s="28" t="n">
        <v>94.88</v>
      </c>
    </row>
    <row r="863">
      <c r="A863" s="66" t="inlineStr">
        <is>
          <t>21/01/2008</t>
        </is>
      </c>
      <c r="B863" s="28" t="n">
        <v>93.56999999999999</v>
      </c>
    </row>
    <row r="864">
      <c r="A864" s="66" t="inlineStr">
        <is>
          <t>22/01/2008</t>
        </is>
      </c>
      <c r="B864" s="28" t="n">
        <v>92.56999999999999</v>
      </c>
    </row>
    <row r="865">
      <c r="A865" s="66" t="inlineStr">
        <is>
          <t>23/01/2008</t>
        </is>
      </c>
      <c r="B865" s="28" t="n">
        <v>91.54000000000001</v>
      </c>
    </row>
    <row r="866">
      <c r="A866" s="66" t="inlineStr">
        <is>
          <t>24/01/2008</t>
        </is>
      </c>
      <c r="B866" s="28" t="n">
        <v>90.56999999999999</v>
      </c>
    </row>
    <row r="867">
      <c r="A867" s="66" t="inlineStr">
        <is>
          <t>25/01/2008</t>
        </is>
      </c>
      <c r="B867" s="28" t="n">
        <v>90.19</v>
      </c>
    </row>
    <row r="868">
      <c r="A868" s="66" t="inlineStr">
        <is>
          <t>28/01/2008</t>
        </is>
      </c>
      <c r="B868" s="28" t="n">
        <v>90.16</v>
      </c>
    </row>
    <row r="869">
      <c r="A869" s="66" t="inlineStr">
        <is>
          <t>29/01/2008</t>
        </is>
      </c>
      <c r="B869" s="28" t="n">
        <v>89.94</v>
      </c>
    </row>
    <row r="870">
      <c r="A870" s="66" t="inlineStr">
        <is>
          <t>30/01/2008</t>
        </is>
      </c>
      <c r="B870" s="28" t="n">
        <v>89.31</v>
      </c>
    </row>
    <row r="871">
      <c r="A871" s="66" t="inlineStr">
        <is>
          <t>31/01/2008</t>
        </is>
      </c>
      <c r="B871" s="28" t="n">
        <v>88.91</v>
      </c>
    </row>
    <row r="872">
      <c r="A872" s="66" t="inlineStr">
        <is>
          <t>01/02/2008</t>
        </is>
      </c>
      <c r="B872" s="28" t="n">
        <v>87.97</v>
      </c>
    </row>
    <row r="873">
      <c r="A873" s="66" t="inlineStr">
        <is>
          <t>06/02/2008</t>
        </is>
      </c>
      <c r="B873" s="28" t="n">
        <v>87.29000000000001</v>
      </c>
    </row>
    <row r="874">
      <c r="A874" s="66" t="inlineStr">
        <is>
          <t>07/02/2008</t>
        </is>
      </c>
      <c r="B874" s="28" t="n">
        <v>86.2</v>
      </c>
    </row>
    <row r="875">
      <c r="A875" s="66" t="inlineStr">
        <is>
          <t>08/02/2008</t>
        </is>
      </c>
      <c r="B875" s="28" t="n">
        <v>85.98</v>
      </c>
    </row>
    <row r="876">
      <c r="A876" s="66" t="inlineStr">
        <is>
          <t>11/02/2008</t>
        </is>
      </c>
      <c r="B876" s="28" t="n">
        <v>85.79000000000001</v>
      </c>
    </row>
    <row r="877">
      <c r="A877" s="66" t="inlineStr">
        <is>
          <t>12/02/2008</t>
        </is>
      </c>
      <c r="B877" s="28" t="n">
        <v>85.81999999999999</v>
      </c>
    </row>
    <row r="878">
      <c r="A878" s="66" t="inlineStr">
        <is>
          <t>13/02/2008</t>
        </is>
      </c>
      <c r="B878" s="28" t="n">
        <v>86.09999999999999</v>
      </c>
    </row>
    <row r="879">
      <c r="A879" s="66" t="inlineStr">
        <is>
          <t>14/02/2008</t>
        </is>
      </c>
      <c r="B879" s="28" t="n">
        <v>86.14</v>
      </c>
    </row>
    <row r="880">
      <c r="A880" s="66" t="inlineStr">
        <is>
          <t>15/02/2008</t>
        </is>
      </c>
      <c r="B880" s="28" t="n">
        <v>85.98</v>
      </c>
    </row>
    <row r="881">
      <c r="A881" s="66" t="inlineStr">
        <is>
          <t>18/02/2008</t>
        </is>
      </c>
      <c r="B881" s="28" t="n">
        <v>85.92</v>
      </c>
    </row>
    <row r="882">
      <c r="A882" s="66" t="inlineStr">
        <is>
          <t>19/02/2008</t>
        </is>
      </c>
      <c r="B882" s="28" t="n">
        <v>86.2</v>
      </c>
    </row>
    <row r="883">
      <c r="A883" s="66" t="inlineStr">
        <is>
          <t>20/02/2008</t>
        </is>
      </c>
      <c r="B883" s="28" t="n">
        <v>86.29000000000001</v>
      </c>
    </row>
    <row r="884">
      <c r="A884" s="66" t="inlineStr">
        <is>
          <t>21/02/2008</t>
        </is>
      </c>
      <c r="B884" s="28" t="n">
        <v>86.45</v>
      </c>
    </row>
    <row r="885">
      <c r="A885" s="66" t="inlineStr">
        <is>
          <t>22/02/2008</t>
        </is>
      </c>
      <c r="B885" s="28" t="n">
        <v>86.34999999999999</v>
      </c>
    </row>
    <row r="886">
      <c r="A886" s="66" t="inlineStr">
        <is>
          <t>25/02/2008</t>
        </is>
      </c>
      <c r="B886" s="28" t="n">
        <v>86.04000000000001</v>
      </c>
    </row>
    <row r="887">
      <c r="A887" s="66" t="inlineStr">
        <is>
          <t>26/02/2008</t>
        </is>
      </c>
      <c r="B887" s="28" t="n">
        <v>86.2</v>
      </c>
    </row>
    <row r="888">
      <c r="A888" s="66" t="inlineStr">
        <is>
          <t>27/02/2008</t>
        </is>
      </c>
      <c r="B888" s="28" t="n">
        <v>87.16</v>
      </c>
    </row>
    <row r="889">
      <c r="A889" s="66" t="inlineStr">
        <is>
          <t>28/02/2008</t>
        </is>
      </c>
      <c r="B889" s="28" t="n">
        <v>87.51000000000001</v>
      </c>
    </row>
    <row r="890">
      <c r="A890" s="66" t="inlineStr">
        <is>
          <t>29/02/2008</t>
        </is>
      </c>
      <c r="B890" s="28" t="n">
        <v>88.5</v>
      </c>
    </row>
    <row r="891">
      <c r="A891" s="66" t="inlineStr">
        <is>
          <t>03/03/2008</t>
        </is>
      </c>
      <c r="B891" s="28" t="n">
        <v>87.76000000000001</v>
      </c>
    </row>
    <row r="892">
      <c r="A892" s="66" t="inlineStr">
        <is>
          <t>04/03/2008</t>
        </is>
      </c>
      <c r="B892" s="28" t="n">
        <v>88.81</v>
      </c>
    </row>
    <row r="893">
      <c r="A893" s="66" t="inlineStr">
        <is>
          <t>05/03/2008</t>
        </is>
      </c>
      <c r="B893" s="28" t="n">
        <v>88.13</v>
      </c>
    </row>
    <row r="894">
      <c r="A894" s="66" t="inlineStr">
        <is>
          <t>06/03/2008</t>
        </is>
      </c>
      <c r="B894" s="28" t="n">
        <v>87.39</v>
      </c>
    </row>
    <row r="895">
      <c r="A895" s="66" t="inlineStr">
        <is>
          <t>07/03/2008</t>
        </is>
      </c>
      <c r="B895" s="28" t="n">
        <v>85.22</v>
      </c>
    </row>
    <row r="896">
      <c r="A896" s="66" t="inlineStr">
        <is>
          <t>10/03/2008</t>
        </is>
      </c>
      <c r="B896" s="28" t="n">
        <v>85.5</v>
      </c>
    </row>
    <row r="897">
      <c r="A897" s="66" t="inlineStr">
        <is>
          <t>11/03/2008</t>
        </is>
      </c>
      <c r="B897" s="28" t="n">
        <v>84.73</v>
      </c>
    </row>
    <row r="898">
      <c r="A898" s="66" t="inlineStr">
        <is>
          <t>12/03/2008</t>
        </is>
      </c>
      <c r="B898" s="28" t="n">
        <v>83.56</v>
      </c>
    </row>
    <row r="899">
      <c r="A899" s="66" t="inlineStr">
        <is>
          <t>13/03/2008</t>
        </is>
      </c>
      <c r="B899" s="28" t="n">
        <v>83.56</v>
      </c>
    </row>
    <row r="900">
      <c r="A900" s="66" t="inlineStr">
        <is>
          <t>14/03/2008</t>
        </is>
      </c>
      <c r="B900" s="28" t="n">
        <v>83.56</v>
      </c>
    </row>
    <row r="901">
      <c r="A901" s="66" t="inlineStr">
        <is>
          <t>17/03/2008</t>
        </is>
      </c>
      <c r="B901" s="28" t="n">
        <v>84.58</v>
      </c>
    </row>
    <row r="902">
      <c r="A902" s="66" t="inlineStr">
        <is>
          <t>18/03/2008</t>
        </is>
      </c>
      <c r="B902" s="28" t="n">
        <v>83.95999999999999</v>
      </c>
    </row>
    <row r="903">
      <c r="A903" s="66" t="inlineStr">
        <is>
          <t>19/03/2008</t>
        </is>
      </c>
      <c r="B903" s="28" t="n">
        <v>83.77</v>
      </c>
    </row>
    <row r="904">
      <c r="A904" s="66" t="inlineStr">
        <is>
          <t>20/03/2008</t>
        </is>
      </c>
      <c r="B904" s="28" t="n">
        <v>83.09</v>
      </c>
    </row>
    <row r="905">
      <c r="A905" s="66" t="inlineStr">
        <is>
          <t>24/03/2008</t>
        </is>
      </c>
      <c r="B905" s="28" t="n">
        <v>82.34999999999999</v>
      </c>
    </row>
    <row r="906">
      <c r="A906" s="66" t="inlineStr">
        <is>
          <t>25/03/2008</t>
        </is>
      </c>
      <c r="B906" s="28" t="n">
        <v>81.20999999999999</v>
      </c>
    </row>
    <row r="907">
      <c r="A907" s="66" t="inlineStr">
        <is>
          <t>26/03/2008</t>
        </is>
      </c>
      <c r="B907" s="28" t="n">
        <v>81.15000000000001</v>
      </c>
    </row>
    <row r="908">
      <c r="A908" s="66" t="inlineStr">
        <is>
          <t>27/03/2008</t>
        </is>
      </c>
      <c r="B908" s="28" t="n">
        <v>80.90000000000001</v>
      </c>
    </row>
    <row r="909">
      <c r="A909" s="66" t="inlineStr">
        <is>
          <t>28/03/2008</t>
        </is>
      </c>
      <c r="B909" s="28" t="n">
        <v>80.62</v>
      </c>
    </row>
    <row r="910">
      <c r="A910" s="66" t="inlineStr">
        <is>
          <t>31/03/2008</t>
        </is>
      </c>
      <c r="B910" s="28" t="n">
        <v>80.56</v>
      </c>
    </row>
    <row r="911">
      <c r="A911" s="66" t="inlineStr">
        <is>
          <t>01/04/2008</t>
        </is>
      </c>
      <c r="B911" s="28" t="n">
        <v>79.36</v>
      </c>
    </row>
    <row r="912">
      <c r="A912" s="66" t="inlineStr">
        <is>
          <t>02/04/2008</t>
        </is>
      </c>
      <c r="B912" s="28" t="n">
        <v>78.93000000000001</v>
      </c>
    </row>
    <row r="913">
      <c r="A913" s="66" t="inlineStr">
        <is>
          <t>03/04/2008</t>
        </is>
      </c>
      <c r="B913" s="28" t="n">
        <v>78.5</v>
      </c>
    </row>
    <row r="914">
      <c r="A914" s="66" t="inlineStr">
        <is>
          <t>04/04/2008</t>
        </is>
      </c>
      <c r="B914" s="28" t="n">
        <v>78.53</v>
      </c>
    </row>
    <row r="915">
      <c r="A915" s="66" t="inlineStr">
        <is>
          <t>07/04/2008</t>
        </is>
      </c>
      <c r="B915" s="28" t="n">
        <v>78.59</v>
      </c>
    </row>
    <row r="916">
      <c r="A916" s="66" t="inlineStr">
        <is>
          <t>08/04/2008</t>
        </is>
      </c>
      <c r="B916" s="28" t="n">
        <v>78.87</v>
      </c>
    </row>
    <row r="917">
      <c r="A917" s="66" t="inlineStr">
        <is>
          <t>09/04/2008</t>
        </is>
      </c>
      <c r="B917" s="28" t="n">
        <v>79.73</v>
      </c>
    </row>
    <row r="918">
      <c r="A918" s="66" t="inlineStr">
        <is>
          <t>10/04/2008</t>
        </is>
      </c>
      <c r="B918" s="28" t="n">
        <v>79.76000000000001</v>
      </c>
    </row>
    <row r="919">
      <c r="A919" s="66" t="inlineStr">
        <is>
          <t>11/04/2008</t>
        </is>
      </c>
      <c r="B919" s="28" t="n">
        <v>80.44</v>
      </c>
    </row>
    <row r="920">
      <c r="A920" s="66" t="inlineStr">
        <is>
          <t>14/04/2008</t>
        </is>
      </c>
      <c r="B920" s="28" t="n">
        <v>81.23</v>
      </c>
    </row>
    <row r="921">
      <c r="A921" s="66" t="inlineStr">
        <is>
          <t>15/04/2008</t>
        </is>
      </c>
      <c r="B921" s="28" t="n">
        <v>82.70999999999999</v>
      </c>
    </row>
    <row r="922">
      <c r="A922" s="66" t="inlineStr">
        <is>
          <t>16/04/2008</t>
        </is>
      </c>
      <c r="B922" s="28" t="n">
        <v>82.89</v>
      </c>
    </row>
    <row r="923">
      <c r="A923" s="66" t="inlineStr">
        <is>
          <t>17/04/2008</t>
        </is>
      </c>
      <c r="B923" s="28" t="n">
        <v>83.81</v>
      </c>
    </row>
    <row r="924">
      <c r="A924" s="66" t="inlineStr">
        <is>
          <t>18/04/2008</t>
        </is>
      </c>
      <c r="B924" s="28" t="n">
        <v>83.93000000000001</v>
      </c>
    </row>
    <row r="925">
      <c r="A925" s="66" t="inlineStr">
        <is>
          <t>22/04/2008</t>
        </is>
      </c>
      <c r="B925" s="28" t="n">
        <v>83.90000000000001</v>
      </c>
    </row>
    <row r="926">
      <c r="A926" s="66" t="inlineStr">
        <is>
          <t>23/04/2008</t>
        </is>
      </c>
      <c r="B926" s="28" t="n">
        <v>83.72</v>
      </c>
    </row>
    <row r="927">
      <c r="A927" s="66" t="inlineStr">
        <is>
          <t>24/04/2008</t>
        </is>
      </c>
      <c r="B927" s="28" t="n">
        <v>83.59999999999999</v>
      </c>
    </row>
    <row r="928">
      <c r="A928" s="66" t="inlineStr">
        <is>
          <t>25/04/2008</t>
        </is>
      </c>
      <c r="B928" s="28" t="n">
        <v>84.12</v>
      </c>
    </row>
    <row r="929">
      <c r="A929" s="66" t="inlineStr">
        <is>
          <t>28/04/2008</t>
        </is>
      </c>
      <c r="B929" s="28" t="n">
        <v>84.40000000000001</v>
      </c>
    </row>
    <row r="930">
      <c r="A930" s="66" t="inlineStr">
        <is>
          <t>29/04/2008</t>
        </is>
      </c>
      <c r="B930" s="28" t="n">
        <v>84.45999999999999</v>
      </c>
    </row>
    <row r="931">
      <c r="A931" s="66" t="inlineStr">
        <is>
          <t>30/04/2008</t>
        </is>
      </c>
      <c r="B931" s="28" t="n">
        <v>84.06</v>
      </c>
    </row>
    <row r="932">
      <c r="A932" s="66" t="inlineStr">
        <is>
          <t>02/05/2008</t>
        </is>
      </c>
      <c r="B932" s="28" t="n">
        <v>83.54000000000001</v>
      </c>
    </row>
    <row r="933">
      <c r="A933" s="66" t="inlineStr">
        <is>
          <t>05/05/2008</t>
        </is>
      </c>
      <c r="B933" s="28" t="n">
        <v>83.78</v>
      </c>
    </row>
    <row r="934">
      <c r="A934" s="66" t="inlineStr">
        <is>
          <t>06/05/2008</t>
        </is>
      </c>
      <c r="B934" s="28" t="n">
        <v>84.75</v>
      </c>
    </row>
    <row r="935">
      <c r="A935" s="66" t="inlineStr">
        <is>
          <t>07/05/2008</t>
        </is>
      </c>
      <c r="B935" s="28" t="n">
        <v>85.08</v>
      </c>
    </row>
    <row r="936">
      <c r="A936" s="66" t="inlineStr">
        <is>
          <t>08/05/2008</t>
        </is>
      </c>
      <c r="B936" s="28" t="n">
        <v>85.2</v>
      </c>
    </row>
    <row r="937">
      <c r="A937" s="66" t="inlineStr">
        <is>
          <t>09/05/2008</t>
        </is>
      </c>
      <c r="B937" s="28" t="n">
        <v>85.34999999999999</v>
      </c>
    </row>
    <row r="938">
      <c r="A938" s="66" t="inlineStr">
        <is>
          <t>12/05/2008</t>
        </is>
      </c>
      <c r="B938" s="28" t="n">
        <v>85.69</v>
      </c>
    </row>
    <row r="939">
      <c r="A939" s="66" t="inlineStr">
        <is>
          <t>13/05/2008</t>
        </is>
      </c>
      <c r="B939" s="28" t="n">
        <v>85.66</v>
      </c>
    </row>
    <row r="940">
      <c r="A940" s="66" t="inlineStr">
        <is>
          <t>14/05/2008</t>
        </is>
      </c>
      <c r="B940" s="28" t="n">
        <v>84.93000000000001</v>
      </c>
    </row>
    <row r="941">
      <c r="A941" s="66" t="inlineStr">
        <is>
          <t>15/05/2008</t>
        </is>
      </c>
      <c r="B941" s="28" t="n">
        <v>84.23999999999999</v>
      </c>
    </row>
    <row r="942">
      <c r="A942" s="66" t="inlineStr">
        <is>
          <t>16/05/2008</t>
        </is>
      </c>
      <c r="B942" s="28" t="n">
        <v>84.08</v>
      </c>
    </row>
    <row r="943">
      <c r="A943" s="66" t="inlineStr">
        <is>
          <t>19/05/2008</t>
        </is>
      </c>
      <c r="B943" s="28" t="n">
        <v>83.63</v>
      </c>
    </row>
    <row r="944">
      <c r="A944" s="66" t="inlineStr">
        <is>
          <t>20/05/2008</t>
        </is>
      </c>
      <c r="B944" s="28" t="n">
        <v>82.48</v>
      </c>
    </row>
    <row r="945">
      <c r="A945" s="66" t="inlineStr">
        <is>
          <t>21/05/2008</t>
        </is>
      </c>
      <c r="B945" s="28" t="n">
        <v>81.88</v>
      </c>
    </row>
    <row r="946">
      <c r="A946" s="66" t="inlineStr">
        <is>
          <t>23/05/2008</t>
        </is>
      </c>
      <c r="B946" s="28" t="n">
        <v>81.67</v>
      </c>
    </row>
    <row r="947">
      <c r="A947" s="66" t="inlineStr">
        <is>
          <t>26/05/2008</t>
        </is>
      </c>
      <c r="B947" s="28" t="n">
        <v>80.43000000000001</v>
      </c>
    </row>
    <row r="948">
      <c r="A948" s="66" t="inlineStr">
        <is>
          <t>27/05/2008</t>
        </is>
      </c>
      <c r="B948" s="28" t="n">
        <v>79.77</v>
      </c>
    </row>
    <row r="949">
      <c r="A949" s="66" t="inlineStr">
        <is>
          <t>28/05/2008</t>
        </is>
      </c>
      <c r="B949" s="28" t="n">
        <v>79.34</v>
      </c>
    </row>
    <row r="950">
      <c r="A950" s="66" t="inlineStr">
        <is>
          <t>29/05/2008</t>
        </is>
      </c>
      <c r="B950" s="28" t="n">
        <v>77.8</v>
      </c>
    </row>
    <row r="951">
      <c r="A951" s="66" t="inlineStr">
        <is>
          <t>30/05/2008</t>
        </is>
      </c>
      <c r="B951" s="28" t="n">
        <v>77.86</v>
      </c>
    </row>
    <row r="952">
      <c r="A952" s="66" t="inlineStr">
        <is>
          <t>02/06/2008</t>
        </is>
      </c>
      <c r="B952" s="28" t="n">
        <v>75.88</v>
      </c>
    </row>
    <row r="953">
      <c r="A953" s="66" t="inlineStr">
        <is>
          <t>03/06/2008</t>
        </is>
      </c>
      <c r="B953" s="28" t="n">
        <v>75.88</v>
      </c>
    </row>
    <row r="954">
      <c r="A954" s="66" t="inlineStr">
        <is>
          <t>04/06/2008</t>
        </is>
      </c>
      <c r="B954" s="28" t="n">
        <v>75.76000000000001</v>
      </c>
    </row>
    <row r="955">
      <c r="A955" s="66" t="inlineStr">
        <is>
          <t>05/06/2008</t>
        </is>
      </c>
      <c r="B955" s="28" t="n">
        <v>75.58</v>
      </c>
    </row>
    <row r="956">
      <c r="A956" s="66" t="inlineStr">
        <is>
          <t>06/06/2008</t>
        </is>
      </c>
      <c r="B956" s="28" t="n">
        <v>74.56999999999999</v>
      </c>
    </row>
    <row r="957">
      <c r="A957" s="66" t="inlineStr">
        <is>
          <t>09/06/2008</t>
        </is>
      </c>
      <c r="B957" s="28" t="n">
        <v>74.37</v>
      </c>
    </row>
    <row r="958">
      <c r="A958" s="66" t="inlineStr">
        <is>
          <t>10/06/2008</t>
        </is>
      </c>
      <c r="B958" s="28" t="n">
        <v>73.92</v>
      </c>
    </row>
    <row r="959">
      <c r="A959" s="66" t="inlineStr">
        <is>
          <t>11/06/2008</t>
        </is>
      </c>
      <c r="B959" s="28" t="n">
        <v>74.48999999999999</v>
      </c>
    </row>
    <row r="960">
      <c r="A960" s="66" t="inlineStr">
        <is>
          <t>12/06/2008</t>
        </is>
      </c>
      <c r="B960" s="28" t="n">
        <v>75.64</v>
      </c>
    </row>
    <row r="961">
      <c r="A961" s="66" t="inlineStr">
        <is>
          <t>13/06/2008</t>
        </is>
      </c>
      <c r="B961" s="28" t="n">
        <v>76.56</v>
      </c>
    </row>
    <row r="962">
      <c r="A962" s="66" t="inlineStr">
        <is>
          <t>16/06/2008</t>
        </is>
      </c>
      <c r="B962" s="28" t="n">
        <v>77.92</v>
      </c>
    </row>
    <row r="963">
      <c r="A963" s="66" t="inlineStr">
        <is>
          <t>17/06/2008</t>
        </is>
      </c>
      <c r="B963" s="28" t="n">
        <v>80.02</v>
      </c>
    </row>
    <row r="964">
      <c r="A964" s="66" t="inlineStr">
        <is>
          <t>18/06/2008</t>
        </is>
      </c>
      <c r="B964" s="28" t="n">
        <v>81.23999999999999</v>
      </c>
    </row>
    <row r="965">
      <c r="A965" s="66" t="inlineStr">
        <is>
          <t>19/06/2008</t>
        </is>
      </c>
      <c r="B965" s="28" t="n">
        <v>83.45999999999999</v>
      </c>
    </row>
    <row r="966">
      <c r="A966" s="66" t="inlineStr">
        <is>
          <t>20/06/2008</t>
        </is>
      </c>
      <c r="B966" s="28" t="n">
        <v>84.29000000000001</v>
      </c>
    </row>
    <row r="967">
      <c r="A967" s="66" t="inlineStr">
        <is>
          <t>23/06/2008</t>
        </is>
      </c>
      <c r="B967" s="28" t="n">
        <v>84.76000000000001</v>
      </c>
    </row>
    <row r="968">
      <c r="A968" s="66" t="inlineStr">
        <is>
          <t>24/06/2008</t>
        </is>
      </c>
      <c r="B968" s="28" t="n">
        <v>85</v>
      </c>
    </row>
    <row r="969">
      <c r="A969" s="66" t="inlineStr">
        <is>
          <t>25/06/2008</t>
        </is>
      </c>
      <c r="B969" s="28" t="n">
        <v>85.27</v>
      </c>
    </row>
    <row r="970">
      <c r="A970" s="66" t="inlineStr">
        <is>
          <t>26/06/2008</t>
        </is>
      </c>
      <c r="B970" s="28" t="n">
        <v>85.44</v>
      </c>
    </row>
    <row r="971">
      <c r="A971" s="66" t="inlineStr">
        <is>
          <t>27/06/2008</t>
        </is>
      </c>
      <c r="B971" s="28" t="n">
        <v>85.92</v>
      </c>
    </row>
    <row r="972">
      <c r="A972" s="66" t="inlineStr">
        <is>
          <t>30/06/2008</t>
        </is>
      </c>
      <c r="B972" s="28" t="n">
        <v>85.89</v>
      </c>
    </row>
    <row r="973">
      <c r="A973" s="66" t="inlineStr">
        <is>
          <t>01/07/2008</t>
        </is>
      </c>
      <c r="B973" s="28" t="n">
        <v>84.61</v>
      </c>
    </row>
    <row r="974">
      <c r="A974" s="66" t="inlineStr">
        <is>
          <t>02/07/2008</t>
        </is>
      </c>
      <c r="B974" s="28" t="n">
        <v>84.90000000000001</v>
      </c>
    </row>
    <row r="975">
      <c r="A975" s="66" t="inlineStr">
        <is>
          <t>03/07/2008</t>
        </is>
      </c>
      <c r="B975" s="28" t="n">
        <v>84.95999999999999</v>
      </c>
    </row>
    <row r="976">
      <c r="A976" s="66" t="inlineStr">
        <is>
          <t>04/07/2008</t>
        </is>
      </c>
      <c r="B976" s="28" t="n">
        <v>84.90000000000001</v>
      </c>
    </row>
    <row r="977">
      <c r="A977" s="66" t="inlineStr">
        <is>
          <t>07/07/2008</t>
        </is>
      </c>
      <c r="B977" s="28" t="n">
        <v>84.48999999999999</v>
      </c>
    </row>
    <row r="978">
      <c r="A978" s="66" t="inlineStr">
        <is>
          <t>08/07/2008</t>
        </is>
      </c>
      <c r="B978" s="28" t="n">
        <v>84.48999999999999</v>
      </c>
    </row>
    <row r="979">
      <c r="A979" s="66" t="inlineStr">
        <is>
          <t>10/07/2008</t>
        </is>
      </c>
      <c r="B979" s="28" t="n">
        <v>83.47</v>
      </c>
    </row>
    <row r="980">
      <c r="A980" s="66" t="inlineStr">
        <is>
          <t>11/07/2008</t>
        </is>
      </c>
      <c r="B980" s="28" t="n">
        <v>83.44</v>
      </c>
    </row>
    <row r="981">
      <c r="A981" s="66" t="inlineStr">
        <is>
          <t>14/07/2008</t>
        </is>
      </c>
      <c r="B981" s="28" t="n">
        <v>82.42</v>
      </c>
    </row>
    <row r="982">
      <c r="A982" s="66" t="inlineStr">
        <is>
          <t>15/07/2008</t>
        </is>
      </c>
      <c r="B982" s="28" t="n">
        <v>82.06999999999999</v>
      </c>
    </row>
    <row r="983">
      <c r="A983" s="66" t="inlineStr">
        <is>
          <t>16/07/2008</t>
        </is>
      </c>
      <c r="B983" s="28" t="n">
        <v>82.06999999999999</v>
      </c>
    </row>
    <row r="984">
      <c r="A984" s="66" t="inlineStr">
        <is>
          <t>17/07/2008</t>
        </is>
      </c>
      <c r="B984" s="28" t="n">
        <v>81.61</v>
      </c>
    </row>
    <row r="985">
      <c r="A985" s="66" t="inlineStr">
        <is>
          <t>18/07/2008</t>
        </is>
      </c>
      <c r="B985" s="28" t="n">
        <v>80.81999999999999</v>
      </c>
    </row>
    <row r="986">
      <c r="A986" s="66" t="inlineStr">
        <is>
          <t>21/07/2008</t>
        </is>
      </c>
      <c r="B986" s="28" t="n">
        <v>80.33</v>
      </c>
    </row>
    <row r="987">
      <c r="A987" s="66" t="inlineStr">
        <is>
          <t>22/07/2008</t>
        </is>
      </c>
      <c r="B987" s="28" t="n">
        <v>79.11</v>
      </c>
    </row>
    <row r="988">
      <c r="A988" s="66" t="inlineStr">
        <is>
          <t>23/07/2008</t>
        </is>
      </c>
      <c r="B988" s="28" t="n">
        <v>78.26000000000001</v>
      </c>
    </row>
    <row r="989">
      <c r="A989" s="66" t="inlineStr">
        <is>
          <t>24/07/2008</t>
        </is>
      </c>
      <c r="B989" s="28" t="n">
        <v>77.94</v>
      </c>
    </row>
    <row r="990">
      <c r="A990" s="66" t="inlineStr">
        <is>
          <t>25/07/2008</t>
        </is>
      </c>
      <c r="B990" s="28" t="n">
        <v>76.59999999999999</v>
      </c>
    </row>
    <row r="991">
      <c r="A991" s="66" t="inlineStr">
        <is>
          <t>28/07/2008</t>
        </is>
      </c>
      <c r="B991" s="28" t="n">
        <v>75.73</v>
      </c>
    </row>
    <row r="992">
      <c r="A992" s="66" t="inlineStr">
        <is>
          <t>29/07/2008</t>
        </is>
      </c>
      <c r="B992" s="28" t="n">
        <v>75.47</v>
      </c>
    </row>
    <row r="993">
      <c r="A993" s="66" t="inlineStr">
        <is>
          <t>30/07/2008</t>
        </is>
      </c>
      <c r="B993" s="28" t="n">
        <v>74.94</v>
      </c>
    </row>
    <row r="994">
      <c r="A994" s="66" t="inlineStr">
        <is>
          <t>31/07/2008</t>
        </is>
      </c>
      <c r="B994" s="28" t="n">
        <v>74.70999999999999</v>
      </c>
    </row>
    <row r="995">
      <c r="A995" s="66" t="inlineStr">
        <is>
          <t>01/08/2008</t>
        </is>
      </c>
      <c r="B995" s="28" t="n">
        <v>74.54000000000001</v>
      </c>
    </row>
    <row r="996">
      <c r="A996" s="66" t="inlineStr">
        <is>
          <t>04/08/2008</t>
        </is>
      </c>
      <c r="B996" s="28" t="n">
        <v>74.40000000000001</v>
      </c>
    </row>
    <row r="997">
      <c r="A997" s="66" t="inlineStr">
        <is>
          <t>05/08/2008</t>
        </is>
      </c>
      <c r="B997" s="28" t="n">
        <v>73.98999999999999</v>
      </c>
    </row>
    <row r="998">
      <c r="A998" s="66" t="inlineStr">
        <is>
          <t>06/08/2008</t>
        </is>
      </c>
      <c r="B998" s="28" t="n">
        <v>73.45999999999999</v>
      </c>
    </row>
    <row r="999">
      <c r="A999" s="66" t="inlineStr">
        <is>
          <t>07/08/2008</t>
        </is>
      </c>
      <c r="B999" s="28" t="n">
        <v>72.98999999999999</v>
      </c>
    </row>
    <row r="1000">
      <c r="A1000" s="66" t="inlineStr">
        <is>
          <t>08/08/2008</t>
        </is>
      </c>
      <c r="B1000" s="28" t="n">
        <v>72.29000000000001</v>
      </c>
    </row>
    <row r="1001">
      <c r="A1001" s="66" t="inlineStr">
        <is>
          <t>11/08/2008</t>
        </is>
      </c>
      <c r="B1001" s="28" t="n">
        <v>72.12</v>
      </c>
    </row>
    <row r="1002">
      <c r="A1002" s="66" t="inlineStr">
        <is>
          <t>12/08/2008</t>
        </is>
      </c>
      <c r="B1002" s="28" t="n">
        <v>71.62</v>
      </c>
    </row>
    <row r="1003">
      <c r="A1003" s="66" t="inlineStr">
        <is>
          <t>13/08/2008</t>
        </is>
      </c>
      <c r="B1003" s="28" t="n">
        <v>71.36</v>
      </c>
    </row>
    <row r="1004">
      <c r="A1004" s="66" t="inlineStr">
        <is>
          <t>14/08/2008</t>
        </is>
      </c>
      <c r="B1004" s="28" t="n">
        <v>70.83</v>
      </c>
    </row>
    <row r="1005">
      <c r="A1005" s="66" t="inlineStr">
        <is>
          <t>15/08/2008</t>
        </is>
      </c>
      <c r="B1005" s="28" t="n">
        <v>70.22</v>
      </c>
    </row>
    <row r="1006">
      <c r="A1006" s="66" t="inlineStr">
        <is>
          <t>18/08/2008</t>
        </is>
      </c>
      <c r="B1006" s="28" t="n">
        <v>70.25</v>
      </c>
    </row>
    <row r="1007">
      <c r="A1007" s="66" t="inlineStr">
        <is>
          <t>19/08/2008</t>
        </is>
      </c>
      <c r="B1007" s="28" t="n">
        <v>69.95999999999999</v>
      </c>
    </row>
    <row r="1008">
      <c r="A1008" s="66" t="inlineStr">
        <is>
          <t>20/08/2008</t>
        </is>
      </c>
      <c r="B1008" s="28" t="n">
        <v>70.51000000000001</v>
      </c>
    </row>
    <row r="1009">
      <c r="A1009" s="66" t="inlineStr">
        <is>
          <t>21/08/2008</t>
        </is>
      </c>
      <c r="B1009" s="28" t="n">
        <v>70.59999999999999</v>
      </c>
    </row>
    <row r="1010">
      <c r="A1010" s="66" t="inlineStr">
        <is>
          <t>22/08/2008</t>
        </is>
      </c>
      <c r="B1010" s="28" t="n">
        <v>70.66</v>
      </c>
    </row>
    <row r="1011">
      <c r="A1011" s="66" t="inlineStr">
        <is>
          <t>25/08/2008</t>
        </is>
      </c>
      <c r="B1011" s="28" t="n">
        <v>70.69</v>
      </c>
    </row>
    <row r="1012">
      <c r="A1012" s="66" t="inlineStr">
        <is>
          <t>26/08/2008</t>
        </is>
      </c>
      <c r="B1012" s="28" t="n">
        <v>70.92</v>
      </c>
    </row>
    <row r="1013">
      <c r="A1013" s="66" t="inlineStr">
        <is>
          <t>27/08/2008</t>
        </is>
      </c>
      <c r="B1013" s="28" t="n">
        <v>71.56</v>
      </c>
    </row>
    <row r="1014">
      <c r="A1014" s="66" t="inlineStr">
        <is>
          <t>28/08/2008</t>
        </is>
      </c>
      <c r="B1014" s="28" t="n">
        <v>71.59</v>
      </c>
    </row>
    <row r="1015">
      <c r="A1015" s="66" t="inlineStr">
        <is>
          <t>29/08/2008</t>
        </is>
      </c>
      <c r="B1015" s="28" t="n">
        <v>71.62</v>
      </c>
    </row>
    <row r="1016">
      <c r="A1016" s="66" t="inlineStr">
        <is>
          <t>01/09/2008</t>
        </is>
      </c>
      <c r="B1016" s="28" t="n">
        <v>71.69</v>
      </c>
    </row>
    <row r="1017">
      <c r="A1017" s="66" t="inlineStr">
        <is>
          <t>02/09/2008</t>
        </is>
      </c>
      <c r="B1017" s="28" t="n">
        <v>71.19</v>
      </c>
    </row>
    <row r="1018">
      <c r="A1018" s="66" t="inlineStr">
        <is>
          <t>03/09/2008</t>
        </is>
      </c>
      <c r="B1018" s="28" t="n">
        <v>70.93000000000001</v>
      </c>
    </row>
    <row r="1019">
      <c r="A1019" s="66" t="inlineStr">
        <is>
          <t>04/09/2008</t>
        </is>
      </c>
      <c r="B1019" s="28" t="n">
        <v>70.90000000000001</v>
      </c>
    </row>
    <row r="1020">
      <c r="A1020" s="66" t="inlineStr">
        <is>
          <t>05/09/2008</t>
        </is>
      </c>
      <c r="B1020" s="28" t="n">
        <v>70.84</v>
      </c>
    </row>
    <row r="1021">
      <c r="A1021" s="66" t="inlineStr">
        <is>
          <t>08/09/2008</t>
        </is>
      </c>
      <c r="B1021" s="28" t="n">
        <v>70.87</v>
      </c>
    </row>
    <row r="1022">
      <c r="A1022" s="66" t="inlineStr">
        <is>
          <t>09/09/2008</t>
        </is>
      </c>
      <c r="B1022" s="28" t="n">
        <v>70.45999999999999</v>
      </c>
    </row>
    <row r="1023">
      <c r="A1023" s="66" t="inlineStr">
        <is>
          <t>10/09/2008</t>
        </is>
      </c>
      <c r="B1023" s="28" t="n">
        <v>70.29000000000001</v>
      </c>
    </row>
    <row r="1024">
      <c r="A1024" s="66" t="inlineStr">
        <is>
          <t>11/09/2008</t>
        </is>
      </c>
      <c r="B1024" s="28" t="n">
        <v>70.34999999999999</v>
      </c>
    </row>
    <row r="1025">
      <c r="A1025" s="66" t="inlineStr">
        <is>
          <t>12/09/2008</t>
        </is>
      </c>
      <c r="B1025" s="28" t="n">
        <v>69.38</v>
      </c>
    </row>
    <row r="1026">
      <c r="A1026" s="66" t="inlineStr">
        <is>
          <t>15/09/2008</t>
        </is>
      </c>
      <c r="B1026" s="28" t="n">
        <v>69.88</v>
      </c>
    </row>
    <row r="1027">
      <c r="A1027" s="66" t="inlineStr">
        <is>
          <t>16/09/2008</t>
        </is>
      </c>
      <c r="B1027" s="28" t="n">
        <v>69.62</v>
      </c>
    </row>
    <row r="1028">
      <c r="A1028" s="66" t="inlineStr">
        <is>
          <t>17/09/2008</t>
        </is>
      </c>
      <c r="B1028" s="28" t="n">
        <v>68.70999999999999</v>
      </c>
    </row>
    <row r="1029">
      <c r="A1029" s="66" t="inlineStr">
        <is>
          <t>18/09/2008</t>
        </is>
      </c>
      <c r="B1029" s="28" t="n">
        <v>68.25</v>
      </c>
    </row>
    <row r="1030">
      <c r="A1030" s="66" t="inlineStr">
        <is>
          <t>19/09/2008</t>
        </is>
      </c>
      <c r="B1030" s="28" t="n">
        <v>68.45</v>
      </c>
    </row>
    <row r="1031">
      <c r="A1031" s="66" t="inlineStr">
        <is>
          <t>22/09/2008</t>
        </is>
      </c>
      <c r="B1031" s="28" t="n">
        <v>67.98</v>
      </c>
    </row>
    <row r="1032">
      <c r="A1032" s="66" t="inlineStr">
        <is>
          <t>23/09/2008</t>
        </is>
      </c>
      <c r="B1032" s="28" t="n">
        <v>68.16</v>
      </c>
    </row>
    <row r="1033">
      <c r="A1033" s="66" t="inlineStr">
        <is>
          <t>24/09/2008</t>
        </is>
      </c>
      <c r="B1033" s="28" t="n">
        <v>67.87</v>
      </c>
    </row>
    <row r="1034">
      <c r="A1034" s="66" t="inlineStr">
        <is>
          <t>25/09/2008</t>
        </is>
      </c>
      <c r="B1034" s="28" t="n">
        <v>67.58</v>
      </c>
    </row>
    <row r="1035">
      <c r="A1035" s="66" t="inlineStr">
        <is>
          <t>26/09/2008</t>
        </is>
      </c>
      <c r="B1035" s="28" t="n">
        <v>67.78</v>
      </c>
    </row>
    <row r="1036">
      <c r="A1036" s="66" t="inlineStr">
        <is>
          <t>29/09/2008</t>
        </is>
      </c>
      <c r="B1036" s="28" t="n">
        <v>67.58</v>
      </c>
    </row>
    <row r="1037">
      <c r="A1037" s="66" t="inlineStr">
        <is>
          <t>30/09/2008</t>
        </is>
      </c>
      <c r="B1037" s="28" t="n">
        <v>67.05</v>
      </c>
    </row>
    <row r="1038">
      <c r="A1038" s="66" t="inlineStr">
        <is>
          <t>01/10/2008</t>
        </is>
      </c>
      <c r="B1038" s="28" t="n">
        <v>66.45999999999999</v>
      </c>
    </row>
    <row r="1039">
      <c r="A1039" s="66" t="inlineStr">
        <is>
          <t>02/10/2008</t>
        </is>
      </c>
      <c r="B1039" s="28" t="n">
        <v>66.29000000000001</v>
      </c>
    </row>
    <row r="1040">
      <c r="A1040" s="66" t="inlineStr">
        <is>
          <t>03/10/2008</t>
        </is>
      </c>
      <c r="B1040" s="28" t="n">
        <v>66.23</v>
      </c>
    </row>
    <row r="1041">
      <c r="A1041" s="66" t="inlineStr">
        <is>
          <t>06/10/2008</t>
        </is>
      </c>
      <c r="B1041" s="28" t="n">
        <v>66.03</v>
      </c>
    </row>
    <row r="1042">
      <c r="A1042" s="66" t="inlineStr">
        <is>
          <t>07/10/2008</t>
        </is>
      </c>
      <c r="B1042" s="28" t="n">
        <v>65.88</v>
      </c>
    </row>
    <row r="1043">
      <c r="A1043" s="66" t="inlineStr">
        <is>
          <t>08/10/2008</t>
        </is>
      </c>
      <c r="B1043" s="28" t="n">
        <v>65.56</v>
      </c>
    </row>
    <row r="1044">
      <c r="A1044" s="66" t="inlineStr">
        <is>
          <t>09/10/2008</t>
        </is>
      </c>
      <c r="B1044" s="28" t="n">
        <v>65.27</v>
      </c>
    </row>
    <row r="1045">
      <c r="A1045" s="66" t="inlineStr">
        <is>
          <t>10/10/2008</t>
        </is>
      </c>
      <c r="B1045" s="28" t="n">
        <v>64.98999999999999</v>
      </c>
    </row>
    <row r="1046">
      <c r="A1046" s="66" t="inlineStr">
        <is>
          <t>13/10/2008</t>
        </is>
      </c>
      <c r="B1046" s="28" t="n">
        <v>64.38</v>
      </c>
    </row>
    <row r="1047">
      <c r="A1047" s="66" t="inlineStr">
        <is>
          <t>14/10/2008</t>
        </is>
      </c>
      <c r="B1047" s="28" t="n">
        <v>64.55</v>
      </c>
    </row>
    <row r="1048">
      <c r="A1048" s="66" t="inlineStr">
        <is>
          <t>15/10/2008</t>
        </is>
      </c>
      <c r="B1048" s="28" t="n">
        <v>64.75</v>
      </c>
    </row>
    <row r="1049">
      <c r="A1049" s="66" t="inlineStr">
        <is>
          <t>16/10/2008</t>
        </is>
      </c>
      <c r="B1049" s="28" t="n">
        <v>64.73</v>
      </c>
    </row>
    <row r="1050">
      <c r="A1050" s="66" t="inlineStr">
        <is>
          <t>17/10/2008</t>
        </is>
      </c>
      <c r="B1050" s="28" t="n">
        <v>64.90000000000001</v>
      </c>
    </row>
    <row r="1051">
      <c r="A1051" s="66" t="inlineStr">
        <is>
          <t>20/10/2008</t>
        </is>
      </c>
      <c r="B1051" s="28" t="n">
        <v>64.67</v>
      </c>
    </row>
    <row r="1052">
      <c r="A1052" s="66" t="inlineStr">
        <is>
          <t>21/10/2008</t>
        </is>
      </c>
      <c r="B1052" s="28" t="n">
        <v>64.55</v>
      </c>
    </row>
    <row r="1053">
      <c r="A1053" s="66" t="inlineStr">
        <is>
          <t>22/10/2008</t>
        </is>
      </c>
      <c r="B1053" s="28" t="n">
        <v>64.15000000000001</v>
      </c>
    </row>
    <row r="1054">
      <c r="A1054" s="66" t="inlineStr">
        <is>
          <t>23/10/2008</t>
        </is>
      </c>
      <c r="B1054" s="28" t="n">
        <v>63.86</v>
      </c>
    </row>
    <row r="1055">
      <c r="A1055" s="66" t="inlineStr">
        <is>
          <t>24/10/2008</t>
        </is>
      </c>
      <c r="B1055" s="28" t="n">
        <v>63.83</v>
      </c>
    </row>
    <row r="1056">
      <c r="A1056" s="66" t="inlineStr">
        <is>
          <t>27/10/2008</t>
        </is>
      </c>
      <c r="B1056" s="28" t="n">
        <v>63.48</v>
      </c>
    </row>
    <row r="1057">
      <c r="A1057" s="66" t="inlineStr">
        <is>
          <t>28/10/2008</t>
        </is>
      </c>
      <c r="B1057" s="28" t="n">
        <v>62.76</v>
      </c>
    </row>
    <row r="1058">
      <c r="A1058" s="66" t="inlineStr">
        <is>
          <t>29/10/2008</t>
        </is>
      </c>
      <c r="B1058" s="28" t="n">
        <v>62.21</v>
      </c>
    </row>
    <row r="1059">
      <c r="A1059" s="66" t="inlineStr">
        <is>
          <t>30/10/2008</t>
        </is>
      </c>
      <c r="B1059" s="28" t="n">
        <v>61.72</v>
      </c>
    </row>
    <row r="1060">
      <c r="A1060" s="66" t="inlineStr">
        <is>
          <t>31/10/2008</t>
        </is>
      </c>
      <c r="B1060" s="28" t="n">
        <v>61.69</v>
      </c>
    </row>
    <row r="1061">
      <c r="A1061" s="66" t="inlineStr">
        <is>
          <t>03/11/2008</t>
        </is>
      </c>
      <c r="B1061" s="28" t="n">
        <v>60.63</v>
      </c>
    </row>
    <row r="1062">
      <c r="A1062" s="66" t="inlineStr">
        <is>
          <t>04/11/2008</t>
        </is>
      </c>
      <c r="B1062" s="28" t="n">
        <v>60.45</v>
      </c>
    </row>
    <row r="1063">
      <c r="A1063" s="66" t="inlineStr">
        <is>
          <t>05/11/2008</t>
        </is>
      </c>
      <c r="B1063" s="28" t="n">
        <v>60.19</v>
      </c>
    </row>
    <row r="1064">
      <c r="A1064" s="66" t="inlineStr">
        <is>
          <t>06/11/2008</t>
        </is>
      </c>
      <c r="B1064" s="28" t="n">
        <v>59.96</v>
      </c>
    </row>
    <row r="1065">
      <c r="A1065" s="66" t="inlineStr">
        <is>
          <t>07/11/2008</t>
        </is>
      </c>
      <c r="B1065" s="28" t="n">
        <v>59.85</v>
      </c>
    </row>
    <row r="1066">
      <c r="A1066" s="66" t="inlineStr">
        <is>
          <t>10/11/2008</t>
        </is>
      </c>
      <c r="B1066" s="28" t="n">
        <v>59.56</v>
      </c>
    </row>
    <row r="1067">
      <c r="A1067" s="66" t="inlineStr">
        <is>
          <t>11/11/2008</t>
        </is>
      </c>
      <c r="B1067" s="28" t="n">
        <v>59.19</v>
      </c>
    </row>
    <row r="1068">
      <c r="A1068" s="66" t="inlineStr">
        <is>
          <t>12/11/2008</t>
        </is>
      </c>
      <c r="B1068" s="28" t="n">
        <v>59.24</v>
      </c>
    </row>
    <row r="1069">
      <c r="A1069" s="66" t="inlineStr">
        <is>
          <t>13/11/2008</t>
        </is>
      </c>
      <c r="B1069" s="28" t="n">
        <v>58.93</v>
      </c>
    </row>
    <row r="1070">
      <c r="A1070" s="66" t="inlineStr">
        <is>
          <t>14/11/2008</t>
        </is>
      </c>
      <c r="B1070" s="28" t="n">
        <v>58.7</v>
      </c>
    </row>
    <row r="1071">
      <c r="A1071" s="66" t="inlineStr">
        <is>
          <t>17/11/2008</t>
        </is>
      </c>
      <c r="B1071" s="28" t="n">
        <v>58.52</v>
      </c>
    </row>
    <row r="1072">
      <c r="A1072" s="66" t="inlineStr">
        <is>
          <t>18/11/2008</t>
        </is>
      </c>
      <c r="B1072" s="28" t="n">
        <v>58.38</v>
      </c>
    </row>
    <row r="1073">
      <c r="A1073" s="66" t="inlineStr">
        <is>
          <t>19/11/2008</t>
        </is>
      </c>
      <c r="B1073" s="28" t="n">
        <v>58.41</v>
      </c>
    </row>
    <row r="1074">
      <c r="A1074" s="66" t="inlineStr">
        <is>
          <t>20/11/2008</t>
        </is>
      </c>
      <c r="B1074" s="28" t="n">
        <v>58.5</v>
      </c>
    </row>
    <row r="1075">
      <c r="A1075" s="66" t="inlineStr">
        <is>
          <t>21/11/2008</t>
        </is>
      </c>
      <c r="B1075" s="28" t="n">
        <v>58.67</v>
      </c>
    </row>
    <row r="1076">
      <c r="A1076" s="66" t="inlineStr">
        <is>
          <t>24/11/2008</t>
        </is>
      </c>
      <c r="B1076" s="28" t="n">
        <v>58.52</v>
      </c>
    </row>
    <row r="1077">
      <c r="A1077" s="66" t="inlineStr">
        <is>
          <t>25/11/2008</t>
        </is>
      </c>
      <c r="B1077" s="28" t="n">
        <v>58.12</v>
      </c>
    </row>
    <row r="1078">
      <c r="A1078" s="66" t="inlineStr">
        <is>
          <t>26/11/2008</t>
        </is>
      </c>
      <c r="B1078" s="28" t="n">
        <v>57.95</v>
      </c>
    </row>
    <row r="1079">
      <c r="A1079" s="66" t="inlineStr">
        <is>
          <t>27/11/2008</t>
        </is>
      </c>
      <c r="B1079" s="28" t="n">
        <v>58.09</v>
      </c>
    </row>
    <row r="1080">
      <c r="A1080" s="66" t="inlineStr">
        <is>
          <t>28/11/2008</t>
        </is>
      </c>
      <c r="B1080" s="28" t="n">
        <v>58.18</v>
      </c>
    </row>
    <row r="1081">
      <c r="A1081" s="66" t="inlineStr">
        <is>
          <t>01/12/2008</t>
        </is>
      </c>
      <c r="B1081" s="28" t="n">
        <v>58.37</v>
      </c>
    </row>
    <row r="1082">
      <c r="A1082" s="66" t="inlineStr">
        <is>
          <t>02/12/2008</t>
        </is>
      </c>
      <c r="B1082" s="28" t="n">
        <v>58.57</v>
      </c>
    </row>
    <row r="1083">
      <c r="A1083" s="66" t="inlineStr">
        <is>
          <t>03/12/2008</t>
        </is>
      </c>
      <c r="B1083" s="28" t="n">
        <v>58.69</v>
      </c>
    </row>
    <row r="1084">
      <c r="A1084" s="66" t="inlineStr">
        <is>
          <t>04/12/2008</t>
        </is>
      </c>
      <c r="B1084" s="28" t="n">
        <v>58.77</v>
      </c>
    </row>
    <row r="1085">
      <c r="A1085" s="66" t="inlineStr">
        <is>
          <t>05/12/2008</t>
        </is>
      </c>
      <c r="B1085" s="28" t="n">
        <v>58.8</v>
      </c>
    </row>
    <row r="1086">
      <c r="A1086" s="66" t="inlineStr">
        <is>
          <t>08/12/2008</t>
        </is>
      </c>
      <c r="B1086" s="28" t="n">
        <v>58.95</v>
      </c>
    </row>
    <row r="1087">
      <c r="A1087" s="66" t="inlineStr">
        <is>
          <t>09/12/2008</t>
        </is>
      </c>
      <c r="B1087" s="28" t="n">
        <v>59.29</v>
      </c>
    </row>
    <row r="1088">
      <c r="A1088" s="66" t="inlineStr">
        <is>
          <t>10/12/2008</t>
        </is>
      </c>
      <c r="B1088" s="28" t="n">
        <v>59.44</v>
      </c>
    </row>
    <row r="1089">
      <c r="A1089" s="66" t="inlineStr">
        <is>
          <t>11/12/2008</t>
        </is>
      </c>
      <c r="B1089" s="28" t="n">
        <v>59.35</v>
      </c>
    </row>
    <row r="1090">
      <c r="A1090" s="66" t="inlineStr">
        <is>
          <t>12/12/2008</t>
        </is>
      </c>
      <c r="B1090" s="28" t="n">
        <v>59.81</v>
      </c>
    </row>
    <row r="1091">
      <c r="A1091" s="66" t="inlineStr">
        <is>
          <t>15/12/2008</t>
        </is>
      </c>
      <c r="B1091" s="28" t="n">
        <v>59.9</v>
      </c>
    </row>
    <row r="1092">
      <c r="A1092" s="66" t="inlineStr">
        <is>
          <t>16/12/2008</t>
        </is>
      </c>
      <c r="B1092" s="28" t="n">
        <v>59.81</v>
      </c>
    </row>
    <row r="1093">
      <c r="A1093" s="66" t="inlineStr">
        <is>
          <t>17/12/2008</t>
        </is>
      </c>
      <c r="B1093" s="28" t="n">
        <v>59.95</v>
      </c>
    </row>
    <row r="1094">
      <c r="A1094" s="66" t="inlineStr">
        <is>
          <t>18/12/2008</t>
        </is>
      </c>
      <c r="B1094" s="28" t="n">
        <v>60.3</v>
      </c>
    </row>
    <row r="1095">
      <c r="A1095" s="66" t="inlineStr">
        <is>
          <t>19/12/2008</t>
        </is>
      </c>
      <c r="B1095" s="28" t="n">
        <v>60.65</v>
      </c>
    </row>
    <row r="1096">
      <c r="A1096" s="66" t="inlineStr">
        <is>
          <t>22/12/2008</t>
        </is>
      </c>
      <c r="B1096" s="28" t="n">
        <v>60.73</v>
      </c>
    </row>
    <row r="1097">
      <c r="A1097" s="66" t="inlineStr">
        <is>
          <t>23/12/2008</t>
        </is>
      </c>
      <c r="B1097" s="28" t="n">
        <v>60.73</v>
      </c>
    </row>
    <row r="1098">
      <c r="A1098" s="66" t="inlineStr">
        <is>
          <t>26/12/2008</t>
        </is>
      </c>
      <c r="B1098" s="28" t="n">
        <v>60.73</v>
      </c>
    </row>
    <row r="1099">
      <c r="A1099" s="66" t="inlineStr">
        <is>
          <t>29/12/2008</t>
        </is>
      </c>
      <c r="B1099" s="28" t="n">
        <v>61.4</v>
      </c>
    </row>
    <row r="1100">
      <c r="A1100" s="66" t="inlineStr">
        <is>
          <t>30/12/2008</t>
        </is>
      </c>
      <c r="B1100" s="28" t="n">
        <v>61.34</v>
      </c>
    </row>
    <row r="1101">
      <c r="A1101" s="66" t="inlineStr">
        <is>
          <t>02/01/2009</t>
        </is>
      </c>
      <c r="B1101" s="28" t="n">
        <v>61.61</v>
      </c>
    </row>
    <row r="1102">
      <c r="A1102" s="66" t="inlineStr">
        <is>
          <t>05/01/2009</t>
        </is>
      </c>
      <c r="B1102" s="28" t="n">
        <v>62.19</v>
      </c>
    </row>
    <row r="1103">
      <c r="A1103" s="66" t="inlineStr">
        <is>
          <t>06/01/2009</t>
        </is>
      </c>
      <c r="B1103" s="28" t="n">
        <v>66.06999999999999</v>
      </c>
    </row>
    <row r="1104">
      <c r="A1104" s="66" t="inlineStr">
        <is>
          <t>07/01/2009</t>
        </is>
      </c>
      <c r="B1104" s="28" t="n">
        <v>68.23999999999999</v>
      </c>
    </row>
    <row r="1105">
      <c r="A1105" s="66" t="inlineStr">
        <is>
          <t>08/01/2009</t>
        </is>
      </c>
      <c r="B1105" s="28" t="n">
        <v>69.77</v>
      </c>
    </row>
    <row r="1106">
      <c r="A1106" s="66" t="inlineStr">
        <is>
          <t>09/01/2009</t>
        </is>
      </c>
      <c r="B1106" s="28" t="n">
        <v>70.2</v>
      </c>
    </row>
    <row r="1107">
      <c r="A1107" s="66" t="inlineStr">
        <is>
          <t>12/01/2009</t>
        </is>
      </c>
      <c r="B1107" s="28" t="n">
        <v>70.29000000000001</v>
      </c>
    </row>
    <row r="1108">
      <c r="A1108" s="66" t="inlineStr">
        <is>
          <t>13/01/2009</t>
        </is>
      </c>
      <c r="B1108" s="28" t="n">
        <v>70.38</v>
      </c>
    </row>
    <row r="1109">
      <c r="A1109" s="66" t="inlineStr">
        <is>
          <t>14/01/2009</t>
        </is>
      </c>
      <c r="B1109" s="28" t="n">
        <v>70.15000000000001</v>
      </c>
    </row>
    <row r="1110">
      <c r="A1110" s="66" t="inlineStr">
        <is>
          <t>15/01/2009</t>
        </is>
      </c>
      <c r="B1110" s="28" t="n">
        <v>69.22</v>
      </c>
    </row>
    <row r="1111">
      <c r="A1111" s="66" t="inlineStr">
        <is>
          <t>16/01/2009</t>
        </is>
      </c>
      <c r="B1111" s="28" t="n">
        <v>69.13</v>
      </c>
    </row>
    <row r="1112">
      <c r="A1112" s="66" t="inlineStr">
        <is>
          <t>19/01/2009</t>
        </is>
      </c>
      <c r="B1112" s="28" t="n">
        <v>69.51000000000001</v>
      </c>
    </row>
    <row r="1113">
      <c r="A1113" s="66" t="inlineStr">
        <is>
          <t>20/01/2009</t>
        </is>
      </c>
      <c r="B1113" s="28" t="n">
        <v>69.19</v>
      </c>
    </row>
    <row r="1114">
      <c r="A1114" s="66" t="inlineStr">
        <is>
          <t>21/01/2009</t>
        </is>
      </c>
      <c r="B1114" s="28" t="n">
        <v>68.93000000000001</v>
      </c>
    </row>
    <row r="1115">
      <c r="A1115" s="66" t="inlineStr">
        <is>
          <t>22/01/2009</t>
        </is>
      </c>
      <c r="B1115" s="28" t="n">
        <v>69.45</v>
      </c>
    </row>
    <row r="1116">
      <c r="A1116" s="66" t="inlineStr">
        <is>
          <t>23/01/2009</t>
        </is>
      </c>
      <c r="B1116" s="28" t="n">
        <v>69.91</v>
      </c>
    </row>
    <row r="1117">
      <c r="A1117" s="66" t="inlineStr">
        <is>
          <t>26/01/2009</t>
        </is>
      </c>
      <c r="B1117" s="28" t="n">
        <v>69.51000000000001</v>
      </c>
    </row>
    <row r="1118">
      <c r="A1118" s="66" t="inlineStr">
        <is>
          <t>27/01/2009</t>
        </is>
      </c>
      <c r="B1118" s="28" t="n">
        <v>69.36</v>
      </c>
    </row>
    <row r="1119">
      <c r="A1119" s="66" t="inlineStr">
        <is>
          <t>28/01/2009</t>
        </is>
      </c>
      <c r="B1119" s="28" t="n">
        <v>68.61</v>
      </c>
    </row>
    <row r="1120">
      <c r="A1120" s="66" t="inlineStr">
        <is>
          <t>29/01/2009</t>
        </is>
      </c>
      <c r="B1120" s="28" t="n">
        <v>68.67</v>
      </c>
    </row>
    <row r="1121">
      <c r="A1121" s="66" t="inlineStr">
        <is>
          <t>30/01/2009</t>
        </is>
      </c>
      <c r="B1121" s="28" t="n">
        <v>67.89</v>
      </c>
    </row>
    <row r="1122">
      <c r="A1122" s="66" t="inlineStr">
        <is>
          <t>02/02/2009</t>
        </is>
      </c>
      <c r="B1122" s="28" t="n">
        <v>67.48</v>
      </c>
    </row>
    <row r="1123">
      <c r="A1123" s="66" t="inlineStr">
        <is>
          <t>03/02/2009</t>
        </is>
      </c>
      <c r="B1123" s="28" t="n">
        <v>67.51000000000001</v>
      </c>
    </row>
    <row r="1124">
      <c r="A1124" s="66" t="inlineStr">
        <is>
          <t>04/02/2009</t>
        </is>
      </c>
      <c r="B1124" s="28" t="n">
        <v>67.59999999999999</v>
      </c>
    </row>
    <row r="1125">
      <c r="A1125" s="66" t="inlineStr">
        <is>
          <t>05/02/2009</t>
        </is>
      </c>
      <c r="B1125" s="28" t="n">
        <v>66.59</v>
      </c>
    </row>
    <row r="1126">
      <c r="A1126" s="66" t="inlineStr">
        <is>
          <t>06/02/2009</t>
        </is>
      </c>
      <c r="B1126" s="28" t="n">
        <v>66.20999999999999</v>
      </c>
    </row>
    <row r="1127">
      <c r="A1127" s="66" t="inlineStr">
        <is>
          <t>09/02/2009</t>
        </is>
      </c>
      <c r="B1127" s="28" t="n">
        <v>65.89</v>
      </c>
    </row>
    <row r="1128">
      <c r="A1128" s="66" t="inlineStr">
        <is>
          <t>10/02/2009</t>
        </is>
      </c>
      <c r="B1128" s="28" t="n">
        <v>65.17</v>
      </c>
    </row>
    <row r="1129">
      <c r="A1129" s="66" t="inlineStr">
        <is>
          <t>11/02/2009</t>
        </is>
      </c>
      <c r="B1129" s="28" t="n">
        <v>64.59999999999999</v>
      </c>
    </row>
    <row r="1130">
      <c r="A1130" s="66" t="inlineStr">
        <is>
          <t>12/02/2009</t>
        </is>
      </c>
      <c r="B1130" s="28" t="n">
        <v>64.16</v>
      </c>
    </row>
    <row r="1131">
      <c r="A1131" s="66" t="inlineStr">
        <is>
          <t>13/02/2009</t>
        </is>
      </c>
      <c r="B1131" s="28" t="n">
        <v>64.08</v>
      </c>
    </row>
    <row r="1132">
      <c r="A1132" s="66" t="inlineStr">
        <is>
          <t>16/02/2009</t>
        </is>
      </c>
      <c r="B1132" s="28" t="n">
        <v>63.84</v>
      </c>
    </row>
    <row r="1133">
      <c r="A1133" s="66" t="inlineStr">
        <is>
          <t>17/02/2009</t>
        </is>
      </c>
      <c r="B1133" s="28" t="n">
        <v>63.38</v>
      </c>
    </row>
    <row r="1134">
      <c r="A1134" s="66" t="inlineStr">
        <is>
          <t>18/02/2009</t>
        </is>
      </c>
      <c r="B1134" s="28" t="n">
        <v>62.08</v>
      </c>
    </row>
    <row r="1135">
      <c r="A1135" s="66" t="inlineStr">
        <is>
          <t>19/02/2009</t>
        </is>
      </c>
      <c r="B1135" s="28" t="n">
        <v>62.23</v>
      </c>
    </row>
    <row r="1136">
      <c r="A1136" s="66" t="inlineStr">
        <is>
          <t>20/02/2009</t>
        </is>
      </c>
      <c r="B1136" s="28" t="n">
        <v>61.59</v>
      </c>
    </row>
    <row r="1137">
      <c r="A1137" s="66" t="inlineStr">
        <is>
          <t>25/02/2009</t>
        </is>
      </c>
      <c r="B1137" s="28" t="n">
        <v>61.16</v>
      </c>
    </row>
    <row r="1138">
      <c r="A1138" s="66" t="inlineStr">
        <is>
          <t>26/02/2009</t>
        </is>
      </c>
      <c r="B1138" s="28" t="n">
        <v>61.54</v>
      </c>
    </row>
    <row r="1139">
      <c r="A1139" s="66" t="inlineStr">
        <is>
          <t>27/02/2009</t>
        </is>
      </c>
      <c r="B1139" s="28" t="n">
        <v>61.28</v>
      </c>
    </row>
    <row r="1140">
      <c r="A1140" s="66" t="inlineStr">
        <is>
          <t>02/03/2009</t>
        </is>
      </c>
      <c r="B1140" s="28" t="n">
        <v>60.83</v>
      </c>
    </row>
    <row r="1141">
      <c r="A1141" s="66" t="inlineStr">
        <is>
          <t>03/03/2009</t>
        </is>
      </c>
      <c r="B1141" s="28" t="n">
        <v>60.72</v>
      </c>
    </row>
    <row r="1142">
      <c r="A1142" s="66" t="inlineStr">
        <is>
          <t>04/03/2009</t>
        </is>
      </c>
      <c r="B1142" s="28" t="n">
        <v>60.28</v>
      </c>
    </row>
    <row r="1143">
      <c r="A1143" s="66" t="inlineStr">
        <is>
          <t>05/03/2009</t>
        </is>
      </c>
      <c r="B1143" s="28" t="n">
        <v>59.96</v>
      </c>
    </row>
    <row r="1144">
      <c r="A1144" s="66" t="inlineStr">
        <is>
          <t>06/03/2009</t>
        </is>
      </c>
      <c r="B1144" s="28" t="n">
        <v>59.9</v>
      </c>
    </row>
    <row r="1145">
      <c r="A1145" s="66" t="inlineStr">
        <is>
          <t>09/03/2009</t>
        </is>
      </c>
      <c r="B1145" s="28" t="n">
        <v>59.76</v>
      </c>
    </row>
    <row r="1146">
      <c r="A1146" s="66" t="inlineStr">
        <is>
          <t>10/03/2009</t>
        </is>
      </c>
      <c r="B1146" s="28" t="n">
        <v>59.87</v>
      </c>
    </row>
    <row r="1147">
      <c r="A1147" s="66" t="inlineStr">
        <is>
          <t>11/03/2009</t>
        </is>
      </c>
      <c r="B1147" s="28" t="n">
        <v>59.41</v>
      </c>
    </row>
    <row r="1148">
      <c r="A1148" s="66" t="inlineStr">
        <is>
          <t>12/03/2009</t>
        </is>
      </c>
      <c r="B1148" s="28" t="n">
        <v>59.17</v>
      </c>
    </row>
    <row r="1149">
      <c r="A1149" s="66" t="inlineStr">
        <is>
          <t>13/03/2009</t>
        </is>
      </c>
      <c r="B1149" s="28" t="n">
        <v>59.26</v>
      </c>
    </row>
    <row r="1150">
      <c r="A1150" s="66" t="inlineStr">
        <is>
          <t>16/03/2009</t>
        </is>
      </c>
      <c r="B1150" s="28" t="n">
        <v>59.84</v>
      </c>
    </row>
    <row r="1151">
      <c r="A1151" s="66" t="inlineStr">
        <is>
          <t>17/03/2009</t>
        </is>
      </c>
      <c r="B1151" s="28" t="n">
        <v>59.58</v>
      </c>
    </row>
    <row r="1152">
      <c r="A1152" s="66" t="inlineStr">
        <is>
          <t>18/03/2009</t>
        </is>
      </c>
      <c r="B1152" s="28" t="n">
        <v>59.96</v>
      </c>
    </row>
    <row r="1153">
      <c r="A1153" s="66" t="inlineStr">
        <is>
          <t>19/03/2009</t>
        </is>
      </c>
      <c r="B1153" s="28" t="n">
        <v>59.44</v>
      </c>
    </row>
    <row r="1154">
      <c r="A1154" s="66" t="inlineStr">
        <is>
          <t>20/03/2009</t>
        </is>
      </c>
      <c r="B1154" s="28" t="n">
        <v>59.32</v>
      </c>
    </row>
    <row r="1155">
      <c r="A1155" s="66" t="inlineStr">
        <is>
          <t>23/03/2009</t>
        </is>
      </c>
      <c r="B1155" s="28" t="n">
        <v>59.38</v>
      </c>
    </row>
    <row r="1156">
      <c r="A1156" s="66" t="inlineStr">
        <is>
          <t>24/03/2009</t>
        </is>
      </c>
      <c r="B1156" s="28" t="n">
        <v>59.61</v>
      </c>
    </row>
    <row r="1157">
      <c r="A1157" s="66" t="inlineStr">
        <is>
          <t>25/03/2009</t>
        </is>
      </c>
      <c r="B1157" s="28" t="n">
        <v>60.1</v>
      </c>
    </row>
    <row r="1158">
      <c r="A1158" s="66" t="inlineStr">
        <is>
          <t>26/03/2009</t>
        </is>
      </c>
      <c r="B1158" s="28" t="n">
        <v>60.4</v>
      </c>
    </row>
    <row r="1159">
      <c r="A1159" s="66" t="inlineStr">
        <is>
          <t>27/03/2009</t>
        </is>
      </c>
      <c r="B1159" s="28" t="n">
        <v>60.45</v>
      </c>
    </row>
    <row r="1160">
      <c r="A1160" s="66" t="inlineStr">
        <is>
          <t>30/03/2009</t>
        </is>
      </c>
      <c r="B1160" s="28" t="n">
        <v>60.54</v>
      </c>
    </row>
    <row r="1161">
      <c r="A1161" s="66" t="inlineStr">
        <is>
          <t>31/03/2009</t>
        </is>
      </c>
      <c r="B1161" s="28" t="n">
        <v>61.03</v>
      </c>
    </row>
    <row r="1162">
      <c r="A1162" s="66" t="inlineStr">
        <is>
          <t>01/04/2009</t>
        </is>
      </c>
      <c r="B1162" s="28" t="n">
        <v>61.18</v>
      </c>
    </row>
    <row r="1163">
      <c r="A1163" s="66" t="inlineStr">
        <is>
          <t>02/04/2009</t>
        </is>
      </c>
      <c r="B1163" s="28" t="n">
        <v>61.24</v>
      </c>
    </row>
    <row r="1164">
      <c r="A1164" s="66" t="inlineStr">
        <is>
          <t>03/04/2009</t>
        </is>
      </c>
      <c r="B1164" s="28" t="n">
        <v>61.18</v>
      </c>
    </row>
    <row r="1165">
      <c r="A1165" s="66" t="inlineStr">
        <is>
          <t>06/04/2009</t>
        </is>
      </c>
      <c r="B1165" s="28" t="n">
        <v>61.18</v>
      </c>
    </row>
    <row r="1166">
      <c r="A1166" s="66" t="inlineStr">
        <is>
          <t>07/04/2009</t>
        </is>
      </c>
      <c r="B1166" s="28" t="n">
        <v>61.27</v>
      </c>
    </row>
    <row r="1167">
      <c r="A1167" s="66" t="inlineStr">
        <is>
          <t>08/04/2009</t>
        </is>
      </c>
      <c r="B1167" s="28" t="n">
        <v>61.42</v>
      </c>
    </row>
    <row r="1168">
      <c r="A1168" s="66" t="inlineStr">
        <is>
          <t>09/04/2009</t>
        </is>
      </c>
      <c r="B1168" s="28" t="n">
        <v>61.51</v>
      </c>
    </row>
    <row r="1169">
      <c r="A1169" s="66" t="inlineStr">
        <is>
          <t>13/04/2009</t>
        </is>
      </c>
      <c r="B1169" s="28" t="n">
        <v>61.04</v>
      </c>
    </row>
    <row r="1170">
      <c r="A1170" s="66" t="inlineStr">
        <is>
          <t>14/04/2009</t>
        </is>
      </c>
      <c r="B1170" s="28" t="n">
        <v>61.07</v>
      </c>
    </row>
    <row r="1171">
      <c r="A1171" s="66" t="inlineStr">
        <is>
          <t>15/04/2009</t>
        </is>
      </c>
      <c r="B1171" s="28" t="n">
        <v>61.24</v>
      </c>
    </row>
    <row r="1172">
      <c r="A1172" s="66" t="inlineStr">
        <is>
          <t>16/04/2009</t>
        </is>
      </c>
      <c r="B1172" s="28" t="n">
        <v>61.45</v>
      </c>
    </row>
    <row r="1173">
      <c r="A1173" s="66" t="inlineStr">
        <is>
          <t>17/04/2009</t>
        </is>
      </c>
      <c r="B1173" s="28" t="n">
        <v>61.68</v>
      </c>
    </row>
    <row r="1174">
      <c r="A1174" s="66" t="inlineStr">
        <is>
          <t>20/04/2009</t>
        </is>
      </c>
      <c r="B1174" s="28" t="n">
        <v>61.85</v>
      </c>
    </row>
    <row r="1175">
      <c r="A1175" s="66" t="inlineStr">
        <is>
          <t>22/04/2009</t>
        </is>
      </c>
      <c r="B1175" s="28" t="n">
        <v>61.94</v>
      </c>
    </row>
    <row r="1176">
      <c r="A1176" s="66" t="inlineStr">
        <is>
          <t>23/04/2009</t>
        </is>
      </c>
      <c r="B1176" s="28" t="n">
        <v>62.67</v>
      </c>
    </row>
    <row r="1177">
      <c r="A1177" s="66" t="inlineStr">
        <is>
          <t>24/04/2009</t>
        </is>
      </c>
      <c r="B1177" s="28" t="n">
        <v>63.14</v>
      </c>
    </row>
    <row r="1178">
      <c r="A1178" s="66" t="inlineStr">
        <is>
          <t>27/04/2009</t>
        </is>
      </c>
      <c r="B1178" s="28" t="n">
        <v>63.22</v>
      </c>
    </row>
    <row r="1179">
      <c r="A1179" s="66" t="inlineStr">
        <is>
          <t>28/04/2009</t>
        </is>
      </c>
      <c r="B1179" s="28" t="n">
        <v>63.63</v>
      </c>
    </row>
    <row r="1180">
      <c r="A1180" s="66" t="inlineStr">
        <is>
          <t>29/04/2009</t>
        </is>
      </c>
      <c r="B1180" s="28" t="n">
        <v>63.95</v>
      </c>
    </row>
    <row r="1181">
      <c r="A1181" s="66" t="inlineStr">
        <is>
          <t>30/04/2009</t>
        </is>
      </c>
      <c r="B1181" s="28" t="n">
        <v>64.18000000000001</v>
      </c>
    </row>
    <row r="1182">
      <c r="A1182" s="66" t="inlineStr">
        <is>
          <t>04/05/2009</t>
        </is>
      </c>
      <c r="B1182" s="28" t="n">
        <v>64.52</v>
      </c>
    </row>
    <row r="1183">
      <c r="A1183" s="66" t="inlineStr">
        <is>
          <t>05/05/2009</t>
        </is>
      </c>
      <c r="B1183" s="28" t="n">
        <v>64.81</v>
      </c>
    </row>
    <row r="1184">
      <c r="A1184" s="66" t="inlineStr">
        <is>
          <t>06/05/2009</t>
        </is>
      </c>
      <c r="B1184" s="28" t="n">
        <v>64.98999999999999</v>
      </c>
    </row>
    <row r="1185">
      <c r="A1185" s="66" t="inlineStr">
        <is>
          <t>07/05/2009</t>
        </is>
      </c>
      <c r="B1185" s="28" t="n">
        <v>65.34</v>
      </c>
    </row>
    <row r="1186">
      <c r="A1186" s="66" t="inlineStr">
        <is>
          <t>08/05/2009</t>
        </is>
      </c>
      <c r="B1186" s="28" t="n">
        <v>65.40000000000001</v>
      </c>
    </row>
    <row r="1187">
      <c r="A1187" s="66" t="inlineStr">
        <is>
          <t>11/05/2009</t>
        </is>
      </c>
      <c r="B1187" s="28" t="n">
        <v>65.19</v>
      </c>
    </row>
    <row r="1188">
      <c r="A1188" s="66" t="inlineStr">
        <is>
          <t>12/05/2009</t>
        </is>
      </c>
      <c r="B1188" s="28" t="n">
        <v>64.90000000000001</v>
      </c>
    </row>
    <row r="1189">
      <c r="A1189" s="66" t="inlineStr">
        <is>
          <t>13/05/2009</t>
        </is>
      </c>
      <c r="B1189" s="28" t="n">
        <v>64.81</v>
      </c>
    </row>
    <row r="1190">
      <c r="A1190" s="66" t="inlineStr">
        <is>
          <t>14/05/2009</t>
        </is>
      </c>
      <c r="B1190" s="28" t="n">
        <v>64.61</v>
      </c>
    </row>
    <row r="1191">
      <c r="A1191" s="66" t="inlineStr">
        <is>
          <t>15/05/2009</t>
        </is>
      </c>
      <c r="B1191" s="28" t="n">
        <v>64.40000000000001</v>
      </c>
    </row>
    <row r="1192">
      <c r="A1192" s="66" t="inlineStr">
        <is>
          <t>18/05/2009</t>
        </is>
      </c>
      <c r="B1192" s="28" t="n">
        <v>64.38</v>
      </c>
    </row>
    <row r="1193">
      <c r="A1193" s="66" t="inlineStr">
        <is>
          <t>19/05/2009</t>
        </is>
      </c>
      <c r="B1193" s="28" t="n">
        <v>64.52</v>
      </c>
    </row>
    <row r="1194">
      <c r="A1194" s="66" t="inlineStr">
        <is>
          <t>20/05/2009</t>
        </is>
      </c>
      <c r="B1194" s="28" t="n">
        <v>64.78</v>
      </c>
    </row>
    <row r="1195">
      <c r="A1195" s="66" t="inlineStr">
        <is>
          <t>21/05/2009</t>
        </is>
      </c>
      <c r="B1195" s="28" t="n">
        <v>64.93000000000001</v>
      </c>
    </row>
    <row r="1196">
      <c r="A1196" s="66" t="inlineStr">
        <is>
          <t>22/05/2009</t>
        </is>
      </c>
      <c r="B1196" s="28" t="n">
        <v>64.75</v>
      </c>
    </row>
    <row r="1197">
      <c r="A1197" s="66" t="inlineStr">
        <is>
          <t>25/05/2009</t>
        </is>
      </c>
      <c r="B1197" s="28" t="n">
        <v>64.87</v>
      </c>
    </row>
    <row r="1198">
      <c r="A1198" s="66" t="inlineStr">
        <is>
          <t>26/05/2009</t>
        </is>
      </c>
      <c r="B1198" s="28" t="n">
        <v>64.95999999999999</v>
      </c>
    </row>
    <row r="1199">
      <c r="A1199" s="66" t="inlineStr">
        <is>
          <t>27/05/2009</t>
        </is>
      </c>
      <c r="B1199" s="28" t="n">
        <v>64.98999999999999</v>
      </c>
    </row>
    <row r="1200">
      <c r="A1200" s="66" t="inlineStr">
        <is>
          <t>28/05/2009</t>
        </is>
      </c>
      <c r="B1200" s="28" t="n">
        <v>65.02</v>
      </c>
    </row>
    <row r="1201">
      <c r="A1201" s="66" t="inlineStr">
        <is>
          <t>29/05/2009</t>
        </is>
      </c>
      <c r="B1201" s="28" t="n">
        <v>64.87</v>
      </c>
    </row>
    <row r="1202">
      <c r="A1202" s="66" t="inlineStr">
        <is>
          <t>01/06/2009</t>
        </is>
      </c>
      <c r="B1202" s="28" t="n">
        <v>64.91</v>
      </c>
    </row>
    <row r="1203">
      <c r="A1203" s="66" t="inlineStr">
        <is>
          <t>02/06/2009</t>
        </is>
      </c>
      <c r="B1203" s="28" t="n">
        <v>64.84999999999999</v>
      </c>
    </row>
    <row r="1204">
      <c r="A1204" s="66" t="inlineStr">
        <is>
          <t>03/06/2009</t>
        </is>
      </c>
      <c r="B1204" s="28" t="n">
        <v>64.95999999999999</v>
      </c>
    </row>
    <row r="1205">
      <c r="A1205" s="66" t="inlineStr">
        <is>
          <t>04/06/2009</t>
        </is>
      </c>
      <c r="B1205" s="28" t="n">
        <v>65.14</v>
      </c>
    </row>
    <row r="1206">
      <c r="A1206" s="66" t="inlineStr">
        <is>
          <t>05/06/2009</t>
        </is>
      </c>
      <c r="B1206" s="28" t="n">
        <v>65.45999999999999</v>
      </c>
    </row>
    <row r="1207">
      <c r="A1207" s="66" t="inlineStr">
        <is>
          <t>08/06/2009</t>
        </is>
      </c>
      <c r="B1207" s="28" t="n">
        <v>65.61</v>
      </c>
    </row>
    <row r="1208">
      <c r="A1208" s="66" t="inlineStr">
        <is>
          <t>09/06/2009</t>
        </is>
      </c>
      <c r="B1208" s="28" t="n">
        <v>65.72</v>
      </c>
    </row>
    <row r="1209">
      <c r="A1209" s="66" t="inlineStr">
        <is>
          <t>10/06/2009</t>
        </is>
      </c>
      <c r="B1209" s="28" t="n">
        <v>65.84</v>
      </c>
    </row>
    <row r="1210">
      <c r="A1210" s="66" t="inlineStr">
        <is>
          <t>12/06/2009</t>
        </is>
      </c>
      <c r="B1210" s="28" t="n">
        <v>65.90000000000001</v>
      </c>
    </row>
    <row r="1211">
      <c r="A1211" s="66" t="inlineStr">
        <is>
          <t>15/06/2009</t>
        </is>
      </c>
      <c r="B1211" s="28" t="n">
        <v>65.48999999999999</v>
      </c>
    </row>
    <row r="1212">
      <c r="A1212" s="66" t="inlineStr">
        <is>
          <t>16/06/2009</t>
        </is>
      </c>
      <c r="B1212" s="28" t="n">
        <v>65.45999999999999</v>
      </c>
    </row>
    <row r="1213">
      <c r="A1213" s="66" t="inlineStr">
        <is>
          <t>17/06/2009</t>
        </is>
      </c>
      <c r="B1213" s="28" t="n">
        <v>65.43000000000001</v>
      </c>
    </row>
    <row r="1214">
      <c r="A1214" s="66" t="inlineStr">
        <is>
          <t>18/06/2009</t>
        </is>
      </c>
      <c r="B1214" s="28" t="n">
        <v>65.31</v>
      </c>
    </row>
    <row r="1215">
      <c r="A1215" s="66" t="inlineStr">
        <is>
          <t>19/06/2009</t>
        </is>
      </c>
      <c r="B1215" s="28" t="n">
        <v>65.23</v>
      </c>
    </row>
    <row r="1216">
      <c r="A1216" s="66" t="inlineStr">
        <is>
          <t>22/06/2009</t>
        </is>
      </c>
      <c r="B1216" s="28" t="n">
        <v>64.61</v>
      </c>
    </row>
    <row r="1217">
      <c r="A1217" s="66" t="inlineStr">
        <is>
          <t>23/06/2009</t>
        </is>
      </c>
      <c r="B1217" s="28" t="n">
        <v>64.38</v>
      </c>
    </row>
    <row r="1218">
      <c r="A1218" s="66" t="inlineStr">
        <is>
          <t>24/06/2009</t>
        </is>
      </c>
      <c r="B1218" s="28" t="n">
        <v>64</v>
      </c>
    </row>
    <row r="1219">
      <c r="A1219" s="66" t="inlineStr">
        <is>
          <t>25/06/2009</t>
        </is>
      </c>
      <c r="B1219" s="28" t="n">
        <v>63.94</v>
      </c>
    </row>
    <row r="1220">
      <c r="A1220" s="66" t="inlineStr">
        <is>
          <t>26/06/2009</t>
        </is>
      </c>
      <c r="B1220" s="28" t="n">
        <v>63.83</v>
      </c>
    </row>
    <row r="1221">
      <c r="A1221" s="66" t="inlineStr">
        <is>
          <t>29/06/2009</t>
        </is>
      </c>
      <c r="B1221" s="28" t="n">
        <v>63.39</v>
      </c>
    </row>
    <row r="1222">
      <c r="A1222" s="66" t="inlineStr">
        <is>
          <t>30/06/2009</t>
        </is>
      </c>
      <c r="B1222" s="28" t="n">
        <v>63.19</v>
      </c>
    </row>
    <row r="1223">
      <c r="A1223" s="66" t="inlineStr">
        <is>
          <t>01/07/2009</t>
        </is>
      </c>
      <c r="B1223" s="28" t="n">
        <v>63.16</v>
      </c>
    </row>
    <row r="1224">
      <c r="A1224" s="66" t="inlineStr">
        <is>
          <t>02/07/2009</t>
        </is>
      </c>
      <c r="B1224" s="28" t="n">
        <v>62.87</v>
      </c>
    </row>
    <row r="1225">
      <c r="A1225" s="66" t="inlineStr">
        <is>
          <t>03/07/2009</t>
        </is>
      </c>
      <c r="B1225" s="28" t="n">
        <v>62.87</v>
      </c>
    </row>
    <row r="1226">
      <c r="A1226" s="66" t="inlineStr">
        <is>
          <t>06/07/2009</t>
        </is>
      </c>
      <c r="B1226" s="28" t="n">
        <v>62.61</v>
      </c>
    </row>
    <row r="1227">
      <c r="A1227" s="66" t="inlineStr">
        <is>
          <t>07/07/2009</t>
        </is>
      </c>
      <c r="B1227" s="28" t="n">
        <v>62.29</v>
      </c>
    </row>
    <row r="1228">
      <c r="A1228" s="66" t="inlineStr">
        <is>
          <t>08/07/2009</t>
        </is>
      </c>
      <c r="B1228" s="28" t="n">
        <v>61.64</v>
      </c>
    </row>
    <row r="1229">
      <c r="A1229" s="66" t="inlineStr">
        <is>
          <t>10/07/2009</t>
        </is>
      </c>
      <c r="B1229" s="28" t="n">
        <v>60.76</v>
      </c>
    </row>
    <row r="1230">
      <c r="A1230" s="66" t="inlineStr">
        <is>
          <t>13/07/2009</t>
        </is>
      </c>
      <c r="B1230" s="28" t="n">
        <v>60.47</v>
      </c>
    </row>
    <row r="1231">
      <c r="A1231" s="66" t="inlineStr">
        <is>
          <t>14/07/2009</t>
        </is>
      </c>
      <c r="B1231" s="28" t="n">
        <v>59.94</v>
      </c>
    </row>
    <row r="1232">
      <c r="A1232" s="66" t="inlineStr">
        <is>
          <t>15/07/2009</t>
        </is>
      </c>
      <c r="B1232" s="28" t="n">
        <v>59.83</v>
      </c>
    </row>
    <row r="1233">
      <c r="A1233" s="66" t="inlineStr">
        <is>
          <t>16/07/2009</t>
        </is>
      </c>
      <c r="B1233" s="28" t="n">
        <v>59.74</v>
      </c>
    </row>
    <row r="1234">
      <c r="A1234" s="66" t="inlineStr">
        <is>
          <t>17/07/2009</t>
        </is>
      </c>
      <c r="B1234" s="28" t="n">
        <v>59.53</v>
      </c>
    </row>
    <row r="1235">
      <c r="A1235" s="66" t="inlineStr">
        <is>
          <t>20/07/2009</t>
        </is>
      </c>
      <c r="B1235" s="28" t="n">
        <v>59.53</v>
      </c>
    </row>
    <row r="1236">
      <c r="A1236" s="66" t="inlineStr">
        <is>
          <t>21/07/2009</t>
        </is>
      </c>
      <c r="B1236" s="28" t="n">
        <v>59.39</v>
      </c>
    </row>
    <row r="1237">
      <c r="A1237" s="66" t="inlineStr">
        <is>
          <t>22/07/2009</t>
        </is>
      </c>
      <c r="B1237" s="28" t="n">
        <v>59.18</v>
      </c>
    </row>
    <row r="1238">
      <c r="A1238" s="66" t="inlineStr">
        <is>
          <t>23/07/2009</t>
        </is>
      </c>
      <c r="B1238" s="28" t="n">
        <v>59.15</v>
      </c>
    </row>
    <row r="1239">
      <c r="A1239" s="66" t="inlineStr">
        <is>
          <t>24/07/2009</t>
        </is>
      </c>
      <c r="B1239" s="28" t="n">
        <v>58.95</v>
      </c>
    </row>
    <row r="1240">
      <c r="A1240" s="66" t="inlineStr">
        <is>
          <t>27/07/2009</t>
        </is>
      </c>
      <c r="B1240" s="28" t="n">
        <v>58.83</v>
      </c>
    </row>
    <row r="1241">
      <c r="A1241" s="66" t="inlineStr">
        <is>
          <t>28/07/2009</t>
        </is>
      </c>
      <c r="B1241" s="28" t="n">
        <v>58.68</v>
      </c>
    </row>
    <row r="1242">
      <c r="A1242" s="66" t="inlineStr">
        <is>
          <t>29/07/2009</t>
        </is>
      </c>
      <c r="B1242" s="28" t="n">
        <v>58.65</v>
      </c>
    </row>
    <row r="1243">
      <c r="A1243" s="66" t="inlineStr">
        <is>
          <t>30/07/2009</t>
        </is>
      </c>
      <c r="B1243" s="28" t="n">
        <v>58.33</v>
      </c>
    </row>
    <row r="1244">
      <c r="A1244" s="66" t="inlineStr">
        <is>
          <t>31/07/2009</t>
        </is>
      </c>
      <c r="B1244" s="28" t="n">
        <v>58.07</v>
      </c>
    </row>
    <row r="1245">
      <c r="A1245" s="66" t="inlineStr">
        <is>
          <t>03/08/2009</t>
        </is>
      </c>
      <c r="B1245" s="28" t="n">
        <v>57.84</v>
      </c>
    </row>
    <row r="1246">
      <c r="A1246" s="66" t="inlineStr">
        <is>
          <t>04/08/2009</t>
        </is>
      </c>
      <c r="B1246" s="28" t="n">
        <v>57.84</v>
      </c>
    </row>
    <row r="1247">
      <c r="A1247" s="66" t="inlineStr">
        <is>
          <t>05/08/2009</t>
        </is>
      </c>
      <c r="B1247" s="28" t="n">
        <v>57.34</v>
      </c>
    </row>
    <row r="1248">
      <c r="A1248" s="66" t="inlineStr">
        <is>
          <t>06/08/2009</t>
        </is>
      </c>
      <c r="B1248" s="28" t="n">
        <v>57.37</v>
      </c>
    </row>
    <row r="1249">
      <c r="A1249" s="66" t="inlineStr">
        <is>
          <t>07/08/2009</t>
        </is>
      </c>
      <c r="B1249" s="28" t="n">
        <v>57.54</v>
      </c>
    </row>
    <row r="1250">
      <c r="A1250" s="66" t="inlineStr">
        <is>
          <t>10/08/2009</t>
        </is>
      </c>
      <c r="B1250" s="28" t="n">
        <v>57.54</v>
      </c>
    </row>
    <row r="1251">
      <c r="A1251" s="66" t="inlineStr">
        <is>
          <t>11/08/2009</t>
        </is>
      </c>
      <c r="B1251" s="28" t="n">
        <v>57.04</v>
      </c>
    </row>
    <row r="1252">
      <c r="A1252" s="66" t="inlineStr">
        <is>
          <t>12/08/2009</t>
        </is>
      </c>
      <c r="B1252" s="28" t="n">
        <v>57.37</v>
      </c>
    </row>
    <row r="1253">
      <c r="A1253" s="66" t="inlineStr">
        <is>
          <t>13/08/2009</t>
        </is>
      </c>
      <c r="B1253" s="28" t="n">
        <v>57.13</v>
      </c>
    </row>
    <row r="1254">
      <c r="A1254" s="66" t="inlineStr">
        <is>
          <t>14/08/2009</t>
        </is>
      </c>
      <c r="B1254" s="28" t="n">
        <v>56.87</v>
      </c>
    </row>
    <row r="1255">
      <c r="A1255" s="66" t="inlineStr">
        <is>
          <t>17/08/2009</t>
        </is>
      </c>
      <c r="B1255" s="28" t="n">
        <v>56.98</v>
      </c>
    </row>
    <row r="1256">
      <c r="A1256" s="66" t="inlineStr">
        <is>
          <t>18/08/2009</t>
        </is>
      </c>
      <c r="B1256" s="28" t="n">
        <v>56.66</v>
      </c>
    </row>
    <row r="1257">
      <c r="A1257" s="66" t="inlineStr">
        <is>
          <t>19/08/2009</t>
        </is>
      </c>
      <c r="B1257" s="28" t="n">
        <v>56.72</v>
      </c>
    </row>
    <row r="1258">
      <c r="A1258" s="66" t="inlineStr">
        <is>
          <t>20/08/2009</t>
        </is>
      </c>
      <c r="B1258" s="28" t="n">
        <v>57.04</v>
      </c>
    </row>
    <row r="1259">
      <c r="A1259" s="66" t="inlineStr">
        <is>
          <t>21/08/2009</t>
        </is>
      </c>
      <c r="B1259" s="28" t="n">
        <v>56.95</v>
      </c>
    </row>
    <row r="1260">
      <c r="A1260" s="66" t="inlineStr">
        <is>
          <t>24/08/2009</t>
        </is>
      </c>
      <c r="B1260" s="28" t="n">
        <v>56.81</v>
      </c>
    </row>
    <row r="1261">
      <c r="A1261" s="66" t="inlineStr">
        <is>
          <t>25/08/2009</t>
        </is>
      </c>
      <c r="B1261" s="28" t="n">
        <v>56.81</v>
      </c>
    </row>
    <row r="1262">
      <c r="A1262" s="66" t="inlineStr">
        <is>
          <t>26/08/2009</t>
        </is>
      </c>
      <c r="B1262" s="28" t="n">
        <v>56.72</v>
      </c>
    </row>
    <row r="1263">
      <c r="A1263" s="66" t="inlineStr">
        <is>
          <t>27/08/2009</t>
        </is>
      </c>
      <c r="B1263" s="28" t="n">
        <v>56.75</v>
      </c>
    </row>
    <row r="1264">
      <c r="A1264" s="66" t="inlineStr">
        <is>
          <t>28/08/2009</t>
        </is>
      </c>
      <c r="B1264" s="28" t="n">
        <v>56.81</v>
      </c>
    </row>
    <row r="1265">
      <c r="A1265" s="66" t="inlineStr">
        <is>
          <t>31/08/2009</t>
        </is>
      </c>
      <c r="B1265" s="28" t="n">
        <v>56.72</v>
      </c>
    </row>
    <row r="1266">
      <c r="A1266" s="66" t="inlineStr">
        <is>
          <t>01/09/2009</t>
        </is>
      </c>
      <c r="B1266" s="28" t="n">
        <v>56.42</v>
      </c>
    </row>
    <row r="1267">
      <c r="A1267" s="66" t="inlineStr">
        <is>
          <t>02/09/2009</t>
        </is>
      </c>
      <c r="B1267" s="28" t="n">
        <v>56.19</v>
      </c>
    </row>
    <row r="1268">
      <c r="A1268" s="66" t="inlineStr">
        <is>
          <t>03/09/2009</t>
        </is>
      </c>
      <c r="B1268" s="28" t="n">
        <v>56.13</v>
      </c>
    </row>
    <row r="1269">
      <c r="A1269" s="66" t="inlineStr">
        <is>
          <t>04/09/2009</t>
        </is>
      </c>
      <c r="B1269" s="28" t="n">
        <v>56.01</v>
      </c>
    </row>
    <row r="1270">
      <c r="A1270" s="66" t="inlineStr">
        <is>
          <t>08/09/2009</t>
        </is>
      </c>
      <c r="B1270" s="28" t="n">
        <v>55.93</v>
      </c>
    </row>
    <row r="1271">
      <c r="A1271" s="66" t="inlineStr">
        <is>
          <t>09/09/2009</t>
        </is>
      </c>
      <c r="B1271" s="28" t="n">
        <v>55.87</v>
      </c>
    </row>
    <row r="1272">
      <c r="A1272" s="66" t="inlineStr">
        <is>
          <t>10/09/2009</t>
        </is>
      </c>
      <c r="B1272" s="28" t="n">
        <v>55.95</v>
      </c>
    </row>
    <row r="1273">
      <c r="A1273" s="66" t="inlineStr">
        <is>
          <t>11/09/2009</t>
        </is>
      </c>
      <c r="B1273" s="28" t="n">
        <v>55.49</v>
      </c>
    </row>
    <row r="1274">
      <c r="A1274" s="66" t="inlineStr">
        <is>
          <t>14/09/2009</t>
        </is>
      </c>
      <c r="B1274" s="28" t="n">
        <v>55.63</v>
      </c>
    </row>
    <row r="1275">
      <c r="A1275" s="66" t="inlineStr">
        <is>
          <t>15/09/2009</t>
        </is>
      </c>
      <c r="B1275" s="28" t="n">
        <v>55.4</v>
      </c>
    </row>
    <row r="1276">
      <c r="A1276" s="66" t="inlineStr">
        <is>
          <t>16/09/2009</t>
        </is>
      </c>
      <c r="B1276" s="28" t="n">
        <v>55.54</v>
      </c>
    </row>
    <row r="1277">
      <c r="A1277" s="66" t="inlineStr">
        <is>
          <t>17/09/2009</t>
        </is>
      </c>
      <c r="B1277" s="28" t="n">
        <v>55.02</v>
      </c>
    </row>
    <row r="1278">
      <c r="A1278" s="66" t="inlineStr">
        <is>
          <t>18/09/2009</t>
        </is>
      </c>
      <c r="B1278" s="28" t="n">
        <v>55.34</v>
      </c>
    </row>
    <row r="1279">
      <c r="A1279" s="66" t="inlineStr">
        <is>
          <t>21/09/2009</t>
        </is>
      </c>
      <c r="B1279" s="28" t="n">
        <v>55.63</v>
      </c>
    </row>
    <row r="1280">
      <c r="A1280" s="66" t="inlineStr">
        <is>
          <t>22/09/2009</t>
        </is>
      </c>
      <c r="B1280" s="28" t="n">
        <v>55.78</v>
      </c>
    </row>
    <row r="1281">
      <c r="A1281" s="66" t="inlineStr">
        <is>
          <t>23/09/2009</t>
        </is>
      </c>
      <c r="B1281" s="28" t="n">
        <v>56.31</v>
      </c>
    </row>
    <row r="1282">
      <c r="A1282" s="66" t="inlineStr">
        <is>
          <t>24/09/2009</t>
        </is>
      </c>
      <c r="B1282" s="28" t="n">
        <v>56.19</v>
      </c>
    </row>
    <row r="1283">
      <c r="A1283" s="66" t="inlineStr">
        <is>
          <t>25/09/2009</t>
        </is>
      </c>
      <c r="B1283" s="28" t="n">
        <v>56.42</v>
      </c>
    </row>
    <row r="1284">
      <c r="A1284" s="66" t="inlineStr">
        <is>
          <t>28/09/2009</t>
        </is>
      </c>
      <c r="B1284" s="28" t="n">
        <v>56.77</v>
      </c>
    </row>
    <row r="1285">
      <c r="A1285" s="66" t="inlineStr">
        <is>
          <t>29/09/2009</t>
        </is>
      </c>
      <c r="B1285" s="28" t="n">
        <v>56.89</v>
      </c>
    </row>
    <row r="1286">
      <c r="A1286" s="66" t="inlineStr">
        <is>
          <t>30/09/2009</t>
        </is>
      </c>
      <c r="B1286" s="28" t="n">
        <v>57.04</v>
      </c>
    </row>
    <row r="1287">
      <c r="A1287" s="66" t="inlineStr">
        <is>
          <t>01/10/2009</t>
        </is>
      </c>
      <c r="B1287" s="28" t="n">
        <v>57.48</v>
      </c>
    </row>
    <row r="1288">
      <c r="A1288" s="66" t="inlineStr">
        <is>
          <t>02/10/2009</t>
        </is>
      </c>
      <c r="B1288" s="28" t="n">
        <v>57.62</v>
      </c>
    </row>
    <row r="1289">
      <c r="A1289" s="66" t="inlineStr">
        <is>
          <t>05/10/2009</t>
        </is>
      </c>
      <c r="B1289" s="28" t="n">
        <v>58.38</v>
      </c>
    </row>
    <row r="1290">
      <c r="A1290" s="66" t="inlineStr">
        <is>
          <t>06/10/2009</t>
        </is>
      </c>
      <c r="B1290" s="28" t="n">
        <v>58.97</v>
      </c>
    </row>
    <row r="1291">
      <c r="A1291" s="66" t="inlineStr">
        <is>
          <t>07/10/2009</t>
        </is>
      </c>
      <c r="B1291" s="28" t="n">
        <v>59.12</v>
      </c>
    </row>
    <row r="1292">
      <c r="A1292" s="66" t="inlineStr">
        <is>
          <t>08/10/2009</t>
        </is>
      </c>
      <c r="B1292" s="28" t="n">
        <v>60.55</v>
      </c>
    </row>
    <row r="1293">
      <c r="A1293" s="66" t="inlineStr">
        <is>
          <t>09/10/2009</t>
        </is>
      </c>
      <c r="B1293" s="28" t="n">
        <v>60.67</v>
      </c>
    </row>
    <row r="1294">
      <c r="A1294" s="66" t="inlineStr">
        <is>
          <t>13/10/2009</t>
        </is>
      </c>
      <c r="B1294" s="28" t="n">
        <v>60.76</v>
      </c>
    </row>
    <row r="1295">
      <c r="A1295" s="66" t="inlineStr">
        <is>
          <t>14/10/2009</t>
        </is>
      </c>
      <c r="B1295" s="28" t="n">
        <v>60.81</v>
      </c>
    </row>
    <row r="1296">
      <c r="A1296" s="66" t="inlineStr">
        <is>
          <t>15/10/2009</t>
        </is>
      </c>
      <c r="B1296" s="28" t="n">
        <v>60.58</v>
      </c>
    </row>
    <row r="1297">
      <c r="A1297" s="66" t="inlineStr">
        <is>
          <t>16/10/2009</t>
        </is>
      </c>
      <c r="B1297" s="28" t="n">
        <v>60.81</v>
      </c>
    </row>
    <row r="1298">
      <c r="A1298" s="66" t="inlineStr">
        <is>
          <t>19/10/2009</t>
        </is>
      </c>
      <c r="B1298" s="28" t="n">
        <v>60.67</v>
      </c>
    </row>
    <row r="1299">
      <c r="A1299" s="66" t="inlineStr">
        <is>
          <t>20/10/2009</t>
        </is>
      </c>
      <c r="B1299" s="28" t="n">
        <v>60.84</v>
      </c>
    </row>
    <row r="1300">
      <c r="A1300" s="66" t="inlineStr">
        <is>
          <t>21/10/2009</t>
        </is>
      </c>
      <c r="B1300" s="28" t="n">
        <v>60.67</v>
      </c>
    </row>
    <row r="1301">
      <c r="A1301" s="66" t="inlineStr">
        <is>
          <t>22/10/2009</t>
        </is>
      </c>
      <c r="B1301" s="28" t="n">
        <v>60.73</v>
      </c>
    </row>
    <row r="1302">
      <c r="A1302" s="66" t="inlineStr">
        <is>
          <t>23/10/2009</t>
        </is>
      </c>
      <c r="B1302" s="28" t="n">
        <v>60.9</v>
      </c>
    </row>
    <row r="1303">
      <c r="A1303" s="66" t="inlineStr">
        <is>
          <t>26/10/2009</t>
        </is>
      </c>
      <c r="B1303" s="28" t="n">
        <v>61.11</v>
      </c>
    </row>
    <row r="1304">
      <c r="A1304" s="66" t="inlineStr">
        <is>
          <t>27/10/2009</t>
        </is>
      </c>
      <c r="B1304" s="28" t="n">
        <v>61.19</v>
      </c>
    </row>
    <row r="1305">
      <c r="A1305" s="66" t="inlineStr">
        <is>
          <t>28/10/2009</t>
        </is>
      </c>
      <c r="B1305" s="28" t="n">
        <v>61.37</v>
      </c>
    </row>
    <row r="1306">
      <c r="A1306" s="66" t="inlineStr">
        <is>
          <t>29/10/2009</t>
        </is>
      </c>
      <c r="B1306" s="28" t="n">
        <v>61.52</v>
      </c>
    </row>
    <row r="1307">
      <c r="A1307" s="66" t="inlineStr">
        <is>
          <t>30/10/2009</t>
        </is>
      </c>
      <c r="B1307" s="28" t="n">
        <v>61.52</v>
      </c>
    </row>
    <row r="1308">
      <c r="A1308" s="66" t="inlineStr">
        <is>
          <t>03/11/2009</t>
        </is>
      </c>
      <c r="B1308" s="28" t="n">
        <v>61.25</v>
      </c>
    </row>
    <row r="1309">
      <c r="A1309" s="66" t="inlineStr">
        <is>
          <t>04/11/2009</t>
        </is>
      </c>
      <c r="B1309" s="28" t="n">
        <v>60.96</v>
      </c>
    </row>
    <row r="1310">
      <c r="A1310" s="66" t="inlineStr">
        <is>
          <t>05/11/2009</t>
        </is>
      </c>
      <c r="B1310" s="28" t="n">
        <v>60.4</v>
      </c>
    </row>
    <row r="1311">
      <c r="A1311" s="66" t="inlineStr">
        <is>
          <t>06/11/2009</t>
        </is>
      </c>
      <c r="B1311" s="28" t="n">
        <v>60.52</v>
      </c>
    </row>
    <row r="1312">
      <c r="A1312" s="66" t="inlineStr">
        <is>
          <t>09/11/2009</t>
        </is>
      </c>
      <c r="B1312" s="28" t="n">
        <v>60.87</v>
      </c>
    </row>
    <row r="1313">
      <c r="A1313" s="66" t="inlineStr">
        <is>
          <t>10/11/2009</t>
        </is>
      </c>
      <c r="B1313" s="28" t="n">
        <v>60.43</v>
      </c>
    </row>
    <row r="1314">
      <c r="A1314" s="66" t="inlineStr">
        <is>
          <t>11/11/2009</t>
        </is>
      </c>
      <c r="B1314" s="28" t="n">
        <v>60.55</v>
      </c>
    </row>
    <row r="1315">
      <c r="A1315" s="66" t="inlineStr">
        <is>
          <t>12/11/2009</t>
        </is>
      </c>
      <c r="B1315" s="28" t="n">
        <v>60.11</v>
      </c>
    </row>
    <row r="1316">
      <c r="A1316" s="66" t="inlineStr">
        <is>
          <t>13/11/2009</t>
        </is>
      </c>
      <c r="B1316" s="28" t="n">
        <v>60.23</v>
      </c>
    </row>
    <row r="1317">
      <c r="A1317" s="66" t="inlineStr">
        <is>
          <t>16/11/2009</t>
        </is>
      </c>
      <c r="B1317" s="28" t="n">
        <v>60.26</v>
      </c>
    </row>
    <row r="1318">
      <c r="A1318" s="66" t="inlineStr">
        <is>
          <t>17/11/2009</t>
        </is>
      </c>
      <c r="B1318" s="28" t="n">
        <v>60.08</v>
      </c>
    </row>
    <row r="1319">
      <c r="A1319" s="66" t="inlineStr">
        <is>
          <t>18/11/2009</t>
        </is>
      </c>
      <c r="B1319" s="28" t="n">
        <v>59.67</v>
      </c>
    </row>
    <row r="1320">
      <c r="A1320" s="66" t="inlineStr">
        <is>
          <t>19/11/2009</t>
        </is>
      </c>
      <c r="B1320" s="28" t="n">
        <v>59.2</v>
      </c>
    </row>
    <row r="1321">
      <c r="A1321" s="66" t="inlineStr">
        <is>
          <t>20/11/2009</t>
        </is>
      </c>
      <c r="B1321" s="28" t="n">
        <v>59.03</v>
      </c>
    </row>
    <row r="1322">
      <c r="A1322" s="66" t="inlineStr">
        <is>
          <t>23/11/2009</t>
        </is>
      </c>
      <c r="B1322" s="28" t="n">
        <v>59.09</v>
      </c>
    </row>
    <row r="1323">
      <c r="A1323" s="66" t="inlineStr">
        <is>
          <t>24/11/2009</t>
        </is>
      </c>
      <c r="B1323" s="28" t="n">
        <v>58.47</v>
      </c>
    </row>
    <row r="1324">
      <c r="A1324" s="66" t="inlineStr">
        <is>
          <t>25/11/2009</t>
        </is>
      </c>
      <c r="B1324" s="28" t="n">
        <v>58.27</v>
      </c>
    </row>
    <row r="1325">
      <c r="A1325" s="66" t="inlineStr">
        <is>
          <t>26/11/2009</t>
        </is>
      </c>
      <c r="B1325" s="28" t="n">
        <v>58.06</v>
      </c>
    </row>
    <row r="1326">
      <c r="A1326" s="66" t="inlineStr">
        <is>
          <t>27/11/2009</t>
        </is>
      </c>
      <c r="B1326" s="28" t="n">
        <v>58.21</v>
      </c>
    </row>
    <row r="1327">
      <c r="A1327" s="66" t="inlineStr">
        <is>
          <t>30/11/2009</t>
        </is>
      </c>
      <c r="B1327" s="28" t="n">
        <v>57.89</v>
      </c>
    </row>
    <row r="1328">
      <c r="A1328" s="66" t="inlineStr">
        <is>
          <t>01/12/2009</t>
        </is>
      </c>
      <c r="B1328" s="28" t="n">
        <v>57.86</v>
      </c>
    </row>
    <row r="1329">
      <c r="A1329" s="66" t="inlineStr">
        <is>
          <t>02/12/2009</t>
        </is>
      </c>
      <c r="B1329" s="28" t="n">
        <v>58.04</v>
      </c>
    </row>
    <row r="1330">
      <c r="A1330" s="66" t="inlineStr">
        <is>
          <t>03/12/2009</t>
        </is>
      </c>
      <c r="B1330" s="28" t="n">
        <v>57.28</v>
      </c>
    </row>
    <row r="1331">
      <c r="A1331" s="66" t="inlineStr">
        <is>
          <t>04/12/2009</t>
        </is>
      </c>
      <c r="B1331" s="28" t="n">
        <v>57.75</v>
      </c>
    </row>
    <row r="1332">
      <c r="A1332" s="66" t="inlineStr">
        <is>
          <t>07/12/2009</t>
        </is>
      </c>
      <c r="B1332" s="28" t="n">
        <v>57.72</v>
      </c>
    </row>
    <row r="1333">
      <c r="A1333" s="66" t="inlineStr">
        <is>
          <t>08/12/2009</t>
        </is>
      </c>
      <c r="B1333" s="28" t="n">
        <v>57.63</v>
      </c>
    </row>
    <row r="1334">
      <c r="A1334" s="66" t="inlineStr">
        <is>
          <t>09/12/2009</t>
        </is>
      </c>
      <c r="B1334" s="28" t="n">
        <v>57.63</v>
      </c>
    </row>
    <row r="1335">
      <c r="A1335" s="66" t="inlineStr">
        <is>
          <t>10/12/2009</t>
        </is>
      </c>
      <c r="B1335" s="28" t="n">
        <v>58.6</v>
      </c>
    </row>
    <row r="1336">
      <c r="A1336" s="66" t="inlineStr">
        <is>
          <t>11/12/2009</t>
        </is>
      </c>
      <c r="B1336" s="28" t="n">
        <v>58.68</v>
      </c>
    </row>
    <row r="1337">
      <c r="A1337" s="66" t="inlineStr">
        <is>
          <t>14/12/2009</t>
        </is>
      </c>
      <c r="B1337" s="28" t="n">
        <v>58.45</v>
      </c>
    </row>
    <row r="1338">
      <c r="A1338" s="66" t="inlineStr">
        <is>
          <t>15/12/2009</t>
        </is>
      </c>
      <c r="B1338" s="28" t="n">
        <v>58.36</v>
      </c>
    </row>
    <row r="1339">
      <c r="A1339" s="66" t="inlineStr">
        <is>
          <t>16/12/2009</t>
        </is>
      </c>
      <c r="B1339" s="28" t="n">
        <v>59.33</v>
      </c>
    </row>
    <row r="1340">
      <c r="A1340" s="66" t="inlineStr">
        <is>
          <t>17/12/2009</t>
        </is>
      </c>
      <c r="B1340" s="28" t="n">
        <v>59.62</v>
      </c>
    </row>
    <row r="1341">
      <c r="A1341" s="66" t="inlineStr">
        <is>
          <t>18/12/2009</t>
        </is>
      </c>
      <c r="B1341" s="28" t="n">
        <v>59.86</v>
      </c>
    </row>
    <row r="1342">
      <c r="A1342" s="66" t="inlineStr">
        <is>
          <t>21/12/2009</t>
        </is>
      </c>
      <c r="B1342" s="28" t="n">
        <v>59.77</v>
      </c>
    </row>
    <row r="1343">
      <c r="A1343" s="66" t="inlineStr">
        <is>
          <t>22/12/2009</t>
        </is>
      </c>
      <c r="B1343" s="28" t="n">
        <v>59.36</v>
      </c>
    </row>
    <row r="1344">
      <c r="A1344" s="66" t="inlineStr">
        <is>
          <t>23/12/2009</t>
        </is>
      </c>
      <c r="B1344" s="28" t="n">
        <v>59.8</v>
      </c>
    </row>
    <row r="1345">
      <c r="A1345" s="66" t="inlineStr">
        <is>
          <t>28/12/2009</t>
        </is>
      </c>
      <c r="B1345" s="28" t="n">
        <v>59.48</v>
      </c>
    </row>
    <row r="1346">
      <c r="A1346" s="66" t="inlineStr">
        <is>
          <t>29/12/2009</t>
        </is>
      </c>
      <c r="B1346" s="28" t="n">
        <v>59.39</v>
      </c>
    </row>
    <row r="1347">
      <c r="A1347" s="66" t="inlineStr">
        <is>
          <t>30/12/2009</t>
        </is>
      </c>
      <c r="B1347" s="28" t="n">
        <v>59.04</v>
      </c>
    </row>
    <row r="1348">
      <c r="A1348" s="66" t="inlineStr">
        <is>
          <t>04/01/2010</t>
        </is>
      </c>
      <c r="B1348" s="28" t="n">
        <v>59.39</v>
      </c>
    </row>
    <row r="1349">
      <c r="A1349" s="66" t="inlineStr">
        <is>
          <t>05/01/2010</t>
        </is>
      </c>
      <c r="B1349" s="28" t="n">
        <v>59.42</v>
      </c>
    </row>
    <row r="1350">
      <c r="A1350" s="66" t="inlineStr">
        <is>
          <t>06/01/2010</t>
        </is>
      </c>
      <c r="B1350" s="28" t="n">
        <v>58.99</v>
      </c>
    </row>
    <row r="1351">
      <c r="A1351" s="66" t="inlineStr">
        <is>
          <t>07/01/2010</t>
        </is>
      </c>
      <c r="B1351" s="28" t="n">
        <v>59.07</v>
      </c>
    </row>
    <row r="1352">
      <c r="A1352" s="66" t="inlineStr">
        <is>
          <t>08/01/2010</t>
        </is>
      </c>
      <c r="B1352" s="28" t="n">
        <v>58.78</v>
      </c>
    </row>
    <row r="1353">
      <c r="A1353" s="66" t="inlineStr">
        <is>
          <t>11/01/2010</t>
        </is>
      </c>
      <c r="B1353" s="28" t="n">
        <v>58.81</v>
      </c>
    </row>
    <row r="1354">
      <c r="A1354" s="66" t="inlineStr">
        <is>
          <t>12/01/2010</t>
        </is>
      </c>
      <c r="B1354" s="28" t="n">
        <v>57.94</v>
      </c>
    </row>
    <row r="1355">
      <c r="A1355" s="66" t="inlineStr">
        <is>
          <t>13/01/2010</t>
        </is>
      </c>
      <c r="B1355" s="28" t="n">
        <v>56.92</v>
      </c>
    </row>
    <row r="1356">
      <c r="A1356" s="66" t="inlineStr">
        <is>
          <t>14/01/2010</t>
        </is>
      </c>
      <c r="B1356" s="28" t="n">
        <v>57.36</v>
      </c>
    </row>
    <row r="1357">
      <c r="A1357" s="66" t="inlineStr">
        <is>
          <t>15/01/2010</t>
        </is>
      </c>
      <c r="B1357" s="28" t="n">
        <v>57.3</v>
      </c>
    </row>
    <row r="1358">
      <c r="A1358" s="66" t="inlineStr">
        <is>
          <t>18/01/2010</t>
        </is>
      </c>
      <c r="B1358" s="28" t="n">
        <v>57.15</v>
      </c>
    </row>
    <row r="1359">
      <c r="A1359" s="66" t="inlineStr">
        <is>
          <t>19/01/2010</t>
        </is>
      </c>
      <c r="B1359" s="28" t="n">
        <v>56.8</v>
      </c>
    </row>
    <row r="1360">
      <c r="A1360" s="66" t="inlineStr">
        <is>
          <t>20/01/2010</t>
        </is>
      </c>
      <c r="B1360" s="28" t="n">
        <v>56.51</v>
      </c>
    </row>
    <row r="1361">
      <c r="A1361" s="66" t="inlineStr">
        <is>
          <t>21/01/2010</t>
        </is>
      </c>
      <c r="B1361" s="28" t="n">
        <v>56.13</v>
      </c>
    </row>
    <row r="1362">
      <c r="A1362" s="66" t="inlineStr">
        <is>
          <t>22/01/2010</t>
        </is>
      </c>
      <c r="B1362" s="28" t="n">
        <v>56.19</v>
      </c>
    </row>
    <row r="1363">
      <c r="A1363" s="66" t="inlineStr">
        <is>
          <t>25/01/2010</t>
        </is>
      </c>
      <c r="B1363" s="28" t="n">
        <v>55.52</v>
      </c>
    </row>
    <row r="1364">
      <c r="A1364" s="66" t="inlineStr">
        <is>
          <t>26/01/2010</t>
        </is>
      </c>
      <c r="B1364" s="28" t="n">
        <v>55.78</v>
      </c>
    </row>
    <row r="1365">
      <c r="A1365" s="66" t="inlineStr">
        <is>
          <t>27/01/2010</t>
        </is>
      </c>
      <c r="B1365" s="28" t="n">
        <v>55.93</v>
      </c>
    </row>
    <row r="1366">
      <c r="A1366" s="66" t="inlineStr">
        <is>
          <t>28/01/2010</t>
        </is>
      </c>
      <c r="B1366" s="28" t="n">
        <v>55.87</v>
      </c>
    </row>
    <row r="1367">
      <c r="A1367" s="66" t="inlineStr">
        <is>
          <t>29/01/2010</t>
        </is>
      </c>
      <c r="B1367" s="28" t="n">
        <v>55.64</v>
      </c>
    </row>
    <row r="1368">
      <c r="A1368" s="66" t="inlineStr">
        <is>
          <t>01/02/2010</t>
        </is>
      </c>
      <c r="B1368" s="28" t="n">
        <v>54.93</v>
      </c>
    </row>
    <row r="1369">
      <c r="A1369" s="66" t="inlineStr">
        <is>
          <t>02/02/2010</t>
        </is>
      </c>
      <c r="B1369" s="28" t="n">
        <v>54.61</v>
      </c>
    </row>
    <row r="1370">
      <c r="A1370" s="66" t="inlineStr">
        <is>
          <t>03/02/2010</t>
        </is>
      </c>
      <c r="B1370" s="28" t="n">
        <v>54.56</v>
      </c>
    </row>
    <row r="1371">
      <c r="A1371" s="66" t="inlineStr">
        <is>
          <t>04/02/2010</t>
        </is>
      </c>
      <c r="B1371" s="28" t="n">
        <v>54.04</v>
      </c>
    </row>
    <row r="1372">
      <c r="A1372" s="66" t="inlineStr">
        <is>
          <t>05/02/2010</t>
        </is>
      </c>
      <c r="B1372" s="28" t="n">
        <v>53.63</v>
      </c>
    </row>
    <row r="1373">
      <c r="A1373" s="66" t="inlineStr">
        <is>
          <t>08/02/2010</t>
        </is>
      </c>
      <c r="B1373" s="28" t="n">
        <v>53.61</v>
      </c>
    </row>
    <row r="1374">
      <c r="A1374" s="66" t="inlineStr">
        <is>
          <t>09/02/2010</t>
        </is>
      </c>
      <c r="B1374" s="28" t="n">
        <v>53</v>
      </c>
    </row>
    <row r="1375">
      <c r="A1375" s="66" t="inlineStr">
        <is>
          <t>10/02/2010</t>
        </is>
      </c>
      <c r="B1375" s="28" t="n">
        <v>51.96</v>
      </c>
    </row>
    <row r="1376">
      <c r="A1376" s="66" t="inlineStr">
        <is>
          <t>11/02/2010</t>
        </is>
      </c>
      <c r="B1376" s="28" t="n">
        <v>52.17</v>
      </c>
    </row>
    <row r="1377">
      <c r="A1377" s="66" t="inlineStr">
        <is>
          <t>12/02/2010</t>
        </is>
      </c>
      <c r="B1377" s="28" t="n">
        <v>51.91</v>
      </c>
    </row>
    <row r="1378">
      <c r="A1378" s="66" t="inlineStr">
        <is>
          <t>17/02/2010</t>
        </is>
      </c>
      <c r="B1378" s="28" t="n">
        <v>52.02</v>
      </c>
    </row>
    <row r="1379">
      <c r="A1379" s="66" t="inlineStr">
        <is>
          <t>18/02/2010</t>
        </is>
      </c>
      <c r="B1379" s="28" t="n">
        <v>51.88</v>
      </c>
    </row>
    <row r="1380">
      <c r="A1380" s="66" t="inlineStr">
        <is>
          <t>19/02/2010</t>
        </is>
      </c>
      <c r="B1380" s="28" t="n">
        <v>52.11</v>
      </c>
    </row>
    <row r="1381">
      <c r="A1381" s="66" t="inlineStr">
        <is>
          <t>22/02/2010</t>
        </is>
      </c>
      <c r="B1381" s="28" t="n">
        <v>51.82</v>
      </c>
    </row>
    <row r="1382">
      <c r="A1382" s="66" t="inlineStr">
        <is>
          <t>23/02/2010</t>
        </is>
      </c>
      <c r="B1382" s="28" t="n">
        <v>52.08</v>
      </c>
    </row>
    <row r="1383">
      <c r="A1383" s="66" t="inlineStr">
        <is>
          <t>24/02/2010</t>
        </is>
      </c>
      <c r="B1383" s="28" t="n">
        <v>51.96</v>
      </c>
    </row>
    <row r="1384">
      <c r="A1384" s="66" t="inlineStr">
        <is>
          <t>25/02/2010</t>
        </is>
      </c>
      <c r="B1384" s="28" t="n">
        <v>52.11</v>
      </c>
    </row>
    <row r="1385">
      <c r="A1385" s="66" t="inlineStr">
        <is>
          <t>26/02/2010</t>
        </is>
      </c>
      <c r="B1385" s="28" t="n">
        <v>52.34</v>
      </c>
    </row>
    <row r="1386">
      <c r="A1386" s="66" t="inlineStr">
        <is>
          <t>01/03/2010</t>
        </is>
      </c>
      <c r="B1386" s="28" t="n">
        <v>51.74</v>
      </c>
    </row>
    <row r="1387">
      <c r="A1387" s="66" t="inlineStr">
        <is>
          <t>02/03/2010</t>
        </is>
      </c>
      <c r="B1387" s="28" t="n">
        <v>51.65</v>
      </c>
    </row>
    <row r="1388">
      <c r="A1388" s="66" t="inlineStr">
        <is>
          <t>03/03/2010</t>
        </is>
      </c>
      <c r="B1388" s="28" t="n">
        <v>52.42</v>
      </c>
    </row>
    <row r="1389">
      <c r="A1389" s="66" t="inlineStr">
        <is>
          <t>04/03/2010</t>
        </is>
      </c>
      <c r="B1389" s="28" t="n">
        <v>52.59</v>
      </c>
    </row>
    <row r="1390">
      <c r="A1390" s="66" t="inlineStr">
        <is>
          <t>05/03/2010</t>
        </is>
      </c>
      <c r="B1390" s="28" t="n">
        <v>52.68</v>
      </c>
    </row>
    <row r="1391">
      <c r="A1391" s="66" t="inlineStr">
        <is>
          <t>08/03/2010</t>
        </is>
      </c>
      <c r="B1391" s="28" t="n">
        <v>52.62</v>
      </c>
    </row>
    <row r="1392">
      <c r="A1392" s="66" t="inlineStr">
        <is>
          <t>09/03/2010</t>
        </is>
      </c>
      <c r="B1392" s="28" t="n">
        <v>52.88</v>
      </c>
    </row>
    <row r="1393">
      <c r="A1393" s="66" t="inlineStr">
        <is>
          <t>10/03/2010</t>
        </is>
      </c>
      <c r="B1393" s="28" t="n">
        <v>52.99</v>
      </c>
    </row>
    <row r="1394">
      <c r="A1394" s="66" t="inlineStr">
        <is>
          <t>11/03/2010</t>
        </is>
      </c>
      <c r="B1394" s="28" t="n">
        <v>53.28</v>
      </c>
    </row>
    <row r="1395">
      <c r="A1395" s="66" t="inlineStr">
        <is>
          <t>12/03/2010</t>
        </is>
      </c>
      <c r="B1395" s="28" t="n">
        <v>53.22</v>
      </c>
    </row>
    <row r="1396">
      <c r="A1396" s="66" t="inlineStr">
        <is>
          <t>15/03/2010</t>
        </is>
      </c>
      <c r="B1396" s="28" t="n">
        <v>53.31</v>
      </c>
    </row>
    <row r="1397">
      <c r="A1397" s="66" t="inlineStr">
        <is>
          <t>16/03/2010</t>
        </is>
      </c>
      <c r="B1397" s="28" t="n">
        <v>53.19</v>
      </c>
    </row>
    <row r="1398">
      <c r="A1398" s="66" t="inlineStr">
        <is>
          <t>17/03/2010</t>
        </is>
      </c>
      <c r="B1398" s="28" t="n">
        <v>53.16</v>
      </c>
    </row>
    <row r="1399">
      <c r="A1399" s="66" t="inlineStr">
        <is>
          <t>18/03/2010</t>
        </is>
      </c>
      <c r="B1399" s="28" t="n">
        <v>53.02</v>
      </c>
    </row>
    <row r="1400">
      <c r="A1400" s="66" t="inlineStr">
        <is>
          <t>19/03/2010</t>
        </is>
      </c>
      <c r="B1400" s="28" t="n">
        <v>52.76</v>
      </c>
    </row>
    <row r="1401">
      <c r="A1401" s="66" t="inlineStr">
        <is>
          <t>22/03/2010</t>
        </is>
      </c>
      <c r="B1401" s="28" t="n">
        <v>53.13</v>
      </c>
    </row>
    <row r="1402">
      <c r="A1402" s="66" t="inlineStr">
        <is>
          <t>23/03/2010</t>
        </is>
      </c>
      <c r="B1402" s="28" t="n">
        <v>52.94</v>
      </c>
    </row>
    <row r="1403">
      <c r="A1403" s="66" t="inlineStr">
        <is>
          <t>24/03/2010</t>
        </is>
      </c>
      <c r="B1403" s="28" t="n">
        <v>52.99</v>
      </c>
    </row>
    <row r="1404">
      <c r="A1404" s="66" t="inlineStr">
        <is>
          <t>25/03/2010</t>
        </is>
      </c>
      <c r="B1404" s="28" t="n">
        <v>52.08</v>
      </c>
    </row>
    <row r="1405">
      <c r="A1405" s="66" t="inlineStr">
        <is>
          <t>26/03/2010</t>
        </is>
      </c>
      <c r="B1405" s="28" t="n">
        <v>52.82</v>
      </c>
    </row>
    <row r="1406">
      <c r="A1406" s="66" t="inlineStr">
        <is>
          <t>29/03/2010</t>
        </is>
      </c>
      <c r="B1406" s="28" t="n">
        <v>51.91</v>
      </c>
    </row>
    <row r="1407">
      <c r="A1407" s="66" t="inlineStr">
        <is>
          <t>30/03/2010</t>
        </is>
      </c>
      <c r="B1407" s="28" t="n">
        <v>52.08</v>
      </c>
    </row>
    <row r="1408">
      <c r="A1408" s="66" t="inlineStr">
        <is>
          <t>31/03/2010</t>
        </is>
      </c>
      <c r="B1408" s="28" t="n">
        <v>51.99</v>
      </c>
    </row>
    <row r="1409">
      <c r="A1409" s="66" t="inlineStr">
        <is>
          <t>01/04/2010</t>
        </is>
      </c>
      <c r="B1409" s="28" t="n">
        <v>51.82</v>
      </c>
    </row>
    <row r="1410">
      <c r="A1410" s="66" t="inlineStr">
        <is>
          <t>05/04/2010</t>
        </is>
      </c>
      <c r="B1410" s="28" t="n">
        <v>51.6</v>
      </c>
    </row>
    <row r="1411">
      <c r="A1411" s="66" t="inlineStr">
        <is>
          <t>06/04/2010</t>
        </is>
      </c>
      <c r="B1411" s="28" t="n">
        <v>51.74</v>
      </c>
    </row>
    <row r="1412">
      <c r="A1412" s="66" t="inlineStr">
        <is>
          <t>07/04/2010</t>
        </is>
      </c>
      <c r="B1412" s="28" t="n">
        <v>51.46</v>
      </c>
    </row>
    <row r="1413">
      <c r="A1413" s="66" t="inlineStr">
        <is>
          <t>08/04/2010</t>
        </is>
      </c>
      <c r="B1413" s="28" t="n">
        <v>51.71</v>
      </c>
    </row>
    <row r="1414">
      <c r="A1414" s="66" t="inlineStr">
        <is>
          <t>09/04/2010</t>
        </is>
      </c>
      <c r="B1414" s="28" t="n">
        <v>51.65</v>
      </c>
    </row>
    <row r="1415">
      <c r="A1415" s="66" t="inlineStr">
        <is>
          <t>12/04/2010</t>
        </is>
      </c>
      <c r="B1415" s="28" t="n">
        <v>51.85</v>
      </c>
    </row>
    <row r="1416">
      <c r="A1416" s="66" t="inlineStr">
        <is>
          <t>13/04/2010</t>
        </is>
      </c>
      <c r="B1416" s="28" t="n">
        <v>51.71</v>
      </c>
    </row>
    <row r="1417">
      <c r="A1417" s="66" t="inlineStr">
        <is>
          <t>14/04/2010</t>
        </is>
      </c>
      <c r="B1417" s="28" t="n">
        <v>51.51</v>
      </c>
    </row>
    <row r="1418">
      <c r="A1418" s="66" t="inlineStr">
        <is>
          <t>15/04/2010</t>
        </is>
      </c>
      <c r="B1418" s="28" t="n">
        <v>51.46</v>
      </c>
    </row>
    <row r="1419">
      <c r="A1419" s="66" t="inlineStr">
        <is>
          <t>16/04/2010</t>
        </is>
      </c>
      <c r="B1419" s="28" t="n">
        <v>51.34</v>
      </c>
    </row>
    <row r="1420">
      <c r="A1420" s="66" t="inlineStr">
        <is>
          <t>19/04/2010</t>
        </is>
      </c>
      <c r="B1420" s="28" t="n">
        <v>51.09</v>
      </c>
    </row>
    <row r="1421">
      <c r="A1421" s="66" t="inlineStr">
        <is>
          <t>20/04/2010</t>
        </is>
      </c>
      <c r="B1421" s="28" t="n">
        <v>51.17</v>
      </c>
    </row>
    <row r="1422">
      <c r="A1422" s="66" t="inlineStr">
        <is>
          <t>22/04/2010</t>
        </is>
      </c>
      <c r="B1422" s="28" t="n">
        <v>51.4</v>
      </c>
    </row>
    <row r="1423">
      <c r="A1423" s="66" t="inlineStr">
        <is>
          <t>23/04/2010</t>
        </is>
      </c>
      <c r="B1423" s="28" t="n">
        <v>51.09</v>
      </c>
    </row>
    <row r="1424">
      <c r="A1424" s="66" t="inlineStr">
        <is>
          <t>26/04/2010</t>
        </is>
      </c>
      <c r="B1424" s="28" t="n">
        <v>51.12</v>
      </c>
    </row>
    <row r="1425">
      <c r="A1425" s="66" t="inlineStr">
        <is>
          <t>27/04/2010</t>
        </is>
      </c>
      <c r="B1425" s="28" t="n">
        <v>51.06</v>
      </c>
    </row>
    <row r="1426">
      <c r="A1426" s="66" t="inlineStr">
        <is>
          <t>28/04/2010</t>
        </is>
      </c>
      <c r="B1426" s="28" t="n">
        <v>50.97</v>
      </c>
    </row>
    <row r="1427">
      <c r="A1427" s="66" t="inlineStr">
        <is>
          <t>29/04/2010</t>
        </is>
      </c>
      <c r="B1427" s="28" t="n">
        <v>50.97</v>
      </c>
    </row>
    <row r="1428">
      <c r="A1428" s="66" t="inlineStr">
        <is>
          <t>30/04/2010</t>
        </is>
      </c>
      <c r="B1428" s="28" t="n">
        <v>51.06</v>
      </c>
    </row>
    <row r="1429">
      <c r="A1429" s="66" t="inlineStr">
        <is>
          <t>03/05/2010</t>
        </is>
      </c>
      <c r="B1429" s="28" t="n">
        <v>50.26</v>
      </c>
    </row>
    <row r="1430">
      <c r="A1430" s="66" t="inlineStr">
        <is>
          <t>04/05/2010</t>
        </is>
      </c>
      <c r="B1430" s="28" t="n">
        <v>50.68</v>
      </c>
    </row>
    <row r="1431">
      <c r="A1431" s="66" t="inlineStr">
        <is>
          <t>05/05/2010</t>
        </is>
      </c>
      <c r="B1431" s="28" t="n">
        <v>50.65</v>
      </c>
    </row>
    <row r="1432">
      <c r="A1432" s="66" t="inlineStr">
        <is>
          <t>06/05/2010</t>
        </is>
      </c>
      <c r="B1432" s="28" t="n">
        <v>50.88</v>
      </c>
    </row>
    <row r="1433">
      <c r="A1433" s="66" t="inlineStr">
        <is>
          <t>07/05/2010</t>
        </is>
      </c>
      <c r="B1433" s="28" t="n">
        <v>50.96</v>
      </c>
    </row>
    <row r="1434">
      <c r="A1434" s="66" t="inlineStr">
        <is>
          <t>10/05/2010</t>
        </is>
      </c>
      <c r="B1434" s="28" t="n">
        <v>51.72</v>
      </c>
    </row>
    <row r="1435">
      <c r="A1435" s="66" t="inlineStr">
        <is>
          <t>11/05/2010</t>
        </is>
      </c>
      <c r="B1435" s="28" t="n">
        <v>52.05</v>
      </c>
    </row>
    <row r="1436">
      <c r="A1436" s="66" t="inlineStr">
        <is>
          <t>12/05/2010</t>
        </is>
      </c>
      <c r="B1436" s="28" t="n">
        <v>51.47</v>
      </c>
    </row>
    <row r="1437">
      <c r="A1437" s="66" t="inlineStr">
        <is>
          <t>13/05/2010</t>
        </is>
      </c>
      <c r="B1437" s="28" t="n">
        <v>51.75</v>
      </c>
    </row>
    <row r="1438">
      <c r="A1438" s="66" t="inlineStr">
        <is>
          <t>14/05/2010</t>
        </is>
      </c>
      <c r="B1438" s="28" t="n">
        <v>52.11</v>
      </c>
    </row>
    <row r="1439">
      <c r="A1439" s="66" t="inlineStr">
        <is>
          <t>17/05/2010</t>
        </is>
      </c>
      <c r="B1439" s="28" t="n">
        <v>52.44</v>
      </c>
    </row>
    <row r="1440">
      <c r="A1440" s="66" t="inlineStr">
        <is>
          <t>18/05/2010</t>
        </is>
      </c>
      <c r="B1440" s="28" t="n">
        <v>52.19</v>
      </c>
    </row>
    <row r="1441">
      <c r="A1441" s="66" t="inlineStr">
        <is>
          <t>19/05/2010</t>
        </is>
      </c>
      <c r="B1441" s="28" t="n">
        <v>52.44</v>
      </c>
    </row>
    <row r="1442">
      <c r="A1442" s="66" t="inlineStr">
        <is>
          <t>20/05/2010</t>
        </is>
      </c>
      <c r="B1442" s="28" t="n">
        <v>52.61</v>
      </c>
    </row>
    <row r="1443">
      <c r="A1443" s="66" t="inlineStr">
        <is>
          <t>21/05/2010</t>
        </is>
      </c>
      <c r="B1443" s="28" t="n">
        <v>52.92</v>
      </c>
    </row>
    <row r="1444">
      <c r="A1444" s="66" t="inlineStr">
        <is>
          <t>24/05/2010</t>
        </is>
      </c>
      <c r="B1444" s="28" t="n">
        <v>53.2</v>
      </c>
    </row>
    <row r="1445">
      <c r="A1445" s="66" t="inlineStr">
        <is>
          <t>25/05/2010</t>
        </is>
      </c>
      <c r="B1445" s="28" t="n">
        <v>52.92</v>
      </c>
    </row>
    <row r="1446">
      <c r="A1446" s="66" t="inlineStr">
        <is>
          <t>26/05/2010</t>
        </is>
      </c>
      <c r="B1446" s="28" t="n">
        <v>53.65</v>
      </c>
    </row>
    <row r="1447">
      <c r="A1447" s="66" t="inlineStr">
        <is>
          <t>27/05/2010</t>
        </is>
      </c>
      <c r="B1447" s="28" t="n">
        <v>53.84</v>
      </c>
    </row>
    <row r="1448">
      <c r="A1448" s="66" t="inlineStr">
        <is>
          <t>28/05/2010</t>
        </is>
      </c>
      <c r="B1448" s="28" t="n">
        <v>53.76</v>
      </c>
    </row>
    <row r="1449">
      <c r="A1449" s="66" t="inlineStr">
        <is>
          <t>31/05/2010</t>
        </is>
      </c>
      <c r="B1449" s="28" t="n">
        <v>54.21</v>
      </c>
    </row>
    <row r="1450">
      <c r="A1450" s="66" t="inlineStr">
        <is>
          <t>01/06/2010</t>
        </is>
      </c>
      <c r="B1450" s="28" t="n">
        <v>53.94</v>
      </c>
    </row>
    <row r="1451">
      <c r="A1451" s="66" t="inlineStr">
        <is>
          <t>02/06/2010</t>
        </is>
      </c>
      <c r="B1451" s="28" t="n">
        <v>54.64</v>
      </c>
    </row>
    <row r="1452">
      <c r="A1452" s="66" t="inlineStr">
        <is>
          <t>04/06/2010</t>
        </is>
      </c>
      <c r="B1452" s="28" t="n">
        <v>54.8</v>
      </c>
    </row>
    <row r="1453">
      <c r="A1453" s="66" t="inlineStr">
        <is>
          <t>07/06/2010</t>
        </is>
      </c>
      <c r="B1453" s="28" t="n">
        <v>55.36</v>
      </c>
    </row>
    <row r="1454">
      <c r="A1454" s="66" t="inlineStr">
        <is>
          <t>08/06/2010</t>
        </is>
      </c>
      <c r="B1454" s="28" t="n">
        <v>55.41</v>
      </c>
    </row>
    <row r="1455">
      <c r="A1455" s="66" t="inlineStr">
        <is>
          <t>09/06/2010</t>
        </is>
      </c>
      <c r="B1455" s="28" t="n">
        <v>55.3</v>
      </c>
    </row>
    <row r="1456">
      <c r="A1456" s="66" t="inlineStr">
        <is>
          <t>10/06/2010</t>
        </is>
      </c>
      <c r="B1456" s="28" t="n">
        <v>54.97</v>
      </c>
    </row>
    <row r="1457">
      <c r="A1457" s="66" t="inlineStr">
        <is>
          <t>11/06/2010</t>
        </is>
      </c>
      <c r="B1457" s="28" t="n">
        <v>54.89</v>
      </c>
    </row>
    <row r="1458">
      <c r="A1458" s="66" t="inlineStr">
        <is>
          <t>14/06/2010</t>
        </is>
      </c>
      <c r="B1458" s="28" t="n">
        <v>55.16</v>
      </c>
    </row>
    <row r="1459">
      <c r="A1459" s="66" t="inlineStr">
        <is>
          <t>15/06/2010</t>
        </is>
      </c>
      <c r="B1459" s="28" t="n">
        <v>54.72</v>
      </c>
    </row>
    <row r="1460">
      <c r="A1460" s="66" t="inlineStr">
        <is>
          <t>16/06/2010</t>
        </is>
      </c>
      <c r="B1460" s="28" t="n">
        <v>54.22</v>
      </c>
    </row>
    <row r="1461">
      <c r="A1461" s="66" t="inlineStr">
        <is>
          <t>17/06/2010</t>
        </is>
      </c>
      <c r="B1461" s="28" t="n">
        <v>53.83</v>
      </c>
    </row>
    <row r="1462">
      <c r="A1462" s="66" t="inlineStr">
        <is>
          <t>18/06/2010</t>
        </is>
      </c>
      <c r="B1462" s="28" t="n">
        <v>53.94</v>
      </c>
    </row>
    <row r="1463">
      <c r="A1463" s="66" t="inlineStr">
        <is>
          <t>21/06/2010</t>
        </is>
      </c>
      <c r="B1463" s="28" t="n">
        <v>53.69</v>
      </c>
    </row>
    <row r="1464">
      <c r="A1464" s="66" t="inlineStr">
        <is>
          <t>22/06/2010</t>
        </is>
      </c>
      <c r="B1464" s="28" t="n">
        <v>53.28</v>
      </c>
    </row>
    <row r="1465">
      <c r="A1465" s="66" t="inlineStr">
        <is>
          <t>23/06/2010</t>
        </is>
      </c>
      <c r="B1465" s="28" t="n">
        <v>52.53</v>
      </c>
    </row>
    <row r="1466">
      <c r="A1466" s="66" t="inlineStr">
        <is>
          <t>24/06/2010</t>
        </is>
      </c>
      <c r="B1466" s="28" t="n">
        <v>52.11</v>
      </c>
    </row>
    <row r="1467">
      <c r="A1467" s="66" t="inlineStr">
        <is>
          <t>25/06/2010</t>
        </is>
      </c>
      <c r="B1467" s="28" t="n">
        <v>52.14</v>
      </c>
    </row>
    <row r="1468">
      <c r="A1468" s="66" t="inlineStr">
        <is>
          <t>28/06/2010</t>
        </is>
      </c>
      <c r="B1468" s="28" t="n">
        <v>52.42</v>
      </c>
    </row>
    <row r="1469">
      <c r="A1469" s="66" t="inlineStr">
        <is>
          <t>29/06/2010</t>
        </is>
      </c>
      <c r="B1469" s="28" t="n">
        <v>52.06</v>
      </c>
    </row>
    <row r="1470">
      <c r="A1470" s="66" t="inlineStr">
        <is>
          <t>30/06/2010</t>
        </is>
      </c>
      <c r="B1470" s="28" t="n">
        <v>51.97</v>
      </c>
    </row>
    <row r="1471">
      <c r="A1471" s="66" t="inlineStr">
        <is>
          <t>01/07/2010</t>
        </is>
      </c>
      <c r="B1471" s="28" t="n">
        <v>51.54</v>
      </c>
    </row>
    <row r="1472">
      <c r="A1472" s="66" t="inlineStr">
        <is>
          <t>02/07/2010</t>
        </is>
      </c>
      <c r="B1472" s="28" t="n">
        <v>51.43</v>
      </c>
    </row>
    <row r="1473">
      <c r="A1473" s="66" t="inlineStr">
        <is>
          <t>05/07/2010</t>
        </is>
      </c>
      <c r="B1473" s="28" t="n">
        <v>51.37</v>
      </c>
    </row>
    <row r="1474">
      <c r="A1474" s="66" t="inlineStr">
        <is>
          <t>06/07/2010</t>
        </is>
      </c>
      <c r="B1474" s="28" t="n">
        <v>51.51</v>
      </c>
    </row>
    <row r="1475">
      <c r="A1475" s="66" t="inlineStr">
        <is>
          <t>07/07/2010</t>
        </is>
      </c>
      <c r="B1475" s="28" t="n">
        <v>51.09</v>
      </c>
    </row>
    <row r="1476">
      <c r="A1476" s="66" t="inlineStr">
        <is>
          <t>08/07/2010</t>
        </is>
      </c>
      <c r="B1476" s="28" t="n">
        <v>50.48</v>
      </c>
    </row>
    <row r="1477">
      <c r="A1477" s="66" t="inlineStr">
        <is>
          <t>12/07/2010</t>
        </is>
      </c>
      <c r="B1477" s="28" t="n">
        <v>50.37</v>
      </c>
    </row>
    <row r="1478">
      <c r="A1478" s="66" t="inlineStr">
        <is>
          <t>13/07/2010</t>
        </is>
      </c>
      <c r="B1478" s="28" t="n">
        <v>50.35</v>
      </c>
    </row>
    <row r="1479">
      <c r="A1479" s="66" t="inlineStr">
        <is>
          <t>14/07/2010</t>
        </is>
      </c>
      <c r="B1479" s="28" t="n">
        <v>50.98</v>
      </c>
    </row>
    <row r="1480">
      <c r="A1480" s="66" t="inlineStr">
        <is>
          <t>15/07/2010</t>
        </is>
      </c>
      <c r="B1480" s="28" t="n">
        <v>50.79</v>
      </c>
    </row>
    <row r="1481">
      <c r="A1481" s="66" t="inlineStr">
        <is>
          <t>16/07/2010</t>
        </is>
      </c>
      <c r="B1481" s="28" t="n">
        <v>51.98</v>
      </c>
    </row>
    <row r="1482">
      <c r="A1482" s="66" t="inlineStr">
        <is>
          <t>19/07/2010</t>
        </is>
      </c>
      <c r="B1482" s="28" t="n">
        <v>52.56</v>
      </c>
    </row>
    <row r="1483">
      <c r="A1483" s="66" t="inlineStr">
        <is>
          <t>20/07/2010</t>
        </is>
      </c>
      <c r="B1483" s="28" t="n">
        <v>52.92</v>
      </c>
    </row>
    <row r="1484">
      <c r="A1484" s="66" t="inlineStr">
        <is>
          <t>21/07/2010</t>
        </is>
      </c>
      <c r="B1484" s="28" t="n">
        <v>52.92</v>
      </c>
    </row>
    <row r="1485">
      <c r="A1485" s="66" t="inlineStr">
        <is>
          <t>22/07/2010</t>
        </is>
      </c>
      <c r="B1485" s="28" t="n">
        <v>53</v>
      </c>
    </row>
    <row r="1486">
      <c r="A1486" s="66" t="inlineStr">
        <is>
          <t>23/07/2010</t>
        </is>
      </c>
      <c r="B1486" s="28" t="n">
        <v>53.36</v>
      </c>
    </row>
    <row r="1487">
      <c r="A1487" s="66" t="inlineStr">
        <is>
          <t>26/07/2010</t>
        </is>
      </c>
      <c r="B1487" s="28" t="n">
        <v>53.61</v>
      </c>
    </row>
    <row r="1488">
      <c r="A1488" s="66" t="inlineStr">
        <is>
          <t>27/07/2010</t>
        </is>
      </c>
      <c r="B1488" s="28" t="n">
        <v>53.81</v>
      </c>
    </row>
    <row r="1489">
      <c r="A1489" s="66" t="inlineStr">
        <is>
          <t>28/07/2010</t>
        </is>
      </c>
      <c r="B1489" s="28" t="n">
        <v>53.56</v>
      </c>
    </row>
    <row r="1490">
      <c r="A1490" s="66" t="inlineStr">
        <is>
          <t>29/07/2010</t>
        </is>
      </c>
      <c r="B1490" s="28" t="n">
        <v>53.64</v>
      </c>
    </row>
    <row r="1491">
      <c r="A1491" s="66" t="inlineStr">
        <is>
          <t>30/07/2010</t>
        </is>
      </c>
      <c r="B1491" s="28" t="n">
        <v>54.2</v>
      </c>
    </row>
    <row r="1492">
      <c r="A1492" s="66" t="inlineStr">
        <is>
          <t>02/08/2010</t>
        </is>
      </c>
      <c r="B1492" s="28" t="n">
        <v>53.4</v>
      </c>
    </row>
    <row r="1493">
      <c r="A1493" s="66" t="inlineStr">
        <is>
          <t>03/08/2010</t>
        </is>
      </c>
      <c r="B1493" s="28" t="n">
        <v>53.86</v>
      </c>
    </row>
    <row r="1494">
      <c r="A1494" s="66" t="inlineStr">
        <is>
          <t>04/08/2010</t>
        </is>
      </c>
      <c r="B1494" s="28" t="n">
        <v>54.17</v>
      </c>
    </row>
    <row r="1495">
      <c r="A1495" s="66" t="inlineStr">
        <is>
          <t>05/08/2010</t>
        </is>
      </c>
      <c r="B1495" s="28" t="n">
        <v>54.22</v>
      </c>
    </row>
    <row r="1496">
      <c r="A1496" s="66" t="inlineStr">
        <is>
          <t>06/08/2010</t>
        </is>
      </c>
      <c r="B1496" s="28" t="n">
        <v>54.58</v>
      </c>
    </row>
    <row r="1497">
      <c r="A1497" s="66" t="inlineStr">
        <is>
          <t>09/08/2010</t>
        </is>
      </c>
      <c r="B1497" s="28" t="n">
        <v>55.32</v>
      </c>
    </row>
    <row r="1498">
      <c r="A1498" s="66" t="inlineStr">
        <is>
          <t>10/08/2010</t>
        </is>
      </c>
      <c r="B1498" s="28" t="n">
        <v>55.07</v>
      </c>
    </row>
    <row r="1499">
      <c r="A1499" s="66" t="inlineStr">
        <is>
          <t>11/08/2010</t>
        </is>
      </c>
      <c r="B1499" s="28" t="n">
        <v>55.62</v>
      </c>
    </row>
    <row r="1500">
      <c r="A1500" s="66" t="inlineStr">
        <is>
          <t>12/08/2010</t>
        </is>
      </c>
      <c r="B1500" s="28" t="n">
        <v>55.4</v>
      </c>
    </row>
    <row r="1501">
      <c r="A1501" s="66" t="inlineStr">
        <is>
          <t>13/08/2010</t>
        </is>
      </c>
      <c r="B1501" s="28" t="n">
        <v>55.32</v>
      </c>
    </row>
    <row r="1502">
      <c r="A1502" s="66" t="inlineStr">
        <is>
          <t>16/08/2010</t>
        </is>
      </c>
      <c r="B1502" s="28" t="n">
        <v>55.71</v>
      </c>
    </row>
    <row r="1503">
      <c r="A1503" s="66" t="inlineStr">
        <is>
          <t>17/08/2010</t>
        </is>
      </c>
      <c r="B1503" s="28" t="n">
        <v>56.39</v>
      </c>
    </row>
    <row r="1504">
      <c r="A1504" s="66" t="inlineStr">
        <is>
          <t>18/08/2010</t>
        </is>
      </c>
      <c r="B1504" s="28" t="n">
        <v>56.39</v>
      </c>
    </row>
    <row r="1505">
      <c r="A1505" s="66" t="inlineStr">
        <is>
          <t>19/08/2010</t>
        </is>
      </c>
      <c r="B1505" s="28" t="n">
        <v>57.27</v>
      </c>
    </row>
    <row r="1506">
      <c r="A1506" s="66" t="inlineStr">
        <is>
          <t>20/08/2010</t>
        </is>
      </c>
      <c r="B1506" s="28" t="n">
        <v>56.61</v>
      </c>
    </row>
    <row r="1507">
      <c r="A1507" s="66" t="inlineStr">
        <is>
          <t>23/08/2010</t>
        </is>
      </c>
      <c r="B1507" s="28" t="n">
        <v>57.3</v>
      </c>
    </row>
    <row r="1508">
      <c r="A1508" s="66" t="inlineStr">
        <is>
          <t>24/08/2010</t>
        </is>
      </c>
      <c r="B1508" s="28" t="n">
        <v>57.44</v>
      </c>
    </row>
    <row r="1509">
      <c r="A1509" s="66" t="inlineStr">
        <is>
          <t>25/08/2010</t>
        </is>
      </c>
      <c r="B1509" s="28" t="n">
        <v>58.84</v>
      </c>
    </row>
    <row r="1510">
      <c r="A1510" s="66" t="inlineStr">
        <is>
          <t>26/08/2010</t>
        </is>
      </c>
      <c r="B1510" s="28" t="n">
        <v>59.39</v>
      </c>
    </row>
    <row r="1511">
      <c r="A1511" s="66" t="inlineStr">
        <is>
          <t>27/08/2010</t>
        </is>
      </c>
      <c r="B1511" s="28" t="n">
        <v>59.91</v>
      </c>
    </row>
    <row r="1512">
      <c r="A1512" s="66" t="inlineStr">
        <is>
          <t>30/08/2010</t>
        </is>
      </c>
      <c r="B1512" s="28" t="n">
        <v>59.96</v>
      </c>
    </row>
    <row r="1513">
      <c r="A1513" s="66" t="inlineStr">
        <is>
          <t>31/08/2010</t>
        </is>
      </c>
      <c r="B1513" s="28" t="n">
        <v>60.82</v>
      </c>
    </row>
    <row r="1514">
      <c r="A1514" s="66" t="inlineStr">
        <is>
          <t>01/09/2010</t>
        </is>
      </c>
      <c r="B1514" s="28" t="n">
        <v>60.67</v>
      </c>
    </row>
    <row r="1515">
      <c r="A1515" s="66" t="inlineStr">
        <is>
          <t>02/09/2010</t>
        </is>
      </c>
      <c r="B1515" s="28" t="n">
        <v>60.89</v>
      </c>
    </row>
    <row r="1516">
      <c r="A1516" s="66" t="inlineStr">
        <is>
          <t>03/09/2010</t>
        </is>
      </c>
      <c r="B1516" s="28" t="n">
        <v>61.92</v>
      </c>
    </row>
    <row r="1517">
      <c r="A1517" s="66" t="inlineStr">
        <is>
          <t>06/09/2010</t>
        </is>
      </c>
      <c r="B1517" s="28" t="n">
        <v>62.54</v>
      </c>
    </row>
    <row r="1518">
      <c r="A1518" s="66" t="inlineStr">
        <is>
          <t>08/09/2010</t>
        </is>
      </c>
      <c r="B1518" s="28" t="n">
        <v>62.54</v>
      </c>
    </row>
    <row r="1519">
      <c r="A1519" s="66" t="inlineStr">
        <is>
          <t>09/09/2010</t>
        </is>
      </c>
      <c r="B1519" s="28" t="n">
        <v>64.09</v>
      </c>
    </row>
    <row r="1520">
      <c r="A1520" s="66" t="inlineStr">
        <is>
          <t>10/09/2010</t>
        </is>
      </c>
      <c r="B1520" s="28" t="n">
        <v>64.45</v>
      </c>
    </row>
    <row r="1521">
      <c r="A1521" s="66" t="inlineStr">
        <is>
          <t>13/09/2010</t>
        </is>
      </c>
      <c r="B1521" s="28" t="n">
        <v>64.66</v>
      </c>
    </row>
    <row r="1522">
      <c r="A1522" s="66" t="inlineStr">
        <is>
          <t>14/09/2010</t>
        </is>
      </c>
      <c r="B1522" s="28" t="n">
        <v>65.23</v>
      </c>
    </row>
    <row r="1523">
      <c r="A1523" s="66" t="inlineStr">
        <is>
          <t>15/09/2010</t>
        </is>
      </c>
      <c r="B1523" s="28" t="n">
        <v>65.89</v>
      </c>
    </row>
    <row r="1524">
      <c r="A1524" s="66" t="inlineStr">
        <is>
          <t>16/09/2010</t>
        </is>
      </c>
      <c r="B1524" s="28" t="n">
        <v>65.89</v>
      </c>
    </row>
    <row r="1525">
      <c r="A1525" s="66" t="inlineStr">
        <is>
          <t>17/09/2010</t>
        </is>
      </c>
      <c r="B1525" s="28" t="n">
        <v>68.25</v>
      </c>
    </row>
    <row r="1526">
      <c r="A1526" s="66" t="inlineStr">
        <is>
          <t>20/09/2010</t>
        </is>
      </c>
      <c r="B1526" s="28" t="n">
        <v>68.28</v>
      </c>
    </row>
    <row r="1527">
      <c r="A1527" s="66" t="inlineStr">
        <is>
          <t>21/09/2010</t>
        </is>
      </c>
      <c r="B1527" s="28" t="n">
        <v>70.94</v>
      </c>
    </row>
    <row r="1528">
      <c r="A1528" s="66" t="inlineStr">
        <is>
          <t>22/09/2010</t>
        </is>
      </c>
      <c r="B1528" s="28" t="n">
        <v>70.34</v>
      </c>
    </row>
    <row r="1529">
      <c r="A1529" s="66" t="inlineStr">
        <is>
          <t>23/09/2010</t>
        </is>
      </c>
      <c r="B1529" s="28" t="n">
        <v>68.59999999999999</v>
      </c>
    </row>
    <row r="1530">
      <c r="A1530" s="66" t="inlineStr">
        <is>
          <t>24/09/2010</t>
        </is>
      </c>
      <c r="B1530" s="28" t="n">
        <v>70.75</v>
      </c>
    </row>
    <row r="1531">
      <c r="A1531" s="66" t="inlineStr">
        <is>
          <t>27/09/2010</t>
        </is>
      </c>
      <c r="B1531" s="28" t="n">
        <v>70.15000000000001</v>
      </c>
    </row>
    <row r="1532">
      <c r="A1532" s="66" t="inlineStr">
        <is>
          <t>28/09/2010</t>
        </is>
      </c>
      <c r="B1532" s="28" t="n">
        <v>69.72</v>
      </c>
    </row>
    <row r="1533">
      <c r="A1533" s="66" t="inlineStr">
        <is>
          <t>29/09/2010</t>
        </is>
      </c>
      <c r="B1533" s="28" t="n">
        <v>67.54000000000001</v>
      </c>
    </row>
    <row r="1534">
      <c r="A1534" s="66" t="inlineStr">
        <is>
          <t>30/09/2010</t>
        </is>
      </c>
      <c r="B1534" s="28" t="n">
        <v>66.51000000000001</v>
      </c>
    </row>
    <row r="1535">
      <c r="A1535" s="66" t="inlineStr">
        <is>
          <t>01/10/2010</t>
        </is>
      </c>
      <c r="B1535" s="28" t="n">
        <v>65.33</v>
      </c>
    </row>
    <row r="1536">
      <c r="A1536" s="66" t="inlineStr">
        <is>
          <t>04/10/2010</t>
        </is>
      </c>
      <c r="B1536" s="28" t="n">
        <v>64.45</v>
      </c>
    </row>
    <row r="1537">
      <c r="A1537" s="66" t="inlineStr">
        <is>
          <t>05/10/2010</t>
        </is>
      </c>
      <c r="B1537" s="28" t="n">
        <v>64.53</v>
      </c>
    </row>
    <row r="1538">
      <c r="A1538" s="66" t="inlineStr">
        <is>
          <t>06/10/2010</t>
        </is>
      </c>
      <c r="B1538" s="28" t="n">
        <v>64.45</v>
      </c>
    </row>
    <row r="1539">
      <c r="A1539" s="66" t="inlineStr">
        <is>
          <t>07/10/2010</t>
        </is>
      </c>
      <c r="B1539" s="28" t="n">
        <v>64.28</v>
      </c>
    </row>
    <row r="1540">
      <c r="A1540" s="66" t="inlineStr">
        <is>
          <t>08/10/2010</t>
        </is>
      </c>
      <c r="B1540" s="28" t="n">
        <v>64.98</v>
      </c>
    </row>
    <row r="1541">
      <c r="A1541" s="66" t="inlineStr">
        <is>
          <t>11/10/2010</t>
        </is>
      </c>
      <c r="B1541" s="28" t="n">
        <v>64.95999999999999</v>
      </c>
    </row>
    <row r="1542">
      <c r="A1542" s="66" t="inlineStr">
        <is>
          <t>13/10/2010</t>
        </is>
      </c>
      <c r="B1542" s="28" t="n">
        <v>67.62</v>
      </c>
    </row>
    <row r="1543">
      <c r="A1543" s="66" t="inlineStr">
        <is>
          <t>14/10/2010</t>
        </is>
      </c>
      <c r="B1543" s="28" t="n">
        <v>68.43000000000001</v>
      </c>
    </row>
    <row r="1544">
      <c r="A1544" s="66" t="inlineStr">
        <is>
          <t>15/10/2010</t>
        </is>
      </c>
      <c r="B1544" s="28" t="n">
        <v>68.13</v>
      </c>
    </row>
    <row r="1545">
      <c r="A1545" s="66" t="inlineStr">
        <is>
          <t>18/10/2010</t>
        </is>
      </c>
      <c r="B1545" s="28" t="n">
        <v>68.05</v>
      </c>
    </row>
    <row r="1546">
      <c r="A1546" s="66" t="inlineStr">
        <is>
          <t>19/10/2010</t>
        </is>
      </c>
      <c r="B1546" s="28" t="n">
        <v>68.67</v>
      </c>
    </row>
    <row r="1547">
      <c r="A1547" s="66" t="inlineStr">
        <is>
          <t>20/10/2010</t>
        </is>
      </c>
      <c r="B1547" s="28" t="n">
        <v>68.31999999999999</v>
      </c>
    </row>
    <row r="1548">
      <c r="A1548" s="66" t="inlineStr">
        <is>
          <t>21/10/2010</t>
        </is>
      </c>
      <c r="B1548" s="28" t="n">
        <v>68.94</v>
      </c>
    </row>
    <row r="1549">
      <c r="A1549" s="66" t="inlineStr">
        <is>
          <t>22/10/2010</t>
        </is>
      </c>
      <c r="B1549" s="28" t="n">
        <v>69.20999999999999</v>
      </c>
    </row>
    <row r="1550">
      <c r="A1550" s="66" t="inlineStr">
        <is>
          <t>25/10/2010</t>
        </is>
      </c>
      <c r="B1550" s="28" t="n">
        <v>69.26000000000001</v>
      </c>
    </row>
    <row r="1551">
      <c r="A1551" s="66" t="inlineStr">
        <is>
          <t>26/10/2010</t>
        </is>
      </c>
      <c r="B1551" s="28" t="n">
        <v>69.98999999999999</v>
      </c>
    </row>
    <row r="1552">
      <c r="A1552" s="66" t="inlineStr">
        <is>
          <t>27/10/2010</t>
        </is>
      </c>
      <c r="B1552" s="28" t="n">
        <v>70.18000000000001</v>
      </c>
    </row>
    <row r="1553">
      <c r="A1553" s="66" t="inlineStr">
        <is>
          <t>28/10/2010</t>
        </is>
      </c>
      <c r="B1553" s="28" t="n">
        <v>71.33</v>
      </c>
    </row>
    <row r="1554">
      <c r="A1554" s="66" t="inlineStr">
        <is>
          <t>29/10/2010</t>
        </is>
      </c>
      <c r="B1554" s="28" t="n">
        <v>71.98</v>
      </c>
    </row>
    <row r="1555">
      <c r="A1555" s="66" t="inlineStr">
        <is>
          <t>01/11/2010</t>
        </is>
      </c>
      <c r="B1555" s="28" t="n">
        <v>70.63</v>
      </c>
    </row>
    <row r="1556">
      <c r="A1556" s="66" t="inlineStr">
        <is>
          <t>03/11/2010</t>
        </is>
      </c>
      <c r="B1556" s="28" t="n">
        <v>71.29000000000001</v>
      </c>
    </row>
    <row r="1557">
      <c r="A1557" s="66" t="inlineStr">
        <is>
          <t>04/11/2010</t>
        </is>
      </c>
      <c r="B1557" s="28" t="n">
        <v>71.93000000000001</v>
      </c>
    </row>
    <row r="1558">
      <c r="A1558" s="66" t="inlineStr">
        <is>
          <t>05/11/2010</t>
        </is>
      </c>
      <c r="B1558" s="28" t="n">
        <v>71.51000000000001</v>
      </c>
    </row>
    <row r="1559">
      <c r="A1559" s="66" t="inlineStr">
        <is>
          <t>08/11/2010</t>
        </is>
      </c>
      <c r="B1559" s="28" t="n">
        <v>72.38</v>
      </c>
    </row>
    <row r="1560">
      <c r="A1560" s="66" t="inlineStr">
        <is>
          <t>09/11/2010</t>
        </is>
      </c>
      <c r="B1560" s="28" t="n">
        <v>73.33</v>
      </c>
    </row>
    <row r="1561">
      <c r="A1561" s="66" t="inlineStr">
        <is>
          <t>10/11/2010</t>
        </is>
      </c>
      <c r="B1561" s="28" t="n">
        <v>74.93000000000001</v>
      </c>
    </row>
    <row r="1562">
      <c r="A1562" s="66" t="inlineStr">
        <is>
          <t>11/11/2010</t>
        </is>
      </c>
      <c r="B1562" s="28" t="n">
        <v>76.01000000000001</v>
      </c>
    </row>
    <row r="1563">
      <c r="A1563" s="66" t="inlineStr">
        <is>
          <t>12/11/2010</t>
        </is>
      </c>
      <c r="B1563" s="28" t="n">
        <v>76.52</v>
      </c>
    </row>
    <row r="1564">
      <c r="A1564" s="66" t="inlineStr">
        <is>
          <t>16/11/2010</t>
        </is>
      </c>
      <c r="B1564" s="28" t="n">
        <v>76.15000000000001</v>
      </c>
    </row>
    <row r="1565">
      <c r="A1565" s="66" t="inlineStr">
        <is>
          <t>17/11/2010</t>
        </is>
      </c>
      <c r="B1565" s="28" t="n">
        <v>76.38</v>
      </c>
    </row>
    <row r="1566">
      <c r="A1566" s="66" t="inlineStr">
        <is>
          <t>18/11/2010</t>
        </is>
      </c>
      <c r="B1566" s="28" t="n">
        <v>76.65000000000001</v>
      </c>
    </row>
    <row r="1567">
      <c r="A1567" s="66" t="inlineStr">
        <is>
          <t>19/11/2010</t>
        </is>
      </c>
      <c r="B1567" s="28" t="n">
        <v>76.48999999999999</v>
      </c>
    </row>
    <row r="1568">
      <c r="A1568" s="66" t="inlineStr">
        <is>
          <t>22/11/2010</t>
        </is>
      </c>
      <c r="B1568" s="28" t="n">
        <v>75.8</v>
      </c>
    </row>
    <row r="1569">
      <c r="A1569" s="66" t="inlineStr">
        <is>
          <t>23/11/2010</t>
        </is>
      </c>
      <c r="B1569" s="28" t="n">
        <v>77.13</v>
      </c>
    </row>
    <row r="1570">
      <c r="A1570" s="66" t="inlineStr">
        <is>
          <t>24/11/2010</t>
        </is>
      </c>
      <c r="B1570" s="28" t="n">
        <v>77.05</v>
      </c>
    </row>
    <row r="1571">
      <c r="A1571" s="66" t="inlineStr">
        <is>
          <t>25/11/2010</t>
        </is>
      </c>
      <c r="B1571" s="28" t="n">
        <v>76.73</v>
      </c>
    </row>
    <row r="1572">
      <c r="A1572" s="66" t="inlineStr">
        <is>
          <t>26/11/2010</t>
        </is>
      </c>
      <c r="B1572" s="28" t="n">
        <v>76.56999999999999</v>
      </c>
    </row>
    <row r="1573">
      <c r="A1573" s="66" t="inlineStr">
        <is>
          <t>29/11/2010</t>
        </is>
      </c>
      <c r="B1573" s="28" t="n">
        <v>76.52</v>
      </c>
    </row>
    <row r="1574">
      <c r="A1574" s="66" t="inlineStr">
        <is>
          <t>30/11/2010</t>
        </is>
      </c>
      <c r="B1574" s="28" t="n">
        <v>75.88</v>
      </c>
    </row>
    <row r="1575">
      <c r="A1575" s="66" t="inlineStr">
        <is>
          <t>01/12/2010</t>
        </is>
      </c>
      <c r="B1575" s="28" t="n">
        <v>75.78</v>
      </c>
    </row>
    <row r="1576">
      <c r="A1576" s="66" t="inlineStr">
        <is>
          <t>02/12/2010</t>
        </is>
      </c>
      <c r="B1576" s="28" t="n">
        <v>75.62</v>
      </c>
    </row>
    <row r="1577">
      <c r="A1577" s="66" t="inlineStr">
        <is>
          <t>03/12/2010</t>
        </is>
      </c>
      <c r="B1577" s="28" t="n">
        <v>75.2</v>
      </c>
    </row>
    <row r="1578">
      <c r="A1578" s="66" t="inlineStr">
        <is>
          <t>06/12/2010</t>
        </is>
      </c>
      <c r="B1578" s="28" t="n">
        <v>75.02</v>
      </c>
    </row>
    <row r="1579">
      <c r="A1579" s="66" t="inlineStr">
        <is>
          <t>07/12/2010</t>
        </is>
      </c>
      <c r="B1579" s="28" t="n">
        <v>74.62</v>
      </c>
    </row>
    <row r="1580">
      <c r="A1580" s="66" t="inlineStr">
        <is>
          <t>08/12/2010</t>
        </is>
      </c>
      <c r="B1580" s="28" t="n">
        <v>74.62</v>
      </c>
    </row>
    <row r="1581">
      <c r="A1581" s="66" t="inlineStr">
        <is>
          <t>09/12/2010</t>
        </is>
      </c>
      <c r="B1581" s="28" t="n">
        <v>74.59999999999999</v>
      </c>
    </row>
    <row r="1582">
      <c r="A1582" s="66" t="inlineStr">
        <is>
          <t>10/12/2010</t>
        </is>
      </c>
      <c r="B1582" s="28" t="n">
        <v>74.68000000000001</v>
      </c>
    </row>
    <row r="1583">
      <c r="A1583" s="66" t="inlineStr">
        <is>
          <t>13/12/2010</t>
        </is>
      </c>
      <c r="B1583" s="28" t="n">
        <v>74.65000000000001</v>
      </c>
    </row>
    <row r="1584">
      <c r="A1584" s="66" t="inlineStr">
        <is>
          <t>14/12/2010</t>
        </is>
      </c>
      <c r="B1584" s="28" t="n">
        <v>74.25</v>
      </c>
    </row>
    <row r="1585">
      <c r="A1585" s="66" t="inlineStr">
        <is>
          <t>15/12/2010</t>
        </is>
      </c>
      <c r="B1585" s="28" t="n">
        <v>74.52</v>
      </c>
    </row>
    <row r="1586">
      <c r="A1586" s="66" t="inlineStr">
        <is>
          <t>16/12/2010</t>
        </is>
      </c>
      <c r="B1586" s="28" t="n">
        <v>74.18000000000001</v>
      </c>
    </row>
    <row r="1587">
      <c r="A1587" s="66" t="inlineStr">
        <is>
          <t>17/12/2010</t>
        </is>
      </c>
      <c r="B1587" s="28" t="n">
        <v>74.75</v>
      </c>
    </row>
    <row r="1588">
      <c r="A1588" s="66" t="inlineStr">
        <is>
          <t>20/12/2010</t>
        </is>
      </c>
      <c r="B1588" s="28" t="n">
        <v>75.06999999999999</v>
      </c>
    </row>
    <row r="1589">
      <c r="A1589" s="66" t="inlineStr">
        <is>
          <t>21/12/2010</t>
        </is>
      </c>
      <c r="B1589" s="28" t="n">
        <v>74.2</v>
      </c>
    </row>
    <row r="1590">
      <c r="A1590" s="66" t="inlineStr">
        <is>
          <t>22/12/2010</t>
        </is>
      </c>
      <c r="B1590" s="28" t="n">
        <v>74.04000000000001</v>
      </c>
    </row>
    <row r="1591">
      <c r="A1591" s="66" t="inlineStr">
        <is>
          <t>23/12/2010</t>
        </is>
      </c>
      <c r="B1591" s="28" t="n">
        <v>74.2</v>
      </c>
    </row>
    <row r="1592">
      <c r="A1592" s="66" t="inlineStr">
        <is>
          <t>27/12/2010</t>
        </is>
      </c>
      <c r="B1592" s="28" t="n">
        <v>74.59999999999999</v>
      </c>
    </row>
    <row r="1593">
      <c r="A1593" s="66" t="inlineStr">
        <is>
          <t>28/12/2010</t>
        </is>
      </c>
      <c r="B1593" s="28" t="n">
        <v>74.54000000000001</v>
      </c>
    </row>
    <row r="1594">
      <c r="A1594" s="66" t="inlineStr">
        <is>
          <t>29/12/2010</t>
        </is>
      </c>
      <c r="B1594" s="28" t="n">
        <v>74.75</v>
      </c>
    </row>
    <row r="1595">
      <c r="A1595" s="66" t="inlineStr">
        <is>
          <t>30/12/2010</t>
        </is>
      </c>
      <c r="B1595" s="28" t="n">
        <v>74.45999999999999</v>
      </c>
    </row>
    <row r="1596">
      <c r="A1596" s="66" t="inlineStr">
        <is>
          <t>03/01/2011</t>
        </is>
      </c>
      <c r="B1596" s="28" t="n">
        <v>73.75</v>
      </c>
    </row>
    <row r="1597">
      <c r="A1597" s="66" t="inlineStr">
        <is>
          <t>04/01/2011</t>
        </is>
      </c>
      <c r="B1597" s="28" t="n">
        <v>74.01000000000001</v>
      </c>
    </row>
    <row r="1598">
      <c r="A1598" s="66" t="inlineStr">
        <is>
          <t>05/01/2011</t>
        </is>
      </c>
      <c r="B1598" s="28" t="n">
        <v>74.48</v>
      </c>
    </row>
    <row r="1599">
      <c r="A1599" s="66" t="inlineStr">
        <is>
          <t>06/01/2011</t>
        </is>
      </c>
      <c r="B1599" s="28" t="n">
        <v>75</v>
      </c>
    </row>
    <row r="1600">
      <c r="A1600" s="66" t="inlineStr">
        <is>
          <t>07/01/2011</t>
        </is>
      </c>
      <c r="B1600" s="28" t="n">
        <v>75.68000000000001</v>
      </c>
    </row>
    <row r="1601">
      <c r="A1601" s="66" t="inlineStr">
        <is>
          <t>10/01/2011</t>
        </is>
      </c>
      <c r="B1601" s="28" t="n">
        <v>76.44</v>
      </c>
    </row>
    <row r="1602">
      <c r="A1602" s="66" t="inlineStr">
        <is>
          <t>11/01/2011</t>
        </is>
      </c>
      <c r="B1602" s="28" t="n">
        <v>76.78</v>
      </c>
    </row>
    <row r="1603">
      <c r="A1603" s="66" t="inlineStr">
        <is>
          <t>12/01/2011</t>
        </is>
      </c>
      <c r="B1603" s="28" t="n">
        <v>76.78</v>
      </c>
    </row>
    <row r="1604">
      <c r="A1604" s="66" t="inlineStr">
        <is>
          <t>13/01/2011</t>
        </is>
      </c>
      <c r="B1604" s="28" t="n">
        <v>78.14</v>
      </c>
    </row>
    <row r="1605">
      <c r="A1605" s="66" t="inlineStr">
        <is>
          <t>14/01/2011</t>
        </is>
      </c>
      <c r="B1605" s="28" t="n">
        <v>78.69</v>
      </c>
    </row>
    <row r="1606">
      <c r="A1606" s="66" t="inlineStr">
        <is>
          <t>17/01/2011</t>
        </is>
      </c>
      <c r="B1606" s="28" t="n">
        <v>79.03</v>
      </c>
    </row>
    <row r="1607">
      <c r="A1607" s="66" t="inlineStr">
        <is>
          <t>18/01/2011</t>
        </is>
      </c>
      <c r="B1607" s="28" t="n">
        <v>80.15000000000001</v>
      </c>
    </row>
    <row r="1608">
      <c r="A1608" s="66" t="inlineStr">
        <is>
          <t>19/01/2011</t>
        </is>
      </c>
      <c r="B1608" s="28" t="n">
        <v>81.59</v>
      </c>
    </row>
    <row r="1609">
      <c r="A1609" s="66" t="inlineStr">
        <is>
          <t>20/01/2011</t>
        </is>
      </c>
      <c r="B1609" s="28" t="n">
        <v>81.93000000000001</v>
      </c>
    </row>
    <row r="1610">
      <c r="A1610" s="66" t="inlineStr">
        <is>
          <t>21/01/2011</t>
        </is>
      </c>
      <c r="B1610" s="28" t="n">
        <v>82.40000000000001</v>
      </c>
    </row>
    <row r="1611">
      <c r="A1611" s="66" t="inlineStr">
        <is>
          <t>24/01/2011</t>
        </is>
      </c>
      <c r="B1611" s="28" t="n">
        <v>81.98</v>
      </c>
    </row>
    <row r="1612">
      <c r="A1612" s="66" t="inlineStr">
        <is>
          <t>25/01/2011</t>
        </is>
      </c>
      <c r="B1612" s="28" t="n">
        <v>82.73999999999999</v>
      </c>
    </row>
    <row r="1613">
      <c r="A1613" s="66" t="inlineStr">
        <is>
          <t>26/01/2011</t>
        </is>
      </c>
      <c r="B1613" s="28" t="n">
        <v>83.73</v>
      </c>
    </row>
    <row r="1614">
      <c r="A1614" s="66" t="inlineStr">
        <is>
          <t>27/01/2011</t>
        </is>
      </c>
      <c r="B1614" s="28" t="n">
        <v>83.98999999999999</v>
      </c>
    </row>
    <row r="1615">
      <c r="A1615" s="66" t="inlineStr">
        <is>
          <t>28/01/2011</t>
        </is>
      </c>
      <c r="B1615" s="28" t="n">
        <v>83.86</v>
      </c>
    </row>
    <row r="1616">
      <c r="A1616" s="66" t="inlineStr">
        <is>
          <t>31/01/2011</t>
        </is>
      </c>
      <c r="B1616" s="28" t="n">
        <v>83.89</v>
      </c>
    </row>
    <row r="1617">
      <c r="A1617" s="66" t="inlineStr">
        <is>
          <t>01/02/2011</t>
        </is>
      </c>
      <c r="B1617" s="28" t="n">
        <v>83.39</v>
      </c>
    </row>
    <row r="1618">
      <c r="A1618" s="66" t="inlineStr">
        <is>
          <t>02/02/2011</t>
        </is>
      </c>
      <c r="B1618" s="28" t="n">
        <v>83.42</v>
      </c>
    </row>
    <row r="1619">
      <c r="A1619" s="66" t="inlineStr">
        <is>
          <t>03/02/2011</t>
        </is>
      </c>
      <c r="B1619" s="28" t="n">
        <v>83.19</v>
      </c>
    </row>
    <row r="1620">
      <c r="A1620" s="66" t="inlineStr">
        <is>
          <t>04/02/2011</t>
        </is>
      </c>
      <c r="B1620" s="28" t="n">
        <v>83.08</v>
      </c>
    </row>
    <row r="1621">
      <c r="A1621" s="66" t="inlineStr">
        <is>
          <t>07/02/2011</t>
        </is>
      </c>
      <c r="B1621" s="28" t="n">
        <v>82.59</v>
      </c>
    </row>
    <row r="1622">
      <c r="A1622" s="66" t="inlineStr">
        <is>
          <t>08/02/2011</t>
        </is>
      </c>
      <c r="B1622" s="28" t="n">
        <v>82.48999999999999</v>
      </c>
    </row>
    <row r="1623">
      <c r="A1623" s="66" t="inlineStr">
        <is>
          <t>09/02/2011</t>
        </is>
      </c>
      <c r="B1623" s="28" t="n">
        <v>82.67</v>
      </c>
    </row>
    <row r="1624">
      <c r="A1624" s="66" t="inlineStr">
        <is>
          <t>10/02/2011</t>
        </is>
      </c>
      <c r="B1624" s="28" t="n">
        <v>82.51000000000001</v>
      </c>
    </row>
    <row r="1625">
      <c r="A1625" s="66" t="inlineStr">
        <is>
          <t>11/02/2011</t>
        </is>
      </c>
      <c r="B1625" s="28" t="n">
        <v>82.54000000000001</v>
      </c>
    </row>
    <row r="1626">
      <c r="A1626" s="66" t="inlineStr">
        <is>
          <t>14/02/2011</t>
        </is>
      </c>
      <c r="B1626" s="28" t="n">
        <v>82.8</v>
      </c>
    </row>
    <row r="1627">
      <c r="A1627" s="66" t="inlineStr">
        <is>
          <t>15/02/2011</t>
        </is>
      </c>
      <c r="B1627" s="28" t="n">
        <v>82.06999999999999</v>
      </c>
    </row>
    <row r="1628">
      <c r="A1628" s="66" t="inlineStr">
        <is>
          <t>16/02/2011</t>
        </is>
      </c>
      <c r="B1628" s="28" t="n">
        <v>82.13</v>
      </c>
    </row>
    <row r="1629">
      <c r="A1629" s="66" t="inlineStr">
        <is>
          <t>17/02/2011</t>
        </is>
      </c>
      <c r="B1629" s="28" t="n">
        <v>81.34999999999999</v>
      </c>
    </row>
    <row r="1630">
      <c r="A1630" s="66" t="inlineStr">
        <is>
          <t>18/02/2011</t>
        </is>
      </c>
      <c r="B1630" s="28" t="n">
        <v>80.55</v>
      </c>
    </row>
    <row r="1631">
      <c r="A1631" s="66" t="inlineStr">
        <is>
          <t>21/02/2011</t>
        </is>
      </c>
      <c r="B1631" s="28" t="n">
        <v>80.98999999999999</v>
      </c>
    </row>
    <row r="1632">
      <c r="A1632" s="66" t="inlineStr">
        <is>
          <t>22/02/2011</t>
        </is>
      </c>
      <c r="B1632" s="28" t="n">
        <v>80.88</v>
      </c>
    </row>
    <row r="1633">
      <c r="A1633" s="66" t="inlineStr">
        <is>
          <t>23/02/2011</t>
        </is>
      </c>
      <c r="B1633" s="28" t="n">
        <v>81.01000000000001</v>
      </c>
    </row>
    <row r="1634">
      <c r="A1634" s="66" t="inlineStr">
        <is>
          <t>24/02/2011</t>
        </is>
      </c>
      <c r="B1634" s="28" t="n">
        <v>80.68000000000001</v>
      </c>
    </row>
    <row r="1635">
      <c r="A1635" s="66" t="inlineStr">
        <is>
          <t>25/02/2011</t>
        </is>
      </c>
      <c r="B1635" s="28" t="n">
        <v>80.26000000000001</v>
      </c>
    </row>
    <row r="1636">
      <c r="A1636" s="66" t="inlineStr">
        <is>
          <t>28/02/2011</t>
        </is>
      </c>
      <c r="B1636" s="28" t="n">
        <v>80.23999999999999</v>
      </c>
    </row>
    <row r="1637">
      <c r="A1637" s="66" t="inlineStr">
        <is>
          <t>01/03/2011</t>
        </is>
      </c>
      <c r="B1637" s="28" t="n">
        <v>80.26000000000001</v>
      </c>
    </row>
    <row r="1638">
      <c r="A1638" s="66" t="inlineStr">
        <is>
          <t>02/03/2011</t>
        </is>
      </c>
      <c r="B1638" s="28" t="n">
        <v>79.59</v>
      </c>
    </row>
    <row r="1639">
      <c r="A1639" s="66" t="inlineStr">
        <is>
          <t>03/03/2011</t>
        </is>
      </c>
      <c r="B1639" s="28" t="n">
        <v>80.39</v>
      </c>
    </row>
    <row r="1640">
      <c r="A1640" s="66" t="inlineStr">
        <is>
          <t>04/03/2011</t>
        </is>
      </c>
      <c r="B1640" s="28" t="n">
        <v>80.45999999999999</v>
      </c>
    </row>
    <row r="1641">
      <c r="A1641" s="66" t="inlineStr">
        <is>
          <t>09/03/2011</t>
        </is>
      </c>
      <c r="B1641" s="28" t="n">
        <v>80.69</v>
      </c>
    </row>
    <row r="1642">
      <c r="A1642" s="66" t="inlineStr">
        <is>
          <t>10/03/2011</t>
        </is>
      </c>
      <c r="B1642" s="28" t="n">
        <v>80.26000000000001</v>
      </c>
    </row>
    <row r="1643">
      <c r="A1643" s="66" t="inlineStr">
        <is>
          <t>11/03/2011</t>
        </is>
      </c>
      <c r="B1643" s="28" t="n">
        <v>80.64</v>
      </c>
    </row>
    <row r="1644">
      <c r="A1644" s="66" t="inlineStr">
        <is>
          <t>14/03/2011</t>
        </is>
      </c>
      <c r="B1644" s="28" t="n">
        <v>80.69</v>
      </c>
    </row>
    <row r="1645">
      <c r="A1645" s="66" t="inlineStr">
        <is>
          <t>15/03/2011</t>
        </is>
      </c>
      <c r="B1645" s="28" t="n">
        <v>81.62</v>
      </c>
    </row>
    <row r="1646">
      <c r="A1646" s="66" t="inlineStr">
        <is>
          <t>16/03/2011</t>
        </is>
      </c>
      <c r="B1646" s="28" t="n">
        <v>81.95</v>
      </c>
    </row>
    <row r="1647">
      <c r="A1647" s="66" t="inlineStr">
        <is>
          <t>17/03/2011</t>
        </is>
      </c>
      <c r="B1647" s="28" t="n">
        <v>81.54000000000001</v>
      </c>
    </row>
    <row r="1648">
      <c r="A1648" s="66" t="inlineStr">
        <is>
          <t>18/03/2011</t>
        </is>
      </c>
      <c r="B1648" s="28" t="n">
        <v>81.88</v>
      </c>
    </row>
    <row r="1649">
      <c r="A1649" s="66" t="inlineStr">
        <is>
          <t>21/03/2011</t>
        </is>
      </c>
      <c r="B1649" s="28" t="n">
        <v>81.90000000000001</v>
      </c>
    </row>
    <row r="1650">
      <c r="A1650" s="66" t="inlineStr">
        <is>
          <t>22/03/2011</t>
        </is>
      </c>
      <c r="B1650" s="28" t="n">
        <v>81.64</v>
      </c>
    </row>
    <row r="1651">
      <c r="A1651" s="66" t="inlineStr">
        <is>
          <t>23/03/2011</t>
        </is>
      </c>
      <c r="B1651" s="28" t="n">
        <v>81.62</v>
      </c>
    </row>
    <row r="1652">
      <c r="A1652" s="66" t="inlineStr">
        <is>
          <t>24/03/2011</t>
        </is>
      </c>
      <c r="B1652" s="28" t="n">
        <v>81.39</v>
      </c>
    </row>
    <row r="1653">
      <c r="A1653" s="66" t="inlineStr">
        <is>
          <t>25/03/2011</t>
        </is>
      </c>
      <c r="B1653" s="28" t="n">
        <v>81</v>
      </c>
    </row>
    <row r="1654">
      <c r="A1654" s="66" t="inlineStr">
        <is>
          <t>28/03/2011</t>
        </is>
      </c>
      <c r="B1654" s="28" t="n">
        <v>81.03</v>
      </c>
    </row>
    <row r="1655">
      <c r="A1655" s="66" t="inlineStr">
        <is>
          <t>29/03/2011</t>
        </is>
      </c>
      <c r="B1655" s="28" t="n">
        <v>79.64</v>
      </c>
    </row>
    <row r="1656">
      <c r="A1656" s="66" t="inlineStr">
        <is>
          <t>30/03/2011</t>
        </is>
      </c>
      <c r="B1656" s="28" t="n">
        <v>79.45999999999999</v>
      </c>
    </row>
    <row r="1657">
      <c r="A1657" s="66" t="inlineStr">
        <is>
          <t>31/03/2011</t>
        </is>
      </c>
      <c r="B1657" s="28" t="n">
        <v>79.38</v>
      </c>
    </row>
    <row r="1658">
      <c r="A1658" s="66" t="inlineStr">
        <is>
          <t>01/04/2011</t>
        </is>
      </c>
      <c r="B1658" s="28" t="n">
        <v>78.77</v>
      </c>
    </row>
    <row r="1659">
      <c r="A1659" s="66" t="inlineStr">
        <is>
          <t>04/04/2011</t>
        </is>
      </c>
      <c r="B1659" s="28" t="n">
        <v>78.81999999999999</v>
      </c>
    </row>
    <row r="1660">
      <c r="A1660" s="66" t="inlineStr">
        <is>
          <t>05/04/2011</t>
        </is>
      </c>
      <c r="B1660" s="28" t="n">
        <v>78.13</v>
      </c>
    </row>
    <row r="1661">
      <c r="A1661" s="66" t="inlineStr">
        <is>
          <t>06/04/2011</t>
        </is>
      </c>
      <c r="B1661" s="28" t="n">
        <v>77.16</v>
      </c>
    </row>
    <row r="1662">
      <c r="A1662" s="66" t="inlineStr">
        <is>
          <t>07/04/2011</t>
        </is>
      </c>
      <c r="B1662" s="28" t="n">
        <v>77.39</v>
      </c>
    </row>
    <row r="1663">
      <c r="A1663" s="66" t="inlineStr">
        <is>
          <t>08/04/2011</t>
        </is>
      </c>
      <c r="B1663" s="28" t="n">
        <v>77.75</v>
      </c>
    </row>
    <row r="1664">
      <c r="A1664" s="66" t="inlineStr">
        <is>
          <t>11/04/2011</t>
        </is>
      </c>
      <c r="B1664" s="28" t="n">
        <v>77.90000000000001</v>
      </c>
    </row>
    <row r="1665">
      <c r="A1665" s="66" t="inlineStr">
        <is>
          <t>12/04/2011</t>
        </is>
      </c>
      <c r="B1665" s="28" t="n">
        <v>77.7</v>
      </c>
    </row>
    <row r="1666">
      <c r="A1666" s="66" t="inlineStr">
        <is>
          <t>13/04/2011</t>
        </is>
      </c>
      <c r="B1666" s="28" t="n">
        <v>77.16</v>
      </c>
    </row>
    <row r="1667">
      <c r="A1667" s="66" t="inlineStr">
        <is>
          <t>14/04/2011</t>
        </is>
      </c>
      <c r="B1667" s="28" t="n">
        <v>77.16</v>
      </c>
    </row>
    <row r="1668">
      <c r="A1668" s="66" t="inlineStr">
        <is>
          <t>15/04/2011</t>
        </is>
      </c>
      <c r="B1668" s="28" t="n">
        <v>77.03</v>
      </c>
    </row>
    <row r="1669">
      <c r="A1669" s="66" t="inlineStr">
        <is>
          <t>18/04/2011</t>
        </is>
      </c>
      <c r="B1669" s="28" t="n">
        <v>76.65000000000001</v>
      </c>
    </row>
    <row r="1670">
      <c r="A1670" s="66" t="inlineStr">
        <is>
          <t>19/04/2011</t>
        </is>
      </c>
      <c r="B1670" s="28" t="n">
        <v>75.47</v>
      </c>
    </row>
    <row r="1671">
      <c r="A1671" s="66" t="inlineStr">
        <is>
          <t>20/04/2011</t>
        </is>
      </c>
      <c r="B1671" s="28" t="n">
        <v>74.86</v>
      </c>
    </row>
    <row r="1672">
      <c r="A1672" s="66" t="inlineStr">
        <is>
          <t>25/04/2011</t>
        </is>
      </c>
      <c r="B1672" s="28" t="n">
        <v>75.52</v>
      </c>
    </row>
    <row r="1673">
      <c r="A1673" s="66" t="inlineStr">
        <is>
          <t>26/04/2011</t>
        </is>
      </c>
      <c r="B1673" s="28" t="n">
        <v>75.34</v>
      </c>
    </row>
    <row r="1674">
      <c r="A1674" s="66" t="inlineStr">
        <is>
          <t>27/04/2011</t>
        </is>
      </c>
      <c r="B1674" s="28" t="n">
        <v>73.81</v>
      </c>
    </row>
    <row r="1675">
      <c r="A1675" s="66" t="inlineStr">
        <is>
          <t>28/04/2011</t>
        </is>
      </c>
      <c r="B1675" s="28" t="n">
        <v>74.22</v>
      </c>
    </row>
    <row r="1676">
      <c r="A1676" s="66" t="inlineStr">
        <is>
          <t>29/04/2011</t>
        </is>
      </c>
      <c r="B1676" s="28" t="n">
        <v>74.91</v>
      </c>
    </row>
    <row r="1677">
      <c r="A1677" s="66" t="inlineStr">
        <is>
          <t>02/05/2011</t>
        </is>
      </c>
      <c r="B1677" s="28" t="n">
        <v>72.90000000000001</v>
      </c>
    </row>
    <row r="1678">
      <c r="A1678" s="66" t="inlineStr">
        <is>
          <t>03/05/2011</t>
        </is>
      </c>
      <c r="B1678" s="28" t="n">
        <v>72.93000000000001</v>
      </c>
    </row>
    <row r="1679">
      <c r="A1679" s="66" t="inlineStr">
        <is>
          <t>04/05/2011</t>
        </is>
      </c>
      <c r="B1679" s="28" t="n">
        <v>72.31999999999999</v>
      </c>
    </row>
    <row r="1680">
      <c r="A1680" s="66" t="inlineStr">
        <is>
          <t>05/05/2011</t>
        </is>
      </c>
      <c r="B1680" s="28" t="n">
        <v>72.47</v>
      </c>
    </row>
    <row r="1681">
      <c r="A1681" s="66" t="inlineStr">
        <is>
          <t>06/05/2011</t>
        </is>
      </c>
      <c r="B1681" s="28" t="n">
        <v>71.86</v>
      </c>
    </row>
    <row r="1682">
      <c r="A1682" s="66" t="inlineStr">
        <is>
          <t>09/05/2011</t>
        </is>
      </c>
      <c r="B1682" s="28" t="n">
        <v>71.83</v>
      </c>
    </row>
    <row r="1683">
      <c r="A1683" s="66" t="inlineStr">
        <is>
          <t>10/05/2011</t>
        </is>
      </c>
      <c r="B1683" s="28" t="n">
        <v>72.06</v>
      </c>
    </row>
    <row r="1684">
      <c r="A1684" s="66" t="inlineStr">
        <is>
          <t>11/05/2011</t>
        </is>
      </c>
      <c r="B1684" s="28" t="n">
        <v>71.76000000000001</v>
      </c>
    </row>
    <row r="1685">
      <c r="A1685" s="66" t="inlineStr">
        <is>
          <t>12/05/2011</t>
        </is>
      </c>
      <c r="B1685" s="28" t="n">
        <v>71.5</v>
      </c>
    </row>
    <row r="1686">
      <c r="A1686" s="66" t="inlineStr">
        <is>
          <t>13/05/2011</t>
        </is>
      </c>
      <c r="B1686" s="28" t="n">
        <v>71.70999999999999</v>
      </c>
    </row>
    <row r="1687">
      <c r="A1687" s="66" t="inlineStr">
        <is>
          <t>16/05/2011</t>
        </is>
      </c>
      <c r="B1687" s="28" t="n">
        <v>72.42</v>
      </c>
    </row>
    <row r="1688">
      <c r="A1688" s="66" t="inlineStr">
        <is>
          <t>17/05/2011</t>
        </is>
      </c>
      <c r="B1688" s="28" t="n">
        <v>73.03</v>
      </c>
    </row>
    <row r="1689">
      <c r="A1689" s="66" t="inlineStr">
        <is>
          <t>18/05/2011</t>
        </is>
      </c>
      <c r="B1689" s="28" t="n">
        <v>72.5</v>
      </c>
    </row>
    <row r="1690">
      <c r="A1690" s="66" t="inlineStr">
        <is>
          <t>19/05/2011</t>
        </is>
      </c>
      <c r="B1690" s="28" t="n">
        <v>72.90000000000001</v>
      </c>
    </row>
    <row r="1691">
      <c r="A1691" s="66" t="inlineStr">
        <is>
          <t>20/05/2011</t>
        </is>
      </c>
      <c r="B1691" s="28" t="n">
        <v>72.65000000000001</v>
      </c>
    </row>
    <row r="1692">
      <c r="A1692" s="66" t="inlineStr">
        <is>
          <t>23/05/2011</t>
        </is>
      </c>
      <c r="B1692" s="28" t="n">
        <v>73.59</v>
      </c>
    </row>
    <row r="1693">
      <c r="A1693" s="66" t="inlineStr">
        <is>
          <t>24/05/2011</t>
        </is>
      </c>
      <c r="B1693" s="28" t="n">
        <v>74.38</v>
      </c>
    </row>
    <row r="1694">
      <c r="A1694" s="66" t="inlineStr">
        <is>
          <t>25/05/2011</t>
        </is>
      </c>
      <c r="B1694" s="28" t="n">
        <v>74.59</v>
      </c>
    </row>
    <row r="1695">
      <c r="A1695" s="66" t="inlineStr">
        <is>
          <t>26/05/2011</t>
        </is>
      </c>
      <c r="B1695" s="28" t="n">
        <v>74.45999999999999</v>
      </c>
    </row>
    <row r="1696">
      <c r="A1696" s="66" t="inlineStr">
        <is>
          <t>27/05/2011</t>
        </is>
      </c>
      <c r="B1696" s="28" t="n">
        <v>75.34999999999999</v>
      </c>
    </row>
    <row r="1697">
      <c r="A1697" s="66" t="inlineStr">
        <is>
          <t>30/05/2011</t>
        </is>
      </c>
      <c r="B1697" s="28" t="n">
        <v>75.2</v>
      </c>
    </row>
    <row r="1698">
      <c r="A1698" s="66" t="inlineStr">
        <is>
          <t>31/05/2011</t>
        </is>
      </c>
      <c r="B1698" s="28" t="n">
        <v>75.94</v>
      </c>
    </row>
    <row r="1699">
      <c r="A1699" s="66" t="inlineStr">
        <is>
          <t>01/06/2011</t>
        </is>
      </c>
      <c r="B1699" s="28" t="n">
        <v>76.3</v>
      </c>
    </row>
    <row r="1700">
      <c r="A1700" s="66" t="inlineStr">
        <is>
          <t>02/06/2011</t>
        </is>
      </c>
      <c r="B1700" s="28" t="n">
        <v>77.22</v>
      </c>
    </row>
    <row r="1701">
      <c r="A1701" s="66" t="inlineStr">
        <is>
          <t>03/06/2011</t>
        </is>
      </c>
      <c r="B1701" s="28" t="n">
        <v>77.34999999999999</v>
      </c>
    </row>
    <row r="1702">
      <c r="A1702" s="66" t="inlineStr">
        <is>
          <t>06/06/2011</t>
        </is>
      </c>
      <c r="B1702" s="28" t="n">
        <v>78.23999999999999</v>
      </c>
    </row>
    <row r="1703">
      <c r="A1703" s="66" t="inlineStr">
        <is>
          <t>07/06/2011</t>
        </is>
      </c>
      <c r="B1703" s="28" t="n">
        <v>78.81</v>
      </c>
    </row>
    <row r="1704">
      <c r="A1704" s="66" t="inlineStr">
        <is>
          <t>08/06/2011</t>
        </is>
      </c>
      <c r="B1704" s="28" t="n">
        <v>79.19</v>
      </c>
    </row>
    <row r="1705">
      <c r="A1705" s="66" t="inlineStr">
        <is>
          <t>09/06/2011</t>
        </is>
      </c>
      <c r="B1705" s="28" t="n">
        <v>79.75</v>
      </c>
    </row>
    <row r="1706">
      <c r="A1706" s="66" t="inlineStr">
        <is>
          <t>10/06/2011</t>
        </is>
      </c>
      <c r="B1706" s="28" t="n">
        <v>79.98</v>
      </c>
    </row>
    <row r="1707">
      <c r="A1707" s="66" t="inlineStr">
        <is>
          <t>13/06/2011</t>
        </is>
      </c>
      <c r="B1707" s="28" t="n">
        <v>79.62</v>
      </c>
    </row>
    <row r="1708">
      <c r="A1708" s="66" t="inlineStr">
        <is>
          <t>14/06/2011</t>
        </is>
      </c>
      <c r="B1708" s="28" t="n">
        <v>79.7</v>
      </c>
    </row>
    <row r="1709">
      <c r="A1709" s="66" t="inlineStr">
        <is>
          <t>15/06/2011</t>
        </is>
      </c>
      <c r="B1709" s="28" t="n">
        <v>80.08</v>
      </c>
    </row>
    <row r="1710">
      <c r="A1710" s="66" t="inlineStr">
        <is>
          <t>16/06/2011</t>
        </is>
      </c>
      <c r="B1710" s="28" t="n">
        <v>79.65000000000001</v>
      </c>
    </row>
    <row r="1711">
      <c r="A1711" s="66" t="inlineStr">
        <is>
          <t>17/06/2011</t>
        </is>
      </c>
      <c r="B1711" s="28" t="n">
        <v>79.67</v>
      </c>
    </row>
    <row r="1712">
      <c r="A1712" s="66" t="inlineStr">
        <is>
          <t>20/06/2011</t>
        </is>
      </c>
      <c r="B1712" s="28" t="n">
        <v>79.16</v>
      </c>
    </row>
    <row r="1713">
      <c r="A1713" s="66" t="inlineStr">
        <is>
          <t>21/06/2011</t>
        </is>
      </c>
      <c r="B1713" s="28" t="n">
        <v>78.42</v>
      </c>
    </row>
    <row r="1714">
      <c r="A1714" s="66" t="inlineStr">
        <is>
          <t>22/06/2011</t>
        </is>
      </c>
      <c r="B1714" s="28" t="n">
        <v>77.68000000000001</v>
      </c>
    </row>
    <row r="1715">
      <c r="A1715" s="66" t="inlineStr">
        <is>
          <t>24/06/2011</t>
        </is>
      </c>
      <c r="B1715" s="28" t="n">
        <v>77.98999999999999</v>
      </c>
    </row>
    <row r="1716">
      <c r="A1716" s="66" t="inlineStr">
        <is>
          <t>27/06/2011</t>
        </is>
      </c>
      <c r="B1716" s="28" t="n">
        <v>77.17</v>
      </c>
    </row>
    <row r="1717">
      <c r="A1717" s="66" t="inlineStr">
        <is>
          <t>28/06/2011</t>
        </is>
      </c>
      <c r="B1717" s="28" t="n">
        <v>76.64</v>
      </c>
    </row>
    <row r="1718">
      <c r="A1718" s="66" t="inlineStr">
        <is>
          <t>29/06/2011</t>
        </is>
      </c>
      <c r="B1718" s="28" t="n">
        <v>77.43000000000001</v>
      </c>
    </row>
    <row r="1719">
      <c r="A1719" s="66" t="inlineStr">
        <is>
          <t>30/06/2011</t>
        </is>
      </c>
      <c r="B1719" s="28" t="n">
        <v>78.22</v>
      </c>
    </row>
    <row r="1720">
      <c r="A1720" s="66" t="inlineStr">
        <is>
          <t>01/07/2011</t>
        </is>
      </c>
      <c r="B1720" s="28" t="n">
        <v>79.44</v>
      </c>
    </row>
    <row r="1721">
      <c r="A1721" s="66" t="inlineStr">
        <is>
          <t>04/07/2011</t>
        </is>
      </c>
      <c r="B1721" s="28" t="n">
        <v>78.54000000000001</v>
      </c>
    </row>
    <row r="1722">
      <c r="A1722" s="66" t="inlineStr">
        <is>
          <t>05/07/2011</t>
        </is>
      </c>
      <c r="B1722" s="28" t="n">
        <v>79.03</v>
      </c>
    </row>
    <row r="1723">
      <c r="A1723" s="66" t="inlineStr">
        <is>
          <t>06/07/2011</t>
        </is>
      </c>
      <c r="B1723" s="28" t="n">
        <v>79.18000000000001</v>
      </c>
    </row>
    <row r="1724">
      <c r="A1724" s="66" t="inlineStr">
        <is>
          <t>07/07/2011</t>
        </is>
      </c>
      <c r="B1724" s="28" t="n">
        <v>78.87</v>
      </c>
    </row>
    <row r="1725">
      <c r="A1725" s="66" t="inlineStr">
        <is>
          <t>08/07/2011</t>
        </is>
      </c>
      <c r="B1725" s="28" t="n">
        <v>78.39</v>
      </c>
    </row>
    <row r="1726">
      <c r="A1726" s="66" t="inlineStr">
        <is>
          <t>11/07/2011</t>
        </is>
      </c>
      <c r="B1726" s="28" t="n">
        <v>77.44</v>
      </c>
    </row>
    <row r="1727">
      <c r="A1727" s="66" t="inlineStr">
        <is>
          <t>12/07/2011</t>
        </is>
      </c>
      <c r="B1727" s="28" t="n">
        <v>77.47</v>
      </c>
    </row>
    <row r="1728">
      <c r="A1728" s="66" t="inlineStr">
        <is>
          <t>13/07/2011</t>
        </is>
      </c>
      <c r="B1728" s="28" t="n">
        <v>77.26000000000001</v>
      </c>
    </row>
    <row r="1729">
      <c r="A1729" s="66" t="inlineStr">
        <is>
          <t>14/07/2011</t>
        </is>
      </c>
      <c r="B1729" s="28" t="n">
        <v>76.29000000000001</v>
      </c>
    </row>
    <row r="1730">
      <c r="A1730" s="66" t="inlineStr">
        <is>
          <t>15/07/2011</t>
        </is>
      </c>
      <c r="B1730" s="28" t="n">
        <v>76.59999999999999</v>
      </c>
    </row>
    <row r="1731">
      <c r="A1731" s="66" t="inlineStr">
        <is>
          <t>18/07/2011</t>
        </is>
      </c>
      <c r="B1731" s="28" t="n">
        <v>76.31999999999999</v>
      </c>
    </row>
    <row r="1732">
      <c r="A1732" s="66" t="inlineStr">
        <is>
          <t>19/07/2011</t>
        </is>
      </c>
      <c r="B1732" s="28" t="n">
        <v>75.94</v>
      </c>
    </row>
    <row r="1733">
      <c r="A1733" s="66" t="inlineStr">
        <is>
          <t>20/07/2011</t>
        </is>
      </c>
      <c r="B1733" s="28" t="n">
        <v>76.88</v>
      </c>
    </row>
    <row r="1734">
      <c r="A1734" s="66" t="inlineStr">
        <is>
          <t>21/07/2011</t>
        </is>
      </c>
      <c r="B1734" s="28" t="n">
        <v>77.01000000000001</v>
      </c>
    </row>
    <row r="1735">
      <c r="A1735" s="66" t="inlineStr">
        <is>
          <t>22/07/2011</t>
        </is>
      </c>
      <c r="B1735" s="28" t="n">
        <v>77.44</v>
      </c>
    </row>
    <row r="1736">
      <c r="A1736" s="66" t="inlineStr">
        <is>
          <t>25/07/2011</t>
        </is>
      </c>
      <c r="B1736" s="28" t="n">
        <v>77.03</v>
      </c>
    </row>
    <row r="1737">
      <c r="A1737" s="66" t="inlineStr">
        <is>
          <t>26/07/2011</t>
        </is>
      </c>
      <c r="B1737" s="28" t="n">
        <v>76.83</v>
      </c>
    </row>
    <row r="1738">
      <c r="A1738" s="66" t="inlineStr">
        <is>
          <t>27/07/2011</t>
        </is>
      </c>
      <c r="B1738" s="28" t="n">
        <v>77.01000000000001</v>
      </c>
    </row>
    <row r="1739">
      <c r="A1739" s="66" t="inlineStr">
        <is>
          <t>28/07/2011</t>
        </is>
      </c>
      <c r="B1739" s="28" t="n">
        <v>76.68000000000001</v>
      </c>
    </row>
    <row r="1740">
      <c r="A1740" s="66" t="inlineStr">
        <is>
          <t>29/07/2011</t>
        </is>
      </c>
      <c r="B1740" s="28" t="n">
        <v>77.11</v>
      </c>
    </row>
    <row r="1741">
      <c r="A1741" s="66" t="inlineStr">
        <is>
          <t>01/08/2011</t>
        </is>
      </c>
      <c r="B1741" s="28" t="n">
        <v>76.14</v>
      </c>
    </row>
    <row r="1742">
      <c r="A1742" s="66" t="inlineStr">
        <is>
          <t>02/08/2011</t>
        </is>
      </c>
      <c r="B1742" s="28" t="n">
        <v>76.34</v>
      </c>
    </row>
    <row r="1743">
      <c r="A1743" s="66" t="inlineStr">
        <is>
          <t>03/08/2011</t>
        </is>
      </c>
      <c r="B1743" s="28" t="n">
        <v>76.93000000000001</v>
      </c>
    </row>
    <row r="1744">
      <c r="A1744" s="66" t="inlineStr">
        <is>
          <t>04/08/2011</t>
        </is>
      </c>
      <c r="B1744" s="28" t="n">
        <v>76.7</v>
      </c>
    </row>
    <row r="1745">
      <c r="A1745" s="66" t="inlineStr">
        <is>
          <t>05/08/2011</t>
        </is>
      </c>
      <c r="B1745" s="28" t="n">
        <v>76.62</v>
      </c>
    </row>
    <row r="1746">
      <c r="A1746" s="66" t="inlineStr">
        <is>
          <t>08/08/2011</t>
        </is>
      </c>
      <c r="B1746" s="28" t="n">
        <v>76.8</v>
      </c>
    </row>
    <row r="1747">
      <c r="A1747" s="66" t="inlineStr">
        <is>
          <t>09/08/2011</t>
        </is>
      </c>
      <c r="B1747" s="28" t="n">
        <v>76.84999999999999</v>
      </c>
    </row>
    <row r="1748">
      <c r="A1748" s="66" t="inlineStr">
        <is>
          <t>10/08/2011</t>
        </is>
      </c>
      <c r="B1748" s="28" t="n">
        <v>76.67</v>
      </c>
    </row>
    <row r="1749">
      <c r="A1749" s="66" t="inlineStr">
        <is>
          <t>11/08/2011</t>
        </is>
      </c>
      <c r="B1749" s="28" t="n">
        <v>76.34</v>
      </c>
    </row>
    <row r="1750">
      <c r="A1750" s="66" t="inlineStr">
        <is>
          <t>12/08/2011</t>
        </is>
      </c>
      <c r="B1750" s="28" t="n">
        <v>76.03</v>
      </c>
    </row>
    <row r="1751">
      <c r="A1751" s="66" t="inlineStr">
        <is>
          <t>15/08/2011</t>
        </is>
      </c>
      <c r="B1751" s="28" t="n">
        <v>76.47</v>
      </c>
    </row>
    <row r="1752">
      <c r="A1752" s="66" t="inlineStr">
        <is>
          <t>16/08/2011</t>
        </is>
      </c>
      <c r="B1752" s="28" t="n">
        <v>76.62</v>
      </c>
    </row>
    <row r="1753">
      <c r="A1753" s="66" t="inlineStr">
        <is>
          <t>17/08/2011</t>
        </is>
      </c>
      <c r="B1753" s="28" t="n">
        <v>77.09999999999999</v>
      </c>
    </row>
    <row r="1754">
      <c r="A1754" s="66" t="inlineStr">
        <is>
          <t>18/08/2011</t>
        </is>
      </c>
      <c r="B1754" s="28" t="n">
        <v>76.48999999999999</v>
      </c>
    </row>
    <row r="1755">
      <c r="A1755" s="66" t="inlineStr">
        <is>
          <t>19/08/2011</t>
        </is>
      </c>
      <c r="B1755" s="28" t="n">
        <v>76.37</v>
      </c>
    </row>
    <row r="1756">
      <c r="A1756" s="66" t="inlineStr">
        <is>
          <t>22/08/2011</t>
        </is>
      </c>
      <c r="B1756" s="28" t="n">
        <v>76.39</v>
      </c>
    </row>
    <row r="1757">
      <c r="A1757" s="66" t="inlineStr">
        <is>
          <t>23/08/2011</t>
        </is>
      </c>
      <c r="B1757" s="28" t="n">
        <v>76.44</v>
      </c>
    </row>
    <row r="1758">
      <c r="A1758" s="66" t="inlineStr">
        <is>
          <t>24/08/2011</t>
        </is>
      </c>
      <c r="B1758" s="28" t="n">
        <v>76.59</v>
      </c>
    </row>
    <row r="1759">
      <c r="A1759" s="66" t="inlineStr">
        <is>
          <t>25/08/2011</t>
        </is>
      </c>
      <c r="B1759" s="28" t="n">
        <v>77.20999999999999</v>
      </c>
    </row>
    <row r="1760">
      <c r="A1760" s="66" t="inlineStr">
        <is>
          <t>26/08/2011</t>
        </is>
      </c>
      <c r="B1760" s="28" t="n">
        <v>77.73999999999999</v>
      </c>
    </row>
    <row r="1761">
      <c r="A1761" s="66" t="inlineStr">
        <is>
          <t>29/08/2011</t>
        </is>
      </c>
      <c r="B1761" s="28" t="n">
        <v>77.56</v>
      </c>
    </row>
    <row r="1762">
      <c r="A1762" s="66" t="inlineStr">
        <is>
          <t>30/08/2011</t>
        </is>
      </c>
      <c r="B1762" s="28" t="n">
        <v>78.25</v>
      </c>
    </row>
    <row r="1763">
      <c r="A1763" s="66" t="inlineStr">
        <is>
          <t>31/08/2011</t>
        </is>
      </c>
      <c r="B1763" s="28" t="n">
        <v>78.91</v>
      </c>
    </row>
    <row r="1764">
      <c r="A1764" s="66" t="inlineStr">
        <is>
          <t>01/09/2011</t>
        </is>
      </c>
      <c r="B1764" s="28" t="n">
        <v>78.81</v>
      </c>
    </row>
    <row r="1765">
      <c r="A1765" s="66" t="inlineStr">
        <is>
          <t>02/09/2011</t>
        </is>
      </c>
      <c r="B1765" s="28" t="n">
        <v>79.01000000000001</v>
      </c>
    </row>
    <row r="1766">
      <c r="A1766" s="66" t="inlineStr">
        <is>
          <t>05/09/2011</t>
        </is>
      </c>
      <c r="B1766" s="28" t="n">
        <v>79.20999999999999</v>
      </c>
    </row>
    <row r="1767">
      <c r="A1767" s="66" t="inlineStr">
        <is>
          <t>06/09/2011</t>
        </is>
      </c>
      <c r="B1767" s="28" t="n">
        <v>79.73999999999999</v>
      </c>
    </row>
    <row r="1768">
      <c r="A1768" s="66" t="inlineStr">
        <is>
          <t>08/09/2011</t>
        </is>
      </c>
      <c r="B1768" s="28" t="n">
        <v>79.92</v>
      </c>
    </row>
    <row r="1769">
      <c r="A1769" s="66" t="inlineStr">
        <is>
          <t>09/09/2011</t>
        </is>
      </c>
      <c r="B1769" s="28" t="n">
        <v>80.06999999999999</v>
      </c>
    </row>
    <row r="1770">
      <c r="A1770" s="66" t="inlineStr">
        <is>
          <t>12/09/2011</t>
        </is>
      </c>
      <c r="B1770" s="28" t="n">
        <v>80.2</v>
      </c>
    </row>
    <row r="1771">
      <c r="A1771" s="66" t="inlineStr">
        <is>
          <t>13/09/2011</t>
        </is>
      </c>
      <c r="B1771" s="28" t="n">
        <v>79.73999999999999</v>
      </c>
    </row>
    <row r="1772">
      <c r="A1772" s="66" t="inlineStr">
        <is>
          <t>14/09/2011</t>
        </is>
      </c>
      <c r="B1772" s="28" t="n">
        <v>80.47</v>
      </c>
    </row>
    <row r="1773">
      <c r="A1773" s="66" t="inlineStr">
        <is>
          <t>15/09/2011</t>
        </is>
      </c>
      <c r="B1773" s="28" t="n">
        <v>80.78</v>
      </c>
    </row>
    <row r="1774">
      <c r="A1774" s="66" t="inlineStr">
        <is>
          <t>16/09/2011</t>
        </is>
      </c>
      <c r="B1774" s="28" t="n">
        <v>81.79000000000001</v>
      </c>
    </row>
    <row r="1775">
      <c r="A1775" s="66" t="inlineStr">
        <is>
          <t>19/09/2011</t>
        </is>
      </c>
      <c r="B1775" s="28" t="n">
        <v>81.23</v>
      </c>
    </row>
    <row r="1776">
      <c r="A1776" s="66" t="inlineStr">
        <is>
          <t>20/09/2011</t>
        </is>
      </c>
      <c r="B1776" s="28" t="n">
        <v>81.92</v>
      </c>
    </row>
    <row r="1777">
      <c r="A1777" s="66" t="inlineStr">
        <is>
          <t>21/09/2011</t>
        </is>
      </c>
      <c r="B1777" s="28" t="n">
        <v>81.51000000000001</v>
      </c>
    </row>
    <row r="1778">
      <c r="A1778" s="66" t="inlineStr">
        <is>
          <t>22/09/2011</t>
        </is>
      </c>
      <c r="B1778" s="28" t="n">
        <v>82.09</v>
      </c>
    </row>
    <row r="1779">
      <c r="A1779" s="66" t="inlineStr">
        <is>
          <t>23/09/2011</t>
        </is>
      </c>
      <c r="B1779" s="28" t="n">
        <v>81.59</v>
      </c>
    </row>
    <row r="1780">
      <c r="A1780" s="66" t="inlineStr">
        <is>
          <t>26/09/2011</t>
        </is>
      </c>
      <c r="B1780" s="28" t="n">
        <v>81.81</v>
      </c>
    </row>
    <row r="1781">
      <c r="A1781" s="66" t="inlineStr">
        <is>
          <t>27/09/2011</t>
        </is>
      </c>
      <c r="B1781" s="28" t="n">
        <v>81.92</v>
      </c>
    </row>
    <row r="1782">
      <c r="A1782" s="66" t="inlineStr">
        <is>
          <t>28/09/2011</t>
        </is>
      </c>
      <c r="B1782" s="28" t="n">
        <v>81.73999999999999</v>
      </c>
    </row>
    <row r="1783">
      <c r="A1783" s="66" t="inlineStr">
        <is>
          <t>29/09/2011</t>
        </is>
      </c>
      <c r="B1783" s="28" t="n">
        <v>80.88</v>
      </c>
    </row>
    <row r="1784">
      <c r="A1784" s="66" t="inlineStr">
        <is>
          <t>30/09/2011</t>
        </is>
      </c>
      <c r="B1784" s="28" t="n">
        <v>80.27</v>
      </c>
    </row>
    <row r="1785">
      <c r="A1785" s="66" t="inlineStr">
        <is>
          <t>03/10/2011</t>
        </is>
      </c>
      <c r="B1785" s="28" t="n">
        <v>79.81999999999999</v>
      </c>
    </row>
    <row r="1786">
      <c r="A1786" s="66" t="inlineStr">
        <is>
          <t>04/10/2011</t>
        </is>
      </c>
      <c r="B1786" s="28" t="n">
        <v>79.52</v>
      </c>
    </row>
    <row r="1787">
      <c r="A1787" s="66" t="inlineStr">
        <is>
          <t>05/10/2011</t>
        </is>
      </c>
      <c r="B1787" s="28" t="n">
        <v>79.23999999999999</v>
      </c>
    </row>
    <row r="1788">
      <c r="A1788" s="66" t="inlineStr">
        <is>
          <t>06/10/2011</t>
        </is>
      </c>
      <c r="B1788" s="28" t="n">
        <v>78.06</v>
      </c>
    </row>
    <row r="1789">
      <c r="A1789" s="66" t="inlineStr">
        <is>
          <t>07/10/2011</t>
        </is>
      </c>
      <c r="B1789" s="28" t="n">
        <v>78.89</v>
      </c>
    </row>
    <row r="1790">
      <c r="A1790" s="66" t="inlineStr">
        <is>
          <t>10/10/2011</t>
        </is>
      </c>
      <c r="B1790" s="28" t="n">
        <v>78.98999999999999</v>
      </c>
    </row>
    <row r="1791">
      <c r="A1791" s="66" t="inlineStr">
        <is>
          <t>11/10/2011</t>
        </is>
      </c>
      <c r="B1791" s="28" t="n">
        <v>78.59</v>
      </c>
    </row>
    <row r="1792">
      <c r="A1792" s="66" t="inlineStr">
        <is>
          <t>13/10/2011</t>
        </is>
      </c>
      <c r="B1792" s="28" t="n">
        <v>77.89</v>
      </c>
    </row>
    <row r="1793">
      <c r="A1793" s="66" t="inlineStr">
        <is>
          <t>14/10/2011</t>
        </is>
      </c>
      <c r="B1793" s="28" t="n">
        <v>77.41</v>
      </c>
    </row>
    <row r="1794">
      <c r="A1794" s="66" t="inlineStr">
        <is>
          <t>17/10/2011</t>
        </is>
      </c>
      <c r="B1794" s="28" t="n">
        <v>75.37</v>
      </c>
    </row>
    <row r="1795">
      <c r="A1795" s="66" t="inlineStr">
        <is>
          <t>18/10/2011</t>
        </is>
      </c>
      <c r="B1795" s="28" t="n">
        <v>75.25</v>
      </c>
    </row>
    <row r="1796">
      <c r="A1796" s="66" t="inlineStr">
        <is>
          <t>19/10/2011</t>
        </is>
      </c>
      <c r="B1796" s="28" t="n">
        <v>75.17</v>
      </c>
    </row>
    <row r="1797">
      <c r="A1797" s="66" t="inlineStr">
        <is>
          <t>20/10/2011</t>
        </is>
      </c>
      <c r="B1797" s="28" t="n">
        <v>74.54000000000001</v>
      </c>
    </row>
    <row r="1798">
      <c r="A1798" s="66" t="inlineStr">
        <is>
          <t>21/10/2011</t>
        </is>
      </c>
      <c r="B1798" s="28" t="n">
        <v>75.17</v>
      </c>
    </row>
    <row r="1799">
      <c r="A1799" s="66" t="inlineStr">
        <is>
          <t>24/10/2011</t>
        </is>
      </c>
      <c r="B1799" s="28" t="n">
        <v>75.75</v>
      </c>
    </row>
    <row r="1800">
      <c r="A1800" s="66" t="inlineStr">
        <is>
          <t>25/10/2011</t>
        </is>
      </c>
      <c r="B1800" s="28" t="n">
        <v>76.76000000000001</v>
      </c>
    </row>
    <row r="1801">
      <c r="A1801" s="66" t="inlineStr">
        <is>
          <t>26/10/2011</t>
        </is>
      </c>
      <c r="B1801" s="28" t="n">
        <v>77.36</v>
      </c>
    </row>
    <row r="1802">
      <c r="A1802" s="66" t="inlineStr">
        <is>
          <t>27/10/2011</t>
        </is>
      </c>
      <c r="B1802" s="28" t="n">
        <v>77.36</v>
      </c>
    </row>
    <row r="1803">
      <c r="A1803" s="66" t="inlineStr">
        <is>
          <t>28/10/2011</t>
        </is>
      </c>
      <c r="B1803" s="28" t="n">
        <v>77.31</v>
      </c>
    </row>
    <row r="1804">
      <c r="A1804" s="66" t="inlineStr">
        <is>
          <t>31/10/2011</t>
        </is>
      </c>
      <c r="B1804" s="28" t="n">
        <v>78.16</v>
      </c>
    </row>
    <row r="1805">
      <c r="A1805" s="66" t="inlineStr">
        <is>
          <t>01/11/2011</t>
        </is>
      </c>
      <c r="B1805" s="28" t="n">
        <v>77.05</v>
      </c>
    </row>
    <row r="1806">
      <c r="A1806" s="66" t="inlineStr">
        <is>
          <t>03/11/2011</t>
        </is>
      </c>
      <c r="B1806" s="28" t="n">
        <v>76.95</v>
      </c>
    </row>
    <row r="1807">
      <c r="A1807" s="66" t="inlineStr">
        <is>
          <t>04/11/2011</t>
        </is>
      </c>
      <c r="B1807" s="28" t="n">
        <v>77.72</v>
      </c>
    </row>
    <row r="1808">
      <c r="A1808" s="66" t="inlineStr">
        <is>
          <t>07/11/2011</t>
        </is>
      </c>
      <c r="B1808" s="28" t="n">
        <v>77.8</v>
      </c>
    </row>
    <row r="1809">
      <c r="A1809" s="66" t="inlineStr">
        <is>
          <t>08/11/2011</t>
        </is>
      </c>
      <c r="B1809" s="28" t="n">
        <v>78.25</v>
      </c>
    </row>
    <row r="1810">
      <c r="A1810" s="66" t="inlineStr">
        <is>
          <t>09/11/2011</t>
        </is>
      </c>
      <c r="B1810" s="28" t="n">
        <v>78.02</v>
      </c>
    </row>
    <row r="1811">
      <c r="A1811" s="66" t="inlineStr">
        <is>
          <t>10/11/2011</t>
        </is>
      </c>
      <c r="B1811" s="28" t="n">
        <v>77.87</v>
      </c>
    </row>
    <row r="1812">
      <c r="A1812" s="66" t="inlineStr">
        <is>
          <t>11/11/2011</t>
        </is>
      </c>
      <c r="B1812" s="28" t="n">
        <v>77.2</v>
      </c>
    </row>
    <row r="1813">
      <c r="A1813" s="66" t="inlineStr">
        <is>
          <t>14/11/2011</t>
        </is>
      </c>
      <c r="B1813" s="28" t="n">
        <v>77.25</v>
      </c>
    </row>
    <row r="1814">
      <c r="A1814" s="66" t="inlineStr">
        <is>
          <t>16/11/2011</t>
        </is>
      </c>
      <c r="B1814" s="28" t="n">
        <v>76.77</v>
      </c>
    </row>
    <row r="1815">
      <c r="A1815" s="66" t="inlineStr">
        <is>
          <t>17/11/2011</t>
        </is>
      </c>
      <c r="B1815" s="28" t="n">
        <v>75.5</v>
      </c>
    </row>
    <row r="1816">
      <c r="A1816" s="66" t="inlineStr">
        <is>
          <t>18/11/2011</t>
        </is>
      </c>
      <c r="B1816" s="28" t="n">
        <v>75.05</v>
      </c>
    </row>
    <row r="1817">
      <c r="A1817" s="66" t="inlineStr">
        <is>
          <t>21/11/2011</t>
        </is>
      </c>
      <c r="B1817" s="28" t="n">
        <v>74.52</v>
      </c>
    </row>
    <row r="1818">
      <c r="A1818" s="66" t="inlineStr">
        <is>
          <t>22/11/2011</t>
        </is>
      </c>
      <c r="B1818" s="28" t="n">
        <v>72.56999999999999</v>
      </c>
    </row>
    <row r="1819">
      <c r="A1819" s="66" t="inlineStr">
        <is>
          <t>23/11/2011</t>
        </is>
      </c>
      <c r="B1819" s="28" t="n">
        <v>71.98999999999999</v>
      </c>
    </row>
    <row r="1820">
      <c r="A1820" s="66" t="inlineStr">
        <is>
          <t>24/11/2011</t>
        </is>
      </c>
      <c r="B1820" s="28" t="n">
        <v>70.17</v>
      </c>
    </row>
    <row r="1821">
      <c r="A1821" s="66" t="inlineStr">
        <is>
          <t>25/11/2011</t>
        </is>
      </c>
      <c r="B1821" s="28" t="n">
        <v>68.56999999999999</v>
      </c>
    </row>
    <row r="1822">
      <c r="A1822" s="66" t="inlineStr">
        <is>
          <t>28/11/2011</t>
        </is>
      </c>
      <c r="B1822" s="28" t="n">
        <v>68.23999999999999</v>
      </c>
    </row>
    <row r="1823">
      <c r="A1823" s="66" t="inlineStr">
        <is>
          <t>29/11/2011</t>
        </is>
      </c>
      <c r="B1823" s="28" t="n">
        <v>70.64</v>
      </c>
    </row>
    <row r="1824">
      <c r="A1824" s="66" t="inlineStr">
        <is>
          <t>30/11/2011</t>
        </is>
      </c>
      <c r="B1824" s="28" t="n">
        <v>69.84</v>
      </c>
    </row>
    <row r="1825">
      <c r="A1825" s="66" t="inlineStr">
        <is>
          <t>01/12/2011</t>
        </is>
      </c>
      <c r="B1825" s="28" t="n">
        <v>69.73</v>
      </c>
    </row>
    <row r="1826">
      <c r="A1826" s="66" t="inlineStr">
        <is>
          <t>02/12/2011</t>
        </is>
      </c>
      <c r="B1826" s="28" t="n">
        <v>68.77</v>
      </c>
    </row>
    <row r="1827">
      <c r="A1827" s="66" t="inlineStr">
        <is>
          <t>05/12/2011</t>
        </is>
      </c>
      <c r="B1827" s="28" t="n">
        <v>68.31999999999999</v>
      </c>
    </row>
    <row r="1828">
      <c r="A1828" s="66" t="inlineStr">
        <is>
          <t>06/12/2011</t>
        </is>
      </c>
      <c r="B1828" s="28" t="n">
        <v>69.17</v>
      </c>
    </row>
    <row r="1829">
      <c r="A1829" s="66" t="inlineStr">
        <is>
          <t>07/12/2011</t>
        </is>
      </c>
      <c r="B1829" s="28" t="n">
        <v>69.2</v>
      </c>
    </row>
    <row r="1830">
      <c r="A1830" s="66" t="inlineStr">
        <is>
          <t>08/12/2011</t>
        </is>
      </c>
      <c r="B1830" s="28" t="n">
        <v>68.3</v>
      </c>
    </row>
    <row r="1831">
      <c r="A1831" s="66" t="inlineStr">
        <is>
          <t>09/12/2011</t>
        </is>
      </c>
      <c r="B1831" s="28" t="n">
        <v>67.81999999999999</v>
      </c>
    </row>
    <row r="1832">
      <c r="A1832" s="66" t="inlineStr">
        <is>
          <t>12/12/2011</t>
        </is>
      </c>
      <c r="B1832" s="28" t="n">
        <v>67.75</v>
      </c>
    </row>
    <row r="1833">
      <c r="A1833" s="66" t="inlineStr">
        <is>
          <t>13/12/2011</t>
        </is>
      </c>
      <c r="B1833" s="28" t="n">
        <v>68</v>
      </c>
    </row>
    <row r="1834">
      <c r="A1834" s="66" t="inlineStr">
        <is>
          <t>14/12/2011</t>
        </is>
      </c>
      <c r="B1834" s="28" t="n">
        <v>69.3</v>
      </c>
    </row>
    <row r="1835">
      <c r="A1835" s="66" t="inlineStr">
        <is>
          <t>15/12/2011</t>
        </is>
      </c>
      <c r="B1835" s="28" t="n">
        <v>69.59999999999999</v>
      </c>
    </row>
    <row r="1836">
      <c r="A1836" s="66" t="inlineStr">
        <is>
          <t>16/12/2011</t>
        </is>
      </c>
      <c r="B1836" s="28" t="n">
        <v>70.25</v>
      </c>
    </row>
    <row r="1837">
      <c r="A1837" s="66" t="inlineStr">
        <is>
          <t>19/12/2011</t>
        </is>
      </c>
      <c r="B1837" s="28" t="n">
        <v>71.23</v>
      </c>
    </row>
    <row r="1838">
      <c r="A1838" s="66" t="inlineStr">
        <is>
          <t>20/12/2011</t>
        </is>
      </c>
      <c r="B1838" s="28" t="n">
        <v>71.45</v>
      </c>
    </row>
    <row r="1839">
      <c r="A1839" s="66" t="inlineStr">
        <is>
          <t>21/12/2011</t>
        </is>
      </c>
      <c r="B1839" s="28" t="n">
        <v>72.16</v>
      </c>
    </row>
    <row r="1840">
      <c r="A1840" s="66" t="inlineStr">
        <is>
          <t>22/12/2011</t>
        </is>
      </c>
      <c r="B1840" s="28" t="n">
        <v>72.95999999999999</v>
      </c>
    </row>
    <row r="1841">
      <c r="A1841" s="66" t="inlineStr">
        <is>
          <t>23/12/2011</t>
        </is>
      </c>
      <c r="B1841" s="28" t="n">
        <v>72.95999999999999</v>
      </c>
    </row>
    <row r="1842">
      <c r="A1842" s="66" t="inlineStr">
        <is>
          <t>26/12/2011</t>
        </is>
      </c>
      <c r="B1842" s="28" t="n">
        <v>72.33</v>
      </c>
    </row>
    <row r="1843">
      <c r="A1843" s="66" t="inlineStr">
        <is>
          <t>27/12/2011</t>
        </is>
      </c>
      <c r="B1843" s="28" t="n">
        <v>74.39</v>
      </c>
    </row>
    <row r="1844">
      <c r="A1844" s="66" t="inlineStr">
        <is>
          <t>28/12/2011</t>
        </is>
      </c>
      <c r="B1844" s="28" t="n">
        <v>74.39</v>
      </c>
    </row>
    <row r="1845">
      <c r="A1845" s="66" t="inlineStr">
        <is>
          <t>29/12/2011</t>
        </is>
      </c>
      <c r="B1845" s="28" t="n">
        <v>74.84</v>
      </c>
    </row>
    <row r="1846">
      <c r="A1846" s="66" t="inlineStr">
        <is>
          <t>02/01/2012</t>
        </is>
      </c>
      <c r="B1846" s="28" t="n">
        <v>74.65000000000001</v>
      </c>
    </row>
    <row r="1847">
      <c r="A1847" s="66" t="inlineStr">
        <is>
          <t>03/01/2012</t>
        </is>
      </c>
      <c r="B1847" s="28" t="n">
        <v>75.77</v>
      </c>
    </row>
    <row r="1848">
      <c r="A1848" s="66" t="inlineStr">
        <is>
          <t>04/01/2012</t>
        </is>
      </c>
      <c r="B1848" s="28" t="n">
        <v>76.56999999999999</v>
      </c>
    </row>
    <row r="1849">
      <c r="A1849" s="66" t="inlineStr">
        <is>
          <t>05/01/2012</t>
        </is>
      </c>
      <c r="B1849" s="28" t="n">
        <v>77.34999999999999</v>
      </c>
    </row>
    <row r="1850">
      <c r="A1850" s="66" t="inlineStr">
        <is>
          <t>06/01/2012</t>
        </is>
      </c>
      <c r="B1850" s="28" t="n">
        <v>77.3</v>
      </c>
    </row>
    <row r="1851">
      <c r="A1851" s="66" t="inlineStr">
        <is>
          <t>09/01/2012</t>
        </is>
      </c>
      <c r="B1851" s="28" t="n">
        <v>77.3</v>
      </c>
    </row>
    <row r="1852">
      <c r="A1852" s="66" t="inlineStr">
        <is>
          <t>10/01/2012</t>
        </is>
      </c>
      <c r="B1852" s="28" t="n">
        <v>77.84999999999999</v>
      </c>
    </row>
    <row r="1853">
      <c r="A1853" s="66" t="inlineStr">
        <is>
          <t>11/01/2012</t>
        </is>
      </c>
      <c r="B1853" s="28" t="n">
        <v>78.37</v>
      </c>
    </row>
    <row r="1854">
      <c r="A1854" s="66" t="inlineStr">
        <is>
          <t>12/01/2012</t>
        </is>
      </c>
      <c r="B1854" s="28" t="n">
        <v>78.7</v>
      </c>
    </row>
    <row r="1855">
      <c r="A1855" s="66" t="inlineStr">
        <is>
          <t>13/01/2012</t>
        </is>
      </c>
      <c r="B1855" s="28" t="n">
        <v>78.8</v>
      </c>
    </row>
    <row r="1856">
      <c r="A1856" s="66" t="inlineStr">
        <is>
          <t>16/01/2012</t>
        </is>
      </c>
      <c r="B1856" s="28" t="n">
        <v>78.55</v>
      </c>
    </row>
    <row r="1857">
      <c r="A1857" s="66" t="inlineStr">
        <is>
          <t>17/01/2012</t>
        </is>
      </c>
      <c r="B1857" s="28" t="n">
        <v>78.25</v>
      </c>
    </row>
    <row r="1858">
      <c r="A1858" s="66" t="inlineStr">
        <is>
          <t>18/01/2012</t>
        </is>
      </c>
      <c r="B1858" s="28" t="n">
        <v>77.95</v>
      </c>
    </row>
    <row r="1859">
      <c r="A1859" s="66" t="inlineStr">
        <is>
          <t>19/01/2012</t>
        </is>
      </c>
      <c r="B1859" s="28" t="n">
        <v>78</v>
      </c>
    </row>
    <row r="1860">
      <c r="A1860" s="66" t="inlineStr">
        <is>
          <t>20/01/2012</t>
        </is>
      </c>
      <c r="B1860" s="28" t="n">
        <v>78.45</v>
      </c>
    </row>
    <row r="1861">
      <c r="A1861" s="66" t="inlineStr">
        <is>
          <t>23/01/2012</t>
        </is>
      </c>
      <c r="B1861" s="28" t="n">
        <v>78</v>
      </c>
    </row>
    <row r="1862">
      <c r="A1862" s="66" t="inlineStr">
        <is>
          <t>24/01/2012</t>
        </is>
      </c>
      <c r="B1862" s="28" t="n">
        <v>78.40000000000001</v>
      </c>
    </row>
    <row r="1863">
      <c r="A1863" s="66" t="inlineStr">
        <is>
          <t>25/01/2012</t>
        </is>
      </c>
      <c r="B1863" s="28" t="n">
        <v>78.55</v>
      </c>
    </row>
    <row r="1864">
      <c r="A1864" s="66" t="inlineStr">
        <is>
          <t>26/01/2012</t>
        </is>
      </c>
      <c r="B1864" s="28" t="n">
        <v>78</v>
      </c>
    </row>
    <row r="1865">
      <c r="A1865" s="66" t="inlineStr">
        <is>
          <t>27/01/2012</t>
        </is>
      </c>
      <c r="B1865" s="28" t="n">
        <v>77.7</v>
      </c>
    </row>
    <row r="1866">
      <c r="A1866" s="66" t="inlineStr">
        <is>
          <t>30/01/2012</t>
        </is>
      </c>
      <c r="B1866" s="28" t="n">
        <v>77.87</v>
      </c>
    </row>
    <row r="1867">
      <c r="A1867" s="66" t="inlineStr">
        <is>
          <t>31/01/2012</t>
        </is>
      </c>
      <c r="B1867" s="28" t="n">
        <v>76.3</v>
      </c>
    </row>
    <row r="1868">
      <c r="A1868" s="66" t="inlineStr">
        <is>
          <t>01/02/2012</t>
        </is>
      </c>
      <c r="B1868" s="28" t="n">
        <v>74.19</v>
      </c>
    </row>
    <row r="1869">
      <c r="A1869" s="66" t="inlineStr">
        <is>
          <t>02/02/2012</t>
        </is>
      </c>
      <c r="B1869" s="28" t="n">
        <v>72.94</v>
      </c>
    </row>
    <row r="1870">
      <c r="A1870" s="66" t="inlineStr">
        <is>
          <t>03/02/2012</t>
        </is>
      </c>
      <c r="B1870" s="28" t="n">
        <v>71.87</v>
      </c>
    </row>
    <row r="1871">
      <c r="A1871" s="66" t="inlineStr">
        <is>
          <t>06/02/2012</t>
        </is>
      </c>
      <c r="B1871" s="28" t="n">
        <v>71.73999999999999</v>
      </c>
    </row>
    <row r="1872">
      <c r="A1872" s="66" t="inlineStr">
        <is>
          <t>07/02/2012</t>
        </is>
      </c>
      <c r="B1872" s="28" t="n">
        <v>70.98999999999999</v>
      </c>
    </row>
    <row r="1873">
      <c r="A1873" s="66" t="inlineStr">
        <is>
          <t>08/02/2012</t>
        </is>
      </c>
      <c r="B1873" s="28" t="n">
        <v>70.94</v>
      </c>
    </row>
    <row r="1874">
      <c r="A1874" s="66" t="inlineStr">
        <is>
          <t>09/02/2012</t>
        </is>
      </c>
      <c r="B1874" s="28" t="n">
        <v>70.04000000000001</v>
      </c>
    </row>
    <row r="1875">
      <c r="A1875" s="66" t="inlineStr">
        <is>
          <t>10/02/2012</t>
        </is>
      </c>
      <c r="B1875" s="28" t="n">
        <v>70.31999999999999</v>
      </c>
    </row>
    <row r="1876">
      <c r="A1876" s="66" t="inlineStr">
        <is>
          <t>13/02/2012</t>
        </is>
      </c>
      <c r="B1876" s="28" t="n">
        <v>70.48999999999999</v>
      </c>
    </row>
    <row r="1877">
      <c r="A1877" s="66" t="inlineStr">
        <is>
          <t>14/02/2012</t>
        </is>
      </c>
      <c r="B1877" s="28" t="n">
        <v>70.34</v>
      </c>
    </row>
    <row r="1878">
      <c r="A1878" s="66" t="inlineStr">
        <is>
          <t>15/02/2012</t>
        </is>
      </c>
      <c r="B1878" s="28" t="n">
        <v>69.84</v>
      </c>
    </row>
    <row r="1879">
      <c r="A1879" s="66" t="inlineStr">
        <is>
          <t>16/02/2012</t>
        </is>
      </c>
      <c r="B1879" s="28" t="n">
        <v>69.27</v>
      </c>
    </row>
    <row r="1880">
      <c r="A1880" s="66" t="inlineStr">
        <is>
          <t>17/02/2012</t>
        </is>
      </c>
      <c r="B1880" s="28" t="n">
        <v>70.14</v>
      </c>
    </row>
    <row r="1881">
      <c r="A1881" s="66" t="inlineStr">
        <is>
          <t>22/02/2012</t>
        </is>
      </c>
      <c r="B1881" s="28" t="n">
        <v>70.04000000000001</v>
      </c>
    </row>
    <row r="1882">
      <c r="A1882" s="66" t="inlineStr">
        <is>
          <t>23/02/2012</t>
        </is>
      </c>
      <c r="B1882" s="28" t="n">
        <v>70.23999999999999</v>
      </c>
    </row>
    <row r="1883">
      <c r="A1883" s="66" t="inlineStr">
        <is>
          <t>24/02/2012</t>
        </is>
      </c>
      <c r="B1883" s="28" t="n">
        <v>70.87</v>
      </c>
    </row>
    <row r="1884">
      <c r="A1884" s="66" t="inlineStr">
        <is>
          <t>27/02/2012</t>
        </is>
      </c>
      <c r="B1884" s="28" t="n">
        <v>71.27</v>
      </c>
    </row>
    <row r="1885">
      <c r="A1885" s="66" t="inlineStr">
        <is>
          <t>28/02/2012</t>
        </is>
      </c>
      <c r="B1885" s="28" t="n">
        <v>71.77</v>
      </c>
    </row>
    <row r="1886">
      <c r="A1886" s="66" t="inlineStr">
        <is>
          <t>29/02/2012</t>
        </is>
      </c>
      <c r="B1886" s="28" t="n">
        <v>71.92</v>
      </c>
    </row>
    <row r="1887">
      <c r="A1887" s="66" t="inlineStr">
        <is>
          <t>01/03/2012</t>
        </is>
      </c>
      <c r="B1887" s="28" t="n">
        <v>72.01000000000001</v>
      </c>
    </row>
    <row r="1888">
      <c r="A1888" s="66" t="inlineStr">
        <is>
          <t>02/03/2012</t>
        </is>
      </c>
      <c r="B1888" s="28" t="n">
        <v>72.31</v>
      </c>
    </row>
    <row r="1889">
      <c r="A1889" s="66" t="inlineStr">
        <is>
          <t>05/03/2012</t>
        </is>
      </c>
      <c r="B1889" s="28" t="n">
        <v>72.68000000000001</v>
      </c>
    </row>
    <row r="1890">
      <c r="A1890" s="66" t="inlineStr">
        <is>
          <t>06/03/2012</t>
        </is>
      </c>
      <c r="B1890" s="28" t="n">
        <v>73.11</v>
      </c>
    </row>
    <row r="1891">
      <c r="A1891" s="66" t="inlineStr">
        <is>
          <t>07/03/2012</t>
        </is>
      </c>
      <c r="B1891" s="28" t="n">
        <v>73.38</v>
      </c>
    </row>
    <row r="1892">
      <c r="A1892" s="66" t="inlineStr">
        <is>
          <t>08/03/2012</t>
        </is>
      </c>
      <c r="B1892" s="28" t="n">
        <v>73.58</v>
      </c>
    </row>
    <row r="1893">
      <c r="A1893" s="66" t="inlineStr">
        <is>
          <t>09/03/2012</t>
        </is>
      </c>
      <c r="B1893" s="28" t="n">
        <v>73.63</v>
      </c>
    </row>
    <row r="1894">
      <c r="A1894" s="66" t="inlineStr">
        <is>
          <t>12/03/2012</t>
        </is>
      </c>
      <c r="B1894" s="28" t="n">
        <v>73.59999999999999</v>
      </c>
    </row>
    <row r="1895">
      <c r="A1895" s="66" t="inlineStr">
        <is>
          <t>13/03/2012</t>
        </is>
      </c>
      <c r="B1895" s="28" t="n">
        <v>73.3</v>
      </c>
    </row>
    <row r="1896">
      <c r="A1896" s="66" t="inlineStr">
        <is>
          <t>14/03/2012</t>
        </is>
      </c>
      <c r="B1896" s="28" t="n">
        <v>73.43000000000001</v>
      </c>
    </row>
    <row r="1897">
      <c r="A1897" s="66" t="inlineStr">
        <is>
          <t>15/03/2012</t>
        </is>
      </c>
      <c r="B1897" s="28" t="n">
        <v>73.23</v>
      </c>
    </row>
    <row r="1898">
      <c r="A1898" s="66" t="inlineStr">
        <is>
          <t>16/03/2012</t>
        </is>
      </c>
      <c r="B1898" s="28" t="n">
        <v>73.58</v>
      </c>
    </row>
    <row r="1899">
      <c r="A1899" s="66" t="inlineStr">
        <is>
          <t>19/03/2012</t>
        </is>
      </c>
      <c r="B1899" s="28" t="n">
        <v>72.98</v>
      </c>
    </row>
    <row r="1900">
      <c r="A1900" s="66" t="inlineStr">
        <is>
          <t>20/03/2012</t>
        </is>
      </c>
      <c r="B1900" s="28" t="n">
        <v>72.68000000000001</v>
      </c>
    </row>
    <row r="1901">
      <c r="A1901" s="66" t="inlineStr">
        <is>
          <t>21/03/2012</t>
        </is>
      </c>
      <c r="B1901" s="28" t="n">
        <v>71.69</v>
      </c>
    </row>
    <row r="1902">
      <c r="A1902" s="66" t="inlineStr">
        <is>
          <t>22/03/2012</t>
        </is>
      </c>
      <c r="B1902" s="28" t="n">
        <v>71.44</v>
      </c>
    </row>
    <row r="1903">
      <c r="A1903" s="66" t="inlineStr">
        <is>
          <t>23/03/2012</t>
        </is>
      </c>
      <c r="B1903" s="28" t="n">
        <v>71.09</v>
      </c>
    </row>
    <row r="1904">
      <c r="A1904" s="66" t="inlineStr">
        <is>
          <t>26/03/2012</t>
        </is>
      </c>
      <c r="B1904" s="28" t="n">
        <v>70.94</v>
      </c>
    </row>
    <row r="1905">
      <c r="A1905" s="66" t="inlineStr">
        <is>
          <t>27/03/2012</t>
        </is>
      </c>
      <c r="B1905" s="28" t="n">
        <v>70.12</v>
      </c>
    </row>
    <row r="1906">
      <c r="A1906" s="66" t="inlineStr">
        <is>
          <t>28/03/2012</t>
        </is>
      </c>
      <c r="B1906" s="28" t="n">
        <v>67.65000000000001</v>
      </c>
    </row>
    <row r="1907">
      <c r="A1907" s="66" t="inlineStr">
        <is>
          <t>29/03/2012</t>
        </is>
      </c>
      <c r="B1907" s="28" t="n">
        <v>68.3</v>
      </c>
    </row>
    <row r="1908">
      <c r="A1908" s="66" t="inlineStr">
        <is>
          <t>30/03/2012</t>
        </is>
      </c>
      <c r="B1908" s="28" t="n">
        <v>67.63</v>
      </c>
    </row>
    <row r="1909">
      <c r="A1909" s="66" t="inlineStr">
        <is>
          <t>02/04/2012</t>
        </is>
      </c>
      <c r="B1909" s="28" t="n">
        <v>66.91</v>
      </c>
    </row>
    <row r="1910">
      <c r="A1910" s="66" t="inlineStr">
        <is>
          <t>03/04/2012</t>
        </is>
      </c>
      <c r="B1910" s="28" t="n">
        <v>66.56</v>
      </c>
    </row>
    <row r="1911">
      <c r="A1911" s="66" t="inlineStr">
        <is>
          <t>04/04/2012</t>
        </is>
      </c>
      <c r="B1911" s="28" t="n">
        <v>66.19</v>
      </c>
    </row>
    <row r="1912">
      <c r="A1912" s="66" t="inlineStr">
        <is>
          <t>05/04/2012</t>
        </is>
      </c>
      <c r="B1912" s="28" t="n">
        <v>66.73999999999999</v>
      </c>
    </row>
    <row r="1913">
      <c r="A1913" s="66" t="inlineStr">
        <is>
          <t>09/04/2012</t>
        </is>
      </c>
      <c r="B1913" s="28" t="n">
        <v>66.66</v>
      </c>
    </row>
    <row r="1914">
      <c r="A1914" s="66" t="inlineStr">
        <is>
          <t>10/04/2012</t>
        </is>
      </c>
      <c r="B1914" s="28" t="n">
        <v>66.02</v>
      </c>
    </row>
    <row r="1915">
      <c r="A1915" s="66" t="inlineStr">
        <is>
          <t>11/04/2012</t>
        </is>
      </c>
      <c r="B1915" s="28" t="n">
        <v>66.14</v>
      </c>
    </row>
    <row r="1916">
      <c r="A1916" s="66" t="inlineStr">
        <is>
          <t>12/04/2012</t>
        </is>
      </c>
      <c r="B1916" s="28" t="n">
        <v>65.08</v>
      </c>
    </row>
    <row r="1917">
      <c r="A1917" s="66" t="inlineStr">
        <is>
          <t>13/04/2012</t>
        </is>
      </c>
      <c r="B1917" s="28" t="n">
        <v>64.84</v>
      </c>
    </row>
    <row r="1918">
      <c r="A1918" s="66" t="inlineStr">
        <is>
          <t>16/04/2012</t>
        </is>
      </c>
      <c r="B1918" s="28" t="n">
        <v>63.6</v>
      </c>
    </row>
    <row r="1919">
      <c r="A1919" s="66" t="inlineStr">
        <is>
          <t>17/04/2012</t>
        </is>
      </c>
      <c r="B1919" s="28" t="n">
        <v>63.4</v>
      </c>
    </row>
    <row r="1920">
      <c r="A1920" s="66" t="inlineStr">
        <is>
          <t>18/04/2012</t>
        </is>
      </c>
      <c r="B1920" s="28" t="n">
        <v>62.56</v>
      </c>
    </row>
    <row r="1921">
      <c r="A1921" s="66" t="inlineStr">
        <is>
          <t>19/04/2012</t>
        </is>
      </c>
      <c r="B1921" s="28" t="n">
        <v>62.09</v>
      </c>
    </row>
    <row r="1922">
      <c r="A1922" s="66" t="inlineStr">
        <is>
          <t>20/04/2012</t>
        </is>
      </c>
      <c r="B1922" s="28" t="n">
        <v>61.9</v>
      </c>
    </row>
    <row r="1923">
      <c r="A1923" s="66" t="inlineStr">
        <is>
          <t>23/04/2012</t>
        </is>
      </c>
      <c r="B1923" s="28" t="n">
        <v>62.39</v>
      </c>
    </row>
    <row r="1924">
      <c r="A1924" s="66" t="inlineStr">
        <is>
          <t>24/04/2012</t>
        </is>
      </c>
      <c r="B1924" s="28" t="n">
        <v>61.5</v>
      </c>
    </row>
    <row r="1925">
      <c r="A1925" s="66" t="inlineStr">
        <is>
          <t>25/04/2012</t>
        </is>
      </c>
      <c r="B1925" s="28" t="n">
        <v>61.08</v>
      </c>
    </row>
    <row r="1926">
      <c r="A1926" s="66" t="inlineStr">
        <is>
          <t>26/04/2012</t>
        </is>
      </c>
      <c r="B1926" s="28" t="n">
        <v>60.42</v>
      </c>
    </row>
    <row r="1927">
      <c r="A1927" s="66" t="inlineStr">
        <is>
          <t>27/04/2012</t>
        </is>
      </c>
      <c r="B1927" s="28" t="n">
        <v>61.01</v>
      </c>
    </row>
    <row r="1928">
      <c r="A1928" s="66" t="inlineStr">
        <is>
          <t>30/04/2012</t>
        </is>
      </c>
      <c r="B1928" s="28" t="n">
        <v>60.22</v>
      </c>
    </row>
    <row r="1929">
      <c r="A1929" s="66" t="inlineStr">
        <is>
          <t>02/05/2012</t>
        </is>
      </c>
      <c r="B1929" s="28" t="n">
        <v>60.05</v>
      </c>
    </row>
    <row r="1930">
      <c r="A1930" s="66" t="inlineStr">
        <is>
          <t>03/05/2012</t>
        </is>
      </c>
      <c r="B1930" s="28" t="n">
        <v>59.93</v>
      </c>
    </row>
    <row r="1931">
      <c r="A1931" s="66" t="inlineStr">
        <is>
          <t>04/05/2012</t>
        </is>
      </c>
      <c r="B1931" s="28" t="n">
        <v>59.88</v>
      </c>
    </row>
    <row r="1932">
      <c r="A1932" s="66" t="inlineStr">
        <is>
          <t>07/05/2012</t>
        </is>
      </c>
      <c r="B1932" s="28" t="n">
        <v>60.32</v>
      </c>
    </row>
    <row r="1933">
      <c r="A1933" s="66" t="inlineStr">
        <is>
          <t>08/05/2012</t>
        </is>
      </c>
      <c r="B1933" s="28" t="n">
        <v>60.47</v>
      </c>
    </row>
    <row r="1934">
      <c r="A1934" s="66" t="inlineStr">
        <is>
          <t>09/05/2012</t>
        </is>
      </c>
      <c r="B1934" s="28" t="n">
        <v>60.44</v>
      </c>
    </row>
    <row r="1935">
      <c r="A1935" s="66" t="inlineStr">
        <is>
          <t>10/05/2012</t>
        </is>
      </c>
      <c r="B1935" s="28" t="n">
        <v>60.32</v>
      </c>
    </row>
    <row r="1936">
      <c r="A1936" s="66" t="inlineStr">
        <is>
          <t>11/05/2012</t>
        </is>
      </c>
      <c r="B1936" s="28" t="n">
        <v>60.83</v>
      </c>
    </row>
    <row r="1937">
      <c r="A1937" s="66" t="inlineStr">
        <is>
          <t>14/05/2012</t>
        </is>
      </c>
      <c r="B1937" s="28" t="n">
        <v>61.03</v>
      </c>
    </row>
    <row r="1938">
      <c r="A1938" s="66" t="inlineStr">
        <is>
          <t>15/05/2012</t>
        </is>
      </c>
      <c r="B1938" s="28" t="n">
        <v>61.39</v>
      </c>
    </row>
    <row r="1939">
      <c r="A1939" s="66" t="inlineStr">
        <is>
          <t>16/05/2012</t>
        </is>
      </c>
      <c r="B1939" s="28" t="n">
        <v>61.47</v>
      </c>
    </row>
    <row r="1940">
      <c r="A1940" s="66" t="inlineStr">
        <is>
          <t>17/05/2012</t>
        </is>
      </c>
      <c r="B1940" s="28" t="n">
        <v>61.39</v>
      </c>
    </row>
    <row r="1941">
      <c r="A1941" s="66" t="inlineStr">
        <is>
          <t>18/05/2012</t>
        </is>
      </c>
      <c r="B1941" s="28" t="n">
        <v>61.17</v>
      </c>
    </row>
    <row r="1942">
      <c r="A1942" s="66" t="inlineStr">
        <is>
          <t>21/05/2012</t>
        </is>
      </c>
      <c r="B1942" s="28" t="n">
        <v>61.3</v>
      </c>
    </row>
    <row r="1943">
      <c r="A1943" s="66" t="inlineStr">
        <is>
          <t>22/05/2012</t>
        </is>
      </c>
      <c r="B1943" s="28" t="n">
        <v>61.54</v>
      </c>
    </row>
    <row r="1944">
      <c r="A1944" s="66" t="inlineStr">
        <is>
          <t>23/05/2012</t>
        </is>
      </c>
      <c r="B1944" s="28" t="n">
        <v>61.74</v>
      </c>
    </row>
    <row r="1945">
      <c r="A1945" s="66" t="inlineStr">
        <is>
          <t>24/05/2012</t>
        </is>
      </c>
      <c r="B1945" s="28" t="n">
        <v>61.54</v>
      </c>
    </row>
    <row r="1946">
      <c r="A1946" s="66" t="inlineStr">
        <is>
          <t>25/05/2012</t>
        </is>
      </c>
      <c r="B1946" s="28" t="n">
        <v>61.37</v>
      </c>
    </row>
    <row r="1947">
      <c r="A1947" s="66" t="inlineStr">
        <is>
          <t>28/05/2012</t>
        </is>
      </c>
      <c r="B1947" s="28" t="n">
        <v>61.13</v>
      </c>
    </row>
    <row r="1948">
      <c r="A1948" s="66" t="inlineStr">
        <is>
          <t>29/05/2012</t>
        </is>
      </c>
      <c r="B1948" s="28" t="n">
        <v>61.13</v>
      </c>
    </row>
    <row r="1949">
      <c r="A1949" s="66" t="inlineStr">
        <is>
          <t>30/05/2012</t>
        </is>
      </c>
      <c r="B1949" s="28" t="n">
        <v>60.98</v>
      </c>
    </row>
    <row r="1950">
      <c r="A1950" s="66" t="inlineStr">
        <is>
          <t>31/05/2012</t>
        </is>
      </c>
      <c r="B1950" s="28" t="n">
        <v>60.17</v>
      </c>
    </row>
    <row r="1951">
      <c r="A1951" s="66" t="inlineStr">
        <is>
          <t>01/06/2012</t>
        </is>
      </c>
      <c r="B1951" s="28" t="n">
        <v>59.66</v>
      </c>
    </row>
    <row r="1952">
      <c r="A1952" s="66" t="inlineStr">
        <is>
          <t>04/06/2012</t>
        </is>
      </c>
      <c r="B1952" s="28" t="n">
        <v>59.39</v>
      </c>
    </row>
    <row r="1953">
      <c r="A1953" s="66" t="inlineStr">
        <is>
          <t>05/06/2012</t>
        </is>
      </c>
      <c r="B1953" s="28" t="n">
        <v>59.66</v>
      </c>
    </row>
    <row r="1954">
      <c r="A1954" s="66" t="inlineStr">
        <is>
          <t>06/06/2012</t>
        </is>
      </c>
      <c r="B1954" s="28" t="n">
        <v>59.95</v>
      </c>
    </row>
    <row r="1955">
      <c r="A1955" s="66" t="inlineStr">
        <is>
          <t>08/06/2012</t>
        </is>
      </c>
      <c r="B1955" s="28" t="n">
        <v>60.09</v>
      </c>
    </row>
    <row r="1956">
      <c r="A1956" s="66" t="inlineStr">
        <is>
          <t>11/06/2012</t>
        </is>
      </c>
      <c r="B1956" s="28" t="n">
        <v>59.24</v>
      </c>
    </row>
    <row r="1957">
      <c r="A1957" s="66" t="inlineStr">
        <is>
          <t>12/06/2012</t>
        </is>
      </c>
      <c r="B1957" s="28" t="n">
        <v>58.69</v>
      </c>
    </row>
    <row r="1958">
      <c r="A1958" s="66" t="inlineStr">
        <is>
          <t>13/06/2012</t>
        </is>
      </c>
      <c r="B1958" s="28" t="n">
        <v>58.69</v>
      </c>
    </row>
    <row r="1959">
      <c r="A1959" s="66" t="inlineStr">
        <is>
          <t>14/06/2012</t>
        </is>
      </c>
      <c r="B1959" s="28" t="n">
        <v>58.73</v>
      </c>
    </row>
    <row r="1960">
      <c r="A1960" s="66" t="inlineStr">
        <is>
          <t>15/06/2012</t>
        </is>
      </c>
      <c r="B1960" s="28" t="n">
        <v>57.88</v>
      </c>
    </row>
    <row r="1961">
      <c r="A1961" s="66" t="inlineStr">
        <is>
          <t>18/06/2012</t>
        </is>
      </c>
      <c r="B1961" s="28" t="n">
        <v>57.79</v>
      </c>
    </row>
    <row r="1962">
      <c r="A1962" s="66" t="inlineStr">
        <is>
          <t>19/06/2012</t>
        </is>
      </c>
      <c r="B1962" s="28" t="n">
        <v>57.57</v>
      </c>
    </row>
    <row r="1963">
      <c r="A1963" s="66" t="inlineStr">
        <is>
          <t>20/06/2012</t>
        </is>
      </c>
      <c r="B1963" s="28" t="n">
        <v>58.08</v>
      </c>
    </row>
    <row r="1964">
      <c r="A1964" s="66" t="inlineStr">
        <is>
          <t>21/06/2012</t>
        </is>
      </c>
      <c r="B1964" s="28" t="n">
        <v>58.08</v>
      </c>
    </row>
    <row r="1965">
      <c r="A1965" s="66" t="inlineStr">
        <is>
          <t>22/06/2012</t>
        </is>
      </c>
      <c r="B1965" s="28" t="n">
        <v>57.93</v>
      </c>
    </row>
    <row r="1966">
      <c r="A1966" s="66" t="inlineStr">
        <is>
          <t>25/06/2012</t>
        </is>
      </c>
      <c r="B1966" s="28" t="n">
        <v>57.96</v>
      </c>
    </row>
    <row r="1967">
      <c r="A1967" s="66" t="inlineStr">
        <is>
          <t>26/06/2012</t>
        </is>
      </c>
      <c r="B1967" s="28" t="n">
        <v>57.98</v>
      </c>
    </row>
    <row r="1968">
      <c r="A1968" s="66" t="inlineStr">
        <is>
          <t>27/06/2012</t>
        </is>
      </c>
      <c r="B1968" s="28" t="n">
        <v>57.79</v>
      </c>
    </row>
    <row r="1969">
      <c r="A1969" s="66" t="inlineStr">
        <is>
          <t>28/06/2012</t>
        </is>
      </c>
      <c r="B1969" s="28" t="n">
        <v>58.1</v>
      </c>
    </row>
    <row r="1970">
      <c r="A1970" s="66" t="inlineStr">
        <is>
          <t>29/06/2012</t>
        </is>
      </c>
      <c r="B1970" s="28" t="n">
        <v>58.44</v>
      </c>
    </row>
    <row r="1971">
      <c r="A1971" s="66" t="inlineStr">
        <is>
          <t>02/07/2012</t>
        </is>
      </c>
      <c r="B1971" s="28" t="n">
        <v>57.86</v>
      </c>
    </row>
    <row r="1972">
      <c r="A1972" s="66" t="inlineStr">
        <is>
          <t>03/07/2012</t>
        </is>
      </c>
      <c r="B1972" s="28" t="n">
        <v>58.32</v>
      </c>
    </row>
    <row r="1973">
      <c r="A1973" s="66" t="inlineStr">
        <is>
          <t>04/07/2012</t>
        </is>
      </c>
      <c r="B1973" s="28" t="n">
        <v>59.04</v>
      </c>
    </row>
    <row r="1974">
      <c r="A1974" s="66" t="inlineStr">
        <is>
          <t>05/07/2012</t>
        </is>
      </c>
      <c r="B1974" s="28" t="n">
        <v>58.75</v>
      </c>
    </row>
    <row r="1975">
      <c r="A1975" s="66" t="inlineStr">
        <is>
          <t>06/07/2012</t>
        </is>
      </c>
      <c r="B1975" s="28" t="n">
        <v>58.72</v>
      </c>
    </row>
    <row r="1976">
      <c r="A1976" s="66" t="inlineStr">
        <is>
          <t>10/07/2012</t>
        </is>
      </c>
      <c r="B1976" s="28" t="n">
        <v>61.31</v>
      </c>
    </row>
    <row r="1977">
      <c r="A1977" s="66" t="inlineStr">
        <is>
          <t>11/07/2012</t>
        </is>
      </c>
      <c r="B1977" s="28" t="n">
        <v>60.86</v>
      </c>
    </row>
    <row r="1978">
      <c r="A1978" s="66" t="inlineStr">
        <is>
          <t>12/07/2012</t>
        </is>
      </c>
      <c r="B1978" s="28" t="n">
        <v>65.48</v>
      </c>
    </row>
    <row r="1979">
      <c r="A1979" s="66" t="inlineStr">
        <is>
          <t>13/07/2012</t>
        </is>
      </c>
      <c r="B1979" s="28" t="n">
        <v>69.72</v>
      </c>
    </row>
    <row r="1980">
      <c r="A1980" s="66" t="inlineStr">
        <is>
          <t>16/07/2012</t>
        </is>
      </c>
      <c r="B1980" s="28" t="n">
        <v>68.88</v>
      </c>
    </row>
    <row r="1981">
      <c r="A1981" s="66" t="inlineStr">
        <is>
          <t>17/07/2012</t>
        </is>
      </c>
      <c r="B1981" s="28" t="n">
        <v>72.31</v>
      </c>
    </row>
    <row r="1982">
      <c r="A1982" s="66" t="inlineStr">
        <is>
          <t>18/07/2012</t>
        </is>
      </c>
      <c r="B1982" s="28" t="n">
        <v>71.40000000000001</v>
      </c>
    </row>
    <row r="1983">
      <c r="A1983" s="66" t="inlineStr">
        <is>
          <t>19/07/2012</t>
        </is>
      </c>
      <c r="B1983" s="28" t="n">
        <v>72.64</v>
      </c>
    </row>
    <row r="1984">
      <c r="A1984" s="66" t="inlineStr">
        <is>
          <t>20/07/2012</t>
        </is>
      </c>
      <c r="B1984" s="28" t="n">
        <v>74.7</v>
      </c>
    </row>
    <row r="1985">
      <c r="A1985" s="66" t="inlineStr">
        <is>
          <t>23/07/2012</t>
        </is>
      </c>
      <c r="B1985" s="28" t="n">
        <v>76.56999999999999</v>
      </c>
    </row>
    <row r="1986">
      <c r="A1986" s="66" t="inlineStr">
        <is>
          <t>24/07/2012</t>
        </is>
      </c>
      <c r="B1986" s="28" t="n">
        <v>78.34999999999999</v>
      </c>
    </row>
    <row r="1987">
      <c r="A1987" s="66" t="inlineStr">
        <is>
          <t>25/07/2012</t>
        </is>
      </c>
      <c r="B1987" s="28" t="n">
        <v>78.97</v>
      </c>
    </row>
    <row r="1988">
      <c r="A1988" s="66" t="inlineStr">
        <is>
          <t>26/07/2012</t>
        </is>
      </c>
      <c r="B1988" s="28" t="n">
        <v>78.68000000000001</v>
      </c>
    </row>
    <row r="1989">
      <c r="A1989" s="66" t="inlineStr">
        <is>
          <t>27/07/2012</t>
        </is>
      </c>
      <c r="B1989" s="28" t="n">
        <v>78.61</v>
      </c>
    </row>
    <row r="1990">
      <c r="A1990" s="66" t="inlineStr">
        <is>
          <t>30/07/2012</t>
        </is>
      </c>
      <c r="B1990" s="28" t="n">
        <v>78.75</v>
      </c>
    </row>
    <row r="1991">
      <c r="A1991" s="66" t="inlineStr">
        <is>
          <t>31/07/2012</t>
        </is>
      </c>
      <c r="B1991" s="28" t="n">
        <v>79.5</v>
      </c>
    </row>
    <row r="1992">
      <c r="A1992" s="66" t="inlineStr">
        <is>
          <t>01/08/2012</t>
        </is>
      </c>
      <c r="B1992" s="28" t="n">
        <v>78.98999999999999</v>
      </c>
    </row>
    <row r="1993">
      <c r="A1993" s="66" t="inlineStr">
        <is>
          <t>02/08/2012</t>
        </is>
      </c>
      <c r="B1993" s="28" t="n">
        <v>79.13</v>
      </c>
    </row>
    <row r="1994">
      <c r="A1994" s="66" t="inlineStr">
        <is>
          <t>03/08/2012</t>
        </is>
      </c>
      <c r="B1994" s="28" t="n">
        <v>79.31999999999999</v>
      </c>
    </row>
    <row r="1995">
      <c r="A1995" s="66" t="inlineStr">
        <is>
          <t>06/08/2012</t>
        </is>
      </c>
      <c r="B1995" s="28" t="n">
        <v>78.94</v>
      </c>
    </row>
    <row r="1996">
      <c r="A1996" s="66" t="inlineStr">
        <is>
          <t>07/08/2012</t>
        </is>
      </c>
      <c r="B1996" s="28" t="n">
        <v>79.11</v>
      </c>
    </row>
    <row r="1997">
      <c r="A1997" s="66" t="inlineStr">
        <is>
          <t>08/08/2012</t>
        </is>
      </c>
      <c r="B1997" s="28" t="n">
        <v>79.41</v>
      </c>
    </row>
    <row r="1998">
      <c r="A1998" s="66" t="inlineStr">
        <is>
          <t>09/08/2012</t>
        </is>
      </c>
      <c r="B1998" s="28" t="n">
        <v>78.98999999999999</v>
      </c>
    </row>
    <row r="1999">
      <c r="A1999" s="66" t="inlineStr">
        <is>
          <t>10/08/2012</t>
        </is>
      </c>
      <c r="B1999" s="28" t="n">
        <v>78.78</v>
      </c>
    </row>
    <row r="2000">
      <c r="A2000" s="66" t="inlineStr">
        <is>
          <t>13/08/2012</t>
        </is>
      </c>
      <c r="B2000" s="28" t="n">
        <v>79.39</v>
      </c>
    </row>
    <row r="2001">
      <c r="A2001" s="66" t="inlineStr">
        <is>
          <t>14/08/2012</t>
        </is>
      </c>
      <c r="B2001" s="28" t="n">
        <v>79.37</v>
      </c>
    </row>
    <row r="2002">
      <c r="A2002" s="66" t="inlineStr">
        <is>
          <t>15/08/2012</t>
        </is>
      </c>
      <c r="B2002" s="28" t="n">
        <v>78.40000000000001</v>
      </c>
    </row>
    <row r="2003">
      <c r="A2003" s="66" t="inlineStr">
        <is>
          <t>16/08/2012</t>
        </is>
      </c>
      <c r="B2003" s="28" t="n">
        <v>78.16</v>
      </c>
    </row>
    <row r="2004">
      <c r="A2004" s="66" t="inlineStr">
        <is>
          <t>17/08/2012</t>
        </is>
      </c>
      <c r="B2004" s="28" t="n">
        <v>78.19</v>
      </c>
    </row>
    <row r="2005">
      <c r="A2005" s="66" t="inlineStr">
        <is>
          <t>20/08/2012</t>
        </is>
      </c>
      <c r="B2005" s="28" t="n">
        <v>77.76000000000001</v>
      </c>
    </row>
    <row r="2006">
      <c r="A2006" s="66" t="inlineStr">
        <is>
          <t>21/08/2012</t>
        </is>
      </c>
      <c r="B2006" s="28" t="n">
        <v>77.88</v>
      </c>
    </row>
    <row r="2007">
      <c r="A2007" s="66" t="inlineStr">
        <is>
          <t>22/08/2012</t>
        </is>
      </c>
      <c r="B2007" s="28" t="n">
        <v>77.36</v>
      </c>
    </row>
    <row r="2008">
      <c r="A2008" s="66" t="inlineStr">
        <is>
          <t>23/08/2012</t>
        </is>
      </c>
      <c r="B2008" s="28" t="n">
        <v>78.02</v>
      </c>
    </row>
    <row r="2009">
      <c r="A2009" s="66" t="inlineStr">
        <is>
          <t>24/08/2012</t>
        </is>
      </c>
      <c r="B2009" s="28" t="n">
        <v>78.19</v>
      </c>
    </row>
    <row r="2010">
      <c r="A2010" s="66" t="inlineStr">
        <is>
          <t>27/08/2012</t>
        </is>
      </c>
      <c r="B2010" s="28" t="n">
        <v>78.38</v>
      </c>
    </row>
    <row r="2011">
      <c r="A2011" s="66" t="inlineStr">
        <is>
          <t>28/08/2012</t>
        </is>
      </c>
      <c r="B2011" s="28" t="n">
        <v>77.86</v>
      </c>
    </row>
    <row r="2012">
      <c r="A2012" s="66" t="inlineStr">
        <is>
          <t>29/08/2012</t>
        </is>
      </c>
      <c r="B2012" s="28" t="n">
        <v>78.26000000000001</v>
      </c>
    </row>
    <row r="2013">
      <c r="A2013" s="66" t="inlineStr">
        <is>
          <t>30/08/2012</t>
        </is>
      </c>
      <c r="B2013" s="28" t="n">
        <v>78.28</v>
      </c>
    </row>
    <row r="2014">
      <c r="A2014" s="66" t="inlineStr">
        <is>
          <t>31/08/2012</t>
        </is>
      </c>
      <c r="B2014" s="28" t="n">
        <v>78.02</v>
      </c>
    </row>
    <row r="2015">
      <c r="A2015" s="66" t="inlineStr">
        <is>
          <t>03/09/2012</t>
        </is>
      </c>
      <c r="B2015" s="28" t="n">
        <v>77.3</v>
      </c>
    </row>
    <row r="2016">
      <c r="A2016" s="66" t="inlineStr">
        <is>
          <t>04/09/2012</t>
        </is>
      </c>
      <c r="B2016" s="28" t="n">
        <v>77.01000000000001</v>
      </c>
    </row>
    <row r="2017">
      <c r="A2017" s="66" t="inlineStr">
        <is>
          <t>05/09/2012</t>
        </is>
      </c>
      <c r="B2017" s="28" t="n">
        <v>76.98999999999999</v>
      </c>
    </row>
    <row r="2018">
      <c r="A2018" s="66" t="inlineStr">
        <is>
          <t>06/09/2012</t>
        </is>
      </c>
      <c r="B2018" s="28" t="n">
        <v>77.11</v>
      </c>
    </row>
    <row r="2019">
      <c r="A2019" s="66" t="inlineStr">
        <is>
          <t>10/09/2012</t>
        </is>
      </c>
      <c r="B2019" s="28" t="n">
        <v>77.04000000000001</v>
      </c>
    </row>
    <row r="2020">
      <c r="A2020" s="66" t="inlineStr">
        <is>
          <t>11/09/2012</t>
        </is>
      </c>
      <c r="B2020" s="28" t="n">
        <v>78.04000000000001</v>
      </c>
    </row>
    <row r="2021">
      <c r="A2021" s="66" t="inlineStr">
        <is>
          <t>12/09/2012</t>
        </is>
      </c>
      <c r="B2021" s="28" t="n">
        <v>77.08</v>
      </c>
    </row>
    <row r="2022">
      <c r="A2022" s="66" t="inlineStr">
        <is>
          <t>13/09/2012</t>
        </is>
      </c>
      <c r="B2022" s="28" t="n">
        <v>76.2</v>
      </c>
    </row>
    <row r="2023">
      <c r="A2023" s="66" t="inlineStr">
        <is>
          <t>14/09/2012</t>
        </is>
      </c>
      <c r="B2023" s="28" t="n">
        <v>75.54000000000001</v>
      </c>
    </row>
    <row r="2024">
      <c r="A2024" s="66" t="inlineStr">
        <is>
          <t>17/09/2012</t>
        </is>
      </c>
      <c r="B2024" s="28" t="n">
        <v>75.66</v>
      </c>
    </row>
    <row r="2025">
      <c r="A2025" s="66" t="inlineStr">
        <is>
          <t>18/09/2012</t>
        </is>
      </c>
      <c r="B2025" s="28" t="n">
        <v>75.38</v>
      </c>
    </row>
    <row r="2026">
      <c r="A2026" s="66" t="inlineStr">
        <is>
          <t>19/09/2012</t>
        </is>
      </c>
      <c r="B2026" s="28" t="n">
        <v>75.09999999999999</v>
      </c>
    </row>
    <row r="2027">
      <c r="A2027" s="66" t="inlineStr">
        <is>
          <t>20/09/2012</t>
        </is>
      </c>
      <c r="B2027" s="28" t="n">
        <v>75</v>
      </c>
    </row>
    <row r="2028">
      <c r="A2028" s="66" t="inlineStr">
        <is>
          <t>21/09/2012</t>
        </is>
      </c>
      <c r="B2028" s="28" t="n">
        <v>74.42</v>
      </c>
    </row>
    <row r="2029">
      <c r="A2029" s="66" t="inlineStr">
        <is>
          <t>24/09/2012</t>
        </is>
      </c>
      <c r="B2029" s="28" t="n">
        <v>74</v>
      </c>
    </row>
    <row r="2030">
      <c r="A2030" s="66" t="inlineStr">
        <is>
          <t>25/09/2012</t>
        </is>
      </c>
      <c r="B2030" s="28" t="n">
        <v>73.25</v>
      </c>
    </row>
    <row r="2031">
      <c r="A2031" s="66" t="inlineStr">
        <is>
          <t>26/09/2012</t>
        </is>
      </c>
      <c r="B2031" s="28" t="n">
        <v>72.76000000000001</v>
      </c>
    </row>
    <row r="2032">
      <c r="A2032" s="66" t="inlineStr">
        <is>
          <t>27/09/2012</t>
        </is>
      </c>
      <c r="B2032" s="28" t="n">
        <v>72.41</v>
      </c>
    </row>
    <row r="2033">
      <c r="A2033" s="66" t="inlineStr">
        <is>
          <t>28/09/2012</t>
        </is>
      </c>
      <c r="B2033" s="28" t="n">
        <v>72.29000000000001</v>
      </c>
    </row>
    <row r="2034">
      <c r="A2034" s="66" t="inlineStr">
        <is>
          <t>01/10/2012</t>
        </is>
      </c>
      <c r="B2034" s="28" t="n">
        <v>72.58</v>
      </c>
    </row>
    <row r="2035">
      <c r="A2035" s="66" t="inlineStr">
        <is>
          <t>02/10/2012</t>
        </is>
      </c>
      <c r="B2035" s="28" t="n">
        <v>72.04000000000001</v>
      </c>
    </row>
    <row r="2036">
      <c r="A2036" s="66" t="inlineStr">
        <is>
          <t>03/10/2012</t>
        </is>
      </c>
      <c r="B2036" s="28" t="n">
        <v>71.43000000000001</v>
      </c>
    </row>
    <row r="2037">
      <c r="A2037" s="66" t="inlineStr">
        <is>
          <t>04/10/2012</t>
        </is>
      </c>
      <c r="B2037" s="28" t="n">
        <v>72.09</v>
      </c>
    </row>
    <row r="2038">
      <c r="A2038" s="66" t="inlineStr">
        <is>
          <t>05/10/2012</t>
        </is>
      </c>
      <c r="B2038" s="28" t="n">
        <v>71.98999999999999</v>
      </c>
    </row>
    <row r="2039">
      <c r="A2039" s="66" t="inlineStr">
        <is>
          <t>08/10/2012</t>
        </is>
      </c>
      <c r="B2039" s="28" t="n">
        <v>71.83</v>
      </c>
    </row>
    <row r="2040">
      <c r="A2040" s="66" t="inlineStr">
        <is>
          <t>09/10/2012</t>
        </is>
      </c>
      <c r="B2040" s="28" t="n">
        <v>71.81</v>
      </c>
    </row>
    <row r="2041">
      <c r="A2041" s="66" t="inlineStr">
        <is>
          <t>10/10/2012</t>
        </is>
      </c>
      <c r="B2041" s="28" t="n">
        <v>72.53</v>
      </c>
    </row>
    <row r="2042">
      <c r="A2042" s="66" t="inlineStr">
        <is>
          <t>11/10/2012</t>
        </is>
      </c>
      <c r="B2042" s="28" t="n">
        <v>72.65000000000001</v>
      </c>
    </row>
    <row r="2043">
      <c r="A2043" s="66" t="inlineStr">
        <is>
          <t>15/10/2012</t>
        </is>
      </c>
      <c r="B2043" s="28" t="n">
        <v>73.02</v>
      </c>
    </row>
    <row r="2044">
      <c r="A2044" s="66" t="inlineStr">
        <is>
          <t>16/10/2012</t>
        </is>
      </c>
      <c r="B2044" s="28" t="n">
        <v>72.11</v>
      </c>
    </row>
    <row r="2045">
      <c r="A2045" s="66" t="inlineStr">
        <is>
          <t>17/10/2012</t>
        </is>
      </c>
      <c r="B2045" s="28" t="n">
        <v>72.73999999999999</v>
      </c>
    </row>
    <row r="2046">
      <c r="A2046" s="66" t="inlineStr">
        <is>
          <t>18/10/2012</t>
        </is>
      </c>
      <c r="B2046" s="28" t="n">
        <v>73.12</v>
      </c>
    </row>
    <row r="2047">
      <c r="A2047" s="66" t="inlineStr">
        <is>
          <t>19/10/2012</t>
        </is>
      </c>
      <c r="B2047" s="28" t="n">
        <v>73.02</v>
      </c>
    </row>
    <row r="2048">
      <c r="A2048" s="66" t="inlineStr">
        <is>
          <t>22/10/2012</t>
        </is>
      </c>
      <c r="B2048" s="28" t="n">
        <v>73.26000000000001</v>
      </c>
    </row>
    <row r="2049">
      <c r="A2049" s="66" t="inlineStr">
        <is>
          <t>23/10/2012</t>
        </is>
      </c>
      <c r="B2049" s="28" t="n">
        <v>73.79000000000001</v>
      </c>
    </row>
    <row r="2050">
      <c r="A2050" s="66" t="inlineStr">
        <is>
          <t>24/10/2012</t>
        </is>
      </c>
      <c r="B2050" s="28" t="n">
        <v>74.66</v>
      </c>
    </row>
    <row r="2051">
      <c r="A2051" s="66" t="inlineStr">
        <is>
          <t>25/10/2012</t>
        </is>
      </c>
      <c r="B2051" s="28" t="n">
        <v>75.13</v>
      </c>
    </row>
    <row r="2052">
      <c r="A2052" s="66" t="inlineStr">
        <is>
          <t>26/10/2012</t>
        </is>
      </c>
      <c r="B2052" s="28" t="n">
        <v>75.56999999999999</v>
      </c>
    </row>
    <row r="2053">
      <c r="A2053" s="66" t="inlineStr">
        <is>
          <t>29/10/2012</t>
        </is>
      </c>
      <c r="B2053" s="28" t="n">
        <v>75.59999999999999</v>
      </c>
    </row>
    <row r="2054">
      <c r="A2054" s="66" t="inlineStr">
        <is>
          <t>30/10/2012</t>
        </is>
      </c>
      <c r="B2054" s="28" t="n">
        <v>76.13</v>
      </c>
    </row>
    <row r="2055">
      <c r="A2055" s="66" t="inlineStr">
        <is>
          <t>31/10/2012</t>
        </is>
      </c>
      <c r="B2055" s="28" t="n">
        <v>76.23</v>
      </c>
    </row>
    <row r="2056">
      <c r="A2056" s="66" t="inlineStr">
        <is>
          <t>01/11/2012</t>
        </is>
      </c>
      <c r="B2056" s="28" t="n">
        <v>77.33</v>
      </c>
    </row>
    <row r="2057">
      <c r="A2057" s="66" t="inlineStr">
        <is>
          <t>05/11/2012</t>
        </is>
      </c>
      <c r="B2057" s="28" t="n">
        <v>77.40000000000001</v>
      </c>
    </row>
    <row r="2058">
      <c r="A2058" s="66" t="inlineStr">
        <is>
          <t>06/11/2012</t>
        </is>
      </c>
      <c r="B2058" s="28" t="n">
        <v>77.95999999999999</v>
      </c>
    </row>
    <row r="2059">
      <c r="A2059" s="66" t="inlineStr">
        <is>
          <t>07/11/2012</t>
        </is>
      </c>
      <c r="B2059" s="28" t="n">
        <v>78.12</v>
      </c>
    </row>
    <row r="2060">
      <c r="A2060" s="66" t="inlineStr">
        <is>
          <t>08/11/2012</t>
        </is>
      </c>
      <c r="B2060" s="28" t="n">
        <v>78.45</v>
      </c>
    </row>
    <row r="2061">
      <c r="A2061" s="66" t="inlineStr">
        <is>
          <t>09/11/2012</t>
        </is>
      </c>
      <c r="B2061" s="28" t="n">
        <v>78.56999999999999</v>
      </c>
    </row>
    <row r="2062">
      <c r="A2062" s="66" t="inlineStr">
        <is>
          <t>12/11/2012</t>
        </is>
      </c>
      <c r="B2062" s="28" t="n">
        <v>78.64</v>
      </c>
    </row>
    <row r="2063">
      <c r="A2063" s="66" t="inlineStr">
        <is>
          <t>13/11/2012</t>
        </is>
      </c>
      <c r="B2063" s="28" t="n">
        <v>79.29000000000001</v>
      </c>
    </row>
    <row r="2064">
      <c r="A2064" s="66" t="inlineStr">
        <is>
          <t>14/11/2012</t>
        </is>
      </c>
      <c r="B2064" s="28" t="n">
        <v>79.67</v>
      </c>
    </row>
    <row r="2065">
      <c r="A2065" s="66" t="inlineStr">
        <is>
          <t>16/11/2012</t>
        </is>
      </c>
      <c r="B2065" s="28" t="n">
        <v>79.48</v>
      </c>
    </row>
    <row r="2066">
      <c r="A2066" s="66" t="inlineStr">
        <is>
          <t>19/11/2012</t>
        </is>
      </c>
      <c r="B2066" s="28" t="n">
        <v>79.78</v>
      </c>
    </row>
    <row r="2067">
      <c r="A2067" s="66" t="inlineStr">
        <is>
          <t>20/11/2012</t>
        </is>
      </c>
      <c r="B2067" s="28" t="n">
        <v>79.76000000000001</v>
      </c>
    </row>
    <row r="2068">
      <c r="A2068" s="66" t="inlineStr">
        <is>
          <t>21/11/2012</t>
        </is>
      </c>
      <c r="B2068" s="28" t="n">
        <v>79.95</v>
      </c>
    </row>
    <row r="2069">
      <c r="A2069" s="66" t="inlineStr">
        <is>
          <t>22/11/2012</t>
        </is>
      </c>
      <c r="B2069" s="28" t="n">
        <v>80.04000000000001</v>
      </c>
    </row>
    <row r="2070">
      <c r="A2070" s="66" t="inlineStr">
        <is>
          <t>23/11/2012</t>
        </is>
      </c>
      <c r="B2070" s="28" t="n">
        <v>80.16</v>
      </c>
    </row>
    <row r="2071">
      <c r="A2071" s="66" t="inlineStr">
        <is>
          <t>26/11/2012</t>
        </is>
      </c>
      <c r="B2071" s="28" t="n">
        <v>80.53</v>
      </c>
    </row>
    <row r="2072">
      <c r="A2072" s="66" t="inlineStr">
        <is>
          <t>27/11/2012</t>
        </is>
      </c>
      <c r="B2072" s="28" t="n">
        <v>80.84</v>
      </c>
    </row>
    <row r="2073">
      <c r="A2073" s="66" t="inlineStr">
        <is>
          <t>28/11/2012</t>
        </is>
      </c>
      <c r="B2073" s="28" t="n">
        <v>82.87</v>
      </c>
    </row>
    <row r="2074">
      <c r="A2074" s="66" t="inlineStr">
        <is>
          <t>29/11/2012</t>
        </is>
      </c>
      <c r="B2074" s="28" t="n">
        <v>82.89</v>
      </c>
    </row>
    <row r="2075">
      <c r="A2075" s="66" t="inlineStr">
        <is>
          <t>30/11/2012</t>
        </is>
      </c>
      <c r="B2075" s="28" t="n">
        <v>83.45999999999999</v>
      </c>
    </row>
    <row r="2076">
      <c r="A2076" s="66" t="inlineStr">
        <is>
          <t>03/12/2012</t>
        </is>
      </c>
      <c r="B2076" s="28" t="n">
        <v>83.36</v>
      </c>
    </row>
    <row r="2077">
      <c r="A2077" s="66" t="inlineStr">
        <is>
          <t>04/12/2012</t>
        </is>
      </c>
      <c r="B2077" s="28" t="n">
        <v>83.43000000000001</v>
      </c>
    </row>
    <row r="2078">
      <c r="A2078" s="66" t="inlineStr">
        <is>
          <t>05/12/2012</t>
        </is>
      </c>
      <c r="B2078" s="28" t="n">
        <v>82.56999999999999</v>
      </c>
    </row>
    <row r="2079">
      <c r="A2079" s="66" t="inlineStr">
        <is>
          <t>06/12/2012</t>
        </is>
      </c>
      <c r="B2079" s="28" t="n">
        <v>82.52</v>
      </c>
    </row>
    <row r="2080">
      <c r="A2080" s="66" t="inlineStr">
        <is>
          <t>07/12/2012</t>
        </is>
      </c>
      <c r="B2080" s="28" t="n">
        <v>81.89</v>
      </c>
    </row>
    <row r="2081">
      <c r="A2081" s="66" t="inlineStr">
        <is>
          <t>10/12/2012</t>
        </is>
      </c>
      <c r="B2081" s="28" t="n">
        <v>81.8</v>
      </c>
    </row>
    <row r="2082">
      <c r="A2082" s="66" t="inlineStr">
        <is>
          <t>11/12/2012</t>
        </is>
      </c>
      <c r="B2082" s="28" t="n">
        <v>81.68000000000001</v>
      </c>
    </row>
    <row r="2083">
      <c r="A2083" s="66" t="inlineStr">
        <is>
          <t>12/12/2012</t>
        </is>
      </c>
      <c r="B2083" s="28" t="n">
        <v>80.78</v>
      </c>
    </row>
    <row r="2084">
      <c r="A2084" s="66" t="inlineStr">
        <is>
          <t>13/12/2012</t>
        </is>
      </c>
      <c r="B2084" s="28" t="n">
        <v>80.70999999999999</v>
      </c>
    </row>
    <row r="2085">
      <c r="A2085" s="66" t="inlineStr">
        <is>
          <t>14/12/2012</t>
        </is>
      </c>
      <c r="B2085" s="28" t="n">
        <v>80.73</v>
      </c>
    </row>
    <row r="2086">
      <c r="A2086" s="66" t="inlineStr">
        <is>
          <t>17/12/2012</t>
        </is>
      </c>
      <c r="B2086" s="28" t="n">
        <v>80.89</v>
      </c>
    </row>
    <row r="2087">
      <c r="A2087" s="66" t="inlineStr">
        <is>
          <t>18/12/2012</t>
        </is>
      </c>
      <c r="B2087" s="28" t="n">
        <v>80.95999999999999</v>
      </c>
    </row>
    <row r="2088">
      <c r="A2088" s="66" t="inlineStr">
        <is>
          <t>19/12/2012</t>
        </is>
      </c>
      <c r="B2088" s="28" t="n">
        <v>80.81999999999999</v>
      </c>
    </row>
    <row r="2089">
      <c r="A2089" s="66" t="inlineStr">
        <is>
          <t>20/12/2012</t>
        </is>
      </c>
      <c r="B2089" s="28" t="n">
        <v>80.38</v>
      </c>
    </row>
    <row r="2090">
      <c r="A2090" s="66" t="inlineStr">
        <is>
          <t>21/12/2012</t>
        </is>
      </c>
      <c r="B2090" s="28" t="n">
        <v>80.17</v>
      </c>
    </row>
    <row r="2091">
      <c r="A2091" s="66" t="inlineStr">
        <is>
          <t>26/12/2012</t>
        </is>
      </c>
      <c r="B2091" s="28" t="n">
        <v>80.01000000000001</v>
      </c>
    </row>
    <row r="2092">
      <c r="A2092" s="66" t="inlineStr">
        <is>
          <t>27/12/2012</t>
        </is>
      </c>
      <c r="B2092" s="28" t="n">
        <v>79.98999999999999</v>
      </c>
    </row>
    <row r="2093">
      <c r="A2093" s="66" t="inlineStr">
        <is>
          <t>28/12/2012</t>
        </is>
      </c>
      <c r="B2093" s="28" t="n">
        <v>79.70999999999999</v>
      </c>
    </row>
    <row r="2094">
      <c r="A2094" s="66" t="inlineStr">
        <is>
          <t>02/01/2013</t>
        </is>
      </c>
      <c r="B2094" s="28" t="n">
        <v>79.02</v>
      </c>
    </row>
    <row r="2095">
      <c r="A2095" s="66" t="inlineStr">
        <is>
          <t>03/01/2013</t>
        </is>
      </c>
      <c r="B2095" s="28" t="n">
        <v>78.47</v>
      </c>
    </row>
    <row r="2096">
      <c r="A2096" s="66" t="inlineStr">
        <is>
          <t>04/01/2013</t>
        </is>
      </c>
      <c r="B2096" s="28" t="n">
        <v>78.05</v>
      </c>
    </row>
    <row r="2097">
      <c r="A2097" s="66" t="inlineStr">
        <is>
          <t>07/01/2013</t>
        </is>
      </c>
      <c r="B2097" s="28" t="n">
        <v>77.68000000000001</v>
      </c>
    </row>
    <row r="2098">
      <c r="A2098" s="66" t="inlineStr">
        <is>
          <t>08/01/2013</t>
        </is>
      </c>
      <c r="B2098" s="28" t="n">
        <v>77.31</v>
      </c>
    </row>
    <row r="2099">
      <c r="A2099" s="66" t="inlineStr">
        <is>
          <t>09/01/2013</t>
        </is>
      </c>
      <c r="B2099" s="28" t="n">
        <v>76.8</v>
      </c>
    </row>
    <row r="2100">
      <c r="A2100" s="66" t="inlineStr">
        <is>
          <t>10/01/2013</t>
        </is>
      </c>
      <c r="B2100" s="28" t="n">
        <v>76.29000000000001</v>
      </c>
    </row>
    <row r="2101">
      <c r="A2101" s="66" t="inlineStr">
        <is>
          <t>11/01/2013</t>
        </is>
      </c>
      <c r="B2101" s="28" t="n">
        <v>75.69</v>
      </c>
    </row>
    <row r="2102">
      <c r="A2102" s="66" t="inlineStr">
        <is>
          <t>14/01/2013</t>
        </is>
      </c>
      <c r="B2102" s="28" t="n">
        <v>75.69</v>
      </c>
    </row>
    <row r="2103">
      <c r="A2103" s="66" t="inlineStr">
        <is>
          <t>15/01/2013</t>
        </is>
      </c>
      <c r="B2103" s="28" t="n">
        <v>75.15000000000001</v>
      </c>
    </row>
    <row r="2104">
      <c r="A2104" s="66" t="inlineStr">
        <is>
          <t>16/01/2013</t>
        </is>
      </c>
      <c r="B2104" s="28" t="n">
        <v>75.08</v>
      </c>
    </row>
    <row r="2105">
      <c r="A2105" s="66" t="inlineStr">
        <is>
          <t>17/01/2013</t>
        </is>
      </c>
      <c r="B2105" s="28" t="n">
        <v>75.45999999999999</v>
      </c>
    </row>
    <row r="2106">
      <c r="A2106" s="66" t="inlineStr">
        <is>
          <t>18/01/2013</t>
        </is>
      </c>
      <c r="B2106" s="28" t="n">
        <v>75.5</v>
      </c>
    </row>
    <row r="2107">
      <c r="A2107" s="66" t="inlineStr">
        <is>
          <t>21/01/2013</t>
        </is>
      </c>
      <c r="B2107" s="28" t="n">
        <v>74.97</v>
      </c>
    </row>
    <row r="2108">
      <c r="A2108" s="66" t="inlineStr">
        <is>
          <t>22/01/2013</t>
        </is>
      </c>
      <c r="B2108" s="28" t="n">
        <v>76.09999999999999</v>
      </c>
    </row>
    <row r="2109">
      <c r="A2109" s="66" t="inlineStr">
        <is>
          <t>23/01/2013</t>
        </is>
      </c>
      <c r="B2109" s="28" t="n">
        <v>75.8</v>
      </c>
    </row>
    <row r="2110">
      <c r="A2110" s="66" t="inlineStr">
        <is>
          <t>24/01/2013</t>
        </is>
      </c>
      <c r="B2110" s="28" t="n">
        <v>75.27</v>
      </c>
    </row>
    <row r="2111">
      <c r="A2111" s="66" t="inlineStr">
        <is>
          <t>25/01/2013</t>
        </is>
      </c>
      <c r="B2111" s="28" t="n">
        <v>74.55</v>
      </c>
    </row>
    <row r="2112">
      <c r="A2112" s="66" t="inlineStr">
        <is>
          <t>28/01/2013</t>
        </is>
      </c>
      <c r="B2112" s="28" t="n">
        <v>74.18000000000001</v>
      </c>
    </row>
    <row r="2113">
      <c r="A2113" s="66" t="inlineStr">
        <is>
          <t>29/01/2013</t>
        </is>
      </c>
      <c r="B2113" s="28" t="n">
        <v>74.04000000000001</v>
      </c>
    </row>
    <row r="2114">
      <c r="A2114" s="66" t="inlineStr">
        <is>
          <t>30/01/2013</t>
        </is>
      </c>
      <c r="B2114" s="28" t="n">
        <v>73.88</v>
      </c>
    </row>
    <row r="2115">
      <c r="A2115" s="66" t="inlineStr">
        <is>
          <t>31/01/2013</t>
        </is>
      </c>
      <c r="B2115" s="28" t="n">
        <v>73.90000000000001</v>
      </c>
    </row>
    <row r="2116">
      <c r="A2116" s="66" t="inlineStr">
        <is>
          <t>01/02/2013</t>
        </is>
      </c>
      <c r="B2116" s="28" t="n">
        <v>73.69</v>
      </c>
    </row>
    <row r="2117">
      <c r="A2117" s="66" t="inlineStr">
        <is>
          <t>04/02/2013</t>
        </is>
      </c>
      <c r="B2117" s="28" t="n">
        <v>73.53</v>
      </c>
    </row>
    <row r="2118">
      <c r="A2118" s="66" t="inlineStr">
        <is>
          <t>05/02/2013</t>
        </is>
      </c>
      <c r="B2118" s="28" t="n">
        <v>74.13</v>
      </c>
    </row>
    <row r="2119">
      <c r="A2119" s="66" t="inlineStr">
        <is>
          <t>06/02/2013</t>
        </is>
      </c>
      <c r="B2119" s="28" t="n">
        <v>74.52</v>
      </c>
    </row>
    <row r="2120">
      <c r="A2120" s="66" t="inlineStr">
        <is>
          <t>07/02/2013</t>
        </is>
      </c>
      <c r="B2120" s="28" t="n">
        <v>75.12</v>
      </c>
    </row>
    <row r="2121">
      <c r="A2121" s="66" t="inlineStr">
        <is>
          <t>08/02/2013</t>
        </is>
      </c>
      <c r="B2121" s="28" t="n">
        <v>75.31</v>
      </c>
    </row>
    <row r="2122">
      <c r="A2122" s="66" t="inlineStr">
        <is>
          <t>13/02/2013</t>
        </is>
      </c>
      <c r="B2122" s="28" t="n">
        <v>75.91</v>
      </c>
    </row>
    <row r="2123">
      <c r="A2123" s="66" t="inlineStr">
        <is>
          <t>14/02/2013</t>
        </is>
      </c>
      <c r="B2123" s="28" t="n">
        <v>75.75</v>
      </c>
    </row>
    <row r="2124">
      <c r="A2124" s="66" t="inlineStr">
        <is>
          <t>15/02/2013</t>
        </is>
      </c>
      <c r="B2124" s="28" t="n">
        <v>74.68000000000001</v>
      </c>
    </row>
    <row r="2125">
      <c r="A2125" s="66" t="inlineStr">
        <is>
          <t>18/02/2013</t>
        </is>
      </c>
      <c r="B2125" s="28" t="n">
        <v>74.59</v>
      </c>
    </row>
    <row r="2126">
      <c r="A2126" s="66" t="inlineStr">
        <is>
          <t>19/02/2013</t>
        </is>
      </c>
      <c r="B2126" s="28" t="n">
        <v>74.2</v>
      </c>
    </row>
    <row r="2127">
      <c r="A2127" s="66" t="inlineStr">
        <is>
          <t>20/02/2013</t>
        </is>
      </c>
      <c r="B2127" s="28" t="n">
        <v>73.92</v>
      </c>
    </row>
    <row r="2128">
      <c r="A2128" s="66" t="inlineStr">
        <is>
          <t>21/02/2013</t>
        </is>
      </c>
      <c r="B2128" s="28" t="n">
        <v>74.47</v>
      </c>
    </row>
    <row r="2129">
      <c r="A2129" s="66" t="inlineStr">
        <is>
          <t>22/02/2013</t>
        </is>
      </c>
      <c r="B2129" s="28" t="n">
        <v>74.68000000000001</v>
      </c>
    </row>
    <row r="2130">
      <c r="A2130" s="66" t="inlineStr">
        <is>
          <t>25/02/2013</t>
        </is>
      </c>
      <c r="B2130" s="28" t="n">
        <v>74.94</v>
      </c>
    </row>
    <row r="2131">
      <c r="A2131" s="66" t="inlineStr">
        <is>
          <t>26/02/2013</t>
        </is>
      </c>
      <c r="B2131" s="28" t="n">
        <v>75.08</v>
      </c>
    </row>
    <row r="2132">
      <c r="A2132" s="66" t="inlineStr">
        <is>
          <t>27/02/2013</t>
        </is>
      </c>
      <c r="B2132" s="28" t="n">
        <v>75.12</v>
      </c>
    </row>
    <row r="2133">
      <c r="A2133" s="66" t="inlineStr">
        <is>
          <t>28/02/2013</t>
        </is>
      </c>
      <c r="B2133" s="28" t="n">
        <v>74.78</v>
      </c>
    </row>
    <row r="2134">
      <c r="A2134" s="66" t="inlineStr">
        <is>
          <t>01/03/2013</t>
        </is>
      </c>
      <c r="B2134" s="28" t="n">
        <v>74.27</v>
      </c>
    </row>
    <row r="2135">
      <c r="A2135" s="66" t="inlineStr">
        <is>
          <t>04/03/2013</t>
        </is>
      </c>
      <c r="B2135" s="28" t="n">
        <v>74.55</v>
      </c>
    </row>
    <row r="2136">
      <c r="A2136" s="66" t="inlineStr">
        <is>
          <t>05/03/2013</t>
        </is>
      </c>
      <c r="B2136" s="28" t="n">
        <v>74.18000000000001</v>
      </c>
    </row>
    <row r="2137">
      <c r="A2137" s="66" t="inlineStr">
        <is>
          <t>06/03/2013</t>
        </is>
      </c>
      <c r="B2137" s="28" t="n">
        <v>73.90000000000001</v>
      </c>
    </row>
    <row r="2138">
      <c r="A2138" s="66" t="inlineStr">
        <is>
          <t>07/03/2013</t>
        </is>
      </c>
      <c r="B2138" s="28" t="n">
        <v>73.40000000000001</v>
      </c>
    </row>
    <row r="2139">
      <c r="A2139" s="66" t="inlineStr">
        <is>
          <t>08/03/2013</t>
        </is>
      </c>
      <c r="B2139" s="28" t="n">
        <v>73.03</v>
      </c>
    </row>
    <row r="2140">
      <c r="A2140" s="66" t="inlineStr">
        <is>
          <t>11/03/2013</t>
        </is>
      </c>
      <c r="B2140" s="28" t="n">
        <v>72.98</v>
      </c>
    </row>
    <row r="2141">
      <c r="A2141" s="66" t="inlineStr">
        <is>
          <t>12/03/2013</t>
        </is>
      </c>
      <c r="B2141" s="28" t="n">
        <v>71.92</v>
      </c>
    </row>
    <row r="2142">
      <c r="A2142" s="66" t="inlineStr">
        <is>
          <t>13/03/2013</t>
        </is>
      </c>
      <c r="B2142" s="28" t="n">
        <v>71.73999999999999</v>
      </c>
    </row>
    <row r="2143">
      <c r="A2143" s="66" t="inlineStr">
        <is>
          <t>14/03/2013</t>
        </is>
      </c>
      <c r="B2143" s="28" t="n">
        <v>70.72</v>
      </c>
    </row>
    <row r="2144">
      <c r="A2144" s="66" t="inlineStr">
        <is>
          <t>15/03/2013</t>
        </is>
      </c>
      <c r="B2144" s="28" t="n">
        <v>70.72</v>
      </c>
    </row>
    <row r="2145">
      <c r="A2145" s="66" t="inlineStr">
        <is>
          <t>18/03/2013</t>
        </is>
      </c>
      <c r="B2145" s="28" t="n">
        <v>69.98999999999999</v>
      </c>
    </row>
    <row r="2146">
      <c r="A2146" s="66" t="inlineStr">
        <is>
          <t>19/03/2013</t>
        </is>
      </c>
      <c r="B2146" s="28" t="n">
        <v>69.5</v>
      </c>
    </row>
    <row r="2147">
      <c r="A2147" s="66" t="inlineStr">
        <is>
          <t>20/03/2013</t>
        </is>
      </c>
      <c r="B2147" s="28" t="n">
        <v>68.88</v>
      </c>
    </row>
    <row r="2148">
      <c r="A2148" s="66" t="inlineStr">
        <is>
          <t>21/03/2013</t>
        </is>
      </c>
      <c r="B2148" s="28" t="n">
        <v>68.53</v>
      </c>
    </row>
    <row r="2149">
      <c r="A2149" s="66" t="inlineStr">
        <is>
          <t>22/03/2013</t>
        </is>
      </c>
      <c r="B2149" s="28" t="n">
        <v>67.98</v>
      </c>
    </row>
    <row r="2150">
      <c r="A2150" s="66" t="inlineStr">
        <is>
          <t>25/03/2013</t>
        </is>
      </c>
      <c r="B2150" s="28" t="n">
        <v>67.89</v>
      </c>
    </row>
    <row r="2151">
      <c r="A2151" s="66" t="inlineStr">
        <is>
          <t>26/03/2013</t>
        </is>
      </c>
      <c r="B2151" s="28" t="n">
        <v>67.43000000000001</v>
      </c>
    </row>
    <row r="2152">
      <c r="A2152" s="66" t="inlineStr">
        <is>
          <t>27/03/2013</t>
        </is>
      </c>
      <c r="B2152" s="28" t="n">
        <v>66.98999999999999</v>
      </c>
    </row>
    <row r="2153">
      <c r="A2153" s="66" t="inlineStr">
        <is>
          <t>28/03/2013</t>
        </is>
      </c>
      <c r="B2153" s="28" t="n">
        <v>66.98999999999999</v>
      </c>
    </row>
    <row r="2154">
      <c r="A2154" s="66" t="inlineStr">
        <is>
          <t>01/04/2013</t>
        </is>
      </c>
      <c r="B2154" s="28" t="n">
        <v>65.48999999999999</v>
      </c>
    </row>
    <row r="2155">
      <c r="A2155" s="66" t="inlineStr">
        <is>
          <t>02/04/2013</t>
        </is>
      </c>
      <c r="B2155" s="28" t="n">
        <v>64.93000000000001</v>
      </c>
    </row>
    <row r="2156">
      <c r="A2156" s="66" t="inlineStr">
        <is>
          <t>03/04/2013</t>
        </is>
      </c>
      <c r="B2156" s="28" t="n">
        <v>64.59</v>
      </c>
    </row>
    <row r="2157">
      <c r="A2157" s="66" t="inlineStr">
        <is>
          <t>04/04/2013</t>
        </is>
      </c>
      <c r="B2157" s="28" t="n">
        <v>63.51</v>
      </c>
    </row>
    <row r="2158">
      <c r="A2158" s="66" t="inlineStr">
        <is>
          <t>05/04/2013</t>
        </is>
      </c>
      <c r="B2158" s="28" t="n">
        <v>63.48</v>
      </c>
    </row>
    <row r="2159">
      <c r="A2159" s="66" t="inlineStr">
        <is>
          <t>08/04/2013</t>
        </is>
      </c>
      <c r="B2159" s="28" t="n">
        <v>63.92</v>
      </c>
    </row>
    <row r="2160">
      <c r="A2160" s="66" t="inlineStr">
        <is>
          <t>09/04/2013</t>
        </is>
      </c>
      <c r="B2160" s="28" t="n">
        <v>62.77</v>
      </c>
    </row>
    <row r="2161">
      <c r="A2161" s="66" t="inlineStr">
        <is>
          <t>10/04/2013</t>
        </is>
      </c>
      <c r="B2161" s="28" t="n">
        <v>62.15</v>
      </c>
    </row>
    <row r="2162">
      <c r="A2162" s="66" t="inlineStr">
        <is>
          <t>11/04/2013</t>
        </is>
      </c>
      <c r="B2162" s="28" t="n">
        <v>61.67</v>
      </c>
    </row>
    <row r="2163">
      <c r="A2163" s="66" t="inlineStr">
        <is>
          <t>12/04/2013</t>
        </is>
      </c>
      <c r="B2163" s="28" t="n">
        <v>61.46</v>
      </c>
    </row>
    <row r="2164">
      <c r="A2164" s="66" t="inlineStr">
        <is>
          <t>15/04/2013</t>
        </is>
      </c>
      <c r="B2164" s="28" t="n">
        <v>60.93</v>
      </c>
    </row>
    <row r="2165">
      <c r="A2165" s="66" t="inlineStr">
        <is>
          <t>16/04/2013</t>
        </is>
      </c>
      <c r="B2165" s="28" t="n">
        <v>60.17</v>
      </c>
    </row>
    <row r="2166">
      <c r="A2166" s="66" t="inlineStr">
        <is>
          <t>17/04/2013</t>
        </is>
      </c>
      <c r="B2166" s="28" t="n">
        <v>59.37</v>
      </c>
    </row>
    <row r="2167">
      <c r="A2167" s="66" t="inlineStr">
        <is>
          <t>18/04/2013</t>
        </is>
      </c>
      <c r="B2167" s="28" t="n">
        <v>59.07</v>
      </c>
    </row>
    <row r="2168">
      <c r="A2168" s="66" t="inlineStr">
        <is>
          <t>19/04/2013</t>
        </is>
      </c>
      <c r="B2168" s="28" t="n">
        <v>59.2</v>
      </c>
    </row>
    <row r="2169">
      <c r="A2169" s="66" t="inlineStr">
        <is>
          <t>22/04/2013</t>
        </is>
      </c>
      <c r="B2169" s="28" t="n">
        <v>58.7</v>
      </c>
    </row>
    <row r="2170">
      <c r="A2170" s="66" t="inlineStr">
        <is>
          <t>23/04/2013</t>
        </is>
      </c>
      <c r="B2170" s="28" t="n">
        <v>57.78</v>
      </c>
    </row>
    <row r="2171">
      <c r="A2171" s="66" t="inlineStr">
        <is>
          <t>24/04/2013</t>
        </is>
      </c>
      <c r="B2171" s="28" t="n">
        <v>58.03</v>
      </c>
    </row>
    <row r="2172">
      <c r="A2172" s="66" t="inlineStr">
        <is>
          <t>25/04/2013</t>
        </is>
      </c>
      <c r="B2172" s="28" t="n">
        <v>57.85</v>
      </c>
    </row>
    <row r="2173">
      <c r="A2173" s="66" t="inlineStr">
        <is>
          <t>26/04/2013</t>
        </is>
      </c>
      <c r="B2173" s="28" t="n">
        <v>57.32</v>
      </c>
    </row>
    <row r="2174">
      <c r="A2174" s="66" t="inlineStr">
        <is>
          <t>29/04/2013</t>
        </is>
      </c>
      <c r="B2174" s="28" t="n">
        <v>57.04</v>
      </c>
    </row>
    <row r="2175">
      <c r="A2175" s="66" t="inlineStr">
        <is>
          <t>30/04/2013</t>
        </is>
      </c>
      <c r="B2175" s="28" t="n">
        <v>57.32</v>
      </c>
    </row>
    <row r="2176">
      <c r="A2176" s="66" t="inlineStr">
        <is>
          <t>02/05/2013</t>
        </is>
      </c>
      <c r="B2176" s="28" t="n">
        <v>57.76</v>
      </c>
    </row>
    <row r="2177">
      <c r="A2177" s="66" t="inlineStr">
        <is>
          <t>03/05/2013</t>
        </is>
      </c>
      <c r="B2177" s="28" t="n">
        <v>58.17</v>
      </c>
    </row>
    <row r="2178">
      <c r="A2178" s="66" t="inlineStr">
        <is>
          <t>06/05/2013</t>
        </is>
      </c>
      <c r="B2178" s="28" t="n">
        <v>58.17</v>
      </c>
    </row>
    <row r="2179">
      <c r="A2179" s="66" t="inlineStr">
        <is>
          <t>07/05/2013</t>
        </is>
      </c>
      <c r="B2179" s="28" t="n">
        <v>58.65</v>
      </c>
    </row>
    <row r="2180">
      <c r="A2180" s="66" t="inlineStr">
        <is>
          <t>08/05/2013</t>
        </is>
      </c>
      <c r="B2180" s="28" t="n">
        <v>58.68</v>
      </c>
    </row>
    <row r="2181">
      <c r="A2181" s="66" t="inlineStr">
        <is>
          <t>09/05/2013</t>
        </is>
      </c>
      <c r="B2181" s="28" t="n">
        <v>58.72</v>
      </c>
    </row>
    <row r="2182">
      <c r="A2182" s="66" t="inlineStr">
        <is>
          <t>10/05/2013</t>
        </is>
      </c>
      <c r="B2182" s="28" t="n">
        <v>59.02</v>
      </c>
    </row>
    <row r="2183">
      <c r="A2183" s="66" t="inlineStr">
        <is>
          <t>13/05/2013</t>
        </is>
      </c>
      <c r="B2183" s="28" t="n">
        <v>59.18</v>
      </c>
    </row>
    <row r="2184">
      <c r="A2184" s="66" t="inlineStr">
        <is>
          <t>14/05/2013</t>
        </is>
      </c>
      <c r="B2184" s="28" t="n">
        <v>59.5</v>
      </c>
    </row>
    <row r="2185">
      <c r="A2185" s="66" t="inlineStr">
        <is>
          <t>15/05/2013</t>
        </is>
      </c>
      <c r="B2185" s="28" t="n">
        <v>60.15</v>
      </c>
    </row>
    <row r="2186">
      <c r="A2186" s="66" t="inlineStr">
        <is>
          <t>16/05/2013</t>
        </is>
      </c>
      <c r="B2186" s="28" t="n">
        <v>60.19</v>
      </c>
    </row>
    <row r="2187">
      <c r="A2187" s="66" t="inlineStr">
        <is>
          <t>17/05/2013</t>
        </is>
      </c>
      <c r="B2187" s="28" t="n">
        <v>60.59</v>
      </c>
    </row>
    <row r="2188">
      <c r="A2188" s="66" t="inlineStr">
        <is>
          <t>20/05/2013</t>
        </is>
      </c>
      <c r="B2188" s="28" t="n">
        <v>60.49</v>
      </c>
    </row>
    <row r="2189">
      <c r="A2189" s="66" t="inlineStr">
        <is>
          <t>21/05/2013</t>
        </is>
      </c>
      <c r="B2189" s="28" t="n">
        <v>60.98</v>
      </c>
    </row>
    <row r="2190">
      <c r="A2190" s="66" t="inlineStr">
        <is>
          <t>22/05/2013</t>
        </is>
      </c>
      <c r="B2190" s="28" t="n">
        <v>60.29</v>
      </c>
    </row>
    <row r="2191">
      <c r="A2191" s="66" t="inlineStr">
        <is>
          <t>23/05/2013</t>
        </is>
      </c>
      <c r="B2191" s="28" t="n">
        <v>60.86</v>
      </c>
    </row>
    <row r="2192">
      <c r="A2192" s="66" t="inlineStr">
        <is>
          <t>24/05/2013</t>
        </is>
      </c>
      <c r="B2192" s="28" t="n">
        <v>61.05</v>
      </c>
    </row>
    <row r="2193">
      <c r="A2193" s="66" t="inlineStr">
        <is>
          <t>27/05/2013</t>
        </is>
      </c>
      <c r="B2193" s="28" t="n">
        <v>60.84</v>
      </c>
    </row>
    <row r="2194">
      <c r="A2194" s="66" t="inlineStr">
        <is>
          <t>28/05/2013</t>
        </is>
      </c>
      <c r="B2194" s="28" t="n">
        <v>60.98</v>
      </c>
    </row>
    <row r="2195">
      <c r="A2195" s="66" t="inlineStr">
        <is>
          <t>29/05/2013</t>
        </is>
      </c>
      <c r="B2195" s="28" t="n">
        <v>61.53</v>
      </c>
    </row>
    <row r="2196">
      <c r="A2196" s="66" t="inlineStr">
        <is>
          <t>31/05/2013</t>
        </is>
      </c>
      <c r="B2196" s="28" t="n">
        <v>61.32</v>
      </c>
    </row>
    <row r="2197">
      <c r="A2197" s="66" t="inlineStr">
        <is>
          <t>03/06/2013</t>
        </is>
      </c>
      <c r="B2197" s="28" t="n">
        <v>62.1</v>
      </c>
    </row>
    <row r="2198">
      <c r="A2198" s="66" t="inlineStr">
        <is>
          <t>04/06/2013</t>
        </is>
      </c>
      <c r="B2198" s="28" t="n">
        <v>62.37</v>
      </c>
    </row>
    <row r="2199">
      <c r="A2199" s="66" t="inlineStr">
        <is>
          <t>05/06/2013</t>
        </is>
      </c>
      <c r="B2199" s="28" t="n">
        <v>62.58</v>
      </c>
    </row>
    <row r="2200">
      <c r="A2200" s="66" t="inlineStr">
        <is>
          <t>06/06/2013</t>
        </is>
      </c>
      <c r="B2200" s="28" t="n">
        <v>62.21</v>
      </c>
    </row>
    <row r="2201">
      <c r="A2201" s="66" t="inlineStr">
        <is>
          <t>07/06/2013</t>
        </is>
      </c>
      <c r="B2201" s="28" t="n">
        <v>62.26</v>
      </c>
    </row>
    <row r="2202">
      <c r="A2202" s="66" t="inlineStr">
        <is>
          <t>10/06/2013</t>
        </is>
      </c>
      <c r="B2202" s="28" t="n">
        <v>61.69</v>
      </c>
    </row>
    <row r="2203">
      <c r="A2203" s="66" t="inlineStr">
        <is>
          <t>11/06/2013</t>
        </is>
      </c>
      <c r="B2203" s="28" t="n">
        <v>60.55</v>
      </c>
    </row>
    <row r="2204">
      <c r="A2204" s="66" t="inlineStr">
        <is>
          <t>12/06/2013</t>
        </is>
      </c>
      <c r="B2204" s="28" t="n">
        <v>60.36</v>
      </c>
    </row>
    <row r="2205">
      <c r="A2205" s="66" t="inlineStr">
        <is>
          <t>13/06/2013</t>
        </is>
      </c>
      <c r="B2205" s="28" t="n">
        <v>60.13</v>
      </c>
    </row>
    <row r="2206">
      <c r="A2206" s="66" t="inlineStr">
        <is>
          <t>14/06/2013</t>
        </is>
      </c>
      <c r="B2206" s="28" t="n">
        <v>60.09</v>
      </c>
    </row>
    <row r="2207">
      <c r="A2207" s="66" t="inlineStr">
        <is>
          <t>17/06/2013</t>
        </is>
      </c>
      <c r="B2207" s="28" t="n">
        <v>59.72</v>
      </c>
    </row>
    <row r="2208">
      <c r="A2208" s="66" t="inlineStr">
        <is>
          <t>18/06/2013</t>
        </is>
      </c>
      <c r="B2208" s="28" t="n">
        <v>59.38</v>
      </c>
    </row>
    <row r="2209">
      <c r="A2209" s="66" t="inlineStr">
        <is>
          <t>19/06/2013</t>
        </is>
      </c>
      <c r="B2209" s="28" t="n">
        <v>58.97</v>
      </c>
    </row>
    <row r="2210">
      <c r="A2210" s="66" t="inlineStr">
        <is>
          <t>20/06/2013</t>
        </is>
      </c>
      <c r="B2210" s="28" t="n">
        <v>58.76</v>
      </c>
    </row>
    <row r="2211">
      <c r="A2211" s="66" t="inlineStr">
        <is>
          <t>21/06/2013</t>
        </is>
      </c>
      <c r="B2211" s="28" t="n">
        <v>58.97</v>
      </c>
    </row>
    <row r="2212">
      <c r="A2212" s="66" t="inlineStr">
        <is>
          <t>24/06/2013</t>
        </is>
      </c>
      <c r="B2212" s="28" t="n">
        <v>59.22</v>
      </c>
    </row>
    <row r="2213">
      <c r="A2213" s="66" t="inlineStr">
        <is>
          <t>25/06/2013</t>
        </is>
      </c>
      <c r="B2213" s="28" t="n">
        <v>59.91</v>
      </c>
    </row>
    <row r="2214">
      <c r="A2214" s="66" t="inlineStr">
        <is>
          <t>26/06/2013</t>
        </is>
      </c>
      <c r="B2214" s="28" t="n">
        <v>59.59</v>
      </c>
    </row>
    <row r="2215">
      <c r="A2215" s="66" t="inlineStr">
        <is>
          <t>27/06/2013</t>
        </is>
      </c>
      <c r="B2215" s="28" t="n">
        <v>59.75</v>
      </c>
    </row>
    <row r="2216">
      <c r="A2216" s="66" t="inlineStr">
        <is>
          <t>28/06/2013</t>
        </is>
      </c>
      <c r="B2216" s="28" t="n">
        <v>59.75</v>
      </c>
    </row>
    <row r="2217">
      <c r="A2217" s="66" t="inlineStr">
        <is>
          <t>01/07/2013</t>
        </is>
      </c>
      <c r="B2217" s="28" t="n">
        <v>59.57</v>
      </c>
    </row>
    <row r="2218">
      <c r="A2218" s="66" t="inlineStr">
        <is>
          <t>02/07/2013</t>
        </is>
      </c>
      <c r="B2218" s="28" t="n">
        <v>59.59</v>
      </c>
    </row>
    <row r="2219">
      <c r="A2219" s="66" t="inlineStr">
        <is>
          <t>03/07/2013</t>
        </is>
      </c>
      <c r="B2219" s="28" t="n">
        <v>59.39</v>
      </c>
    </row>
    <row r="2220">
      <c r="A2220" s="66" t="inlineStr">
        <is>
          <t>04/07/2013</t>
        </is>
      </c>
      <c r="B2220" s="28" t="n">
        <v>58.86</v>
      </c>
    </row>
    <row r="2221">
      <c r="A2221" s="66" t="inlineStr">
        <is>
          <t>05/07/2013</t>
        </is>
      </c>
      <c r="B2221" s="28" t="n">
        <v>58.63</v>
      </c>
    </row>
    <row r="2222">
      <c r="A2222" s="66" t="inlineStr">
        <is>
          <t>08/07/2013</t>
        </is>
      </c>
      <c r="B2222" s="28" t="n">
        <v>58.59</v>
      </c>
    </row>
    <row r="2223">
      <c r="A2223" s="66" t="inlineStr">
        <is>
          <t>10/07/2013</t>
        </is>
      </c>
      <c r="B2223" s="28" t="n">
        <v>57.47</v>
      </c>
    </row>
    <row r="2224">
      <c r="A2224" s="66" t="inlineStr">
        <is>
          <t>11/07/2013</t>
        </is>
      </c>
      <c r="B2224" s="28" t="n">
        <v>57.5</v>
      </c>
    </row>
    <row r="2225">
      <c r="A2225" s="66" t="inlineStr">
        <is>
          <t>12/07/2013</t>
        </is>
      </c>
      <c r="B2225" s="28" t="n">
        <v>57.34</v>
      </c>
    </row>
    <row r="2226">
      <c r="A2226" s="66" t="inlineStr">
        <is>
          <t>15/07/2013</t>
        </is>
      </c>
      <c r="B2226" s="28" t="n">
        <v>56.36</v>
      </c>
    </row>
    <row r="2227">
      <c r="A2227" s="66" t="inlineStr">
        <is>
          <t>16/07/2013</t>
        </is>
      </c>
      <c r="B2227" s="28" t="n">
        <v>56.13</v>
      </c>
    </row>
    <row r="2228">
      <c r="A2228" s="66" t="inlineStr">
        <is>
          <t>17/07/2013</t>
        </is>
      </c>
      <c r="B2228" s="28" t="n">
        <v>56.38</v>
      </c>
    </row>
    <row r="2229">
      <c r="A2229" s="66" t="inlineStr">
        <is>
          <t>18/07/2013</t>
        </is>
      </c>
      <c r="B2229" s="28" t="n">
        <v>56.31</v>
      </c>
    </row>
    <row r="2230">
      <c r="A2230" s="66" t="inlineStr">
        <is>
          <t>19/07/2013</t>
        </is>
      </c>
      <c r="B2230" s="28" t="n">
        <v>56.2</v>
      </c>
    </row>
    <row r="2231">
      <c r="A2231" s="66" t="inlineStr">
        <is>
          <t>22/07/2013</t>
        </is>
      </c>
      <c r="B2231" s="28" t="n">
        <v>55.86</v>
      </c>
    </row>
    <row r="2232">
      <c r="A2232" s="66" t="inlineStr">
        <is>
          <t>23/07/2013</t>
        </is>
      </c>
      <c r="B2232" s="28" t="n">
        <v>55.4</v>
      </c>
    </row>
    <row r="2233">
      <c r="A2233" s="66" t="inlineStr">
        <is>
          <t>24/07/2013</t>
        </is>
      </c>
      <c r="B2233" s="28" t="n">
        <v>55.35</v>
      </c>
    </row>
    <row r="2234">
      <c r="A2234" s="66" t="inlineStr">
        <is>
          <t>25/07/2013</t>
        </is>
      </c>
      <c r="B2234" s="28" t="n">
        <v>55.99</v>
      </c>
    </row>
    <row r="2235">
      <c r="A2235" s="66" t="inlineStr">
        <is>
          <t>26/07/2013</t>
        </is>
      </c>
      <c r="B2235" s="28" t="n">
        <v>55.88</v>
      </c>
    </row>
    <row r="2236">
      <c r="A2236" s="66" t="inlineStr">
        <is>
          <t>29/07/2013</t>
        </is>
      </c>
      <c r="B2236" s="28" t="n">
        <v>55.49</v>
      </c>
    </row>
    <row r="2237">
      <c r="A2237" s="66" t="inlineStr">
        <is>
          <t>30/07/2013</t>
        </is>
      </c>
      <c r="B2237" s="28" t="n">
        <v>55.17</v>
      </c>
    </row>
    <row r="2238">
      <c r="A2238" s="66" t="inlineStr">
        <is>
          <t>31/07/2013</t>
        </is>
      </c>
      <c r="B2238" s="28" t="n">
        <v>55.17</v>
      </c>
    </row>
    <row r="2239">
      <c r="A2239" s="66" t="inlineStr">
        <is>
          <t>01/08/2013</t>
        </is>
      </c>
      <c r="B2239" s="28" t="n">
        <v>54.29</v>
      </c>
    </row>
    <row r="2240">
      <c r="A2240" s="66" t="inlineStr">
        <is>
          <t>02/08/2013</t>
        </is>
      </c>
      <c r="B2240" s="28" t="n">
        <v>54.02</v>
      </c>
    </row>
    <row r="2241">
      <c r="A2241" s="66" t="inlineStr">
        <is>
          <t>05/08/2013</t>
        </is>
      </c>
      <c r="B2241" s="28" t="n">
        <v>54.04</v>
      </c>
    </row>
    <row r="2242">
      <c r="A2242" s="66" t="inlineStr">
        <is>
          <t>06/08/2013</t>
        </is>
      </c>
      <c r="B2242" s="28" t="n">
        <v>53.63</v>
      </c>
    </row>
    <row r="2243">
      <c r="A2243" s="66" t="inlineStr">
        <is>
          <t>07/08/2013</t>
        </is>
      </c>
      <c r="B2243" s="28" t="n">
        <v>53.36</v>
      </c>
    </row>
    <row r="2244">
      <c r="A2244" s="66" t="inlineStr">
        <is>
          <t>08/08/2013</t>
        </is>
      </c>
      <c r="B2244" s="28" t="n">
        <v>53.13</v>
      </c>
    </row>
    <row r="2245">
      <c r="A2245" s="66" t="inlineStr">
        <is>
          <t>09/08/2013</t>
        </is>
      </c>
      <c r="B2245" s="28" t="n">
        <v>52.95</v>
      </c>
    </row>
    <row r="2246">
      <c r="A2246" s="66" t="inlineStr">
        <is>
          <t>12/08/2013</t>
        </is>
      </c>
      <c r="B2246" s="28" t="n">
        <v>52.63</v>
      </c>
    </row>
    <row r="2247">
      <c r="A2247" s="66" t="inlineStr">
        <is>
          <t>13/08/2013</t>
        </is>
      </c>
      <c r="B2247" s="28" t="n">
        <v>52.81</v>
      </c>
    </row>
    <row r="2248">
      <c r="A2248" s="66" t="inlineStr">
        <is>
          <t>14/08/2013</t>
        </is>
      </c>
      <c r="B2248" s="28" t="n">
        <v>52.72</v>
      </c>
    </row>
    <row r="2249">
      <c r="A2249" s="66" t="inlineStr">
        <is>
          <t>15/08/2013</t>
        </is>
      </c>
      <c r="B2249" s="28" t="n">
        <v>52.43</v>
      </c>
    </row>
    <row r="2250">
      <c r="A2250" s="66" t="inlineStr">
        <is>
          <t>16/08/2013</t>
        </is>
      </c>
      <c r="B2250" s="28" t="n">
        <v>52.68</v>
      </c>
    </row>
    <row r="2251">
      <c r="A2251" s="66" t="inlineStr">
        <is>
          <t>19/08/2013</t>
        </is>
      </c>
      <c r="B2251" s="28" t="n">
        <v>53.72</v>
      </c>
    </row>
    <row r="2252">
      <c r="A2252" s="66" t="inlineStr">
        <is>
          <t>20/08/2013</t>
        </is>
      </c>
      <c r="B2252" s="28" t="n">
        <v>54.84</v>
      </c>
    </row>
    <row r="2253">
      <c r="A2253" s="66" t="inlineStr">
        <is>
          <t>21/08/2013</t>
        </is>
      </c>
      <c r="B2253" s="28" t="n">
        <v>55.39</v>
      </c>
    </row>
    <row r="2254">
      <c r="A2254" s="66" t="inlineStr">
        <is>
          <t>22/08/2013</t>
        </is>
      </c>
      <c r="B2254" s="28" t="n">
        <v>56.59</v>
      </c>
    </row>
    <row r="2255">
      <c r="A2255" s="66" t="inlineStr">
        <is>
          <t>23/08/2013</t>
        </is>
      </c>
      <c r="B2255" s="28" t="n">
        <v>56.34</v>
      </c>
    </row>
    <row r="2256">
      <c r="A2256" s="66" t="inlineStr">
        <is>
          <t>26/08/2013</t>
        </is>
      </c>
      <c r="B2256" s="28" t="n">
        <v>56.77</v>
      </c>
    </row>
    <row r="2257">
      <c r="A2257" s="66" t="inlineStr">
        <is>
          <t>27/08/2013</t>
        </is>
      </c>
      <c r="B2257" s="28" t="n">
        <v>57.14</v>
      </c>
    </row>
    <row r="2258">
      <c r="A2258" s="66" t="inlineStr">
        <is>
          <t>28/08/2013</t>
        </is>
      </c>
      <c r="B2258" s="28" t="n">
        <v>57.93</v>
      </c>
    </row>
    <row r="2259">
      <c r="A2259" s="66" t="inlineStr">
        <is>
          <t>29/08/2013</t>
        </is>
      </c>
      <c r="B2259" s="28" t="n">
        <v>57.59</v>
      </c>
    </row>
    <row r="2260">
      <c r="A2260" s="66" t="inlineStr">
        <is>
          <t>30/08/2013</t>
        </is>
      </c>
      <c r="B2260" s="28" t="n">
        <v>57.73</v>
      </c>
    </row>
    <row r="2261">
      <c r="A2261" s="66" t="inlineStr">
        <is>
          <t>02/09/2013</t>
        </is>
      </c>
      <c r="B2261" s="28" t="n">
        <v>57.19</v>
      </c>
    </row>
    <row r="2262">
      <c r="A2262" s="66" t="inlineStr">
        <is>
          <t>03/09/2013</t>
        </is>
      </c>
      <c r="B2262" s="28" t="n">
        <v>57.57</v>
      </c>
    </row>
    <row r="2263">
      <c r="A2263" s="66" t="inlineStr">
        <is>
          <t>04/09/2013</t>
        </is>
      </c>
      <c r="B2263" s="28" t="n">
        <v>57.7</v>
      </c>
    </row>
    <row r="2264">
      <c r="A2264" s="66" t="inlineStr">
        <is>
          <t>05/09/2013</t>
        </is>
      </c>
      <c r="B2264" s="28" t="n">
        <v>57.75</v>
      </c>
    </row>
    <row r="2265">
      <c r="A2265" s="66" t="inlineStr">
        <is>
          <t>06/09/2013</t>
        </is>
      </c>
      <c r="B2265" s="28" t="n">
        <v>57.93</v>
      </c>
    </row>
    <row r="2266">
      <c r="A2266" s="66" t="inlineStr">
        <is>
          <t>09/09/2013</t>
        </is>
      </c>
      <c r="B2266" s="28" t="n">
        <v>57.55</v>
      </c>
    </row>
    <row r="2267">
      <c r="A2267" s="66" t="inlineStr">
        <is>
          <t>10/09/2013</t>
        </is>
      </c>
      <c r="B2267" s="28" t="n">
        <v>57.14</v>
      </c>
    </row>
    <row r="2268">
      <c r="A2268" s="66" t="inlineStr">
        <is>
          <t>11/09/2013</t>
        </is>
      </c>
      <c r="B2268" s="28" t="n">
        <v>56.65</v>
      </c>
    </row>
    <row r="2269">
      <c r="A2269" s="66" t="inlineStr">
        <is>
          <t>12/09/2013</t>
        </is>
      </c>
      <c r="B2269" s="28" t="n">
        <v>56.63</v>
      </c>
    </row>
    <row r="2270">
      <c r="A2270" s="66" t="inlineStr">
        <is>
          <t>13/09/2013</t>
        </is>
      </c>
      <c r="B2270" s="28" t="n">
        <v>56.79</v>
      </c>
    </row>
    <row r="2271">
      <c r="A2271" s="66" t="inlineStr">
        <is>
          <t>16/09/2013</t>
        </is>
      </c>
      <c r="B2271" s="28" t="n">
        <v>56.52</v>
      </c>
    </row>
    <row r="2272">
      <c r="A2272" s="66" t="inlineStr">
        <is>
          <t>17/09/2013</t>
        </is>
      </c>
      <c r="B2272" s="28" t="n">
        <v>55.44</v>
      </c>
    </row>
    <row r="2273">
      <c r="A2273" s="66" t="inlineStr">
        <is>
          <t>18/09/2013</t>
        </is>
      </c>
      <c r="B2273" s="28" t="n">
        <v>55.69</v>
      </c>
    </row>
    <row r="2274">
      <c r="A2274" s="66" t="inlineStr">
        <is>
          <t>19/09/2013</t>
        </is>
      </c>
      <c r="B2274" s="28" t="n">
        <v>55.8</v>
      </c>
    </row>
    <row r="2275">
      <c r="A2275" s="66" t="inlineStr">
        <is>
          <t>20/09/2013</t>
        </is>
      </c>
      <c r="B2275" s="28" t="n">
        <v>55.62</v>
      </c>
    </row>
    <row r="2276">
      <c r="A2276" s="66" t="inlineStr">
        <is>
          <t>23/09/2013</t>
        </is>
      </c>
      <c r="B2276" s="28" t="n">
        <v>55.22</v>
      </c>
    </row>
    <row r="2277">
      <c r="A2277" s="66" t="inlineStr">
        <is>
          <t>24/09/2013</t>
        </is>
      </c>
      <c r="B2277" s="28" t="n">
        <v>54.43</v>
      </c>
    </row>
    <row r="2278">
      <c r="A2278" s="66" t="inlineStr">
        <is>
          <t>25/09/2013</t>
        </is>
      </c>
      <c r="B2278" s="28" t="n">
        <v>54.52</v>
      </c>
    </row>
    <row r="2279">
      <c r="A2279" s="66" t="inlineStr">
        <is>
          <t>26/09/2013</t>
        </is>
      </c>
      <c r="B2279" s="28" t="n">
        <v>54.54</v>
      </c>
    </row>
    <row r="2280">
      <c r="A2280" s="66" t="inlineStr">
        <is>
          <t>27/09/2013</t>
        </is>
      </c>
      <c r="B2280" s="28" t="n">
        <v>54.72</v>
      </c>
    </row>
    <row r="2281">
      <c r="A2281" s="66" t="inlineStr">
        <is>
          <t>30/09/2013</t>
        </is>
      </c>
      <c r="B2281" s="28" t="n">
        <v>54.48</v>
      </c>
    </row>
    <row r="2282">
      <c r="A2282" s="66" t="inlineStr">
        <is>
          <t>01/10/2013</t>
        </is>
      </c>
      <c r="B2282" s="28" t="n">
        <v>53.1</v>
      </c>
    </row>
    <row r="2283">
      <c r="A2283" s="66" t="inlineStr">
        <is>
          <t>02/10/2013</t>
        </is>
      </c>
      <c r="B2283" s="28" t="n">
        <v>52.9</v>
      </c>
    </row>
    <row r="2284">
      <c r="A2284" s="66" t="inlineStr">
        <is>
          <t>03/10/2013</t>
        </is>
      </c>
      <c r="B2284" s="28" t="n">
        <v>52.75</v>
      </c>
    </row>
    <row r="2285">
      <c r="A2285" s="66" t="inlineStr">
        <is>
          <t>04/10/2013</t>
        </is>
      </c>
      <c r="B2285" s="28" t="n">
        <v>52.57</v>
      </c>
    </row>
    <row r="2286">
      <c r="A2286" s="66" t="inlineStr">
        <is>
          <t>07/10/2013</t>
        </is>
      </c>
      <c r="B2286" s="28" t="n">
        <v>52.61</v>
      </c>
    </row>
    <row r="2287">
      <c r="A2287" s="66" t="inlineStr">
        <is>
          <t>08/10/2013</t>
        </is>
      </c>
      <c r="B2287" s="28" t="n">
        <v>52.5</v>
      </c>
    </row>
    <row r="2288">
      <c r="A2288" s="66" t="inlineStr">
        <is>
          <t>09/10/2013</t>
        </is>
      </c>
      <c r="B2288" s="28" t="n">
        <v>52.24</v>
      </c>
    </row>
    <row r="2289">
      <c r="A2289" s="66" t="inlineStr">
        <is>
          <t>10/10/2013</t>
        </is>
      </c>
      <c r="B2289" s="28" t="n">
        <v>51.9</v>
      </c>
    </row>
    <row r="2290">
      <c r="A2290" s="66" t="inlineStr">
        <is>
          <t>11/10/2013</t>
        </is>
      </c>
      <c r="B2290" s="28" t="n">
        <v>52.35</v>
      </c>
    </row>
    <row r="2291">
      <c r="A2291" s="66" t="inlineStr">
        <is>
          <t>14/10/2013</t>
        </is>
      </c>
      <c r="B2291" s="28" t="n">
        <v>52.26</v>
      </c>
    </row>
    <row r="2292">
      <c r="A2292" s="66" t="inlineStr">
        <is>
          <t>15/10/2013</t>
        </is>
      </c>
      <c r="B2292" s="28" t="n">
        <v>52.59</v>
      </c>
    </row>
    <row r="2293">
      <c r="A2293" s="66" t="inlineStr">
        <is>
          <t>16/10/2013</t>
        </is>
      </c>
      <c r="B2293" s="28" t="n">
        <v>52.57</v>
      </c>
    </row>
    <row r="2294">
      <c r="A2294" s="66" t="inlineStr">
        <is>
          <t>17/10/2013</t>
        </is>
      </c>
      <c r="B2294" s="28" t="n">
        <v>53.08</v>
      </c>
    </row>
    <row r="2295">
      <c r="A2295" s="66" t="inlineStr">
        <is>
          <t>18/10/2013</t>
        </is>
      </c>
      <c r="B2295" s="28" t="n">
        <v>53.12</v>
      </c>
    </row>
    <row r="2296">
      <c r="A2296" s="66" t="inlineStr">
        <is>
          <t>21/10/2013</t>
        </is>
      </c>
      <c r="B2296" s="28" t="n">
        <v>53.81</v>
      </c>
    </row>
    <row r="2297">
      <c r="A2297" s="66" t="inlineStr">
        <is>
          <t>22/10/2013</t>
        </is>
      </c>
      <c r="B2297" s="28" t="n">
        <v>54.08</v>
      </c>
    </row>
    <row r="2298">
      <c r="A2298" s="66" t="inlineStr">
        <is>
          <t>23/10/2013</t>
        </is>
      </c>
      <c r="B2298" s="28" t="n">
        <v>55.1</v>
      </c>
    </row>
    <row r="2299">
      <c r="A2299" s="66" t="inlineStr">
        <is>
          <t>24/10/2013</t>
        </is>
      </c>
      <c r="B2299" s="28" t="n">
        <v>55.79</v>
      </c>
    </row>
    <row r="2300">
      <c r="A2300" s="66" t="inlineStr">
        <is>
          <t>25/10/2013</t>
        </is>
      </c>
      <c r="B2300" s="28" t="n">
        <v>55.43</v>
      </c>
    </row>
    <row r="2301">
      <c r="A2301" s="66" t="inlineStr">
        <is>
          <t>28/10/2013</t>
        </is>
      </c>
      <c r="B2301" s="28" t="n">
        <v>55.75</v>
      </c>
    </row>
    <row r="2302">
      <c r="A2302" s="66" t="inlineStr">
        <is>
          <t>29/10/2013</t>
        </is>
      </c>
      <c r="B2302" s="28" t="n">
        <v>55.41</v>
      </c>
    </row>
    <row r="2303">
      <c r="A2303" s="66" t="inlineStr">
        <is>
          <t>30/10/2013</t>
        </is>
      </c>
      <c r="B2303" s="28" t="n">
        <v>55.86</v>
      </c>
    </row>
    <row r="2304">
      <c r="A2304" s="66" t="inlineStr">
        <is>
          <t>31/10/2013</t>
        </is>
      </c>
      <c r="B2304" s="28" t="n">
        <v>55.03</v>
      </c>
    </row>
    <row r="2305">
      <c r="A2305" s="66" t="inlineStr">
        <is>
          <t>01/11/2013</t>
        </is>
      </c>
      <c r="B2305" s="28" t="n">
        <v>54.88</v>
      </c>
    </row>
    <row r="2306">
      <c r="A2306" s="66" t="inlineStr">
        <is>
          <t>04/11/2013</t>
        </is>
      </c>
      <c r="B2306" s="28" t="n">
        <v>54.9</v>
      </c>
    </row>
    <row r="2307">
      <c r="A2307" s="66" t="inlineStr">
        <is>
          <t>05/11/2013</t>
        </is>
      </c>
      <c r="B2307" s="28" t="n">
        <v>55.34</v>
      </c>
    </row>
    <row r="2308">
      <c r="A2308" s="66" t="inlineStr">
        <is>
          <t>06/11/2013</t>
        </is>
      </c>
      <c r="B2308" s="28" t="n">
        <v>55.36</v>
      </c>
    </row>
    <row r="2309">
      <c r="A2309" s="66" t="inlineStr">
        <is>
          <t>07/11/2013</t>
        </is>
      </c>
      <c r="B2309" s="28" t="n">
        <v>55.34</v>
      </c>
    </row>
    <row r="2310">
      <c r="A2310" s="66" t="inlineStr">
        <is>
          <t>08/11/2013</t>
        </is>
      </c>
      <c r="B2310" s="28" t="n">
        <v>55.32</v>
      </c>
    </row>
    <row r="2311">
      <c r="A2311" s="66" t="inlineStr">
        <is>
          <t>11/11/2013</t>
        </is>
      </c>
      <c r="B2311" s="28" t="n">
        <v>55.32</v>
      </c>
    </row>
    <row r="2312">
      <c r="A2312" s="66" t="inlineStr">
        <is>
          <t>12/11/2013</t>
        </is>
      </c>
      <c r="B2312" s="28" t="n">
        <v>56.05</v>
      </c>
    </row>
    <row r="2313">
      <c r="A2313" s="66" t="inlineStr">
        <is>
          <t>13/11/2013</t>
        </is>
      </c>
      <c r="B2313" s="28" t="n">
        <v>57.11</v>
      </c>
    </row>
    <row r="2314">
      <c r="A2314" s="66" t="inlineStr">
        <is>
          <t>14/11/2013</t>
        </is>
      </c>
      <c r="B2314" s="28" t="n">
        <v>57.14</v>
      </c>
    </row>
    <row r="2315">
      <c r="A2315" s="66" t="inlineStr">
        <is>
          <t>18/11/2013</t>
        </is>
      </c>
      <c r="B2315" s="28" t="n">
        <v>57.05</v>
      </c>
    </row>
    <row r="2316">
      <c r="A2316" s="66" t="inlineStr">
        <is>
          <t>19/11/2013</t>
        </is>
      </c>
      <c r="B2316" s="28" t="n">
        <v>57.09</v>
      </c>
    </row>
    <row r="2317">
      <c r="A2317" s="66" t="inlineStr">
        <is>
          <t>20/11/2013</t>
        </is>
      </c>
      <c r="B2317" s="28" t="n">
        <v>56.98</v>
      </c>
    </row>
    <row r="2318">
      <c r="A2318" s="66" t="inlineStr">
        <is>
          <t>21/11/2013</t>
        </is>
      </c>
      <c r="B2318" s="28" t="n">
        <v>57.58</v>
      </c>
    </row>
    <row r="2319">
      <c r="A2319" s="66" t="inlineStr">
        <is>
          <t>22/11/2013</t>
        </is>
      </c>
      <c r="B2319" s="28" t="n">
        <v>57.53</v>
      </c>
    </row>
    <row r="2320">
      <c r="A2320" s="66" t="inlineStr">
        <is>
          <t>25/11/2013</t>
        </is>
      </c>
      <c r="B2320" s="28" t="n">
        <v>56.76</v>
      </c>
    </row>
    <row r="2321">
      <c r="A2321" s="66" t="inlineStr">
        <is>
          <t>26/11/2013</t>
        </is>
      </c>
      <c r="B2321" s="28" t="n">
        <v>58.15</v>
      </c>
    </row>
    <row r="2322">
      <c r="A2322" s="66" t="inlineStr">
        <is>
          <t>27/11/2013</t>
        </is>
      </c>
      <c r="B2322" s="28" t="n">
        <v>58.69</v>
      </c>
    </row>
    <row r="2323">
      <c r="A2323" s="66" t="inlineStr">
        <is>
          <t>28/11/2013</t>
        </is>
      </c>
      <c r="B2323" s="28" t="n">
        <v>58.77</v>
      </c>
    </row>
    <row r="2324">
      <c r="A2324" s="66" t="inlineStr">
        <is>
          <t>29/11/2013</t>
        </is>
      </c>
      <c r="B2324" s="28" t="n">
        <v>58.6</v>
      </c>
    </row>
    <row r="2325">
      <c r="A2325" s="66" t="inlineStr">
        <is>
          <t>02/12/2013</t>
        </is>
      </c>
      <c r="B2325" s="28" t="n">
        <v>57.87</v>
      </c>
    </row>
    <row r="2326">
      <c r="A2326" s="66" t="inlineStr">
        <is>
          <t>03/12/2013</t>
        </is>
      </c>
      <c r="B2326" s="28" t="n">
        <v>58.23</v>
      </c>
    </row>
    <row r="2327">
      <c r="A2327" s="66" t="inlineStr">
        <is>
          <t>04/12/2013</t>
        </is>
      </c>
      <c r="B2327" s="28" t="n">
        <v>58.01</v>
      </c>
    </row>
    <row r="2328">
      <c r="A2328" s="66" t="inlineStr">
        <is>
          <t>05/12/2013</t>
        </is>
      </c>
      <c r="B2328" s="28" t="n">
        <v>57.92</v>
      </c>
    </row>
    <row r="2329">
      <c r="A2329" s="66" t="inlineStr">
        <is>
          <t>06/12/2013</t>
        </is>
      </c>
      <c r="B2329" s="28" t="n">
        <v>58.07</v>
      </c>
    </row>
    <row r="2330">
      <c r="A2330" s="66" t="inlineStr">
        <is>
          <t>09/12/2013</t>
        </is>
      </c>
      <c r="B2330" s="28" t="n">
        <v>58.49</v>
      </c>
    </row>
    <row r="2331">
      <c r="A2331" s="66" t="inlineStr">
        <is>
          <t>10/12/2013</t>
        </is>
      </c>
      <c r="B2331" s="28" t="n">
        <v>58.05</v>
      </c>
    </row>
    <row r="2332">
      <c r="A2332" s="66" t="inlineStr">
        <is>
          <t>11/12/2013</t>
        </is>
      </c>
      <c r="B2332" s="28" t="n">
        <v>57.96</v>
      </c>
    </row>
    <row r="2333">
      <c r="A2333" s="66" t="inlineStr">
        <is>
          <t>12/12/2013</t>
        </is>
      </c>
      <c r="B2333" s="28" t="n">
        <v>57.9</v>
      </c>
    </row>
    <row r="2334">
      <c r="A2334" s="66" t="inlineStr">
        <is>
          <t>13/12/2013</t>
        </is>
      </c>
      <c r="B2334" s="28" t="n">
        <v>57.83</v>
      </c>
    </row>
    <row r="2335">
      <c r="A2335" s="66" t="inlineStr">
        <is>
          <t>16/12/2013</t>
        </is>
      </c>
      <c r="B2335" s="28" t="n">
        <v>57.81</v>
      </c>
    </row>
    <row r="2336">
      <c r="A2336" s="66" t="inlineStr">
        <is>
          <t>17/12/2013</t>
        </is>
      </c>
      <c r="B2336" s="28" t="n">
        <v>58.05</v>
      </c>
    </row>
    <row r="2337">
      <c r="A2337" s="66" t="inlineStr">
        <is>
          <t>18/12/2013</t>
        </is>
      </c>
      <c r="B2337" s="28" t="n">
        <v>58.18</v>
      </c>
    </row>
    <row r="2338">
      <c r="A2338" s="66" t="inlineStr">
        <is>
          <t>19/12/2013</t>
        </is>
      </c>
      <c r="B2338" s="28" t="n">
        <v>58.47</v>
      </c>
    </row>
    <row r="2339">
      <c r="A2339" s="66" t="inlineStr">
        <is>
          <t>20/12/2013</t>
        </is>
      </c>
      <c r="B2339" s="28" t="n">
        <v>58.75</v>
      </c>
    </row>
    <row r="2340">
      <c r="A2340" s="66" t="inlineStr">
        <is>
          <t>23/12/2013</t>
        </is>
      </c>
      <c r="B2340" s="28" t="n">
        <v>58.78</v>
      </c>
    </row>
    <row r="2341">
      <c r="A2341" s="66" t="inlineStr">
        <is>
          <t>26/12/2013</t>
        </is>
      </c>
      <c r="B2341" s="28" t="n">
        <v>58.89</v>
      </c>
    </row>
    <row r="2342">
      <c r="A2342" s="66" t="inlineStr">
        <is>
          <t>27/12/2013</t>
        </is>
      </c>
      <c r="B2342" s="28" t="n">
        <v>59</v>
      </c>
    </row>
    <row r="2343">
      <c r="A2343" s="66" t="inlineStr">
        <is>
          <t>30/12/2013</t>
        </is>
      </c>
      <c r="B2343" s="28" t="n">
        <v>58.45</v>
      </c>
    </row>
    <row r="2344">
      <c r="A2344" s="66" t="inlineStr">
        <is>
          <t>02/01/2014</t>
        </is>
      </c>
      <c r="B2344" s="28" t="n">
        <v>58.39</v>
      </c>
    </row>
    <row r="2345">
      <c r="A2345" s="66" t="inlineStr">
        <is>
          <t>03/01/2014</t>
        </is>
      </c>
      <c r="B2345" s="28" t="n">
        <v>59.17</v>
      </c>
    </row>
    <row r="2346">
      <c r="A2346" s="66" t="inlineStr">
        <is>
          <t>06/01/2014</t>
        </is>
      </c>
      <c r="B2346" s="28" t="n">
        <v>59.81</v>
      </c>
    </row>
    <row r="2347">
      <c r="A2347" s="66" t="inlineStr">
        <is>
          <t>07/01/2014</t>
        </is>
      </c>
      <c r="B2347" s="28" t="n">
        <v>60.25</v>
      </c>
    </row>
    <row r="2348">
      <c r="A2348" s="66" t="inlineStr">
        <is>
          <t>08/01/2014</t>
        </is>
      </c>
      <c r="B2348" s="28" t="n">
        <v>59.53</v>
      </c>
    </row>
    <row r="2349">
      <c r="A2349" s="66" t="inlineStr">
        <is>
          <t>09/01/2014</t>
        </is>
      </c>
      <c r="B2349" s="28" t="n">
        <v>59.55</v>
      </c>
    </row>
    <row r="2350">
      <c r="A2350" s="66" t="inlineStr">
        <is>
          <t>10/01/2014</t>
        </is>
      </c>
      <c r="B2350" s="28" t="n">
        <v>59.55</v>
      </c>
    </row>
    <row r="2351">
      <c r="A2351" s="66" t="inlineStr">
        <is>
          <t>13/01/2014</t>
        </is>
      </c>
      <c r="B2351" s="28" t="n">
        <v>59.88</v>
      </c>
    </row>
    <row r="2352">
      <c r="A2352" s="66" t="inlineStr">
        <is>
          <t>14/01/2014</t>
        </is>
      </c>
      <c r="B2352" s="28" t="n">
        <v>59.94</v>
      </c>
    </row>
    <row r="2353">
      <c r="A2353" s="66" t="inlineStr">
        <is>
          <t>15/01/2014</t>
        </is>
      </c>
      <c r="B2353" s="28" t="n">
        <v>59.83</v>
      </c>
    </row>
    <row r="2354">
      <c r="A2354" s="66" t="inlineStr">
        <is>
          <t>16/01/2014</t>
        </is>
      </c>
      <c r="B2354" s="28" t="n">
        <v>59.33</v>
      </c>
    </row>
    <row r="2355">
      <c r="A2355" s="66" t="inlineStr">
        <is>
          <t>17/01/2014</t>
        </is>
      </c>
      <c r="B2355" s="28" t="n">
        <v>59.22</v>
      </c>
    </row>
    <row r="2356">
      <c r="A2356" s="66" t="inlineStr">
        <is>
          <t>20/01/2014</t>
        </is>
      </c>
      <c r="B2356" s="28" t="n">
        <v>58.76</v>
      </c>
    </row>
    <row r="2357">
      <c r="A2357" s="66" t="inlineStr">
        <is>
          <t>21/01/2014</t>
        </is>
      </c>
      <c r="B2357" s="28" t="n">
        <v>58.41</v>
      </c>
    </row>
    <row r="2358">
      <c r="A2358" s="66" t="inlineStr">
        <is>
          <t>22/01/2014</t>
        </is>
      </c>
      <c r="B2358" s="28" t="n">
        <v>58.28</v>
      </c>
    </row>
    <row r="2359">
      <c r="A2359" s="66" t="inlineStr">
        <is>
          <t>23/01/2014</t>
        </is>
      </c>
      <c r="B2359" s="28" t="n">
        <v>58.01</v>
      </c>
    </row>
    <row r="2360">
      <c r="A2360" s="66" t="inlineStr">
        <is>
          <t>24/01/2014</t>
        </is>
      </c>
      <c r="B2360" s="28" t="n">
        <v>57.07</v>
      </c>
    </row>
    <row r="2361">
      <c r="A2361" s="66" t="inlineStr">
        <is>
          <t>27/01/2014</t>
        </is>
      </c>
      <c r="B2361" s="28" t="n">
        <v>57.33</v>
      </c>
    </row>
    <row r="2362">
      <c r="A2362" s="66" t="inlineStr">
        <is>
          <t>28/01/2014</t>
        </is>
      </c>
      <c r="B2362" s="28" t="n">
        <v>57.51</v>
      </c>
    </row>
    <row r="2363">
      <c r="A2363" s="66" t="inlineStr">
        <is>
          <t>29/01/2014</t>
        </is>
      </c>
      <c r="B2363" s="28" t="n">
        <v>57.47</v>
      </c>
    </row>
    <row r="2364">
      <c r="A2364" s="66" t="inlineStr">
        <is>
          <t>30/01/2014</t>
        </is>
      </c>
      <c r="B2364" s="28" t="n">
        <v>57.99</v>
      </c>
    </row>
    <row r="2365">
      <c r="A2365" s="66" t="inlineStr">
        <is>
          <t>31/01/2014</t>
        </is>
      </c>
      <c r="B2365" s="28" t="n">
        <v>58.41</v>
      </c>
    </row>
    <row r="2366">
      <c r="A2366" s="66" t="inlineStr">
        <is>
          <t>03/02/2014</t>
        </is>
      </c>
      <c r="B2366" s="28" t="n">
        <v>58.75</v>
      </c>
    </row>
    <row r="2367">
      <c r="A2367" s="66" t="inlineStr">
        <is>
          <t>04/02/2014</t>
        </is>
      </c>
      <c r="B2367" s="28" t="n">
        <v>59.85</v>
      </c>
    </row>
    <row r="2368">
      <c r="A2368" s="66" t="inlineStr">
        <is>
          <t>05/02/2014</t>
        </is>
      </c>
      <c r="B2368" s="28" t="n">
        <v>61.27</v>
      </c>
    </row>
    <row r="2369">
      <c r="A2369" s="66" t="inlineStr">
        <is>
          <t>06/02/2014</t>
        </is>
      </c>
      <c r="B2369" s="28" t="n">
        <v>62.27</v>
      </c>
    </row>
    <row r="2370">
      <c r="A2370" s="66" t="inlineStr">
        <is>
          <t>07/02/2014</t>
        </is>
      </c>
      <c r="B2370" s="28" t="n">
        <v>61.81</v>
      </c>
    </row>
    <row r="2371">
      <c r="A2371" s="66" t="inlineStr">
        <is>
          <t>10/02/2014</t>
        </is>
      </c>
      <c r="B2371" s="28" t="n">
        <v>61.94</v>
      </c>
    </row>
    <row r="2372">
      <c r="A2372" s="66" t="inlineStr">
        <is>
          <t>11/02/2014</t>
        </is>
      </c>
      <c r="B2372" s="28" t="n">
        <v>63.16</v>
      </c>
    </row>
    <row r="2373">
      <c r="A2373" s="66" t="inlineStr">
        <is>
          <t>12/02/2014</t>
        </is>
      </c>
      <c r="B2373" s="28" t="n">
        <v>64.43000000000001</v>
      </c>
    </row>
    <row r="2374">
      <c r="A2374" s="66" t="inlineStr">
        <is>
          <t>13/02/2014</t>
        </is>
      </c>
      <c r="B2374" s="28" t="n">
        <v>64.84999999999999</v>
      </c>
    </row>
    <row r="2375">
      <c r="A2375" s="66" t="inlineStr">
        <is>
          <t>14/02/2014</t>
        </is>
      </c>
      <c r="B2375" s="28" t="n">
        <v>65.73999999999999</v>
      </c>
    </row>
    <row r="2376">
      <c r="A2376" s="66" t="inlineStr">
        <is>
          <t>17/02/2014</t>
        </is>
      </c>
      <c r="B2376" s="28" t="n">
        <v>65.78</v>
      </c>
    </row>
    <row r="2377">
      <c r="A2377" s="66" t="inlineStr">
        <is>
          <t>18/02/2014</t>
        </is>
      </c>
      <c r="B2377" s="28" t="n">
        <v>67.59999999999999</v>
      </c>
    </row>
    <row r="2378">
      <c r="A2378" s="66" t="inlineStr">
        <is>
          <t>19/02/2014</t>
        </is>
      </c>
      <c r="B2378" s="28" t="n">
        <v>69.34</v>
      </c>
    </row>
    <row r="2379">
      <c r="A2379" s="66" t="inlineStr">
        <is>
          <t>20/02/2014</t>
        </is>
      </c>
      <c r="B2379" s="28" t="n">
        <v>70.98</v>
      </c>
    </row>
    <row r="2380">
      <c r="A2380" s="66" t="inlineStr">
        <is>
          <t>21/02/2014</t>
        </is>
      </c>
      <c r="B2380" s="28" t="n">
        <v>72.34</v>
      </c>
    </row>
    <row r="2381">
      <c r="A2381" s="66" t="inlineStr">
        <is>
          <t>24/02/2014</t>
        </is>
      </c>
      <c r="B2381" s="28" t="n">
        <v>72.38</v>
      </c>
    </row>
    <row r="2382">
      <c r="A2382" s="66" t="inlineStr">
        <is>
          <t>25/02/2014</t>
        </is>
      </c>
      <c r="B2382" s="28" t="n">
        <v>73.40000000000001</v>
      </c>
    </row>
    <row r="2383">
      <c r="A2383" s="66" t="inlineStr">
        <is>
          <t>26/02/2014</t>
        </is>
      </c>
      <c r="B2383" s="28" t="n">
        <v>73.67</v>
      </c>
    </row>
    <row r="2384">
      <c r="A2384" s="66" t="inlineStr">
        <is>
          <t>27/02/2014</t>
        </is>
      </c>
      <c r="B2384" s="28" t="n">
        <v>73.54000000000001</v>
      </c>
    </row>
    <row r="2385">
      <c r="A2385" s="66" t="inlineStr">
        <is>
          <t>28/02/2014</t>
        </is>
      </c>
      <c r="B2385" s="28" t="n">
        <v>74.13</v>
      </c>
    </row>
    <row r="2386">
      <c r="A2386" s="66" t="inlineStr">
        <is>
          <t>05/03/2014</t>
        </is>
      </c>
      <c r="B2386" s="28" t="n">
        <v>72.69</v>
      </c>
    </row>
    <row r="2387">
      <c r="A2387" s="66" t="inlineStr">
        <is>
          <t>06/03/2014</t>
        </is>
      </c>
      <c r="B2387" s="28" t="n">
        <v>72.63</v>
      </c>
    </row>
    <row r="2388">
      <c r="A2388" s="66" t="inlineStr">
        <is>
          <t>07/03/2014</t>
        </is>
      </c>
      <c r="B2388" s="28" t="n">
        <v>73.08</v>
      </c>
    </row>
    <row r="2389">
      <c r="A2389" s="66" t="inlineStr">
        <is>
          <t>10/03/2014</t>
        </is>
      </c>
      <c r="B2389" s="28" t="n">
        <v>73.36</v>
      </c>
    </row>
    <row r="2390">
      <c r="A2390" s="66" t="inlineStr">
        <is>
          <t>11/03/2014</t>
        </is>
      </c>
      <c r="B2390" s="28" t="n">
        <v>73.25</v>
      </c>
    </row>
    <row r="2391">
      <c r="A2391" s="66" t="inlineStr">
        <is>
          <t>12/03/2014</t>
        </is>
      </c>
      <c r="B2391" s="28" t="n">
        <v>72.69</v>
      </c>
    </row>
    <row r="2392">
      <c r="A2392" s="66" t="inlineStr">
        <is>
          <t>13/03/2014</t>
        </is>
      </c>
      <c r="B2392" s="28" t="n">
        <v>72.23999999999999</v>
      </c>
    </row>
    <row r="2393">
      <c r="A2393" s="66" t="inlineStr">
        <is>
          <t>14/03/2014</t>
        </is>
      </c>
      <c r="B2393" s="28" t="n">
        <v>71.95999999999999</v>
      </c>
    </row>
    <row r="2394">
      <c r="A2394" s="66" t="inlineStr">
        <is>
          <t>17/03/2014</t>
        </is>
      </c>
      <c r="B2394" s="28" t="n">
        <v>71.66</v>
      </c>
    </row>
    <row r="2395">
      <c r="A2395" s="66" t="inlineStr">
        <is>
          <t>18/03/2014</t>
        </is>
      </c>
      <c r="B2395" s="28" t="n">
        <v>70.8</v>
      </c>
    </row>
    <row r="2396">
      <c r="A2396" s="66" t="inlineStr">
        <is>
          <t>19/03/2014</t>
        </is>
      </c>
      <c r="B2396" s="28" t="n">
        <v>70.40000000000001</v>
      </c>
    </row>
    <row r="2397">
      <c r="A2397" s="66" t="inlineStr">
        <is>
          <t>20/03/2014</t>
        </is>
      </c>
      <c r="B2397" s="28" t="n">
        <v>69.15000000000001</v>
      </c>
    </row>
    <row r="2398">
      <c r="A2398" s="66" t="inlineStr">
        <is>
          <t>21/03/2014</t>
        </is>
      </c>
      <c r="B2398" s="28" t="n">
        <v>68.51000000000001</v>
      </c>
    </row>
    <row r="2399">
      <c r="A2399" s="66" t="inlineStr">
        <is>
          <t>24/03/2014</t>
        </is>
      </c>
      <c r="B2399" s="28" t="n">
        <v>68.66</v>
      </c>
    </row>
    <row r="2400">
      <c r="A2400" s="66" t="inlineStr">
        <is>
          <t>25/03/2014</t>
        </is>
      </c>
      <c r="B2400" s="28" t="n">
        <v>68.45999999999999</v>
      </c>
    </row>
    <row r="2401">
      <c r="A2401" s="66" t="inlineStr">
        <is>
          <t>26/03/2014</t>
        </is>
      </c>
      <c r="B2401" s="28" t="n">
        <v>67.75</v>
      </c>
    </row>
    <row r="2402">
      <c r="A2402" s="66" t="inlineStr">
        <is>
          <t>27/03/2014</t>
        </is>
      </c>
      <c r="B2402" s="28" t="n">
        <v>68.01000000000001</v>
      </c>
    </row>
    <row r="2403">
      <c r="A2403" s="66" t="inlineStr">
        <is>
          <t>28/03/2014</t>
        </is>
      </c>
      <c r="B2403" s="28" t="n">
        <v>67.52</v>
      </c>
    </row>
    <row r="2404">
      <c r="A2404" s="66" t="inlineStr">
        <is>
          <t>31/03/2014</t>
        </is>
      </c>
      <c r="B2404" s="28" t="n">
        <v>67.3</v>
      </c>
    </row>
    <row r="2405">
      <c r="A2405" s="66" t="inlineStr">
        <is>
          <t>01/04/2014</t>
        </is>
      </c>
      <c r="B2405" s="28" t="n">
        <v>66.73999999999999</v>
      </c>
    </row>
    <row r="2406">
      <c r="A2406" s="66" t="inlineStr">
        <is>
          <t>02/04/2014</t>
        </is>
      </c>
      <c r="B2406" s="28" t="n">
        <v>66.61</v>
      </c>
    </row>
    <row r="2407">
      <c r="A2407" s="66" t="inlineStr">
        <is>
          <t>03/04/2014</t>
        </is>
      </c>
      <c r="B2407" s="28" t="n">
        <v>66.68000000000001</v>
      </c>
    </row>
    <row r="2408">
      <c r="A2408" s="66" t="inlineStr">
        <is>
          <t>04/04/2014</t>
        </is>
      </c>
      <c r="B2408" s="28" t="n">
        <v>66.76000000000001</v>
      </c>
    </row>
    <row r="2409">
      <c r="A2409" s="66" t="inlineStr">
        <is>
          <t>07/04/2014</t>
        </is>
      </c>
      <c r="B2409" s="28" t="n">
        <v>66.56999999999999</v>
      </c>
    </row>
    <row r="2410">
      <c r="A2410" s="66" t="inlineStr">
        <is>
          <t>08/04/2014</t>
        </is>
      </c>
      <c r="B2410" s="28" t="n">
        <v>66.65000000000001</v>
      </c>
    </row>
    <row r="2411">
      <c r="A2411" s="66" t="inlineStr">
        <is>
          <t>09/04/2014</t>
        </is>
      </c>
      <c r="B2411" s="28" t="n">
        <v>67</v>
      </c>
    </row>
    <row r="2412">
      <c r="A2412" s="66" t="inlineStr">
        <is>
          <t>10/04/2014</t>
        </is>
      </c>
      <c r="B2412" s="28" t="n">
        <v>66.65000000000001</v>
      </c>
    </row>
    <row r="2413">
      <c r="A2413" s="66" t="inlineStr">
        <is>
          <t>11/04/2014</t>
        </is>
      </c>
      <c r="B2413" s="28" t="n">
        <v>66.73999999999999</v>
      </c>
    </row>
    <row r="2414">
      <c r="A2414" s="66" t="inlineStr">
        <is>
          <t>14/04/2014</t>
        </is>
      </c>
      <c r="B2414" s="28" t="n">
        <v>66.61</v>
      </c>
    </row>
    <row r="2415">
      <c r="A2415" s="66" t="inlineStr">
        <is>
          <t>15/04/2014</t>
        </is>
      </c>
      <c r="B2415" s="28" t="n">
        <v>67.19</v>
      </c>
    </row>
    <row r="2416">
      <c r="A2416" s="66" t="inlineStr">
        <is>
          <t>16/04/2014</t>
        </is>
      </c>
      <c r="B2416" s="28" t="n">
        <v>66.73999999999999</v>
      </c>
    </row>
    <row r="2417">
      <c r="A2417" s="66" t="inlineStr">
        <is>
          <t>17/04/2014</t>
        </is>
      </c>
      <c r="B2417" s="28" t="n">
        <v>66.44</v>
      </c>
    </row>
    <row r="2418">
      <c r="A2418" s="66" t="inlineStr">
        <is>
          <t>22/04/2014</t>
        </is>
      </c>
      <c r="B2418" s="28" t="n">
        <v>67.25</v>
      </c>
    </row>
    <row r="2419">
      <c r="A2419" s="66" t="inlineStr">
        <is>
          <t>23/04/2014</t>
        </is>
      </c>
      <c r="B2419" s="28" t="n">
        <v>66.76000000000001</v>
      </c>
    </row>
    <row r="2420">
      <c r="A2420" s="66" t="inlineStr">
        <is>
          <t>24/04/2014</t>
        </is>
      </c>
      <c r="B2420" s="28" t="n">
        <v>66.08</v>
      </c>
    </row>
    <row r="2421">
      <c r="A2421" s="66" t="inlineStr">
        <is>
          <t>25/04/2014</t>
        </is>
      </c>
      <c r="B2421" s="28" t="n">
        <v>65.95</v>
      </c>
    </row>
    <row r="2422">
      <c r="A2422" s="66" t="inlineStr">
        <is>
          <t>28/04/2014</t>
        </is>
      </c>
      <c r="B2422" s="28" t="n">
        <v>65.48</v>
      </c>
    </row>
    <row r="2423">
      <c r="A2423" s="66" t="inlineStr">
        <is>
          <t>29/04/2014</t>
        </is>
      </c>
      <c r="B2423" s="28" t="n">
        <v>64.95</v>
      </c>
    </row>
    <row r="2424">
      <c r="A2424" s="66" t="inlineStr">
        <is>
          <t>30/04/2014</t>
        </is>
      </c>
      <c r="B2424" s="28" t="n">
        <v>64.97</v>
      </c>
    </row>
    <row r="2425">
      <c r="A2425" s="66" t="inlineStr">
        <is>
          <t>02/05/2014</t>
        </is>
      </c>
      <c r="B2425" s="28" t="n">
        <v>64.86</v>
      </c>
    </row>
    <row r="2426">
      <c r="A2426" s="66" t="inlineStr">
        <is>
          <t>05/05/2014</t>
        </is>
      </c>
      <c r="B2426" s="28" t="n">
        <v>64.84</v>
      </c>
    </row>
    <row r="2427">
      <c r="A2427" s="66" t="inlineStr">
        <is>
          <t>06/05/2014</t>
        </is>
      </c>
      <c r="B2427" s="28" t="n">
        <v>64.73999999999999</v>
      </c>
    </row>
    <row r="2428">
      <c r="A2428" s="66" t="inlineStr">
        <is>
          <t>07/05/2014</t>
        </is>
      </c>
      <c r="B2428" s="28" t="n">
        <v>63.2</v>
      </c>
    </row>
    <row r="2429">
      <c r="A2429" s="66" t="inlineStr">
        <is>
          <t>08/05/2014</t>
        </is>
      </c>
      <c r="B2429" s="28" t="n">
        <v>63.03</v>
      </c>
    </row>
    <row r="2430">
      <c r="A2430" s="66" t="inlineStr">
        <is>
          <t>09/05/2014</t>
        </is>
      </c>
      <c r="B2430" s="28" t="n">
        <v>62.75</v>
      </c>
    </row>
    <row r="2431">
      <c r="A2431" s="66" t="inlineStr">
        <is>
          <t>12/05/2014</t>
        </is>
      </c>
      <c r="B2431" s="28" t="n">
        <v>62.9</v>
      </c>
    </row>
    <row r="2432">
      <c r="A2432" s="66" t="inlineStr">
        <is>
          <t>13/05/2014</t>
        </is>
      </c>
      <c r="B2432" s="28" t="n">
        <v>61.56</v>
      </c>
    </row>
    <row r="2433">
      <c r="A2433" s="66" t="inlineStr">
        <is>
          <t>14/05/2014</t>
        </is>
      </c>
      <c r="B2433" s="28" t="n">
        <v>61.79</v>
      </c>
    </row>
    <row r="2434">
      <c r="A2434" s="66" t="inlineStr">
        <is>
          <t>15/05/2014</t>
        </is>
      </c>
      <c r="B2434" s="28" t="n">
        <v>61.34</v>
      </c>
    </row>
    <row r="2435">
      <c r="A2435" s="66" t="inlineStr">
        <is>
          <t>16/05/2014</t>
        </is>
      </c>
      <c r="B2435" s="28" t="n">
        <v>60.49</v>
      </c>
    </row>
    <row r="2436">
      <c r="A2436" s="66" t="inlineStr">
        <is>
          <t>19/05/2014</t>
        </is>
      </c>
      <c r="B2436" s="28" t="n">
        <v>60.66</v>
      </c>
    </row>
    <row r="2437">
      <c r="A2437" s="66" t="inlineStr">
        <is>
          <t>20/05/2014</t>
        </is>
      </c>
      <c r="B2437" s="28" t="n">
        <v>59.79</v>
      </c>
    </row>
    <row r="2438">
      <c r="A2438" s="66" t="inlineStr">
        <is>
          <t>21/05/2014</t>
        </is>
      </c>
      <c r="B2438" s="28" t="n">
        <v>59.76</v>
      </c>
    </row>
    <row r="2439">
      <c r="A2439" s="66" t="inlineStr">
        <is>
          <t>22/05/2014</t>
        </is>
      </c>
      <c r="B2439" s="28" t="n">
        <v>59.64</v>
      </c>
    </row>
    <row r="2440">
      <c r="A2440" s="66" t="inlineStr">
        <is>
          <t>23/05/2014</t>
        </is>
      </c>
      <c r="B2440" s="28" t="n">
        <v>59.74</v>
      </c>
    </row>
    <row r="2441">
      <c r="A2441" s="66" t="inlineStr">
        <is>
          <t>26/05/2014</t>
        </is>
      </c>
      <c r="B2441" s="28" t="n">
        <v>59.49</v>
      </c>
    </row>
    <row r="2442">
      <c r="A2442" s="66" t="inlineStr">
        <is>
          <t>27/05/2014</t>
        </is>
      </c>
      <c r="B2442" s="28" t="n">
        <v>59.49</v>
      </c>
    </row>
    <row r="2443">
      <c r="A2443" s="66" t="inlineStr">
        <is>
          <t>28/05/2014</t>
        </is>
      </c>
      <c r="B2443" s="28" t="n">
        <v>59.81</v>
      </c>
    </row>
    <row r="2444">
      <c r="A2444" s="66" t="inlineStr">
        <is>
          <t>29/05/2014</t>
        </is>
      </c>
      <c r="B2444" s="28" t="n">
        <v>59.19</v>
      </c>
    </row>
    <row r="2445">
      <c r="A2445" s="66" t="inlineStr">
        <is>
          <t>30/05/2014</t>
        </is>
      </c>
      <c r="B2445" s="28" t="n">
        <v>59.12</v>
      </c>
    </row>
    <row r="2446">
      <c r="A2446" s="66" t="inlineStr">
        <is>
          <t>02/06/2014</t>
        </is>
      </c>
      <c r="B2446" s="28" t="n">
        <v>59.71</v>
      </c>
    </row>
    <row r="2447">
      <c r="A2447" s="66" t="inlineStr">
        <is>
          <t>03/06/2014</t>
        </is>
      </c>
      <c r="B2447" s="28" t="n">
        <v>59.56</v>
      </c>
    </row>
    <row r="2448">
      <c r="A2448" s="66" t="inlineStr">
        <is>
          <t>04/06/2014</t>
        </is>
      </c>
      <c r="B2448" s="28" t="n">
        <v>58.75</v>
      </c>
    </row>
    <row r="2449">
      <c r="A2449" s="66" t="inlineStr">
        <is>
          <t>05/06/2014</t>
        </is>
      </c>
      <c r="B2449" s="28" t="n">
        <v>58.64</v>
      </c>
    </row>
    <row r="2450">
      <c r="A2450" s="66" t="inlineStr">
        <is>
          <t>06/06/2014</t>
        </is>
      </c>
      <c r="B2450" s="28" t="n">
        <v>58.27</v>
      </c>
    </row>
    <row r="2451">
      <c r="A2451" s="66" t="inlineStr">
        <is>
          <t>09/06/2014</t>
        </is>
      </c>
      <c r="B2451" s="28" t="n">
        <v>58.1</v>
      </c>
    </row>
    <row r="2452">
      <c r="A2452" s="66" t="inlineStr">
        <is>
          <t>10/06/2014</t>
        </is>
      </c>
      <c r="B2452" s="28" t="n">
        <v>57.76</v>
      </c>
    </row>
    <row r="2453">
      <c r="A2453" s="66" t="inlineStr">
        <is>
          <t>11/06/2014</t>
        </is>
      </c>
      <c r="B2453" s="28" t="n">
        <v>57.33</v>
      </c>
    </row>
    <row r="2454">
      <c r="A2454" s="66" t="inlineStr">
        <is>
          <t>12/06/2014</t>
        </is>
      </c>
      <c r="B2454" s="28" t="n">
        <v>57.31</v>
      </c>
    </row>
    <row r="2455">
      <c r="A2455" s="66" t="inlineStr">
        <is>
          <t>13/06/2014</t>
        </is>
      </c>
      <c r="B2455" s="28" t="n">
        <v>56.79</v>
      </c>
    </row>
    <row r="2456">
      <c r="A2456" s="66" t="inlineStr">
        <is>
          <t>16/06/2014</t>
        </is>
      </c>
      <c r="B2456" s="28" t="n">
        <v>56.4</v>
      </c>
    </row>
    <row r="2457">
      <c r="A2457" s="66" t="inlineStr">
        <is>
          <t>17/06/2014</t>
        </is>
      </c>
      <c r="B2457" s="28" t="n">
        <v>56.38</v>
      </c>
    </row>
    <row r="2458">
      <c r="A2458" s="66" t="inlineStr">
        <is>
          <t>18/06/2014</t>
        </is>
      </c>
      <c r="B2458" s="28" t="n">
        <v>55.74</v>
      </c>
    </row>
    <row r="2459">
      <c r="A2459" s="66" t="inlineStr">
        <is>
          <t>20/06/2014</t>
        </is>
      </c>
      <c r="B2459" s="28" t="n">
        <v>55.67</v>
      </c>
    </row>
    <row r="2460">
      <c r="A2460" s="66" t="inlineStr">
        <is>
          <t>23/06/2014</t>
        </is>
      </c>
      <c r="B2460" s="28" t="n">
        <v>55.7</v>
      </c>
    </row>
    <row r="2461">
      <c r="A2461" s="66" t="inlineStr">
        <is>
          <t>24/06/2014</t>
        </is>
      </c>
      <c r="B2461" s="28" t="n">
        <v>54.86</v>
      </c>
    </row>
    <row r="2462">
      <c r="A2462" s="66" t="inlineStr">
        <is>
          <t>25/06/2014</t>
        </is>
      </c>
      <c r="B2462" s="28" t="n">
        <v>54.77</v>
      </c>
    </row>
    <row r="2463">
      <c r="A2463" s="66" t="inlineStr">
        <is>
          <t>26/06/2014</t>
        </is>
      </c>
      <c r="B2463" s="28" t="n">
        <v>54.13</v>
      </c>
    </row>
    <row r="2464">
      <c r="A2464" s="66" t="inlineStr">
        <is>
          <t>27/06/2014</t>
        </is>
      </c>
      <c r="B2464" s="28" t="n">
        <v>54.08</v>
      </c>
    </row>
    <row r="2465">
      <c r="A2465" s="66" t="inlineStr">
        <is>
          <t>30/06/2014</t>
        </is>
      </c>
      <c r="B2465" s="28" t="n">
        <v>54.08</v>
      </c>
    </row>
    <row r="2466">
      <c r="A2466" s="66" t="inlineStr">
        <is>
          <t>01/07/2014</t>
        </is>
      </c>
      <c r="B2466" s="28" t="n">
        <v>52.9</v>
      </c>
    </row>
    <row r="2467">
      <c r="A2467" s="66" t="inlineStr">
        <is>
          <t>02/07/2014</t>
        </is>
      </c>
      <c r="B2467" s="28" t="n">
        <v>53.83</v>
      </c>
    </row>
    <row r="2468">
      <c r="A2468" s="66" t="inlineStr">
        <is>
          <t>03/07/2014</t>
        </is>
      </c>
      <c r="B2468" s="28" t="n">
        <v>53.33</v>
      </c>
    </row>
    <row r="2469">
      <c r="A2469" s="66" t="inlineStr">
        <is>
          <t>04/07/2014</t>
        </is>
      </c>
      <c r="B2469" s="28" t="n">
        <v>53.49</v>
      </c>
    </row>
    <row r="2470">
      <c r="A2470" s="66" t="inlineStr">
        <is>
          <t>07/07/2014</t>
        </is>
      </c>
      <c r="B2470" s="28" t="n">
        <v>52.75</v>
      </c>
    </row>
    <row r="2471">
      <c r="A2471" s="66" t="inlineStr">
        <is>
          <t>08/07/2014</t>
        </is>
      </c>
      <c r="B2471" s="28" t="n">
        <v>52.94</v>
      </c>
    </row>
    <row r="2472">
      <c r="A2472" s="66" t="inlineStr">
        <is>
          <t>10/07/2014</t>
        </is>
      </c>
      <c r="B2472" s="28" t="n">
        <v>52.66</v>
      </c>
    </row>
    <row r="2473">
      <c r="A2473" s="66" t="inlineStr">
        <is>
          <t>11/07/2014</t>
        </is>
      </c>
      <c r="B2473" s="28" t="n">
        <v>52.51</v>
      </c>
    </row>
    <row r="2474">
      <c r="A2474" s="66" t="inlineStr">
        <is>
          <t>14/07/2014</t>
        </is>
      </c>
      <c r="B2474" s="28" t="n">
        <v>51.86</v>
      </c>
    </row>
    <row r="2475">
      <c r="A2475" s="66" t="inlineStr">
        <is>
          <t>15/07/2014</t>
        </is>
      </c>
      <c r="B2475" s="28" t="n">
        <v>51.71</v>
      </c>
    </row>
    <row r="2476">
      <c r="A2476" s="66" t="inlineStr">
        <is>
          <t>16/07/2014</t>
        </is>
      </c>
      <c r="B2476" s="28" t="n">
        <v>51.56</v>
      </c>
    </row>
    <row r="2477">
      <c r="A2477" s="66" t="inlineStr">
        <is>
          <t>17/07/2014</t>
        </is>
      </c>
      <c r="B2477" s="28" t="n">
        <v>50.93</v>
      </c>
    </row>
    <row r="2478">
      <c r="A2478" s="66" t="inlineStr">
        <is>
          <t>18/07/2014</t>
        </is>
      </c>
      <c r="B2478" s="28" t="n">
        <v>50.67</v>
      </c>
    </row>
    <row r="2479">
      <c r="A2479" s="66" t="inlineStr">
        <is>
          <t>21/07/2014</t>
        </is>
      </c>
      <c r="B2479" s="28" t="n">
        <v>49.96</v>
      </c>
    </row>
    <row r="2480">
      <c r="A2480" s="66" t="inlineStr">
        <is>
          <t>22/07/2014</t>
        </is>
      </c>
      <c r="B2480" s="28" t="n">
        <v>49.72</v>
      </c>
    </row>
    <row r="2481">
      <c r="A2481" s="66" t="inlineStr">
        <is>
          <t>23/07/2014</t>
        </is>
      </c>
      <c r="B2481" s="28" t="n">
        <v>49.48</v>
      </c>
    </row>
    <row r="2482">
      <c r="A2482" s="66" t="inlineStr">
        <is>
          <t>24/07/2014</t>
        </is>
      </c>
      <c r="B2482" s="28" t="n">
        <v>49.55</v>
      </c>
    </row>
    <row r="2483">
      <c r="A2483" s="66" t="inlineStr">
        <is>
          <t>25/07/2014</t>
        </is>
      </c>
      <c r="B2483" s="28" t="n">
        <v>49.12</v>
      </c>
    </row>
    <row r="2484">
      <c r="A2484" s="66" t="inlineStr">
        <is>
          <t>28/07/2014</t>
        </is>
      </c>
      <c r="B2484" s="28" t="n">
        <v>49.25</v>
      </c>
    </row>
    <row r="2485">
      <c r="A2485" s="66" t="inlineStr">
        <is>
          <t>29/07/2014</t>
        </is>
      </c>
      <c r="B2485" s="28" t="n">
        <v>49.07</v>
      </c>
    </row>
    <row r="2486">
      <c r="A2486" s="66" t="inlineStr">
        <is>
          <t>30/07/2014</t>
        </is>
      </c>
      <c r="B2486" s="28" t="n">
        <v>49.16</v>
      </c>
    </row>
    <row r="2487">
      <c r="A2487" s="66" t="inlineStr">
        <is>
          <t>31/07/2014</t>
        </is>
      </c>
      <c r="B2487" s="28" t="n">
        <v>49.16</v>
      </c>
    </row>
    <row r="2488">
      <c r="A2488" s="66" t="inlineStr">
        <is>
          <t>01/08/2014</t>
        </is>
      </c>
      <c r="B2488" s="28" t="n">
        <v>49.73</v>
      </c>
    </row>
    <row r="2489">
      <c r="A2489" s="66" t="inlineStr">
        <is>
          <t>04/08/2014</t>
        </is>
      </c>
      <c r="B2489" s="28" t="n">
        <v>49.62</v>
      </c>
    </row>
    <row r="2490">
      <c r="A2490" s="66" t="inlineStr">
        <is>
          <t>05/08/2014</t>
        </is>
      </c>
      <c r="B2490" s="28" t="n">
        <v>49.27</v>
      </c>
    </row>
    <row r="2491">
      <c r="A2491" s="66" t="inlineStr">
        <is>
          <t>06/08/2014</t>
        </is>
      </c>
      <c r="B2491" s="28" t="n">
        <v>50.31</v>
      </c>
    </row>
    <row r="2492">
      <c r="A2492" s="66" t="inlineStr">
        <is>
          <t>07/08/2014</t>
        </is>
      </c>
      <c r="B2492" s="28" t="n">
        <v>50.77</v>
      </c>
    </row>
    <row r="2493">
      <c r="A2493" s="66" t="inlineStr">
        <is>
          <t>08/08/2014</t>
        </is>
      </c>
      <c r="B2493" s="28" t="n">
        <v>50.36</v>
      </c>
    </row>
    <row r="2494">
      <c r="A2494" s="66" t="inlineStr">
        <is>
          <t>11/08/2014</t>
        </is>
      </c>
      <c r="B2494" s="28" t="n">
        <v>50.33</v>
      </c>
    </row>
    <row r="2495">
      <c r="A2495" s="66" t="inlineStr">
        <is>
          <t>12/08/2014</t>
        </is>
      </c>
      <c r="B2495" s="28" t="n">
        <v>50.33</v>
      </c>
    </row>
    <row r="2496">
      <c r="A2496" s="66" t="inlineStr">
        <is>
          <t>13/08/2014</t>
        </is>
      </c>
      <c r="B2496" s="28" t="n">
        <v>50.09</v>
      </c>
    </row>
    <row r="2497">
      <c r="A2497" s="66" t="inlineStr">
        <is>
          <t>14/08/2014</t>
        </is>
      </c>
      <c r="B2497" s="28" t="n">
        <v>49.81</v>
      </c>
    </row>
    <row r="2498">
      <c r="A2498" s="66" t="inlineStr">
        <is>
          <t>15/08/2014</t>
        </is>
      </c>
      <c r="B2498" s="28" t="n">
        <v>49.68</v>
      </c>
    </row>
    <row r="2499">
      <c r="A2499" s="66" t="inlineStr">
        <is>
          <t>18/08/2014</t>
        </is>
      </c>
      <c r="B2499" s="28" t="n">
        <v>49.55</v>
      </c>
    </row>
    <row r="2500">
      <c r="A2500" s="66" t="inlineStr">
        <is>
          <t>19/08/2014</t>
        </is>
      </c>
      <c r="B2500" s="28" t="n">
        <v>49.44</v>
      </c>
    </row>
    <row r="2501">
      <c r="A2501" s="66" t="inlineStr">
        <is>
          <t>20/08/2014</t>
        </is>
      </c>
      <c r="B2501" s="28" t="n">
        <v>49.42</v>
      </c>
    </row>
    <row r="2502">
      <c r="A2502" s="66" t="inlineStr">
        <is>
          <t>21/08/2014</t>
        </is>
      </c>
      <c r="B2502" s="28" t="n">
        <v>49.14</v>
      </c>
    </row>
    <row r="2503">
      <c r="A2503" s="66" t="inlineStr">
        <is>
          <t>22/08/2014</t>
        </is>
      </c>
      <c r="B2503" s="28" t="n">
        <v>49.1</v>
      </c>
    </row>
    <row r="2504">
      <c r="A2504" s="66" t="inlineStr">
        <is>
          <t>25/08/2014</t>
        </is>
      </c>
      <c r="B2504" s="28" t="n">
        <v>49.29</v>
      </c>
    </row>
    <row r="2505">
      <c r="A2505" s="66" t="inlineStr">
        <is>
          <t>26/08/2014</t>
        </is>
      </c>
      <c r="B2505" s="28" t="n">
        <v>49.49</v>
      </c>
    </row>
    <row r="2506">
      <c r="A2506" s="66" t="inlineStr">
        <is>
          <t>27/08/2014</t>
        </is>
      </c>
      <c r="B2506" s="28" t="n">
        <v>49.42</v>
      </c>
    </row>
    <row r="2507">
      <c r="A2507" s="66" t="inlineStr">
        <is>
          <t>28/08/2014</t>
        </is>
      </c>
      <c r="B2507" s="28" t="n">
        <v>49.12</v>
      </c>
    </row>
    <row r="2508">
      <c r="A2508" s="66" t="inlineStr">
        <is>
          <t>29/08/2014</t>
        </is>
      </c>
      <c r="B2508" s="28" t="n">
        <v>48.99</v>
      </c>
    </row>
    <row r="2509">
      <c r="A2509" s="66" t="inlineStr">
        <is>
          <t>01/09/2014</t>
        </is>
      </c>
      <c r="B2509" s="28" t="n">
        <v>48.72</v>
      </c>
    </row>
    <row r="2510">
      <c r="A2510" s="66" t="inlineStr">
        <is>
          <t>02/09/2014</t>
        </is>
      </c>
      <c r="B2510" s="28" t="n">
        <v>48.29</v>
      </c>
    </row>
    <row r="2511">
      <c r="A2511" s="66" t="inlineStr">
        <is>
          <t>03/09/2014</t>
        </is>
      </c>
      <c r="B2511" s="28" t="n">
        <v>48.09</v>
      </c>
    </row>
    <row r="2512">
      <c r="A2512" s="66" t="inlineStr">
        <is>
          <t>04/09/2014</t>
        </is>
      </c>
      <c r="B2512" s="28" t="n">
        <v>47.46</v>
      </c>
    </row>
    <row r="2513">
      <c r="A2513" s="66" t="inlineStr">
        <is>
          <t>05/09/2014</t>
        </is>
      </c>
      <c r="B2513" s="28" t="n">
        <v>47.46</v>
      </c>
    </row>
    <row r="2514">
      <c r="A2514" s="66" t="inlineStr">
        <is>
          <t>08/09/2014</t>
        </is>
      </c>
      <c r="B2514" s="28" t="n">
        <v>47.33</v>
      </c>
    </row>
    <row r="2515">
      <c r="A2515" s="66" t="inlineStr">
        <is>
          <t>09/09/2014</t>
        </is>
      </c>
      <c r="B2515" s="28" t="n">
        <v>47.09</v>
      </c>
    </row>
    <row r="2516">
      <c r="A2516" s="66" t="inlineStr">
        <is>
          <t>10/09/2014</t>
        </is>
      </c>
      <c r="B2516" s="28" t="n">
        <v>47.18</v>
      </c>
    </row>
    <row r="2517">
      <c r="A2517" s="66" t="inlineStr">
        <is>
          <t>11/09/2014</t>
        </is>
      </c>
      <c r="B2517" s="28" t="n">
        <v>47.57</v>
      </c>
    </row>
    <row r="2518">
      <c r="A2518" s="66" t="inlineStr">
        <is>
          <t>12/09/2014</t>
        </is>
      </c>
      <c r="B2518" s="28" t="n">
        <v>47.27</v>
      </c>
    </row>
    <row r="2519">
      <c r="A2519" s="66" t="inlineStr">
        <is>
          <t>15/09/2014</t>
        </is>
      </c>
      <c r="B2519" s="28" t="n">
        <v>47.59</v>
      </c>
    </row>
    <row r="2520">
      <c r="A2520" s="66" t="inlineStr">
        <is>
          <t>16/09/2014</t>
        </is>
      </c>
      <c r="B2520" s="28" t="n">
        <v>47.38</v>
      </c>
    </row>
    <row r="2521">
      <c r="A2521" s="66" t="inlineStr">
        <is>
          <t>17/09/2014</t>
        </is>
      </c>
      <c r="B2521" s="28" t="n">
        <v>47.68</v>
      </c>
    </row>
    <row r="2522">
      <c r="A2522" s="66" t="inlineStr">
        <is>
          <t>18/09/2014</t>
        </is>
      </c>
      <c r="B2522" s="28" t="n">
        <v>47.59</v>
      </c>
    </row>
    <row r="2523">
      <c r="A2523" s="66" t="inlineStr">
        <is>
          <t>19/09/2014</t>
        </is>
      </c>
      <c r="B2523" s="28" t="n">
        <v>47.48</v>
      </c>
    </row>
    <row r="2524">
      <c r="A2524" s="66" t="inlineStr">
        <is>
          <t>22/09/2014</t>
        </is>
      </c>
      <c r="B2524" s="28" t="n">
        <v>47.51</v>
      </c>
    </row>
    <row r="2525">
      <c r="A2525" s="66" t="inlineStr">
        <is>
          <t>23/09/2014</t>
        </is>
      </c>
      <c r="B2525" s="28" t="n">
        <v>47.83</v>
      </c>
    </row>
    <row r="2526">
      <c r="A2526" s="66" t="inlineStr">
        <is>
          <t>24/09/2014</t>
        </is>
      </c>
      <c r="B2526" s="28" t="n">
        <v>47.81</v>
      </c>
    </row>
    <row r="2527">
      <c r="A2527" s="66" t="inlineStr">
        <is>
          <t>25/09/2014</t>
        </is>
      </c>
      <c r="B2527" s="28" t="n">
        <v>47.85</v>
      </c>
    </row>
    <row r="2528">
      <c r="A2528" s="66" t="inlineStr">
        <is>
          <t>26/09/2014</t>
        </is>
      </c>
      <c r="B2528" s="28" t="n">
        <v>47.85</v>
      </c>
    </row>
    <row r="2529">
      <c r="A2529" s="66" t="inlineStr">
        <is>
          <t>29/09/2014</t>
        </is>
      </c>
      <c r="B2529" s="28" t="n">
        <v>47.96</v>
      </c>
    </row>
    <row r="2530">
      <c r="A2530" s="66" t="inlineStr">
        <is>
          <t>30/09/2014</t>
        </is>
      </c>
      <c r="B2530" s="28" t="n">
        <v>47.66</v>
      </c>
    </row>
    <row r="2531">
      <c r="A2531" s="66" t="inlineStr">
        <is>
          <t>01/10/2014</t>
        </is>
      </c>
      <c r="B2531" s="28" t="n">
        <v>47.01</v>
      </c>
    </row>
    <row r="2532">
      <c r="A2532" s="66" t="inlineStr">
        <is>
          <t>02/10/2014</t>
        </is>
      </c>
      <c r="B2532" s="28" t="n">
        <v>47.29</v>
      </c>
    </row>
    <row r="2533">
      <c r="A2533" s="66" t="inlineStr">
        <is>
          <t>03/10/2014</t>
        </is>
      </c>
      <c r="B2533" s="28" t="n">
        <v>47.44</v>
      </c>
    </row>
    <row r="2534">
      <c r="A2534" s="66" t="inlineStr">
        <is>
          <t>06/10/2014</t>
        </is>
      </c>
      <c r="B2534" s="28" t="n">
        <v>47.35</v>
      </c>
    </row>
    <row r="2535">
      <c r="A2535" s="66" t="inlineStr">
        <is>
          <t>07/10/2014</t>
        </is>
      </c>
      <c r="B2535" s="28" t="n">
        <v>47.03</v>
      </c>
    </row>
    <row r="2536">
      <c r="A2536" s="66" t="inlineStr">
        <is>
          <t>08/10/2014</t>
        </is>
      </c>
      <c r="B2536" s="28" t="n">
        <v>47.57</v>
      </c>
    </row>
    <row r="2537">
      <c r="A2537" s="66" t="inlineStr">
        <is>
          <t>09/10/2014</t>
        </is>
      </c>
      <c r="B2537" s="28" t="n">
        <v>47.63</v>
      </c>
    </row>
    <row r="2538">
      <c r="A2538" s="66" t="inlineStr">
        <is>
          <t>10/10/2014</t>
        </is>
      </c>
      <c r="B2538" s="28" t="n">
        <v>47.48</v>
      </c>
    </row>
    <row r="2539">
      <c r="A2539" s="66" t="inlineStr">
        <is>
          <t>13/10/2014</t>
        </is>
      </c>
      <c r="B2539" s="28" t="n">
        <v>48.32</v>
      </c>
    </row>
    <row r="2540">
      <c r="A2540" s="66" t="inlineStr">
        <is>
          <t>14/10/2014</t>
        </is>
      </c>
      <c r="B2540" s="28" t="n">
        <v>49.36</v>
      </c>
    </row>
    <row r="2541">
      <c r="A2541" s="66" t="inlineStr">
        <is>
          <t>15/10/2014</t>
        </is>
      </c>
      <c r="B2541" s="28" t="n">
        <v>49.16</v>
      </c>
    </row>
    <row r="2542">
      <c r="A2542" s="66" t="inlineStr">
        <is>
          <t>16/10/2014</t>
        </is>
      </c>
      <c r="B2542" s="28" t="n">
        <v>49.25</v>
      </c>
    </row>
    <row r="2543">
      <c r="A2543" s="66" t="inlineStr">
        <is>
          <t>17/10/2014</t>
        </is>
      </c>
      <c r="B2543" s="28" t="n">
        <v>51.24</v>
      </c>
    </row>
    <row r="2544">
      <c r="A2544" s="66" t="inlineStr">
        <is>
          <t>20/10/2014</t>
        </is>
      </c>
      <c r="B2544" s="28" t="n">
        <v>51.43</v>
      </c>
    </row>
    <row r="2545">
      <c r="A2545" s="66" t="inlineStr">
        <is>
          <t>21/10/2014</t>
        </is>
      </c>
      <c r="B2545" s="28" t="n">
        <v>53.03</v>
      </c>
    </row>
    <row r="2546">
      <c r="A2546" s="66" t="inlineStr">
        <is>
          <t>22/10/2014</t>
        </is>
      </c>
      <c r="B2546" s="28" t="n">
        <v>53.22</v>
      </c>
    </row>
    <row r="2547">
      <c r="A2547" s="66" t="inlineStr">
        <is>
          <t>23/10/2014</t>
        </is>
      </c>
      <c r="B2547" s="28" t="n">
        <v>53.87</v>
      </c>
    </row>
    <row r="2548">
      <c r="A2548" s="66" t="inlineStr">
        <is>
          <t>24/10/2014</t>
        </is>
      </c>
      <c r="B2548" s="28" t="n">
        <v>54.17</v>
      </c>
    </row>
    <row r="2549">
      <c r="A2549" s="66" t="inlineStr">
        <is>
          <t>27/10/2014</t>
        </is>
      </c>
      <c r="B2549" s="28" t="n">
        <v>54.75</v>
      </c>
    </row>
    <row r="2550">
      <c r="A2550" s="66" t="inlineStr">
        <is>
          <t>28/10/2014</t>
        </is>
      </c>
      <c r="B2550" s="28" t="n">
        <v>56.09</v>
      </c>
    </row>
    <row r="2551">
      <c r="A2551" s="66" t="inlineStr">
        <is>
          <t>29/10/2014</t>
        </is>
      </c>
      <c r="B2551" s="28" t="n">
        <v>56.48</v>
      </c>
    </row>
    <row r="2552">
      <c r="A2552" s="66" t="inlineStr">
        <is>
          <t>30/10/2014</t>
        </is>
      </c>
      <c r="B2552" s="28" t="n">
        <v>56.87</v>
      </c>
    </row>
    <row r="2553">
      <c r="A2553" s="66" t="inlineStr">
        <is>
          <t>31/10/2014</t>
        </is>
      </c>
      <c r="B2553" s="28" t="n">
        <v>56.57</v>
      </c>
    </row>
    <row r="2554">
      <c r="A2554" s="66" t="inlineStr">
        <is>
          <t>03/11/2014</t>
        </is>
      </c>
      <c r="B2554" s="28" t="n">
        <v>56.7</v>
      </c>
    </row>
    <row r="2555">
      <c r="A2555" s="66" t="inlineStr">
        <is>
          <t>04/11/2014</t>
        </is>
      </c>
      <c r="B2555" s="28" t="n">
        <v>56.51</v>
      </c>
    </row>
    <row r="2556">
      <c r="A2556" s="66" t="inlineStr">
        <is>
          <t>05/11/2014</t>
        </is>
      </c>
      <c r="B2556" s="28" t="n">
        <v>57.22</v>
      </c>
    </row>
    <row r="2557">
      <c r="A2557" s="66" t="inlineStr">
        <is>
          <t>06/11/2014</t>
        </is>
      </c>
      <c r="B2557" s="28" t="n">
        <v>56.81</v>
      </c>
    </row>
    <row r="2558">
      <c r="A2558" s="66" t="inlineStr">
        <is>
          <t>07/11/2014</t>
        </is>
      </c>
      <c r="B2558" s="28" t="n">
        <v>57.3</v>
      </c>
    </row>
    <row r="2559">
      <c r="A2559" s="66" t="inlineStr">
        <is>
          <t>10/11/2014</t>
        </is>
      </c>
      <c r="B2559" s="28" t="n">
        <v>57.56</v>
      </c>
    </row>
    <row r="2560">
      <c r="A2560" s="66" t="inlineStr">
        <is>
          <t>11/11/2014</t>
        </is>
      </c>
      <c r="B2560" s="28" t="n">
        <v>58.33</v>
      </c>
    </row>
    <row r="2561">
      <c r="A2561" s="66" t="inlineStr">
        <is>
          <t>12/11/2014</t>
        </is>
      </c>
      <c r="B2561" s="28" t="n">
        <v>59.35</v>
      </c>
    </row>
    <row r="2562">
      <c r="A2562" s="66" t="inlineStr">
        <is>
          <t>13/11/2014</t>
        </is>
      </c>
      <c r="B2562" s="28" t="n">
        <v>58.88</v>
      </c>
    </row>
    <row r="2563">
      <c r="A2563" s="66" t="inlineStr">
        <is>
          <t>14/11/2014</t>
        </is>
      </c>
      <c r="B2563" s="28" t="n">
        <v>59.5</v>
      </c>
    </row>
    <row r="2564">
      <c r="A2564" s="66" t="inlineStr">
        <is>
          <t>17/11/2014</t>
        </is>
      </c>
      <c r="B2564" s="28" t="n">
        <v>59.67</v>
      </c>
    </row>
    <row r="2565">
      <c r="A2565" s="66" t="inlineStr">
        <is>
          <t>18/11/2014</t>
        </is>
      </c>
      <c r="B2565" s="28" t="n">
        <v>61.08</v>
      </c>
    </row>
    <row r="2566">
      <c r="A2566" s="66" t="inlineStr">
        <is>
          <t>19/11/2014</t>
        </is>
      </c>
      <c r="B2566" s="28" t="n">
        <v>61.45</v>
      </c>
    </row>
    <row r="2567">
      <c r="A2567" s="66" t="inlineStr">
        <is>
          <t>20/11/2014</t>
        </is>
      </c>
      <c r="B2567" s="28" t="n">
        <v>60.7</v>
      </c>
    </row>
    <row r="2568">
      <c r="A2568" s="66" t="inlineStr">
        <is>
          <t>21/11/2014</t>
        </is>
      </c>
      <c r="B2568" s="28" t="n">
        <v>60.61</v>
      </c>
    </row>
    <row r="2569">
      <c r="A2569" s="66" t="inlineStr">
        <is>
          <t>24/11/2014</t>
        </is>
      </c>
      <c r="B2569" s="28" t="n">
        <v>61.32</v>
      </c>
    </row>
    <row r="2570">
      <c r="A2570" s="66" t="inlineStr">
        <is>
          <t>25/11/2014</t>
        </is>
      </c>
      <c r="B2570" s="28" t="n">
        <v>60.76</v>
      </c>
    </row>
    <row r="2571">
      <c r="A2571" s="66" t="inlineStr">
        <is>
          <t>26/11/2014</t>
        </is>
      </c>
      <c r="B2571" s="28" t="n">
        <v>59.99</v>
      </c>
    </row>
    <row r="2572">
      <c r="A2572" s="66" t="inlineStr">
        <is>
          <t>27/11/2014</t>
        </is>
      </c>
      <c r="B2572" s="28" t="n">
        <v>59.69</v>
      </c>
    </row>
    <row r="2573">
      <c r="A2573" s="66" t="inlineStr">
        <is>
          <t>28/11/2014</t>
        </is>
      </c>
      <c r="B2573" s="28" t="n">
        <v>58.82</v>
      </c>
    </row>
    <row r="2574">
      <c r="A2574" s="66" t="inlineStr">
        <is>
          <t>01/12/2014</t>
        </is>
      </c>
      <c r="B2574" s="28" t="n">
        <v>57.56</v>
      </c>
    </row>
    <row r="2575">
      <c r="A2575" s="66" t="inlineStr">
        <is>
          <t>02/12/2014</t>
        </is>
      </c>
      <c r="B2575" s="28" t="n">
        <v>56.84</v>
      </c>
    </row>
    <row r="2576">
      <c r="A2576" s="66" t="inlineStr">
        <is>
          <t>03/12/2014</t>
        </is>
      </c>
      <c r="B2576" s="28" t="n">
        <v>56.88</v>
      </c>
    </row>
    <row r="2577">
      <c r="A2577" s="66" t="inlineStr">
        <is>
          <t>04/12/2014</t>
        </is>
      </c>
      <c r="B2577" s="28" t="n">
        <v>56.74</v>
      </c>
    </row>
    <row r="2578">
      <c r="A2578" s="66" t="inlineStr">
        <is>
          <t>05/12/2014</t>
        </is>
      </c>
      <c r="B2578" s="28" t="n">
        <v>56.52</v>
      </c>
    </row>
    <row r="2579">
      <c r="A2579" s="66" t="inlineStr">
        <is>
          <t>08/12/2014</t>
        </is>
      </c>
      <c r="B2579" s="28" t="n">
        <v>56.69</v>
      </c>
    </row>
    <row r="2580">
      <c r="A2580" s="66" t="inlineStr">
        <is>
          <t>09/12/2014</t>
        </is>
      </c>
      <c r="B2580" s="28" t="n">
        <v>56.8</v>
      </c>
    </row>
    <row r="2581">
      <c r="A2581" s="66" t="inlineStr">
        <is>
          <t>10/12/2014</t>
        </is>
      </c>
      <c r="B2581" s="28" t="n">
        <v>57.25</v>
      </c>
    </row>
    <row r="2582">
      <c r="A2582" s="66" t="inlineStr">
        <is>
          <t>11/12/2014</t>
        </is>
      </c>
      <c r="B2582" s="28" t="n">
        <v>57.86</v>
      </c>
    </row>
    <row r="2583">
      <c r="A2583" s="66" t="inlineStr">
        <is>
          <t>12/12/2014</t>
        </is>
      </c>
      <c r="B2583" s="28" t="n">
        <v>58.29</v>
      </c>
    </row>
    <row r="2584">
      <c r="A2584" s="66" t="inlineStr">
        <is>
          <t>15/12/2014</t>
        </is>
      </c>
      <c r="B2584" s="28" t="n">
        <v>59.33</v>
      </c>
    </row>
    <row r="2585">
      <c r="A2585" s="66" t="inlineStr">
        <is>
          <t>16/12/2014</t>
        </is>
      </c>
      <c r="B2585" s="28" t="n">
        <v>59.71</v>
      </c>
    </row>
    <row r="2586">
      <c r="A2586" s="66" t="inlineStr">
        <is>
          <t>17/12/2014</t>
        </is>
      </c>
      <c r="B2586" s="28" t="n">
        <v>59.67</v>
      </c>
    </row>
    <row r="2587">
      <c r="A2587" s="66" t="inlineStr">
        <is>
          <t>18/12/2014</t>
        </is>
      </c>
      <c r="B2587" s="28" t="n">
        <v>60.33</v>
      </c>
    </row>
    <row r="2588">
      <c r="A2588" s="66" t="inlineStr">
        <is>
          <t>19/12/2014</t>
        </is>
      </c>
      <c r="B2588" s="28" t="n">
        <v>60.52</v>
      </c>
    </row>
    <row r="2589">
      <c r="A2589" s="66" t="inlineStr">
        <is>
          <t>22/12/2014</t>
        </is>
      </c>
      <c r="B2589" s="28" t="n">
        <v>60.62</v>
      </c>
    </row>
    <row r="2590">
      <c r="A2590" s="66" t="inlineStr">
        <is>
          <t>23/12/2014</t>
        </is>
      </c>
      <c r="B2590" s="28" t="n">
        <v>60.9</v>
      </c>
    </row>
    <row r="2591">
      <c r="A2591" s="66" t="inlineStr">
        <is>
          <t>26/12/2014</t>
        </is>
      </c>
      <c r="B2591" s="28" t="n">
        <v>60.88</v>
      </c>
    </row>
    <row r="2592">
      <c r="A2592" s="66" t="inlineStr">
        <is>
          <t>29/12/2014</t>
        </is>
      </c>
      <c r="B2592" s="28" t="n">
        <v>61</v>
      </c>
    </row>
    <row r="2593">
      <c r="A2593" s="66" t="inlineStr">
        <is>
          <t>30/12/2014</t>
        </is>
      </c>
      <c r="B2593" s="28" t="n">
        <v>61.07</v>
      </c>
    </row>
    <row r="2594">
      <c r="A2594" s="66" t="inlineStr">
        <is>
          <t>02/01/2015</t>
        </is>
      </c>
      <c r="B2594" s="28" t="n">
        <v>60.54</v>
      </c>
    </row>
    <row r="2595">
      <c r="A2595" s="66" t="inlineStr">
        <is>
          <t>05/01/2015</t>
        </is>
      </c>
      <c r="B2595" s="28" t="n">
        <v>60.19</v>
      </c>
    </row>
    <row r="2596">
      <c r="A2596" s="66" t="inlineStr">
        <is>
          <t>06/01/2015</t>
        </is>
      </c>
      <c r="B2596" s="28" t="n">
        <v>59.45</v>
      </c>
    </row>
    <row r="2597">
      <c r="A2597" s="66" t="inlineStr">
        <is>
          <t>07/01/2015</t>
        </is>
      </c>
      <c r="B2597" s="28" t="n">
        <v>59.24</v>
      </c>
    </row>
    <row r="2598">
      <c r="A2598" s="66" t="inlineStr">
        <is>
          <t>08/01/2015</t>
        </is>
      </c>
      <c r="B2598" s="28" t="n">
        <v>59.11</v>
      </c>
    </row>
    <row r="2599">
      <c r="A2599" s="66" t="inlineStr">
        <is>
          <t>09/01/2015</t>
        </is>
      </c>
      <c r="B2599" s="28" t="n">
        <v>58.92</v>
      </c>
    </row>
    <row r="2600">
      <c r="A2600" s="66" t="inlineStr">
        <is>
          <t>12/01/2015</t>
        </is>
      </c>
      <c r="B2600" s="28" t="n">
        <v>58.23</v>
      </c>
    </row>
    <row r="2601">
      <c r="A2601" s="66" t="inlineStr">
        <is>
          <t>13/01/2015</t>
        </is>
      </c>
      <c r="B2601" s="28" t="n">
        <v>58.18</v>
      </c>
    </row>
    <row r="2602">
      <c r="A2602" s="66" t="inlineStr">
        <is>
          <t>14/01/2015</t>
        </is>
      </c>
      <c r="B2602" s="28" t="n">
        <v>57.89</v>
      </c>
    </row>
    <row r="2603">
      <c r="A2603" s="66" t="inlineStr">
        <is>
          <t>15/01/2015</t>
        </is>
      </c>
      <c r="B2603" s="28" t="n">
        <v>57.93</v>
      </c>
    </row>
    <row r="2604">
      <c r="A2604" s="66" t="inlineStr">
        <is>
          <t>16/01/2015</t>
        </is>
      </c>
      <c r="B2604" s="28" t="n">
        <v>57.45</v>
      </c>
    </row>
    <row r="2605">
      <c r="A2605" s="66" t="inlineStr">
        <is>
          <t>19/01/2015</t>
        </is>
      </c>
      <c r="B2605" s="28" t="n">
        <v>57.4</v>
      </c>
    </row>
    <row r="2606">
      <c r="A2606" s="66" t="inlineStr">
        <is>
          <t>20/01/2015</t>
        </is>
      </c>
      <c r="B2606" s="28" t="n">
        <v>57.53</v>
      </c>
    </row>
    <row r="2607">
      <c r="A2607" s="66" t="inlineStr">
        <is>
          <t>21/01/2015</t>
        </is>
      </c>
      <c r="B2607" s="28" t="n">
        <v>57.13</v>
      </c>
    </row>
    <row r="2608">
      <c r="A2608" s="66" t="inlineStr">
        <is>
          <t>22/01/2015</t>
        </is>
      </c>
      <c r="B2608" s="28" t="n">
        <v>56.64</v>
      </c>
    </row>
    <row r="2609">
      <c r="A2609" s="66" t="inlineStr">
        <is>
          <t>23/01/2015</t>
        </is>
      </c>
      <c r="B2609" s="28" t="n">
        <v>56.48</v>
      </c>
    </row>
    <row r="2610">
      <c r="A2610" s="66" t="inlineStr">
        <is>
          <t>26/01/2015</t>
        </is>
      </c>
      <c r="B2610" s="28" t="n">
        <v>56.43</v>
      </c>
    </row>
    <row r="2611">
      <c r="A2611" s="66" t="inlineStr">
        <is>
          <t>27/01/2015</t>
        </is>
      </c>
      <c r="B2611" s="28" t="n">
        <v>56.12</v>
      </c>
    </row>
    <row r="2612">
      <c r="A2612" s="66" t="inlineStr">
        <is>
          <t>28/01/2015</t>
        </is>
      </c>
      <c r="B2612" s="28" t="n">
        <v>55.99</v>
      </c>
    </row>
    <row r="2613">
      <c r="A2613" s="66" t="inlineStr">
        <is>
          <t>29/01/2015</t>
        </is>
      </c>
      <c r="B2613" s="28" t="n">
        <v>56.12</v>
      </c>
    </row>
    <row r="2614">
      <c r="A2614" s="66" t="inlineStr">
        <is>
          <t>30/01/2015</t>
        </is>
      </c>
      <c r="B2614" s="28" t="n">
        <v>56.46</v>
      </c>
    </row>
    <row r="2615">
      <c r="A2615" s="66" t="inlineStr">
        <is>
          <t>02/02/2015</t>
        </is>
      </c>
      <c r="B2615" s="28" t="n">
        <v>56.45</v>
      </c>
    </row>
    <row r="2616">
      <c r="A2616" s="66" t="inlineStr">
        <is>
          <t>03/02/2015</t>
        </is>
      </c>
      <c r="B2616" s="28" t="n">
        <v>56.64</v>
      </c>
    </row>
    <row r="2617">
      <c r="A2617" s="66" t="inlineStr">
        <is>
          <t>04/02/2015</t>
        </is>
      </c>
      <c r="B2617" s="28" t="n">
        <v>57.04</v>
      </c>
    </row>
    <row r="2618">
      <c r="A2618" s="66" t="inlineStr">
        <is>
          <t>05/02/2015</t>
        </is>
      </c>
      <c r="B2618" s="28" t="n">
        <v>58.03</v>
      </c>
    </row>
    <row r="2619">
      <c r="A2619" s="66" t="inlineStr">
        <is>
          <t>06/02/2015</t>
        </is>
      </c>
      <c r="B2619" s="28" t="n">
        <v>58.13</v>
      </c>
    </row>
    <row r="2620">
      <c r="A2620" s="66" t="inlineStr">
        <is>
          <t>09/02/2015</t>
        </is>
      </c>
      <c r="B2620" s="28" t="n">
        <v>58.11</v>
      </c>
    </row>
    <row r="2621">
      <c r="A2621" s="66" t="inlineStr">
        <is>
          <t>10/02/2015</t>
        </is>
      </c>
      <c r="B2621" s="28" t="n">
        <v>58.07</v>
      </c>
    </row>
    <row r="2622">
      <c r="A2622" s="66" t="inlineStr">
        <is>
          <t>11/02/2015</t>
        </is>
      </c>
      <c r="B2622" s="28" t="n">
        <v>58.09</v>
      </c>
    </row>
    <row r="2623">
      <c r="A2623" s="66" t="inlineStr">
        <is>
          <t>12/02/2015</t>
        </is>
      </c>
      <c r="B2623" s="28" t="n">
        <v>58.28</v>
      </c>
    </row>
    <row r="2624">
      <c r="A2624" s="66" t="inlineStr">
        <is>
          <t>13/02/2015</t>
        </is>
      </c>
      <c r="B2624" s="28" t="n">
        <v>58.8</v>
      </c>
    </row>
    <row r="2625">
      <c r="A2625" s="66" t="inlineStr">
        <is>
          <t>18/02/2015</t>
        </is>
      </c>
      <c r="B2625" s="28" t="n">
        <v>58.95</v>
      </c>
    </row>
    <row r="2626">
      <c r="A2626" s="66" t="inlineStr">
        <is>
          <t>19/02/2015</t>
        </is>
      </c>
      <c r="B2626" s="28" t="n">
        <v>59.25</v>
      </c>
    </row>
    <row r="2627">
      <c r="A2627" s="66" t="inlineStr">
        <is>
          <t>20/02/2015</t>
        </is>
      </c>
      <c r="B2627" s="28" t="n">
        <v>59.6</v>
      </c>
    </row>
    <row r="2628">
      <c r="A2628" s="66" t="inlineStr">
        <is>
          <t>23/02/2015</t>
        </is>
      </c>
      <c r="B2628" s="28" t="n">
        <v>60.49</v>
      </c>
    </row>
    <row r="2629">
      <c r="A2629" s="66" t="inlineStr">
        <is>
          <t>24/02/2015</t>
        </is>
      </c>
      <c r="B2629" s="28" t="n">
        <v>60.63</v>
      </c>
    </row>
    <row r="2630">
      <c r="A2630" s="66" t="inlineStr">
        <is>
          <t>25/02/2015</t>
        </is>
      </c>
      <c r="B2630" s="28" t="n">
        <v>60.84</v>
      </c>
    </row>
    <row r="2631">
      <c r="A2631" s="66" t="inlineStr">
        <is>
          <t>26/02/2015</t>
        </is>
      </c>
      <c r="B2631" s="28" t="n">
        <v>61.03</v>
      </c>
    </row>
    <row r="2632">
      <c r="A2632" s="66" t="inlineStr">
        <is>
          <t>27/02/2015</t>
        </is>
      </c>
      <c r="B2632" s="28" t="n">
        <v>60.89</v>
      </c>
    </row>
    <row r="2633">
      <c r="A2633" s="66" t="inlineStr">
        <is>
          <t>02/03/2015</t>
        </is>
      </c>
      <c r="B2633" s="28" t="n">
        <v>61.02</v>
      </c>
    </row>
    <row r="2634">
      <c r="A2634" s="66" t="inlineStr">
        <is>
          <t>03/03/2015</t>
        </is>
      </c>
      <c r="B2634" s="28" t="n">
        <v>61.09</v>
      </c>
    </row>
    <row r="2635">
      <c r="A2635" s="66" t="inlineStr">
        <is>
          <t>04/03/2015</t>
        </is>
      </c>
      <c r="B2635" s="28" t="n">
        <v>61.34</v>
      </c>
    </row>
    <row r="2636">
      <c r="A2636" s="66" t="inlineStr">
        <is>
          <t>05/03/2015</t>
        </is>
      </c>
      <c r="B2636" s="28" t="n">
        <v>61.29</v>
      </c>
    </row>
    <row r="2637">
      <c r="A2637" s="66" t="inlineStr">
        <is>
          <t>06/03/2015</t>
        </is>
      </c>
      <c r="B2637" s="28" t="n">
        <v>61.25</v>
      </c>
    </row>
    <row r="2638">
      <c r="A2638" s="66" t="inlineStr">
        <is>
          <t>09/03/2015</t>
        </is>
      </c>
      <c r="B2638" s="28" t="n">
        <v>61.4</v>
      </c>
    </row>
    <row r="2639">
      <c r="A2639" s="66" t="inlineStr">
        <is>
          <t>10/03/2015</t>
        </is>
      </c>
      <c r="B2639" s="28" t="n">
        <v>61.71</v>
      </c>
    </row>
    <row r="2640">
      <c r="A2640" s="66" t="inlineStr">
        <is>
          <t>11/03/2015</t>
        </is>
      </c>
      <c r="B2640" s="28" t="n">
        <v>61.77</v>
      </c>
    </row>
    <row r="2641">
      <c r="A2641" s="66" t="inlineStr">
        <is>
          <t>12/03/2015</t>
        </is>
      </c>
      <c r="B2641" s="28" t="n">
        <v>61.84</v>
      </c>
    </row>
    <row r="2642">
      <c r="A2642" s="66" t="inlineStr">
        <is>
          <t>13/03/2015</t>
        </is>
      </c>
      <c r="B2642" s="28" t="n">
        <v>61.73</v>
      </c>
    </row>
    <row r="2643">
      <c r="A2643" s="66" t="inlineStr">
        <is>
          <t>16/03/2015</t>
        </is>
      </c>
      <c r="B2643" s="28" t="n">
        <v>61.65</v>
      </c>
    </row>
    <row r="2644">
      <c r="A2644" s="66" t="inlineStr">
        <is>
          <t>17/03/2015</t>
        </is>
      </c>
      <c r="B2644" s="28" t="n">
        <v>61.54</v>
      </c>
    </row>
    <row r="2645">
      <c r="A2645" s="66" t="inlineStr">
        <is>
          <t>18/03/2015</t>
        </is>
      </c>
      <c r="B2645" s="28" t="n">
        <v>61.48</v>
      </c>
    </row>
    <row r="2646">
      <c r="A2646" s="66" t="inlineStr">
        <is>
          <t>19/03/2015</t>
        </is>
      </c>
      <c r="B2646" s="28" t="n">
        <v>61.98</v>
      </c>
    </row>
    <row r="2647">
      <c r="A2647" s="66" t="inlineStr">
        <is>
          <t>20/03/2015</t>
        </is>
      </c>
      <c r="B2647" s="28" t="n">
        <v>61.77</v>
      </c>
    </row>
    <row r="2648">
      <c r="A2648" s="66" t="inlineStr">
        <is>
          <t>23/03/2015</t>
        </is>
      </c>
      <c r="B2648" s="28" t="n">
        <v>61.29</v>
      </c>
    </row>
    <row r="2649">
      <c r="A2649" s="66" t="inlineStr">
        <is>
          <t>24/03/2015</t>
        </is>
      </c>
      <c r="B2649" s="28" t="n">
        <v>60.63</v>
      </c>
    </row>
    <row r="2650">
      <c r="A2650" s="66" t="inlineStr">
        <is>
          <t>25/03/2015</t>
        </is>
      </c>
      <c r="B2650" s="28" t="n">
        <v>60.48</v>
      </c>
    </row>
    <row r="2651">
      <c r="A2651" s="66" t="inlineStr">
        <is>
          <t>26/03/2015</t>
        </is>
      </c>
      <c r="B2651" s="28" t="n">
        <v>60.57</v>
      </c>
    </row>
    <row r="2652">
      <c r="A2652" s="66" t="inlineStr">
        <is>
          <t>27/03/2015</t>
        </is>
      </c>
      <c r="B2652" s="28" t="n">
        <v>60.59</v>
      </c>
    </row>
    <row r="2653">
      <c r="A2653" s="66" t="inlineStr">
        <is>
          <t>30/03/2015</t>
        </is>
      </c>
      <c r="B2653" s="28" t="n">
        <v>60.65</v>
      </c>
    </row>
    <row r="2654">
      <c r="A2654" s="66" t="inlineStr">
        <is>
          <t>31/03/2015</t>
        </is>
      </c>
      <c r="B2654" s="28" t="n">
        <v>61.17</v>
      </c>
    </row>
    <row r="2655">
      <c r="A2655" s="66" t="inlineStr">
        <is>
          <t>01/04/2015</t>
        </is>
      </c>
      <c r="B2655" s="28" t="n">
        <v>60.3</v>
      </c>
    </row>
    <row r="2656">
      <c r="A2656" s="66" t="inlineStr">
        <is>
          <t>02/04/2015</t>
        </is>
      </c>
      <c r="B2656" s="28" t="n">
        <v>60.26</v>
      </c>
    </row>
    <row r="2657">
      <c r="A2657" s="66" t="inlineStr">
        <is>
          <t>06/04/2015</t>
        </is>
      </c>
      <c r="B2657" s="28" t="n">
        <v>59.58</v>
      </c>
    </row>
    <row r="2658">
      <c r="A2658" s="66" t="inlineStr">
        <is>
          <t>07/04/2015</t>
        </is>
      </c>
      <c r="B2658" s="28" t="n">
        <v>59.04</v>
      </c>
    </row>
    <row r="2659">
      <c r="A2659" s="66" t="inlineStr">
        <is>
          <t>08/04/2015</t>
        </is>
      </c>
      <c r="B2659" s="28" t="n">
        <v>58.73</v>
      </c>
    </row>
    <row r="2660">
      <c r="A2660" s="66" t="inlineStr">
        <is>
          <t>09/04/2015</t>
        </is>
      </c>
      <c r="B2660" s="28" t="n">
        <v>58.59</v>
      </c>
    </row>
    <row r="2661">
      <c r="A2661" s="66" t="inlineStr">
        <is>
          <t>10/04/2015</t>
        </is>
      </c>
      <c r="B2661" s="28" t="n">
        <v>58.34</v>
      </c>
    </row>
    <row r="2662">
      <c r="A2662" s="66" t="inlineStr">
        <is>
          <t>13/04/2015</t>
        </is>
      </c>
      <c r="B2662" s="28" t="n">
        <v>57.97</v>
      </c>
    </row>
    <row r="2663">
      <c r="A2663" s="66" t="inlineStr">
        <is>
          <t>14/04/2015</t>
        </is>
      </c>
      <c r="B2663" s="28" t="n">
        <v>57.07</v>
      </c>
    </row>
    <row r="2664">
      <c r="A2664" s="66" t="inlineStr">
        <is>
          <t>15/04/2015</t>
        </is>
      </c>
      <c r="B2664" s="28" t="n">
        <v>56.51</v>
      </c>
    </row>
    <row r="2665">
      <c r="A2665" s="66" t="inlineStr">
        <is>
          <t>16/04/2015</t>
        </is>
      </c>
      <c r="B2665" s="28" t="n">
        <v>56.39</v>
      </c>
    </row>
    <row r="2666">
      <c r="A2666" s="66" t="inlineStr">
        <is>
          <t>17/04/2015</t>
        </is>
      </c>
      <c r="B2666" s="28" t="n">
        <v>55.73</v>
      </c>
    </row>
    <row r="2667">
      <c r="A2667" s="66" t="inlineStr">
        <is>
          <t>20/04/2015</t>
        </is>
      </c>
      <c r="B2667" s="28" t="n">
        <v>55.73</v>
      </c>
    </row>
    <row r="2668">
      <c r="A2668" s="66" t="inlineStr">
        <is>
          <t>22/04/2015</t>
        </is>
      </c>
      <c r="B2668" s="28" t="n">
        <v>55.54</v>
      </c>
    </row>
    <row r="2669">
      <c r="A2669" s="66" t="inlineStr">
        <is>
          <t>23/04/2015</t>
        </is>
      </c>
      <c r="B2669" s="28" t="n">
        <v>55.42</v>
      </c>
    </row>
    <row r="2670">
      <c r="A2670" s="66" t="inlineStr">
        <is>
          <t>24/04/2015</t>
        </is>
      </c>
      <c r="B2670" s="28" t="n">
        <v>55.01</v>
      </c>
    </row>
    <row r="2671">
      <c r="A2671" s="66" t="inlineStr">
        <is>
          <t>27/04/2015</t>
        </is>
      </c>
      <c r="B2671" s="28" t="n">
        <v>54.66</v>
      </c>
    </row>
    <row r="2672">
      <c r="A2672" s="66" t="inlineStr">
        <is>
          <t>28/04/2015</t>
        </is>
      </c>
      <c r="B2672" s="28" t="n">
        <v>54.25</v>
      </c>
    </row>
    <row r="2673">
      <c r="A2673" s="66" t="inlineStr">
        <is>
          <t>29/04/2015</t>
        </is>
      </c>
      <c r="B2673" s="28" t="n">
        <v>53.92</v>
      </c>
    </row>
    <row r="2674">
      <c r="A2674" s="66" t="inlineStr">
        <is>
          <t>30/04/2015</t>
        </is>
      </c>
      <c r="B2674" s="28" t="n">
        <v>53.47</v>
      </c>
    </row>
    <row r="2675">
      <c r="A2675" s="66" t="inlineStr">
        <is>
          <t>04/05/2015</t>
        </is>
      </c>
      <c r="B2675" s="28" t="n">
        <v>53.1</v>
      </c>
    </row>
    <row r="2676">
      <c r="A2676" s="66" t="inlineStr">
        <is>
          <t>05/05/2015</t>
        </is>
      </c>
      <c r="B2676" s="28" t="n">
        <v>52.92</v>
      </c>
    </row>
    <row r="2677">
      <c r="A2677" s="66" t="inlineStr">
        <is>
          <t>06/05/2015</t>
        </is>
      </c>
      <c r="B2677" s="28" t="n">
        <v>52.86</v>
      </c>
    </row>
    <row r="2678">
      <c r="A2678" s="66" t="inlineStr">
        <is>
          <t>07/05/2015</t>
        </is>
      </c>
      <c r="B2678" s="28" t="n">
        <v>52.55</v>
      </c>
    </row>
    <row r="2679">
      <c r="A2679" s="66" t="inlineStr">
        <is>
          <t>08/05/2015</t>
        </is>
      </c>
      <c r="B2679" s="28" t="n">
        <v>52.53</v>
      </c>
    </row>
    <row r="2680">
      <c r="A2680" s="66" t="inlineStr">
        <is>
          <t>11/05/2015</t>
        </is>
      </c>
      <c r="B2680" s="28" t="n">
        <v>52.51</v>
      </c>
    </row>
    <row r="2681">
      <c r="A2681" s="66" t="inlineStr">
        <is>
          <t>12/05/2015</t>
        </is>
      </c>
      <c r="B2681" s="28" t="n">
        <v>52.51</v>
      </c>
    </row>
    <row r="2682">
      <c r="A2682" s="66" t="inlineStr">
        <is>
          <t>13/05/2015</t>
        </is>
      </c>
      <c r="B2682" s="28" t="n">
        <v>52.1</v>
      </c>
    </row>
    <row r="2683">
      <c r="A2683" s="66" t="inlineStr">
        <is>
          <t>14/05/2015</t>
        </is>
      </c>
      <c r="B2683" s="28" t="n">
        <v>52.04</v>
      </c>
    </row>
    <row r="2684">
      <c r="A2684" s="66" t="inlineStr">
        <is>
          <t>15/05/2015</t>
        </is>
      </c>
      <c r="B2684" s="28" t="n">
        <v>51.81</v>
      </c>
    </row>
    <row r="2685">
      <c r="A2685" s="66" t="inlineStr">
        <is>
          <t>18/05/2015</t>
        </is>
      </c>
      <c r="B2685" s="28" t="n">
        <v>51.77</v>
      </c>
    </row>
    <row r="2686">
      <c r="A2686" s="66" t="inlineStr">
        <is>
          <t>19/05/2015</t>
        </is>
      </c>
      <c r="B2686" s="28" t="n">
        <v>51.22</v>
      </c>
    </row>
    <row r="2687">
      <c r="A2687" s="66" t="inlineStr">
        <is>
          <t>20/05/2015</t>
        </is>
      </c>
      <c r="B2687" s="28" t="n">
        <v>51.18</v>
      </c>
    </row>
    <row r="2688">
      <c r="A2688" s="66" t="inlineStr">
        <is>
          <t>21/05/2015</t>
        </is>
      </c>
      <c r="B2688" s="28" t="n">
        <v>51.51</v>
      </c>
    </row>
    <row r="2689">
      <c r="A2689" s="66" t="inlineStr">
        <is>
          <t>22/05/2015</t>
        </is>
      </c>
      <c r="B2689" s="28" t="n">
        <v>51.46</v>
      </c>
    </row>
    <row r="2690">
      <c r="A2690" s="66" t="inlineStr">
        <is>
          <t>25/05/2015</t>
        </is>
      </c>
      <c r="B2690" s="28" t="n">
        <v>51.38</v>
      </c>
    </row>
    <row r="2691">
      <c r="A2691" s="66" t="inlineStr">
        <is>
          <t>26/05/2015</t>
        </is>
      </c>
      <c r="B2691" s="28" t="n">
        <v>51.81</v>
      </c>
    </row>
    <row r="2692">
      <c r="A2692" s="66" t="inlineStr">
        <is>
          <t>27/05/2015</t>
        </is>
      </c>
      <c r="B2692" s="28" t="n">
        <v>51.16</v>
      </c>
    </row>
    <row r="2693">
      <c r="A2693" s="66" t="inlineStr">
        <is>
          <t>28/05/2015</t>
        </is>
      </c>
      <c r="B2693" s="28" t="n">
        <v>51.12</v>
      </c>
    </row>
    <row r="2694">
      <c r="A2694" s="66" t="inlineStr">
        <is>
          <t>29/05/2015</t>
        </is>
      </c>
      <c r="B2694" s="28" t="n">
        <v>51.05</v>
      </c>
    </row>
    <row r="2695">
      <c r="A2695" s="66" t="inlineStr">
        <is>
          <t>01/06/2015</t>
        </is>
      </c>
      <c r="B2695" s="28" t="n">
        <v>50.9</v>
      </c>
    </row>
    <row r="2696">
      <c r="A2696" s="66" t="inlineStr">
        <is>
          <t>02/06/2015</t>
        </is>
      </c>
      <c r="B2696" s="28" t="n">
        <v>50.47</v>
      </c>
    </row>
    <row r="2697">
      <c r="A2697" s="66" t="inlineStr">
        <is>
          <t>03/06/2015</t>
        </is>
      </c>
      <c r="B2697" s="28" t="n">
        <v>50.53</v>
      </c>
    </row>
    <row r="2698">
      <c r="A2698" s="66" t="inlineStr">
        <is>
          <t>05/06/2015</t>
        </is>
      </c>
      <c r="B2698" s="28" t="n">
        <v>50.59</v>
      </c>
    </row>
    <row r="2699">
      <c r="A2699" s="66" t="inlineStr">
        <is>
          <t>08/06/2015</t>
        </is>
      </c>
      <c r="B2699" s="28" t="n">
        <v>50.59</v>
      </c>
    </row>
    <row r="2700">
      <c r="A2700" s="66" t="inlineStr">
        <is>
          <t>09/06/2015</t>
        </is>
      </c>
      <c r="B2700" s="28" t="n">
        <v>50.19</v>
      </c>
    </row>
    <row r="2701">
      <c r="A2701" s="66" t="inlineStr">
        <is>
          <t>10/06/2015</t>
        </is>
      </c>
      <c r="B2701" s="28" t="n">
        <v>50.51</v>
      </c>
    </row>
    <row r="2702">
      <c r="A2702" s="66" t="inlineStr">
        <is>
          <t>11/06/2015</t>
        </is>
      </c>
      <c r="B2702" s="28" t="n">
        <v>50.67</v>
      </c>
    </row>
    <row r="2703">
      <c r="A2703" s="66" t="inlineStr">
        <is>
          <t>12/06/2015</t>
        </is>
      </c>
      <c r="B2703" s="28" t="n">
        <v>50.47</v>
      </c>
    </row>
    <row r="2704">
      <c r="A2704" s="66" t="inlineStr">
        <is>
          <t>15/06/2015</t>
        </is>
      </c>
      <c r="B2704" s="28" t="n">
        <v>50.71</v>
      </c>
    </row>
    <row r="2705">
      <c r="A2705" s="66" t="inlineStr">
        <is>
          <t>16/06/2015</t>
        </is>
      </c>
      <c r="B2705" s="28" t="n">
        <v>51.22</v>
      </c>
    </row>
    <row r="2706">
      <c r="A2706" s="66" t="inlineStr">
        <is>
          <t>17/06/2015</t>
        </is>
      </c>
      <c r="B2706" s="28" t="n">
        <v>51.28</v>
      </c>
    </row>
    <row r="2707">
      <c r="A2707" s="66" t="inlineStr">
        <is>
          <t>18/06/2015</t>
        </is>
      </c>
      <c r="B2707" s="28" t="n">
        <v>51.08</v>
      </c>
    </row>
    <row r="2708">
      <c r="A2708" s="66" t="inlineStr">
        <is>
          <t>19/06/2015</t>
        </is>
      </c>
      <c r="B2708" s="28" t="n">
        <v>50.9</v>
      </c>
    </row>
    <row r="2709">
      <c r="A2709" s="66" t="inlineStr">
        <is>
          <t>22/06/2015</t>
        </is>
      </c>
      <c r="B2709" s="28" t="n">
        <v>50.96</v>
      </c>
    </row>
    <row r="2710">
      <c r="A2710" s="66" t="inlineStr">
        <is>
          <t>23/06/2015</t>
        </is>
      </c>
      <c r="B2710" s="28" t="n">
        <v>51.22</v>
      </c>
    </row>
    <row r="2711">
      <c r="A2711" s="66" t="inlineStr">
        <is>
          <t>24/06/2015</t>
        </is>
      </c>
      <c r="B2711" s="28" t="n">
        <v>51.1</v>
      </c>
    </row>
    <row r="2712">
      <c r="A2712" s="66" t="inlineStr">
        <is>
          <t>25/06/2015</t>
        </is>
      </c>
      <c r="B2712" s="28" t="n">
        <v>51.43</v>
      </c>
    </row>
    <row r="2713">
      <c r="A2713" s="66" t="inlineStr">
        <is>
          <t>26/06/2015</t>
        </is>
      </c>
      <c r="B2713" s="28" t="n">
        <v>51.94</v>
      </c>
    </row>
    <row r="2714">
      <c r="A2714" s="66" t="inlineStr">
        <is>
          <t>29/06/2015</t>
        </is>
      </c>
      <c r="B2714" s="28" t="n">
        <v>51.49</v>
      </c>
    </row>
    <row r="2715">
      <c r="A2715" s="66" t="inlineStr">
        <is>
          <t>30/06/2015</t>
        </is>
      </c>
      <c r="B2715" s="28" t="n">
        <v>51.87</v>
      </c>
    </row>
    <row r="2716">
      <c r="A2716" s="66" t="inlineStr">
        <is>
          <t>01/07/2015</t>
        </is>
      </c>
      <c r="B2716" s="28" t="n">
        <v>51.48</v>
      </c>
    </row>
    <row r="2717">
      <c r="A2717" s="66" t="inlineStr">
        <is>
          <t>02/07/2015</t>
        </is>
      </c>
      <c r="B2717" s="28" t="n">
        <v>51.4</v>
      </c>
    </row>
    <row r="2718">
      <c r="A2718" s="66" t="inlineStr">
        <is>
          <t>03/07/2015</t>
        </is>
      </c>
      <c r="B2718" s="28" t="n">
        <v>51.58</v>
      </c>
    </row>
    <row r="2719">
      <c r="A2719" s="66" t="inlineStr">
        <is>
          <t>06/07/2015</t>
        </is>
      </c>
      <c r="B2719" s="28" t="n">
        <v>51.26</v>
      </c>
    </row>
    <row r="2720">
      <c r="A2720" s="66" t="inlineStr">
        <is>
          <t>07/07/2015</t>
        </is>
      </c>
      <c r="B2720" s="28" t="n">
        <v>51.64</v>
      </c>
    </row>
    <row r="2721">
      <c r="A2721" s="66" t="inlineStr">
        <is>
          <t>08/07/2015</t>
        </is>
      </c>
      <c r="B2721" s="28" t="n">
        <v>52.09</v>
      </c>
    </row>
    <row r="2722">
      <c r="A2722" s="66" t="inlineStr">
        <is>
          <t>09/07/2015</t>
        </is>
      </c>
      <c r="B2722" s="28" t="n">
        <v>52.25</v>
      </c>
    </row>
    <row r="2723">
      <c r="A2723" s="66" t="inlineStr">
        <is>
          <t>10/07/2015</t>
        </is>
      </c>
      <c r="B2723" s="28" t="n">
        <v>52.65</v>
      </c>
    </row>
    <row r="2724">
      <c r="A2724" s="66" t="inlineStr">
        <is>
          <t>13/07/2015</t>
        </is>
      </c>
      <c r="B2724" s="28" t="n">
        <v>51.78</v>
      </c>
    </row>
    <row r="2725">
      <c r="A2725" s="66" t="inlineStr">
        <is>
          <t>14/07/2015</t>
        </is>
      </c>
      <c r="B2725" s="28" t="n">
        <v>53.6</v>
      </c>
    </row>
    <row r="2726">
      <c r="A2726" s="66" t="inlineStr">
        <is>
          <t>15/07/2015</t>
        </is>
      </c>
      <c r="B2726" s="28" t="n">
        <v>53.72</v>
      </c>
    </row>
    <row r="2727">
      <c r="A2727" s="66" t="inlineStr">
        <is>
          <t>16/07/2015</t>
        </is>
      </c>
      <c r="B2727" s="28" t="n">
        <v>53.28</v>
      </c>
    </row>
    <row r="2728">
      <c r="A2728" s="66" t="inlineStr">
        <is>
          <t>17/07/2015</t>
        </is>
      </c>
      <c r="B2728" s="28" t="n">
        <v>53.64</v>
      </c>
    </row>
    <row r="2729">
      <c r="A2729" s="66" t="inlineStr">
        <is>
          <t>20/07/2015</t>
        </is>
      </c>
      <c r="B2729" s="28" t="n">
        <v>53.5</v>
      </c>
    </row>
    <row r="2730">
      <c r="A2730" s="66" t="inlineStr">
        <is>
          <t>21/07/2015</t>
        </is>
      </c>
      <c r="B2730" s="28" t="n">
        <v>54.15</v>
      </c>
    </row>
    <row r="2731">
      <c r="A2731" s="66" t="inlineStr">
        <is>
          <t>22/07/2015</t>
        </is>
      </c>
      <c r="B2731" s="28" t="n">
        <v>53.1</v>
      </c>
    </row>
    <row r="2732">
      <c r="A2732" s="66" t="inlineStr">
        <is>
          <t>23/07/2015</t>
        </is>
      </c>
      <c r="B2732" s="28" t="n">
        <v>52.89</v>
      </c>
    </row>
    <row r="2733">
      <c r="A2733" s="66" t="inlineStr">
        <is>
          <t>24/07/2015</t>
        </is>
      </c>
      <c r="B2733" s="28" t="n">
        <v>53.04</v>
      </c>
    </row>
    <row r="2734">
      <c r="A2734" s="66" t="inlineStr">
        <is>
          <t>27/07/2015</t>
        </is>
      </c>
      <c r="B2734" s="28" t="n">
        <v>52.41</v>
      </c>
    </row>
    <row r="2735">
      <c r="A2735" s="66" t="inlineStr">
        <is>
          <t>28/07/2015</t>
        </is>
      </c>
      <c r="B2735" s="28" t="n">
        <v>52.17</v>
      </c>
    </row>
    <row r="2736">
      <c r="A2736" s="66" t="inlineStr">
        <is>
          <t>29/07/2015</t>
        </is>
      </c>
      <c r="B2736" s="28" t="n">
        <v>52.47</v>
      </c>
    </row>
    <row r="2737">
      <c r="A2737" s="66" t="inlineStr">
        <is>
          <t>30/07/2015</t>
        </is>
      </c>
      <c r="B2737" s="28" t="n">
        <v>52.31</v>
      </c>
    </row>
    <row r="2738">
      <c r="A2738" s="66" t="inlineStr">
        <is>
          <t>31/07/2015</t>
        </is>
      </c>
      <c r="B2738" s="28" t="n">
        <v>52.43</v>
      </c>
    </row>
    <row r="2739">
      <c r="A2739" s="66" t="inlineStr">
        <is>
          <t>03/08/2015</t>
        </is>
      </c>
      <c r="B2739" s="28" t="n">
        <v>52.75</v>
      </c>
    </row>
    <row r="2740">
      <c r="A2740" s="66" t="inlineStr">
        <is>
          <t>04/08/2015</t>
        </is>
      </c>
      <c r="B2740" s="28" t="n">
        <v>53.39</v>
      </c>
    </row>
    <row r="2741">
      <c r="A2741" s="66" t="inlineStr">
        <is>
          <t>05/08/2015</t>
        </is>
      </c>
      <c r="B2741" s="28" t="n">
        <v>53.59</v>
      </c>
    </row>
    <row r="2742">
      <c r="A2742" s="66" t="inlineStr">
        <is>
          <t>06/08/2015</t>
        </is>
      </c>
      <c r="B2742" s="28" t="n">
        <v>54.6</v>
      </c>
    </row>
    <row r="2743">
      <c r="A2743" s="66" t="inlineStr">
        <is>
          <t>07/08/2015</t>
        </is>
      </c>
      <c r="B2743" s="28" t="n">
        <v>55.65</v>
      </c>
    </row>
    <row r="2744">
      <c r="A2744" s="66" t="inlineStr">
        <is>
          <t>10/08/2015</t>
        </is>
      </c>
      <c r="B2744" s="28" t="n">
        <v>55.57</v>
      </c>
    </row>
    <row r="2745">
      <c r="A2745" s="66" t="inlineStr">
        <is>
          <t>11/08/2015</t>
        </is>
      </c>
      <c r="B2745" s="28" t="n">
        <v>56.17</v>
      </c>
    </row>
    <row r="2746">
      <c r="A2746" s="66" t="inlineStr">
        <is>
          <t>12/08/2015</t>
        </is>
      </c>
      <c r="B2746" s="28" t="n">
        <v>55.61</v>
      </c>
    </row>
    <row r="2747">
      <c r="A2747" s="66" t="inlineStr">
        <is>
          <t>13/08/2015</t>
        </is>
      </c>
      <c r="B2747" s="28" t="n">
        <v>55.71</v>
      </c>
    </row>
    <row r="2748">
      <c r="A2748" s="66" t="inlineStr">
        <is>
          <t>14/08/2015</t>
        </is>
      </c>
      <c r="B2748" s="28" t="n">
        <v>55.21</v>
      </c>
    </row>
    <row r="2749">
      <c r="A2749" s="66" t="inlineStr">
        <is>
          <t>17/08/2015</t>
        </is>
      </c>
      <c r="B2749" s="28" t="n">
        <v>55.23</v>
      </c>
    </row>
    <row r="2750">
      <c r="A2750" s="66" t="inlineStr">
        <is>
          <t>18/08/2015</t>
        </is>
      </c>
      <c r="B2750" s="28" t="n">
        <v>54.62</v>
      </c>
    </row>
    <row r="2751">
      <c r="A2751" s="66" t="inlineStr">
        <is>
          <t>19/08/2015</t>
        </is>
      </c>
      <c r="B2751" s="28" t="n">
        <v>55.13</v>
      </c>
    </row>
    <row r="2752">
      <c r="A2752" s="66" t="inlineStr">
        <is>
          <t>20/08/2015</t>
        </is>
      </c>
      <c r="B2752" s="28" t="n">
        <v>55.45</v>
      </c>
    </row>
    <row r="2753">
      <c r="A2753" s="66" t="inlineStr">
        <is>
          <t>21/08/2015</t>
        </is>
      </c>
      <c r="B2753" s="28" t="n">
        <v>55.21</v>
      </c>
    </row>
    <row r="2754">
      <c r="A2754" s="66" t="inlineStr">
        <is>
          <t>24/08/2015</t>
        </is>
      </c>
      <c r="B2754" s="28" t="n">
        <v>55.65</v>
      </c>
    </row>
    <row r="2755">
      <c r="A2755" s="66" t="inlineStr">
        <is>
          <t>25/08/2015</t>
        </is>
      </c>
      <c r="B2755" s="28" t="n">
        <v>55.83</v>
      </c>
    </row>
    <row r="2756">
      <c r="A2756" s="66" t="inlineStr">
        <is>
          <t>26/08/2015</t>
        </is>
      </c>
      <c r="B2756" s="28" t="n">
        <v>55.75</v>
      </c>
    </row>
    <row r="2757">
      <c r="A2757" s="66" t="inlineStr">
        <is>
          <t>27/08/2015</t>
        </is>
      </c>
      <c r="B2757" s="28" t="n">
        <v>56.15</v>
      </c>
    </row>
    <row r="2758">
      <c r="A2758" s="66" t="inlineStr">
        <is>
          <t>28/08/2015</t>
        </is>
      </c>
      <c r="B2758" s="28" t="n">
        <v>56.28</v>
      </c>
    </row>
    <row r="2759">
      <c r="A2759" s="66" t="inlineStr">
        <is>
          <t>31/08/2015</t>
        </is>
      </c>
      <c r="B2759" s="28" t="n">
        <v>56.78</v>
      </c>
    </row>
    <row r="2760">
      <c r="A2760" s="66" t="inlineStr">
        <is>
          <t>01/09/2015</t>
        </is>
      </c>
      <c r="B2760" s="28" t="n">
        <v>57.3</v>
      </c>
    </row>
    <row r="2761">
      <c r="A2761" s="66" t="inlineStr">
        <is>
          <t>02/09/2015</t>
        </is>
      </c>
      <c r="B2761" s="28" t="n">
        <v>58.02</v>
      </c>
    </row>
    <row r="2762">
      <c r="A2762" s="66" t="inlineStr">
        <is>
          <t>03/09/2015</t>
        </is>
      </c>
      <c r="B2762" s="28" t="n">
        <v>58.32</v>
      </c>
    </row>
    <row r="2763">
      <c r="A2763" s="66" t="inlineStr">
        <is>
          <t>04/09/2015</t>
        </is>
      </c>
      <c r="B2763" s="28" t="n">
        <v>59.02</v>
      </c>
    </row>
    <row r="2764">
      <c r="A2764" s="66" t="inlineStr">
        <is>
          <t>08/09/2015</t>
        </is>
      </c>
      <c r="B2764" s="28" t="n">
        <v>59.14</v>
      </c>
    </row>
    <row r="2765">
      <c r="A2765" s="66" t="inlineStr">
        <is>
          <t>09/09/2015</t>
        </is>
      </c>
      <c r="B2765" s="28" t="n">
        <v>59.14</v>
      </c>
    </row>
    <row r="2766">
      <c r="A2766" s="66" t="inlineStr">
        <is>
          <t>10/09/2015</t>
        </is>
      </c>
      <c r="B2766" s="28" t="n">
        <v>59.82</v>
      </c>
    </row>
    <row r="2767">
      <c r="A2767" s="66" t="inlineStr">
        <is>
          <t>11/09/2015</t>
        </is>
      </c>
      <c r="B2767" s="28" t="n">
        <v>60.44</v>
      </c>
    </row>
    <row r="2768">
      <c r="A2768" s="66" t="inlineStr">
        <is>
          <t>14/09/2015</t>
        </is>
      </c>
      <c r="B2768" s="28" t="n">
        <v>61.14</v>
      </c>
    </row>
    <row r="2769">
      <c r="A2769" s="66" t="inlineStr">
        <is>
          <t>15/09/2015</t>
        </is>
      </c>
      <c r="B2769" s="28" t="n">
        <v>61.9</v>
      </c>
    </row>
    <row r="2770">
      <c r="A2770" s="66" t="inlineStr">
        <is>
          <t>16/09/2015</t>
        </is>
      </c>
      <c r="B2770" s="28" t="n">
        <v>62.64</v>
      </c>
    </row>
    <row r="2771">
      <c r="A2771" s="66" t="inlineStr">
        <is>
          <t>17/09/2015</t>
        </is>
      </c>
      <c r="B2771" s="28" t="n">
        <v>62.76</v>
      </c>
    </row>
    <row r="2772">
      <c r="A2772" s="66" t="inlineStr">
        <is>
          <t>18/09/2015</t>
        </is>
      </c>
      <c r="B2772" s="28" t="n">
        <v>62.72</v>
      </c>
    </row>
    <row r="2773">
      <c r="A2773" s="66" t="inlineStr">
        <is>
          <t>21/09/2015</t>
        </is>
      </c>
      <c r="B2773" s="28" t="n">
        <v>62.68</v>
      </c>
    </row>
    <row r="2774">
      <c r="A2774" s="66" t="inlineStr">
        <is>
          <t>22/09/2015</t>
        </is>
      </c>
      <c r="B2774" s="28" t="n">
        <v>63.38</v>
      </c>
    </row>
    <row r="2775">
      <c r="A2775" s="66" t="inlineStr">
        <is>
          <t>23/09/2015</t>
        </is>
      </c>
      <c r="B2775" s="28" t="n">
        <v>63.87</v>
      </c>
    </row>
    <row r="2776">
      <c r="A2776" s="66" t="inlineStr">
        <is>
          <t>24/09/2015</t>
        </is>
      </c>
      <c r="B2776" s="28" t="n">
        <v>65.15000000000001</v>
      </c>
    </row>
    <row r="2777">
      <c r="A2777" s="66" t="inlineStr">
        <is>
          <t>25/09/2015</t>
        </is>
      </c>
      <c r="B2777" s="28" t="n">
        <v>64.93000000000001</v>
      </c>
    </row>
    <row r="2778">
      <c r="A2778" s="66" t="inlineStr">
        <is>
          <t>28/09/2015</t>
        </is>
      </c>
      <c r="B2778" s="28" t="n">
        <v>65.83</v>
      </c>
    </row>
    <row r="2779">
      <c r="A2779" s="66" t="inlineStr">
        <is>
          <t>29/09/2015</t>
        </is>
      </c>
      <c r="B2779" s="28" t="n">
        <v>66.29000000000001</v>
      </c>
    </row>
    <row r="2780">
      <c r="A2780" s="66" t="inlineStr">
        <is>
          <t>30/09/2015</t>
        </is>
      </c>
      <c r="B2780" s="28" t="n">
        <v>67.29000000000001</v>
      </c>
    </row>
    <row r="2781">
      <c r="A2781" s="66" t="inlineStr">
        <is>
          <t>01/10/2015</t>
        </is>
      </c>
      <c r="B2781" s="28" t="n">
        <v>65.70999999999999</v>
      </c>
    </row>
    <row r="2782">
      <c r="A2782" s="66" t="inlineStr">
        <is>
          <t>02/10/2015</t>
        </is>
      </c>
      <c r="B2782" s="28" t="n">
        <v>65.39</v>
      </c>
    </row>
    <row r="2783">
      <c r="A2783" s="66" t="inlineStr">
        <is>
          <t>05/10/2015</t>
        </is>
      </c>
      <c r="B2783" s="28" t="n">
        <v>65.53</v>
      </c>
    </row>
    <row r="2784">
      <c r="A2784" s="66" t="inlineStr">
        <is>
          <t>06/10/2015</t>
        </is>
      </c>
      <c r="B2784" s="28" t="n">
        <v>65.09999999999999</v>
      </c>
    </row>
    <row r="2785">
      <c r="A2785" s="66" t="inlineStr">
        <is>
          <t>07/10/2015</t>
        </is>
      </c>
      <c r="B2785" s="28" t="n">
        <v>64.73</v>
      </c>
    </row>
    <row r="2786">
      <c r="A2786" s="66" t="inlineStr">
        <is>
          <t>08/10/2015</t>
        </is>
      </c>
      <c r="B2786" s="28" t="n">
        <v>64.22</v>
      </c>
    </row>
    <row r="2787">
      <c r="A2787" s="66" t="inlineStr">
        <is>
          <t>09/10/2015</t>
        </is>
      </c>
      <c r="B2787" s="28" t="n">
        <v>63.43</v>
      </c>
    </row>
    <row r="2788">
      <c r="A2788" s="66" t="inlineStr">
        <is>
          <t>13/10/2015</t>
        </is>
      </c>
      <c r="B2788" s="28" t="n">
        <v>63.36</v>
      </c>
    </row>
    <row r="2789">
      <c r="A2789" s="66" t="inlineStr">
        <is>
          <t>14/10/2015</t>
        </is>
      </c>
      <c r="B2789" s="28" t="n">
        <v>63.34</v>
      </c>
    </row>
    <row r="2790">
      <c r="A2790" s="66" t="inlineStr">
        <is>
          <t>15/10/2015</t>
        </is>
      </c>
      <c r="B2790" s="28" t="n">
        <v>63.06</v>
      </c>
    </row>
    <row r="2791">
      <c r="A2791" s="66" t="inlineStr">
        <is>
          <t>16/10/2015</t>
        </is>
      </c>
      <c r="B2791" s="28" t="n">
        <v>62.89</v>
      </c>
    </row>
    <row r="2792">
      <c r="A2792" s="66" t="inlineStr">
        <is>
          <t>19/10/2015</t>
        </is>
      </c>
      <c r="B2792" s="28" t="n">
        <v>62.98</v>
      </c>
    </row>
    <row r="2793">
      <c r="A2793" s="66" t="inlineStr">
        <is>
          <t>20/10/2015</t>
        </is>
      </c>
      <c r="B2793" s="28" t="n">
        <v>63.12</v>
      </c>
    </row>
    <row r="2794">
      <c r="A2794" s="66" t="inlineStr">
        <is>
          <t>21/10/2015</t>
        </is>
      </c>
      <c r="B2794" s="28" t="n">
        <v>63.77</v>
      </c>
    </row>
    <row r="2795">
      <c r="A2795" s="66" t="inlineStr">
        <is>
          <t>22/10/2015</t>
        </is>
      </c>
      <c r="B2795" s="28" t="n">
        <v>64.22</v>
      </c>
    </row>
    <row r="2796">
      <c r="A2796" s="66" t="inlineStr">
        <is>
          <t>23/10/2015</t>
        </is>
      </c>
      <c r="B2796" s="28" t="n">
        <v>64.41</v>
      </c>
    </row>
    <row r="2797">
      <c r="A2797" s="66" t="inlineStr">
        <is>
          <t>26/10/2015</t>
        </is>
      </c>
      <c r="B2797" s="28" t="n">
        <v>64.38</v>
      </c>
    </row>
    <row r="2798">
      <c r="A2798" s="66" t="inlineStr">
        <is>
          <t>27/10/2015</t>
        </is>
      </c>
      <c r="B2798" s="28" t="n">
        <v>64.77</v>
      </c>
    </row>
    <row r="2799">
      <c r="A2799" s="66" t="inlineStr">
        <is>
          <t>28/10/2015</t>
        </is>
      </c>
      <c r="B2799" s="28" t="n">
        <v>64.75</v>
      </c>
    </row>
    <row r="2800">
      <c r="A2800" s="66" t="inlineStr">
        <is>
          <t>29/10/2015</t>
        </is>
      </c>
      <c r="B2800" s="28" t="n">
        <v>65.56999999999999</v>
      </c>
    </row>
    <row r="2801">
      <c r="A2801" s="66" t="inlineStr">
        <is>
          <t>30/10/2015</t>
        </is>
      </c>
      <c r="B2801" s="28" t="n">
        <v>66.59</v>
      </c>
    </row>
    <row r="2802">
      <c r="A2802" s="66" t="inlineStr">
        <is>
          <t>03/11/2015</t>
        </is>
      </c>
      <c r="B2802" s="28" t="n">
        <v>65.05</v>
      </c>
    </row>
    <row r="2803">
      <c r="A2803" s="66" t="inlineStr">
        <is>
          <t>04/11/2015</t>
        </is>
      </c>
      <c r="B2803" s="28" t="n">
        <v>65.03</v>
      </c>
    </row>
    <row r="2804">
      <c r="A2804" s="66" t="inlineStr">
        <is>
          <t>05/11/2015</t>
        </is>
      </c>
      <c r="B2804" s="28" t="n">
        <v>64.86</v>
      </c>
    </row>
    <row r="2805">
      <c r="A2805" s="66" t="inlineStr">
        <is>
          <t>06/11/2015</t>
        </is>
      </c>
      <c r="B2805" s="28" t="n">
        <v>65.20999999999999</v>
      </c>
    </row>
    <row r="2806">
      <c r="A2806" s="66" t="inlineStr">
        <is>
          <t>09/11/2015</t>
        </is>
      </c>
      <c r="B2806" s="28" t="n">
        <v>65.31999999999999</v>
      </c>
    </row>
    <row r="2807">
      <c r="A2807" s="66" t="inlineStr">
        <is>
          <t>10/11/2015</t>
        </is>
      </c>
      <c r="B2807" s="28" t="n">
        <v>65.61</v>
      </c>
    </row>
    <row r="2808">
      <c r="A2808" s="66" t="inlineStr">
        <is>
          <t>11/11/2015</t>
        </is>
      </c>
      <c r="B2808" s="28" t="n">
        <v>65.31999999999999</v>
      </c>
    </row>
    <row r="2809">
      <c r="A2809" s="66" t="inlineStr">
        <is>
          <t>12/11/2015</t>
        </is>
      </c>
      <c r="B2809" s="28" t="n">
        <v>65.63</v>
      </c>
    </row>
    <row r="2810">
      <c r="A2810" s="66" t="inlineStr">
        <is>
          <t>13/11/2015</t>
        </is>
      </c>
      <c r="B2810" s="28" t="n">
        <v>65.3</v>
      </c>
    </row>
    <row r="2811">
      <c r="A2811" s="66" t="inlineStr">
        <is>
          <t>16/11/2015</t>
        </is>
      </c>
      <c r="B2811" s="28" t="n">
        <v>65.01000000000001</v>
      </c>
    </row>
    <row r="2812">
      <c r="A2812" s="66" t="inlineStr">
        <is>
          <t>17/11/2015</t>
        </is>
      </c>
      <c r="B2812" s="28" t="n">
        <v>64.3</v>
      </c>
    </row>
    <row r="2813">
      <c r="A2813" s="66" t="inlineStr">
        <is>
          <t>18/11/2015</t>
        </is>
      </c>
      <c r="B2813" s="28" t="n">
        <v>64.26000000000001</v>
      </c>
    </row>
    <row r="2814">
      <c r="A2814" s="66" t="inlineStr">
        <is>
          <t>19/11/2015</t>
        </is>
      </c>
      <c r="B2814" s="28" t="n">
        <v>64.40000000000001</v>
      </c>
    </row>
    <row r="2815">
      <c r="A2815" s="66" t="inlineStr">
        <is>
          <t>20/11/2015</t>
        </is>
      </c>
      <c r="B2815" s="28" t="n">
        <v>64.72</v>
      </c>
    </row>
    <row r="2816">
      <c r="A2816" s="66" t="inlineStr">
        <is>
          <t>23/11/2015</t>
        </is>
      </c>
      <c r="B2816" s="28" t="n">
        <v>64.59</v>
      </c>
    </row>
    <row r="2817">
      <c r="A2817" s="66" t="inlineStr">
        <is>
          <t>24/11/2015</t>
        </is>
      </c>
      <c r="B2817" s="28" t="n">
        <v>64.84</v>
      </c>
    </row>
    <row r="2818">
      <c r="A2818" s="66" t="inlineStr">
        <is>
          <t>25/11/2015</t>
        </is>
      </c>
      <c r="B2818" s="28" t="n">
        <v>64.45</v>
      </c>
    </row>
    <row r="2819">
      <c r="A2819" s="66" t="inlineStr">
        <is>
          <t>26/11/2015</t>
        </is>
      </c>
      <c r="B2819" s="28" t="n">
        <v>63.99</v>
      </c>
    </row>
    <row r="2820">
      <c r="A2820" s="66" t="inlineStr">
        <is>
          <t>27/11/2015</t>
        </is>
      </c>
      <c r="B2820" s="28" t="n">
        <v>64.18000000000001</v>
      </c>
    </row>
    <row r="2821">
      <c r="A2821" s="66" t="inlineStr">
        <is>
          <t>30/11/2015</t>
        </is>
      </c>
      <c r="B2821" s="28" t="n">
        <v>64.2</v>
      </c>
    </row>
    <row r="2822">
      <c r="A2822" s="66" t="inlineStr">
        <is>
          <t>01/12/2015</t>
        </is>
      </c>
      <c r="B2822" s="28" t="n">
        <v>64.98999999999999</v>
      </c>
    </row>
    <row r="2823">
      <c r="A2823" s="66" t="inlineStr">
        <is>
          <t>02/12/2015</t>
        </is>
      </c>
      <c r="B2823" s="28" t="n">
        <v>64.98999999999999</v>
      </c>
    </row>
    <row r="2824">
      <c r="A2824" s="66" t="inlineStr">
        <is>
          <t>03/12/2015</t>
        </is>
      </c>
      <c r="B2824" s="28" t="n">
        <v>65.64</v>
      </c>
    </row>
    <row r="2825">
      <c r="A2825" s="66" t="inlineStr">
        <is>
          <t>04/12/2015</t>
        </is>
      </c>
      <c r="B2825" s="28" t="n">
        <v>65.5</v>
      </c>
    </row>
    <row r="2826">
      <c r="A2826" s="66" t="inlineStr">
        <is>
          <t>07/12/2015</t>
        </is>
      </c>
      <c r="B2826" s="28" t="n">
        <v>65.18000000000001</v>
      </c>
    </row>
    <row r="2827">
      <c r="A2827" s="66" t="inlineStr">
        <is>
          <t>08/12/2015</t>
        </is>
      </c>
      <c r="B2827" s="28" t="n">
        <v>67.09999999999999</v>
      </c>
    </row>
    <row r="2828">
      <c r="A2828" s="66" t="inlineStr">
        <is>
          <t>09/12/2015</t>
        </is>
      </c>
      <c r="B2828" s="28" t="n">
        <v>66.83</v>
      </c>
    </row>
    <row r="2829">
      <c r="A2829" s="66" t="inlineStr">
        <is>
          <t>10/12/2015</t>
        </is>
      </c>
      <c r="B2829" s="28" t="n">
        <v>67.45999999999999</v>
      </c>
    </row>
    <row r="2830">
      <c r="A2830" s="66" t="inlineStr">
        <is>
          <t>11/12/2015</t>
        </is>
      </c>
      <c r="B2830" s="28" t="n">
        <v>68.09999999999999</v>
      </c>
    </row>
    <row r="2831">
      <c r="A2831" s="66" t="inlineStr">
        <is>
          <t>14/12/2015</t>
        </is>
      </c>
      <c r="B2831" s="28" t="n">
        <v>68.41</v>
      </c>
    </row>
    <row r="2832">
      <c r="A2832" s="66" t="inlineStr">
        <is>
          <t>15/12/2015</t>
        </is>
      </c>
      <c r="B2832" s="28" t="n">
        <v>68.29000000000001</v>
      </c>
    </row>
    <row r="2833">
      <c r="A2833" s="66" t="inlineStr">
        <is>
          <t>16/12/2015</t>
        </is>
      </c>
      <c r="B2833" s="28" t="n">
        <v>68.52</v>
      </c>
    </row>
    <row r="2834">
      <c r="A2834" s="66" t="inlineStr">
        <is>
          <t>17/12/2015</t>
        </is>
      </c>
      <c r="B2834" s="28" t="n">
        <v>68.54000000000001</v>
      </c>
    </row>
    <row r="2835">
      <c r="A2835" s="66" t="inlineStr">
        <is>
          <t>18/12/2015</t>
        </is>
      </c>
      <c r="B2835" s="28" t="n">
        <v>68.70999999999999</v>
      </c>
    </row>
    <row r="2836">
      <c r="A2836" s="66" t="inlineStr">
        <is>
          <t>21/12/2015</t>
        </is>
      </c>
      <c r="B2836" s="28" t="n">
        <v>69.45999999999999</v>
      </c>
    </row>
    <row r="2837">
      <c r="A2837" s="66" t="inlineStr">
        <is>
          <t>22/12/2015</t>
        </is>
      </c>
      <c r="B2837" s="28" t="n">
        <v>69.62</v>
      </c>
    </row>
    <row r="2838">
      <c r="A2838" s="66" t="inlineStr">
        <is>
          <t>23/12/2015</t>
        </is>
      </c>
      <c r="B2838" s="28" t="n">
        <v>69.67</v>
      </c>
    </row>
    <row r="2839">
      <c r="A2839" s="66" t="inlineStr">
        <is>
          <t>28/12/2015</t>
        </is>
      </c>
      <c r="B2839" s="28" t="n">
        <v>69.73</v>
      </c>
    </row>
    <row r="2840">
      <c r="A2840" s="66" t="inlineStr">
        <is>
          <t>29/12/2015</t>
        </is>
      </c>
      <c r="B2840" s="28" t="n">
        <v>70.23</v>
      </c>
    </row>
    <row r="2841">
      <c r="A2841" s="66" t="inlineStr">
        <is>
          <t>30/12/2015</t>
        </is>
      </c>
      <c r="B2841" s="28" t="n">
        <v>70.77</v>
      </c>
    </row>
    <row r="2842">
      <c r="A2842" s="66" t="inlineStr">
        <is>
          <t>04/01/2016</t>
        </is>
      </c>
      <c r="B2842" s="28" t="n">
        <v>70.88</v>
      </c>
    </row>
    <row r="2843">
      <c r="A2843" s="66" t="inlineStr">
        <is>
          <t>05/01/2016</t>
        </is>
      </c>
      <c r="B2843" s="28" t="n">
        <v>71.06999999999999</v>
      </c>
    </row>
    <row r="2844">
      <c r="A2844" s="66" t="inlineStr">
        <is>
          <t>06/01/2016</t>
        </is>
      </c>
      <c r="B2844" s="28" t="n">
        <v>72.95</v>
      </c>
    </row>
    <row r="2845">
      <c r="A2845" s="66" t="inlineStr">
        <is>
          <t>07/01/2016</t>
        </is>
      </c>
      <c r="B2845" s="28" t="n">
        <v>73.68000000000001</v>
      </c>
    </row>
    <row r="2846">
      <c r="A2846" s="66" t="inlineStr">
        <is>
          <t>08/01/2016</t>
        </is>
      </c>
      <c r="B2846" s="28" t="n">
        <v>75.06</v>
      </c>
    </row>
    <row r="2847">
      <c r="A2847" s="66" t="inlineStr">
        <is>
          <t>11/01/2016</t>
        </is>
      </c>
      <c r="B2847" s="28" t="n">
        <v>76.7</v>
      </c>
    </row>
    <row r="2848">
      <c r="A2848" s="66" t="inlineStr">
        <is>
          <t>12/01/2016</t>
        </is>
      </c>
      <c r="B2848" s="28" t="n">
        <v>79.3</v>
      </c>
    </row>
    <row r="2849">
      <c r="A2849" s="66" t="inlineStr">
        <is>
          <t>13/01/2016</t>
        </is>
      </c>
      <c r="B2849" s="28" t="n">
        <v>80.93000000000001</v>
      </c>
    </row>
    <row r="2850">
      <c r="A2850" s="66" t="inlineStr">
        <is>
          <t>14/01/2016</t>
        </is>
      </c>
      <c r="B2850" s="28" t="n">
        <v>82.53</v>
      </c>
    </row>
    <row r="2851">
      <c r="A2851" s="66" t="inlineStr">
        <is>
          <t>15/01/2016</t>
        </is>
      </c>
      <c r="B2851" s="28" t="n">
        <v>82.38</v>
      </c>
    </row>
    <row r="2852">
      <c r="A2852" s="66" t="inlineStr">
        <is>
          <t>18/01/2016</t>
        </is>
      </c>
      <c r="B2852" s="28" t="n">
        <v>82.23</v>
      </c>
    </row>
    <row r="2853">
      <c r="A2853" s="66" t="inlineStr">
        <is>
          <t>19/01/2016</t>
        </is>
      </c>
      <c r="B2853" s="28" t="n">
        <v>82.09</v>
      </c>
    </row>
    <row r="2854">
      <c r="A2854" s="66" t="inlineStr">
        <is>
          <t>20/01/2016</t>
        </is>
      </c>
      <c r="B2854" s="28" t="n">
        <v>82.28</v>
      </c>
    </row>
    <row r="2855">
      <c r="A2855" s="66" t="inlineStr">
        <is>
          <t>21/01/2016</t>
        </is>
      </c>
      <c r="B2855" s="28" t="n">
        <v>82.56999999999999</v>
      </c>
    </row>
    <row r="2856">
      <c r="A2856" s="66" t="inlineStr">
        <is>
          <t>22/01/2016</t>
        </is>
      </c>
      <c r="B2856" s="28" t="n">
        <v>82.20999999999999</v>
      </c>
    </row>
    <row r="2857">
      <c r="A2857" s="66" t="inlineStr">
        <is>
          <t>25/01/2016</t>
        </is>
      </c>
      <c r="B2857" s="28" t="n">
        <v>81.39</v>
      </c>
    </row>
    <row r="2858">
      <c r="A2858" s="66" t="inlineStr">
        <is>
          <t>26/01/2016</t>
        </is>
      </c>
      <c r="B2858" s="28" t="n">
        <v>81.54000000000001</v>
      </c>
    </row>
    <row r="2859">
      <c r="A2859" s="66" t="inlineStr">
        <is>
          <t>27/01/2016</t>
        </is>
      </c>
      <c r="B2859" s="28" t="n">
        <v>81.41</v>
      </c>
    </row>
    <row r="2860">
      <c r="A2860" s="66" t="inlineStr">
        <is>
          <t>28/01/2016</t>
        </is>
      </c>
      <c r="B2860" s="28" t="n">
        <v>81.14</v>
      </c>
    </row>
    <row r="2861">
      <c r="A2861" s="66" t="inlineStr">
        <is>
          <t>29/01/2016</t>
        </is>
      </c>
      <c r="B2861" s="28" t="n">
        <v>80.31</v>
      </c>
    </row>
    <row r="2862">
      <c r="A2862" s="66" t="inlineStr">
        <is>
          <t>01/02/2016</t>
        </is>
      </c>
      <c r="B2862" s="28" t="n">
        <v>79.79000000000001</v>
      </c>
    </row>
    <row r="2863">
      <c r="A2863" s="66" t="inlineStr">
        <is>
          <t>02/02/2016</t>
        </is>
      </c>
      <c r="B2863" s="28" t="n">
        <v>79.43000000000001</v>
      </c>
    </row>
    <row r="2864">
      <c r="A2864" s="66" t="inlineStr">
        <is>
          <t>03/02/2016</t>
        </is>
      </c>
      <c r="B2864" s="28" t="n">
        <v>79.98</v>
      </c>
    </row>
    <row r="2865">
      <c r="A2865" s="66" t="inlineStr">
        <is>
          <t>04/02/2016</t>
        </is>
      </c>
      <c r="B2865" s="28" t="n">
        <v>79.7</v>
      </c>
    </row>
    <row r="2866">
      <c r="A2866" s="66" t="inlineStr">
        <is>
          <t>05/02/2016</t>
        </is>
      </c>
      <c r="B2866" s="28" t="n">
        <v>79.40000000000001</v>
      </c>
    </row>
    <row r="2867">
      <c r="A2867" s="66" t="inlineStr">
        <is>
          <t>10/02/2016</t>
        </is>
      </c>
      <c r="B2867" s="28" t="n">
        <v>80.05</v>
      </c>
    </row>
    <row r="2868">
      <c r="A2868" s="66" t="inlineStr">
        <is>
          <t>11/02/2016</t>
        </is>
      </c>
      <c r="B2868" s="28" t="n">
        <v>80.34999999999999</v>
      </c>
    </row>
    <row r="2869">
      <c r="A2869" s="66" t="inlineStr">
        <is>
          <t>12/02/2016</t>
        </is>
      </c>
      <c r="B2869" s="28" t="n">
        <v>80.52</v>
      </c>
    </row>
    <row r="2870">
      <c r="A2870" s="66" t="inlineStr">
        <is>
          <t>15/02/2016</t>
        </is>
      </c>
      <c r="B2870" s="28" t="n">
        <v>80.56</v>
      </c>
    </row>
    <row r="2871">
      <c r="A2871" s="66" t="inlineStr">
        <is>
          <t>16/02/2016</t>
        </is>
      </c>
      <c r="B2871" s="28" t="n">
        <v>80.59999999999999</v>
      </c>
    </row>
    <row r="2872">
      <c r="A2872" s="66" t="inlineStr">
        <is>
          <t>17/02/2016</t>
        </is>
      </c>
      <c r="B2872" s="28" t="n">
        <v>80.39</v>
      </c>
    </row>
    <row r="2873">
      <c r="A2873" s="66" t="inlineStr">
        <is>
          <t>18/02/2016</t>
        </is>
      </c>
      <c r="B2873" s="28" t="n">
        <v>80.58</v>
      </c>
    </row>
    <row r="2874">
      <c r="A2874" s="66" t="inlineStr">
        <is>
          <t>19/02/2016</t>
        </is>
      </c>
      <c r="B2874" s="28" t="n">
        <v>81.14</v>
      </c>
    </row>
    <row r="2875">
      <c r="A2875" s="66" t="inlineStr">
        <is>
          <t>22/02/2016</t>
        </is>
      </c>
      <c r="B2875" s="28" t="n">
        <v>80.75</v>
      </c>
    </row>
    <row r="2876">
      <c r="A2876" s="66" t="inlineStr">
        <is>
          <t>23/02/2016</t>
        </is>
      </c>
      <c r="B2876" s="28" t="n">
        <v>81.03</v>
      </c>
    </row>
    <row r="2877">
      <c r="A2877" s="66" t="inlineStr">
        <is>
          <t>24/02/2016</t>
        </is>
      </c>
      <c r="B2877" s="28" t="n">
        <v>81.65000000000001</v>
      </c>
    </row>
    <row r="2878">
      <c r="A2878" s="66" t="inlineStr">
        <is>
          <t>25/02/2016</t>
        </is>
      </c>
      <c r="B2878" s="28" t="n">
        <v>82</v>
      </c>
    </row>
    <row r="2879">
      <c r="A2879" s="66" t="inlineStr">
        <is>
          <t>26/02/2016</t>
        </is>
      </c>
      <c r="B2879" s="28" t="n">
        <v>82.02</v>
      </c>
    </row>
    <row r="2880">
      <c r="A2880" s="66" t="inlineStr">
        <is>
          <t>29/02/2016</t>
        </is>
      </c>
      <c r="B2880" s="28" t="n">
        <v>81.84</v>
      </c>
    </row>
    <row r="2881">
      <c r="A2881" s="66" t="inlineStr">
        <is>
          <t>01/03/2016</t>
        </is>
      </c>
      <c r="B2881" s="28" t="n">
        <v>82.45999999999999</v>
      </c>
    </row>
    <row r="2882">
      <c r="A2882" s="66" t="inlineStr">
        <is>
          <t>02/03/2016</t>
        </is>
      </c>
      <c r="B2882" s="28" t="n">
        <v>83.40000000000001</v>
      </c>
    </row>
    <row r="2883">
      <c r="A2883" s="66" t="inlineStr">
        <is>
          <t>03/03/2016</t>
        </is>
      </c>
      <c r="B2883" s="28" t="n">
        <v>84</v>
      </c>
    </row>
    <row r="2884">
      <c r="A2884" s="66" t="inlineStr">
        <is>
          <t>04/03/2016</t>
        </is>
      </c>
      <c r="B2884" s="28" t="n">
        <v>83.81</v>
      </c>
    </row>
    <row r="2885">
      <c r="A2885" s="66" t="inlineStr">
        <is>
          <t>07/03/2016</t>
        </is>
      </c>
      <c r="B2885" s="28" t="n">
        <v>84.34999999999999</v>
      </c>
    </row>
    <row r="2886">
      <c r="A2886" s="66" t="inlineStr">
        <is>
          <t>08/03/2016</t>
        </is>
      </c>
      <c r="B2886" s="28" t="n">
        <v>85.62</v>
      </c>
    </row>
    <row r="2887">
      <c r="A2887" s="66" t="inlineStr">
        <is>
          <t>09/03/2016</t>
        </is>
      </c>
      <c r="B2887" s="28" t="n">
        <v>86.5</v>
      </c>
    </row>
    <row r="2888">
      <c r="A2888" s="66" t="inlineStr">
        <is>
          <t>10/03/2016</t>
        </is>
      </c>
      <c r="B2888" s="28" t="n">
        <v>89.03</v>
      </c>
    </row>
    <row r="2889">
      <c r="A2889" s="66" t="inlineStr">
        <is>
          <t>11/03/2016</t>
        </is>
      </c>
      <c r="B2889" s="28" t="n">
        <v>88.62</v>
      </c>
    </row>
    <row r="2890">
      <c r="A2890" s="66" t="inlineStr">
        <is>
          <t>14/03/2016</t>
        </is>
      </c>
      <c r="B2890" s="28" t="n">
        <v>89.3</v>
      </c>
    </row>
    <row r="2891">
      <c r="A2891" s="66" t="inlineStr">
        <is>
          <t>15/03/2016</t>
        </is>
      </c>
      <c r="B2891" s="28" t="n">
        <v>90.51000000000001</v>
      </c>
    </row>
    <row r="2892">
      <c r="A2892" s="66" t="inlineStr">
        <is>
          <t>16/03/2016</t>
        </is>
      </c>
      <c r="B2892" s="28" t="n">
        <v>91.01000000000001</v>
      </c>
    </row>
    <row r="2893">
      <c r="A2893" s="66" t="inlineStr">
        <is>
          <t>17/03/2016</t>
        </is>
      </c>
      <c r="B2893" s="28" t="n">
        <v>90.88</v>
      </c>
    </row>
    <row r="2894">
      <c r="A2894" s="66" t="inlineStr">
        <is>
          <t>18/03/2016</t>
        </is>
      </c>
      <c r="B2894" s="28" t="n">
        <v>91.34999999999999</v>
      </c>
    </row>
    <row r="2895">
      <c r="A2895" s="66" t="inlineStr">
        <is>
          <t>21/03/2016</t>
        </is>
      </c>
      <c r="B2895" s="28" t="n">
        <v>91.63</v>
      </c>
    </row>
    <row r="2896">
      <c r="A2896" s="66" t="inlineStr">
        <is>
          <t>22/03/2016</t>
        </is>
      </c>
      <c r="B2896" s="28" t="n">
        <v>92.93000000000001</v>
      </c>
    </row>
    <row r="2897">
      <c r="A2897" s="66" t="inlineStr">
        <is>
          <t>23/03/2016</t>
        </is>
      </c>
      <c r="B2897" s="28" t="n">
        <v>92.84</v>
      </c>
    </row>
    <row r="2898">
      <c r="A2898" s="66" t="inlineStr">
        <is>
          <t>24/03/2016</t>
        </is>
      </c>
      <c r="B2898" s="28" t="n">
        <v>92.3</v>
      </c>
    </row>
    <row r="2899">
      <c r="A2899" s="66" t="inlineStr">
        <is>
          <t>28/03/2016</t>
        </is>
      </c>
      <c r="B2899" s="28" t="n">
        <v>93.03</v>
      </c>
    </row>
    <row r="2900">
      <c r="A2900" s="66" t="inlineStr">
        <is>
          <t>29/03/2016</t>
        </is>
      </c>
      <c r="B2900" s="28" t="n">
        <v>93.03</v>
      </c>
    </row>
    <row r="2901">
      <c r="A2901" s="66" t="inlineStr">
        <is>
          <t>30/03/2016</t>
        </is>
      </c>
      <c r="B2901" s="28" t="n">
        <v>92.56</v>
      </c>
    </row>
    <row r="2902">
      <c r="A2902" s="66" t="inlineStr">
        <is>
          <t>31/03/2016</t>
        </is>
      </c>
      <c r="B2902" s="28" t="n">
        <v>92.70999999999999</v>
      </c>
    </row>
    <row r="2903">
      <c r="A2903" s="66" t="inlineStr">
        <is>
          <t>01/04/2016</t>
        </is>
      </c>
      <c r="B2903" s="28" t="n">
        <v>92.83</v>
      </c>
    </row>
    <row r="2904">
      <c r="A2904" s="66" t="inlineStr">
        <is>
          <t>04/04/2016</t>
        </is>
      </c>
      <c r="B2904" s="28" t="n">
        <v>92.13</v>
      </c>
    </row>
    <row r="2905">
      <c r="A2905" s="66" t="inlineStr">
        <is>
          <t>05/04/2016</t>
        </is>
      </c>
      <c r="B2905" s="28" t="n">
        <v>91.77</v>
      </c>
    </row>
    <row r="2906">
      <c r="A2906" s="66" t="inlineStr">
        <is>
          <t>06/04/2016</t>
        </is>
      </c>
      <c r="B2906" s="28" t="n">
        <v>91.79000000000001</v>
      </c>
    </row>
    <row r="2907">
      <c r="A2907" s="66" t="inlineStr">
        <is>
          <t>07/04/2016</t>
        </is>
      </c>
      <c r="B2907" s="28" t="n">
        <v>91.75</v>
      </c>
    </row>
    <row r="2908">
      <c r="A2908" s="66" t="inlineStr">
        <is>
          <t>08/04/2016</t>
        </is>
      </c>
      <c r="B2908" s="28" t="n">
        <v>91.88</v>
      </c>
    </row>
    <row r="2909">
      <c r="A2909" s="66" t="inlineStr">
        <is>
          <t>11/04/2016</t>
        </is>
      </c>
      <c r="B2909" s="28" t="n">
        <v>91.05</v>
      </c>
    </row>
    <row r="2910">
      <c r="A2910" s="66" t="inlineStr">
        <is>
          <t>12/04/2016</t>
        </is>
      </c>
      <c r="B2910" s="28" t="n">
        <v>91.09999999999999</v>
      </c>
    </row>
    <row r="2911">
      <c r="A2911" s="66" t="inlineStr">
        <is>
          <t>13/04/2016</t>
        </is>
      </c>
      <c r="B2911" s="28" t="n">
        <v>91.08</v>
      </c>
    </row>
    <row r="2912">
      <c r="A2912" s="66" t="inlineStr">
        <is>
          <t>14/04/2016</t>
        </is>
      </c>
      <c r="B2912" s="28" t="n">
        <v>90.45</v>
      </c>
    </row>
    <row r="2913">
      <c r="A2913" s="66" t="inlineStr">
        <is>
          <t>15/04/2016</t>
        </is>
      </c>
      <c r="B2913" s="28" t="n">
        <v>89.78</v>
      </c>
    </row>
    <row r="2914">
      <c r="A2914" s="66" t="inlineStr">
        <is>
          <t>18/04/2016</t>
        </is>
      </c>
      <c r="B2914" s="28" t="n">
        <v>90.20999999999999</v>
      </c>
    </row>
    <row r="2915">
      <c r="A2915" s="66" t="inlineStr">
        <is>
          <t>19/04/2016</t>
        </is>
      </c>
      <c r="B2915" s="28" t="n">
        <v>90.62</v>
      </c>
    </row>
    <row r="2916">
      <c r="A2916" s="66" t="inlineStr">
        <is>
          <t>20/04/2016</t>
        </is>
      </c>
      <c r="B2916" s="28" t="n">
        <v>90.41</v>
      </c>
    </row>
    <row r="2917">
      <c r="A2917" s="66" t="inlineStr">
        <is>
          <t>22/04/2016</t>
        </is>
      </c>
      <c r="B2917" s="28" t="n">
        <v>90.77</v>
      </c>
    </row>
    <row r="2918">
      <c r="A2918" s="66" t="inlineStr">
        <is>
          <t>25/04/2016</t>
        </is>
      </c>
      <c r="B2918" s="28" t="n">
        <v>89.97</v>
      </c>
    </row>
    <row r="2919">
      <c r="A2919" s="66" t="inlineStr">
        <is>
          <t>26/04/2016</t>
        </is>
      </c>
      <c r="B2919" s="28" t="n">
        <v>90.81</v>
      </c>
    </row>
    <row r="2920">
      <c r="A2920" s="66" t="inlineStr">
        <is>
          <t>27/04/2016</t>
        </is>
      </c>
      <c r="B2920" s="28" t="n">
        <v>90.28</v>
      </c>
    </row>
    <row r="2921">
      <c r="A2921" s="66" t="inlineStr">
        <is>
          <t>28/04/2016</t>
        </is>
      </c>
      <c r="B2921" s="28" t="n">
        <v>90.58</v>
      </c>
    </row>
    <row r="2922">
      <c r="A2922" s="66" t="inlineStr">
        <is>
          <t>29/04/2016</t>
        </is>
      </c>
      <c r="B2922" s="28" t="n">
        <v>90.48999999999999</v>
      </c>
    </row>
    <row r="2923">
      <c r="A2923" s="66" t="inlineStr">
        <is>
          <t>02/05/2016</t>
        </is>
      </c>
      <c r="B2923" s="28" t="n">
        <v>90.77</v>
      </c>
    </row>
    <row r="2924">
      <c r="A2924" s="66" t="inlineStr">
        <is>
          <t>03/05/2016</t>
        </is>
      </c>
      <c r="B2924" s="28" t="n">
        <v>91.12</v>
      </c>
    </row>
    <row r="2925">
      <c r="A2925" s="66" t="inlineStr">
        <is>
          <t>04/05/2016</t>
        </is>
      </c>
      <c r="B2925" s="28" t="n">
        <v>91.23</v>
      </c>
    </row>
    <row r="2926">
      <c r="A2926" s="66" t="inlineStr">
        <is>
          <t>05/05/2016</t>
        </is>
      </c>
      <c r="B2926" s="28" t="n">
        <v>91.65000000000001</v>
      </c>
    </row>
    <row r="2927">
      <c r="A2927" s="66" t="inlineStr">
        <is>
          <t>06/05/2016</t>
        </is>
      </c>
      <c r="B2927" s="28" t="n">
        <v>92.26000000000001</v>
      </c>
    </row>
    <row r="2928">
      <c r="A2928" s="66" t="inlineStr">
        <is>
          <t>09/05/2016</t>
        </is>
      </c>
      <c r="B2928" s="28" t="n">
        <v>92.19</v>
      </c>
    </row>
    <row r="2929">
      <c r="A2929" s="66" t="inlineStr">
        <is>
          <t>10/05/2016</t>
        </is>
      </c>
      <c r="B2929" s="28" t="n">
        <v>92.31999999999999</v>
      </c>
    </row>
    <row r="2930">
      <c r="A2930" s="66" t="inlineStr">
        <is>
          <t>11/05/2016</t>
        </is>
      </c>
      <c r="B2930" s="28" t="n">
        <v>93.04000000000001</v>
      </c>
    </row>
    <row r="2931">
      <c r="A2931" s="66" t="inlineStr">
        <is>
          <t>12/05/2016</t>
        </is>
      </c>
      <c r="B2931" s="28" t="n">
        <v>94.14</v>
      </c>
    </row>
    <row r="2932">
      <c r="A2932" s="66" t="inlineStr">
        <is>
          <t>13/05/2016</t>
        </is>
      </c>
      <c r="B2932" s="28" t="n">
        <v>95.38</v>
      </c>
    </row>
    <row r="2933">
      <c r="A2933" s="66" t="inlineStr">
        <is>
          <t>16/05/2016</t>
        </is>
      </c>
      <c r="B2933" s="28" t="n">
        <v>95.09999999999999</v>
      </c>
    </row>
    <row r="2934">
      <c r="A2934" s="66" t="inlineStr">
        <is>
          <t>17/05/2016</t>
        </is>
      </c>
      <c r="B2934" s="28" t="n">
        <v>95.58</v>
      </c>
    </row>
    <row r="2935">
      <c r="A2935" s="66" t="inlineStr">
        <is>
          <t>18/05/2016</t>
        </is>
      </c>
      <c r="B2935" s="28" t="n">
        <v>97.45</v>
      </c>
    </row>
    <row r="2936">
      <c r="A2936" s="66" t="inlineStr">
        <is>
          <t>19/05/2016</t>
        </is>
      </c>
      <c r="B2936" s="28" t="n">
        <v>97.39</v>
      </c>
    </row>
    <row r="2937">
      <c r="A2937" s="66" t="inlineStr">
        <is>
          <t>20/05/2016</t>
        </is>
      </c>
      <c r="B2937" s="28" t="n">
        <v>97.61</v>
      </c>
    </row>
    <row r="2938">
      <c r="A2938" s="66" t="inlineStr">
        <is>
          <t>23/05/2016</t>
        </is>
      </c>
      <c r="B2938" s="28" t="n">
        <v>97.43000000000001</v>
      </c>
    </row>
    <row r="2939">
      <c r="A2939" s="66" t="inlineStr">
        <is>
          <t>24/05/2016</t>
        </is>
      </c>
      <c r="B2939" s="28" t="n">
        <v>97.81999999999999</v>
      </c>
    </row>
    <row r="2940">
      <c r="A2940" s="66" t="inlineStr">
        <is>
          <t>25/05/2016</t>
        </is>
      </c>
      <c r="B2940" s="28" t="n">
        <v>97.91</v>
      </c>
    </row>
    <row r="2941">
      <c r="A2941" s="66" t="inlineStr">
        <is>
          <t>27/05/2016</t>
        </is>
      </c>
      <c r="B2941" s="28" t="n">
        <v>97.72</v>
      </c>
    </row>
    <row r="2942">
      <c r="A2942" s="66" t="inlineStr">
        <is>
          <t>30/05/2016</t>
        </is>
      </c>
      <c r="B2942" s="28" t="n">
        <v>98.26000000000001</v>
      </c>
    </row>
    <row r="2943">
      <c r="A2943" s="66" t="inlineStr">
        <is>
          <t>31/05/2016</t>
        </is>
      </c>
      <c r="B2943" s="28" t="n">
        <v>98.06</v>
      </c>
    </row>
    <row r="2944">
      <c r="A2944" s="66" t="inlineStr">
        <is>
          <t>01/06/2016</t>
        </is>
      </c>
      <c r="B2944" s="28" t="n">
        <v>96.53</v>
      </c>
    </row>
    <row r="2945">
      <c r="A2945" s="66" t="inlineStr">
        <is>
          <t>02/06/2016</t>
        </is>
      </c>
      <c r="B2945" s="28" t="n">
        <v>97.8</v>
      </c>
    </row>
    <row r="2946">
      <c r="A2946" s="66" t="inlineStr">
        <is>
          <t>03/06/2016</t>
        </is>
      </c>
      <c r="B2946" s="28" t="n">
        <v>97.62</v>
      </c>
    </row>
    <row r="2947">
      <c r="A2947" s="66" t="inlineStr">
        <is>
          <t>06/06/2016</t>
        </is>
      </c>
      <c r="B2947" s="28" t="n">
        <v>96.53</v>
      </c>
    </row>
    <row r="2948">
      <c r="A2948" s="66" t="inlineStr">
        <is>
          <t>07/06/2016</t>
        </is>
      </c>
      <c r="B2948" s="28" t="n">
        <v>96.63</v>
      </c>
    </row>
    <row r="2949">
      <c r="A2949" s="66" t="inlineStr">
        <is>
          <t>08/06/2016</t>
        </is>
      </c>
      <c r="B2949" s="28" t="n">
        <v>96.84</v>
      </c>
    </row>
    <row r="2950">
      <c r="A2950" s="66" t="inlineStr">
        <is>
          <t>09/06/2016</t>
        </is>
      </c>
      <c r="B2950" s="28" t="n">
        <v>97.17</v>
      </c>
    </row>
    <row r="2951">
      <c r="A2951" s="66" t="inlineStr">
        <is>
          <t>10/06/2016</t>
        </is>
      </c>
      <c r="B2951" s="28" t="n">
        <v>96.81999999999999</v>
      </c>
    </row>
    <row r="2952">
      <c r="A2952" s="66" t="inlineStr">
        <is>
          <t>13/06/2016</t>
        </is>
      </c>
      <c r="B2952" s="28" t="n">
        <v>96.68000000000001</v>
      </c>
    </row>
    <row r="2953">
      <c r="A2953" s="66" t="inlineStr">
        <is>
          <t>14/06/2016</t>
        </is>
      </c>
      <c r="B2953" s="28" t="n">
        <v>95.79000000000001</v>
      </c>
    </row>
    <row r="2954">
      <c r="A2954" s="66" t="inlineStr">
        <is>
          <t>15/06/2016</t>
        </is>
      </c>
      <c r="B2954" s="28" t="n">
        <v>94.41</v>
      </c>
    </row>
    <row r="2955">
      <c r="A2955" s="66" t="inlineStr">
        <is>
          <t>16/06/2016</t>
        </is>
      </c>
      <c r="B2955" s="28" t="n">
        <v>94.25</v>
      </c>
    </row>
    <row r="2956">
      <c r="A2956" s="66" t="inlineStr">
        <is>
          <t>17/06/2016</t>
        </is>
      </c>
      <c r="B2956" s="28" t="n">
        <v>91.84</v>
      </c>
    </row>
    <row r="2957">
      <c r="A2957" s="66" t="inlineStr">
        <is>
          <t>20/06/2016</t>
        </is>
      </c>
      <c r="B2957" s="28" t="n">
        <v>87.81</v>
      </c>
    </row>
    <row r="2958">
      <c r="A2958" s="66" t="inlineStr">
        <is>
          <t>21/06/2016</t>
        </is>
      </c>
      <c r="B2958" s="28" t="n">
        <v>83.54000000000001</v>
      </c>
    </row>
    <row r="2959">
      <c r="A2959" s="66" t="inlineStr">
        <is>
          <t>22/06/2016</t>
        </is>
      </c>
      <c r="B2959" s="28" t="n">
        <v>80.68000000000001</v>
      </c>
    </row>
    <row r="2960">
      <c r="A2960" s="66" t="inlineStr">
        <is>
          <t>23/06/2016</t>
        </is>
      </c>
      <c r="B2960" s="28" t="n">
        <v>78.37</v>
      </c>
    </row>
    <row r="2961">
      <c r="A2961" s="66" t="inlineStr">
        <is>
          <t>24/06/2016</t>
        </is>
      </c>
      <c r="B2961" s="28" t="n">
        <v>77.36</v>
      </c>
    </row>
    <row r="2962">
      <c r="A2962" s="66" t="inlineStr">
        <is>
          <t>27/06/2016</t>
        </is>
      </c>
      <c r="B2962" s="28" t="n">
        <v>77.36</v>
      </c>
    </row>
    <row r="2963">
      <c r="A2963" s="66" t="inlineStr">
        <is>
          <t>28/06/2016</t>
        </is>
      </c>
      <c r="B2963" s="28" t="n">
        <v>76.56</v>
      </c>
    </row>
    <row r="2964">
      <c r="A2964" s="66" t="inlineStr">
        <is>
          <t>29/06/2016</t>
        </is>
      </c>
      <c r="B2964" s="28" t="n">
        <v>75.04000000000001</v>
      </c>
    </row>
    <row r="2965">
      <c r="A2965" s="66" t="inlineStr">
        <is>
          <t>30/06/2016</t>
        </is>
      </c>
      <c r="B2965" s="28" t="n">
        <v>74.89</v>
      </c>
    </row>
    <row r="2966">
      <c r="A2966" s="66" t="inlineStr">
        <is>
          <t>01/07/2016</t>
        </is>
      </c>
      <c r="B2966" s="28" t="n">
        <v>74.47</v>
      </c>
    </row>
    <row r="2967">
      <c r="A2967" s="66" t="inlineStr">
        <is>
          <t>04/07/2016</t>
        </is>
      </c>
      <c r="B2967" s="28" t="n">
        <v>75.26000000000001</v>
      </c>
    </row>
    <row r="2968">
      <c r="A2968" s="66" t="inlineStr">
        <is>
          <t>05/07/2016</t>
        </is>
      </c>
      <c r="B2968" s="28" t="n">
        <v>74.83</v>
      </c>
    </row>
    <row r="2969">
      <c r="A2969" s="66" t="inlineStr">
        <is>
          <t>06/07/2016</t>
        </is>
      </c>
      <c r="B2969" s="28" t="n">
        <v>74.47</v>
      </c>
    </row>
    <row r="2970">
      <c r="A2970" s="66" t="inlineStr">
        <is>
          <t>07/07/2016</t>
        </is>
      </c>
      <c r="B2970" s="28" t="n">
        <v>75.81</v>
      </c>
    </row>
    <row r="2971">
      <c r="A2971" s="66" t="inlineStr">
        <is>
          <t>08/07/2016</t>
        </is>
      </c>
      <c r="B2971" s="28" t="n">
        <v>75.43000000000001</v>
      </c>
    </row>
    <row r="2972">
      <c r="A2972" s="66" t="inlineStr">
        <is>
          <t>11/07/2016</t>
        </is>
      </c>
      <c r="B2972" s="28" t="n">
        <v>74.67</v>
      </c>
    </row>
    <row r="2973">
      <c r="A2973" s="66" t="inlineStr">
        <is>
          <t>12/07/2016</t>
        </is>
      </c>
      <c r="B2973" s="28" t="n">
        <v>75.55</v>
      </c>
    </row>
    <row r="2974">
      <c r="A2974" s="66" t="inlineStr">
        <is>
          <t>13/07/2016</t>
        </is>
      </c>
      <c r="B2974" s="28" t="n">
        <v>76.93000000000001</v>
      </c>
    </row>
    <row r="2975">
      <c r="A2975" s="66" t="inlineStr">
        <is>
          <t>14/07/2016</t>
        </is>
      </c>
      <c r="B2975" s="28" t="n">
        <v>78.25</v>
      </c>
    </row>
    <row r="2976">
      <c r="A2976" s="66" t="inlineStr">
        <is>
          <t>15/07/2016</t>
        </is>
      </c>
      <c r="B2976" s="28" t="n">
        <v>79.43000000000001</v>
      </c>
    </row>
    <row r="2977">
      <c r="A2977" s="66" t="inlineStr">
        <is>
          <t>18/07/2016</t>
        </is>
      </c>
      <c r="B2977" s="28" t="n">
        <v>81.44</v>
      </c>
    </row>
    <row r="2978">
      <c r="A2978" s="66" t="inlineStr">
        <is>
          <t>19/07/2016</t>
        </is>
      </c>
      <c r="B2978" s="28" t="n">
        <v>83.14</v>
      </c>
    </row>
    <row r="2979">
      <c r="A2979" s="66" t="inlineStr">
        <is>
          <t>20/07/2016</t>
        </is>
      </c>
      <c r="B2979" s="28" t="n">
        <v>84.63</v>
      </c>
    </row>
    <row r="2980">
      <c r="A2980" s="66" t="inlineStr">
        <is>
          <t>21/07/2016</t>
        </is>
      </c>
      <c r="B2980" s="28" t="n">
        <v>85.66</v>
      </c>
    </row>
    <row r="2981">
      <c r="A2981" s="66" t="inlineStr">
        <is>
          <t>22/07/2016</t>
        </is>
      </c>
      <c r="B2981" s="28" t="n">
        <v>85.81999999999999</v>
      </c>
    </row>
    <row r="2982">
      <c r="A2982" s="66" t="inlineStr">
        <is>
          <t>25/07/2016</t>
        </is>
      </c>
      <c r="B2982" s="28" t="n">
        <v>85.98</v>
      </c>
    </row>
    <row r="2983">
      <c r="A2983" s="66" t="inlineStr">
        <is>
          <t>26/07/2016</t>
        </is>
      </c>
      <c r="B2983" s="28" t="n">
        <v>87.02</v>
      </c>
    </row>
    <row r="2984">
      <c r="A2984" s="66" t="inlineStr">
        <is>
          <t>27/07/2016</t>
        </is>
      </c>
      <c r="B2984" s="28" t="n">
        <v>86.73</v>
      </c>
    </row>
    <row r="2985">
      <c r="A2985" s="66" t="inlineStr">
        <is>
          <t>28/07/2016</t>
        </is>
      </c>
      <c r="B2985" s="28" t="n">
        <v>86.64</v>
      </c>
    </row>
    <row r="2986">
      <c r="A2986" s="66" t="inlineStr">
        <is>
          <t>29/07/2016</t>
        </is>
      </c>
      <c r="B2986" s="28" t="n">
        <v>87.31</v>
      </c>
    </row>
    <row r="2987">
      <c r="A2987" s="66" t="inlineStr">
        <is>
          <t>01/08/2016</t>
        </is>
      </c>
      <c r="B2987" s="28" t="n">
        <v>87.79000000000001</v>
      </c>
    </row>
    <row r="2988">
      <c r="A2988" s="66" t="inlineStr">
        <is>
          <t>02/08/2016</t>
        </is>
      </c>
      <c r="B2988" s="28" t="n">
        <v>86.95999999999999</v>
      </c>
    </row>
    <row r="2989">
      <c r="A2989" s="66" t="inlineStr">
        <is>
          <t>03/08/2016</t>
        </is>
      </c>
      <c r="B2989" s="28" t="n">
        <v>85.64</v>
      </c>
    </row>
    <row r="2990">
      <c r="A2990" s="66" t="inlineStr">
        <is>
          <t>04/08/2016</t>
        </is>
      </c>
      <c r="B2990" s="28" t="n">
        <v>85.78</v>
      </c>
    </row>
    <row r="2991">
      <c r="A2991" s="66" t="inlineStr">
        <is>
          <t>05/08/2016</t>
        </is>
      </c>
      <c r="B2991" s="28" t="n">
        <v>85.13</v>
      </c>
    </row>
    <row r="2992">
      <c r="A2992" s="66" t="inlineStr">
        <is>
          <t>08/08/2016</t>
        </is>
      </c>
      <c r="B2992" s="28" t="n">
        <v>84.79000000000001</v>
      </c>
    </row>
    <row r="2993">
      <c r="A2993" s="66" t="inlineStr">
        <is>
          <t>09/08/2016</t>
        </is>
      </c>
      <c r="B2993" s="28" t="n">
        <v>84.19</v>
      </c>
    </row>
    <row r="2994">
      <c r="A2994" s="66" t="inlineStr">
        <is>
          <t>10/08/2016</t>
        </is>
      </c>
      <c r="B2994" s="28" t="n">
        <v>83.84999999999999</v>
      </c>
    </row>
    <row r="2995">
      <c r="A2995" s="66" t="inlineStr">
        <is>
          <t>11/08/2016</t>
        </is>
      </c>
      <c r="B2995" s="28" t="n">
        <v>83</v>
      </c>
    </row>
    <row r="2996">
      <c r="A2996" s="66" t="inlineStr">
        <is>
          <t>12/08/2016</t>
        </is>
      </c>
      <c r="B2996" s="28" t="n">
        <v>82.78</v>
      </c>
    </row>
    <row r="2997">
      <c r="A2997" s="66" t="inlineStr">
        <is>
          <t>15/08/2016</t>
        </is>
      </c>
      <c r="B2997" s="28" t="n">
        <v>82.15000000000001</v>
      </c>
    </row>
    <row r="2998">
      <c r="A2998" s="66" t="inlineStr">
        <is>
          <t>16/08/2016</t>
        </is>
      </c>
      <c r="B2998" s="28" t="n">
        <v>81.06</v>
      </c>
    </row>
    <row r="2999">
      <c r="A2999" s="66" t="inlineStr">
        <is>
          <t>17/08/2016</t>
        </is>
      </c>
      <c r="B2999" s="28" t="n">
        <v>81.33</v>
      </c>
    </row>
    <row r="3000">
      <c r="A3000" s="66" t="inlineStr">
        <is>
          <t>18/08/2016</t>
        </is>
      </c>
      <c r="B3000" s="28" t="n">
        <v>80.65000000000001</v>
      </c>
    </row>
    <row r="3001">
      <c r="A3001" s="66" t="inlineStr">
        <is>
          <t>19/08/2016</t>
        </is>
      </c>
      <c r="B3001" s="28" t="n">
        <v>80.7</v>
      </c>
    </row>
    <row r="3002">
      <c r="A3002" s="66" t="inlineStr">
        <is>
          <t>22/08/2016</t>
        </is>
      </c>
      <c r="B3002" s="28" t="n">
        <v>80.36</v>
      </c>
    </row>
    <row r="3003">
      <c r="A3003" s="66" t="inlineStr">
        <is>
          <t>23/08/2016</t>
        </is>
      </c>
      <c r="B3003" s="28" t="n">
        <v>80.61</v>
      </c>
    </row>
    <row r="3004">
      <c r="A3004" s="66" t="inlineStr">
        <is>
          <t>24/08/2016</t>
        </is>
      </c>
      <c r="B3004" s="28" t="n">
        <v>80.23</v>
      </c>
    </row>
    <row r="3005">
      <c r="A3005" s="66" t="inlineStr">
        <is>
          <t>25/08/2016</t>
        </is>
      </c>
      <c r="B3005" s="28" t="n">
        <v>80.25</v>
      </c>
    </row>
    <row r="3006">
      <c r="A3006" s="66" t="inlineStr">
        <is>
          <t>26/08/2016</t>
        </is>
      </c>
      <c r="B3006" s="28" t="n">
        <v>79.04000000000001</v>
      </c>
    </row>
    <row r="3007">
      <c r="A3007" s="66" t="inlineStr">
        <is>
          <t>29/08/2016</t>
        </is>
      </c>
      <c r="B3007" s="28" t="n">
        <v>78.33</v>
      </c>
    </row>
    <row r="3008">
      <c r="A3008" s="66" t="inlineStr">
        <is>
          <t>30/08/2016</t>
        </is>
      </c>
      <c r="B3008" s="28" t="n">
        <v>77.5</v>
      </c>
    </row>
    <row r="3009">
      <c r="A3009" s="66" t="inlineStr">
        <is>
          <t>31/08/2016</t>
        </is>
      </c>
      <c r="B3009" s="28" t="n">
        <v>77.23</v>
      </c>
    </row>
    <row r="3010">
      <c r="A3010" s="66" t="inlineStr">
        <is>
          <t>01/09/2016</t>
        </is>
      </c>
      <c r="B3010" s="28" t="n">
        <v>76.52</v>
      </c>
    </row>
    <row r="3011">
      <c r="A3011" s="66" t="inlineStr">
        <is>
          <t>02/09/2016</t>
        </is>
      </c>
      <c r="B3011" s="28" t="n">
        <v>77.53</v>
      </c>
    </row>
    <row r="3012">
      <c r="A3012" s="66" t="inlineStr">
        <is>
          <t>05/09/2016</t>
        </is>
      </c>
      <c r="B3012" s="28" t="n">
        <v>77.48999999999999</v>
      </c>
    </row>
    <row r="3013">
      <c r="A3013" s="66" t="inlineStr">
        <is>
          <t>06/09/2016</t>
        </is>
      </c>
      <c r="B3013" s="28" t="n">
        <v>77.17</v>
      </c>
    </row>
    <row r="3014">
      <c r="A3014" s="66" t="inlineStr">
        <is>
          <t>08/09/2016</t>
        </is>
      </c>
      <c r="B3014" s="28" t="n">
        <v>75.65000000000001</v>
      </c>
    </row>
    <row r="3015">
      <c r="A3015" s="66" t="inlineStr">
        <is>
          <t>09/09/2016</t>
        </is>
      </c>
      <c r="B3015" s="28" t="n">
        <v>76.05</v>
      </c>
    </row>
    <row r="3016">
      <c r="A3016" s="66" t="inlineStr">
        <is>
          <t>12/09/2016</t>
        </is>
      </c>
      <c r="B3016" s="28" t="n">
        <v>75.73999999999999</v>
      </c>
    </row>
    <row r="3017">
      <c r="A3017" s="66" t="inlineStr">
        <is>
          <t>13/09/2016</t>
        </is>
      </c>
      <c r="B3017" s="28" t="n">
        <v>76.06999999999999</v>
      </c>
    </row>
    <row r="3018">
      <c r="A3018" s="66" t="inlineStr">
        <is>
          <t>14/09/2016</t>
        </is>
      </c>
      <c r="B3018" s="28" t="n">
        <v>76.25</v>
      </c>
    </row>
    <row r="3019">
      <c r="A3019" s="66" t="inlineStr">
        <is>
          <t>15/09/2016</t>
        </is>
      </c>
      <c r="B3019" s="28" t="n">
        <v>76.79000000000001</v>
      </c>
    </row>
    <row r="3020">
      <c r="A3020" s="66" t="inlineStr">
        <is>
          <t>16/09/2016</t>
        </is>
      </c>
      <c r="B3020" s="28" t="n">
        <v>77.2</v>
      </c>
    </row>
    <row r="3021">
      <c r="A3021" s="66" t="inlineStr">
        <is>
          <t>19/09/2016</t>
        </is>
      </c>
      <c r="B3021" s="28" t="n">
        <v>76.34999999999999</v>
      </c>
    </row>
    <row r="3022">
      <c r="A3022" s="66" t="inlineStr">
        <is>
          <t>20/09/2016</t>
        </is>
      </c>
      <c r="B3022" s="28" t="n">
        <v>75.90000000000001</v>
      </c>
    </row>
    <row r="3023">
      <c r="A3023" s="66" t="inlineStr">
        <is>
          <t>21/09/2016</t>
        </is>
      </c>
      <c r="B3023" s="28" t="n">
        <v>75.73999999999999</v>
      </c>
    </row>
    <row r="3024">
      <c r="A3024" s="66" t="inlineStr">
        <is>
          <t>22/09/2016</t>
        </is>
      </c>
      <c r="B3024" s="28" t="n">
        <v>74.51000000000001</v>
      </c>
    </row>
    <row r="3025">
      <c r="A3025" s="66" t="inlineStr">
        <is>
          <t>23/09/2016</t>
        </is>
      </c>
      <c r="B3025" s="28" t="n">
        <v>73.92</v>
      </c>
    </row>
    <row r="3026">
      <c r="A3026" s="66" t="inlineStr">
        <is>
          <t>26/09/2016</t>
        </is>
      </c>
      <c r="B3026" s="28" t="n">
        <v>73.03</v>
      </c>
    </row>
    <row r="3027">
      <c r="A3027" s="66" t="inlineStr">
        <is>
          <t>27/09/2016</t>
        </is>
      </c>
      <c r="B3027" s="28" t="n">
        <v>73.58</v>
      </c>
    </row>
    <row r="3028">
      <c r="A3028" s="66" t="inlineStr">
        <is>
          <t>28/09/2016</t>
        </is>
      </c>
      <c r="B3028" s="28" t="n">
        <v>73.77</v>
      </c>
    </row>
    <row r="3029">
      <c r="A3029" s="66" t="inlineStr">
        <is>
          <t>29/09/2016</t>
        </is>
      </c>
      <c r="B3029" s="28" t="n">
        <v>74.17</v>
      </c>
    </row>
    <row r="3030">
      <c r="A3030" s="66" t="inlineStr">
        <is>
          <t>30/09/2016</t>
        </is>
      </c>
      <c r="B3030" s="28" t="n">
        <v>74.95</v>
      </c>
    </row>
    <row r="3031">
      <c r="A3031" s="66" t="inlineStr">
        <is>
          <t>03/10/2016</t>
        </is>
      </c>
      <c r="B3031" s="28" t="n">
        <v>75.48</v>
      </c>
    </row>
    <row r="3032">
      <c r="A3032" s="66" t="inlineStr">
        <is>
          <t>04/10/2016</t>
        </is>
      </c>
      <c r="B3032" s="28" t="n">
        <v>76.93000000000001</v>
      </c>
    </row>
    <row r="3033">
      <c r="A3033" s="66" t="inlineStr">
        <is>
          <t>05/10/2016</t>
        </is>
      </c>
      <c r="B3033" s="28" t="n">
        <v>77.91</v>
      </c>
    </row>
    <row r="3034">
      <c r="A3034" s="66" t="inlineStr">
        <is>
          <t>06/10/2016</t>
        </is>
      </c>
      <c r="B3034" s="28" t="n">
        <v>78.83</v>
      </c>
    </row>
    <row r="3035">
      <c r="A3035" s="66" t="inlineStr">
        <is>
          <t>07/10/2016</t>
        </is>
      </c>
      <c r="B3035" s="28" t="n">
        <v>78.63</v>
      </c>
    </row>
    <row r="3036">
      <c r="A3036" s="66" t="inlineStr">
        <is>
          <t>10/10/2016</t>
        </is>
      </c>
      <c r="B3036" s="28" t="n">
        <v>78.88</v>
      </c>
    </row>
    <row r="3037">
      <c r="A3037" s="66" t="inlineStr">
        <is>
          <t>11/10/2016</t>
        </is>
      </c>
      <c r="B3037" s="28" t="n">
        <v>78.75</v>
      </c>
    </row>
    <row r="3038">
      <c r="A3038" s="66" t="inlineStr">
        <is>
          <t>13/10/2016</t>
        </is>
      </c>
      <c r="B3038" s="28" t="n">
        <v>78.81</v>
      </c>
    </row>
    <row r="3039">
      <c r="A3039" s="66" t="inlineStr">
        <is>
          <t>14/10/2016</t>
        </is>
      </c>
      <c r="B3039" s="28" t="n">
        <v>78.34</v>
      </c>
    </row>
    <row r="3040">
      <c r="A3040" s="66" t="inlineStr">
        <is>
          <t>17/10/2016</t>
        </is>
      </c>
      <c r="B3040" s="28" t="n">
        <v>77.53</v>
      </c>
    </row>
    <row r="3041">
      <c r="A3041" s="66" t="inlineStr">
        <is>
          <t>18/10/2016</t>
        </is>
      </c>
      <c r="B3041" s="28" t="n">
        <v>76.7</v>
      </c>
    </row>
    <row r="3042">
      <c r="A3042" s="66" t="inlineStr">
        <is>
          <t>19/10/2016</t>
        </is>
      </c>
      <c r="B3042" s="28" t="n">
        <v>75.93000000000001</v>
      </c>
    </row>
    <row r="3043">
      <c r="A3043" s="66" t="inlineStr">
        <is>
          <t>20/10/2016</t>
        </is>
      </c>
      <c r="B3043" s="28" t="n">
        <v>75.19</v>
      </c>
    </row>
    <row r="3044">
      <c r="A3044" s="66" t="inlineStr">
        <is>
          <t>21/10/2016</t>
        </is>
      </c>
      <c r="B3044" s="28" t="n">
        <v>74.05</v>
      </c>
    </row>
    <row r="3045">
      <c r="A3045" s="66" t="inlineStr">
        <is>
          <t>24/10/2016</t>
        </is>
      </c>
      <c r="B3045" s="28" t="n">
        <v>72.79000000000001</v>
      </c>
    </row>
    <row r="3046">
      <c r="A3046" s="66" t="inlineStr">
        <is>
          <t>25/10/2016</t>
        </is>
      </c>
      <c r="B3046" s="28" t="n">
        <v>72.23</v>
      </c>
    </row>
    <row r="3047">
      <c r="A3047" s="66" t="inlineStr">
        <is>
          <t>26/10/2016</t>
        </is>
      </c>
      <c r="B3047" s="28" t="n">
        <v>72.03</v>
      </c>
    </row>
    <row r="3048">
      <c r="A3048" s="66" t="inlineStr">
        <is>
          <t>27/10/2016</t>
        </is>
      </c>
      <c r="B3048" s="28" t="n">
        <v>72.36</v>
      </c>
    </row>
    <row r="3049">
      <c r="A3049" s="66" t="inlineStr">
        <is>
          <t>28/10/2016</t>
        </is>
      </c>
      <c r="B3049" s="28" t="n">
        <v>72.65000000000001</v>
      </c>
    </row>
    <row r="3050">
      <c r="A3050" s="66" t="inlineStr">
        <is>
          <t>31/10/2016</t>
        </is>
      </c>
      <c r="B3050" s="28" t="n">
        <v>73.62</v>
      </c>
    </row>
    <row r="3051">
      <c r="A3051" s="66" t="inlineStr">
        <is>
          <t>01/11/2016</t>
        </is>
      </c>
      <c r="B3051" s="28" t="n">
        <v>73.59</v>
      </c>
    </row>
    <row r="3052">
      <c r="A3052" s="66" t="inlineStr">
        <is>
          <t>03/11/2016</t>
        </is>
      </c>
      <c r="B3052" s="28" t="n">
        <v>73.61</v>
      </c>
    </row>
    <row r="3053">
      <c r="A3053" s="66" t="inlineStr">
        <is>
          <t>04/11/2016</t>
        </is>
      </c>
      <c r="B3053" s="28" t="n">
        <v>73.19</v>
      </c>
    </row>
    <row r="3054">
      <c r="A3054" s="66" t="inlineStr">
        <is>
          <t>07/11/2016</t>
        </is>
      </c>
      <c r="B3054" s="28" t="n">
        <v>72.79000000000001</v>
      </c>
    </row>
    <row r="3055">
      <c r="A3055" s="66" t="inlineStr">
        <is>
          <t>08/11/2016</t>
        </is>
      </c>
      <c r="B3055" s="28" t="n">
        <v>71.84</v>
      </c>
    </row>
    <row r="3056">
      <c r="A3056" s="66" t="inlineStr">
        <is>
          <t>09/11/2016</t>
        </is>
      </c>
      <c r="B3056" s="28" t="n">
        <v>71.20999999999999</v>
      </c>
    </row>
    <row r="3057">
      <c r="A3057" s="66" t="inlineStr">
        <is>
          <t>10/11/2016</t>
        </is>
      </c>
      <c r="B3057" s="28" t="n">
        <v>70.51000000000001</v>
      </c>
    </row>
    <row r="3058">
      <c r="A3058" s="66" t="inlineStr">
        <is>
          <t>11/11/2016</t>
        </is>
      </c>
      <c r="B3058" s="28" t="n">
        <v>70.88</v>
      </c>
    </row>
    <row r="3059">
      <c r="A3059" s="66" t="inlineStr">
        <is>
          <t>14/11/2016</t>
        </is>
      </c>
      <c r="B3059" s="28" t="n">
        <v>71.23999999999999</v>
      </c>
    </row>
    <row r="3060">
      <c r="A3060" s="66" t="inlineStr">
        <is>
          <t>16/11/2016</t>
        </is>
      </c>
      <c r="B3060" s="28" t="n">
        <v>72.36</v>
      </c>
    </row>
    <row r="3061">
      <c r="A3061" s="66" t="inlineStr">
        <is>
          <t>17/11/2016</t>
        </is>
      </c>
      <c r="B3061" s="28" t="n">
        <v>71.59</v>
      </c>
    </row>
    <row r="3062">
      <c r="A3062" s="66" t="inlineStr">
        <is>
          <t>18/11/2016</t>
        </is>
      </c>
      <c r="B3062" s="28" t="n">
        <v>70.34</v>
      </c>
    </row>
    <row r="3063">
      <c r="A3063" s="66" t="inlineStr">
        <is>
          <t>21/11/2016</t>
        </is>
      </c>
      <c r="B3063" s="28" t="n">
        <v>68.36</v>
      </c>
    </row>
    <row r="3064">
      <c r="A3064" s="66" t="inlineStr">
        <is>
          <t>22/11/2016</t>
        </is>
      </c>
      <c r="B3064" s="28" t="n">
        <v>67.75</v>
      </c>
    </row>
    <row r="3065">
      <c r="A3065" s="66" t="inlineStr">
        <is>
          <t>23/11/2016</t>
        </is>
      </c>
      <c r="B3065" s="28" t="n">
        <v>67.51000000000001</v>
      </c>
    </row>
    <row r="3066">
      <c r="A3066" s="66" t="inlineStr">
        <is>
          <t>24/11/2016</t>
        </is>
      </c>
      <c r="B3066" s="28" t="n">
        <v>66.79000000000001</v>
      </c>
    </row>
    <row r="3067">
      <c r="A3067" s="66" t="inlineStr">
        <is>
          <t>25/11/2016</t>
        </is>
      </c>
      <c r="B3067" s="28" t="n">
        <v>66.04000000000001</v>
      </c>
    </row>
    <row r="3068">
      <c r="A3068" s="66" t="inlineStr">
        <is>
          <t>28/11/2016</t>
        </is>
      </c>
      <c r="B3068" s="28" t="n">
        <v>66.41</v>
      </c>
    </row>
    <row r="3069">
      <c r="A3069" s="66" t="inlineStr">
        <is>
          <t>29/11/2016</t>
        </is>
      </c>
      <c r="B3069" s="28" t="n">
        <v>65.66</v>
      </c>
    </row>
    <row r="3070">
      <c r="A3070" s="66" t="inlineStr">
        <is>
          <t>30/11/2016</t>
        </is>
      </c>
      <c r="B3070" s="28" t="n">
        <v>65.77</v>
      </c>
    </row>
    <row r="3071">
      <c r="A3071" s="66" t="inlineStr">
        <is>
          <t>01/12/2016</t>
        </is>
      </c>
      <c r="B3071" s="28" t="n">
        <v>65.5</v>
      </c>
    </row>
    <row r="3072">
      <c r="A3072" s="66" t="inlineStr">
        <is>
          <t>02/12/2016</t>
        </is>
      </c>
      <c r="B3072" s="28" t="n">
        <v>65.48</v>
      </c>
    </row>
    <row r="3073">
      <c r="A3073" s="66" t="inlineStr">
        <is>
          <t>05/12/2016</t>
        </is>
      </c>
      <c r="B3073" s="28" t="n">
        <v>65.95</v>
      </c>
    </row>
    <row r="3074">
      <c r="A3074" s="66" t="inlineStr">
        <is>
          <t>06/12/2016</t>
        </is>
      </c>
      <c r="B3074" s="28" t="n">
        <v>66.86</v>
      </c>
    </row>
    <row r="3075">
      <c r="A3075" s="66" t="inlineStr">
        <is>
          <t>07/12/2016</t>
        </is>
      </c>
      <c r="B3075" s="28" t="n">
        <v>67.19</v>
      </c>
    </row>
    <row r="3076">
      <c r="A3076" s="66" t="inlineStr">
        <is>
          <t>08/12/2016</t>
        </is>
      </c>
      <c r="B3076" s="28" t="n">
        <v>68.48</v>
      </c>
    </row>
    <row r="3077">
      <c r="A3077" s="66" t="inlineStr">
        <is>
          <t>09/12/2016</t>
        </is>
      </c>
      <c r="B3077" s="28" t="n">
        <v>67.95999999999999</v>
      </c>
    </row>
    <row r="3078">
      <c r="A3078" s="66" t="inlineStr">
        <is>
          <t>12/12/2016</t>
        </is>
      </c>
      <c r="B3078" s="28" t="n">
        <v>68.76000000000001</v>
      </c>
    </row>
    <row r="3079">
      <c r="A3079" s="66" t="inlineStr">
        <is>
          <t>13/12/2016</t>
        </is>
      </c>
      <c r="B3079" s="28" t="n">
        <v>70</v>
      </c>
    </row>
    <row r="3080">
      <c r="A3080" s="66" t="inlineStr">
        <is>
          <t>14/12/2016</t>
        </is>
      </c>
      <c r="B3080" s="28" t="n">
        <v>69.55</v>
      </c>
    </row>
    <row r="3081">
      <c r="A3081" s="66" t="inlineStr">
        <is>
          <t>15/12/2016</t>
        </is>
      </c>
      <c r="B3081" s="28" t="n">
        <v>69.25</v>
      </c>
    </row>
    <row r="3082">
      <c r="A3082" s="66" t="inlineStr">
        <is>
          <t>16/12/2016</t>
        </is>
      </c>
      <c r="B3082" s="28" t="n">
        <v>69.68000000000001</v>
      </c>
    </row>
    <row r="3083">
      <c r="A3083" s="66" t="inlineStr">
        <is>
          <t>19/12/2016</t>
        </is>
      </c>
      <c r="B3083" s="28" t="n">
        <v>70.56</v>
      </c>
    </row>
    <row r="3084">
      <c r="A3084" s="66" t="inlineStr">
        <is>
          <t>20/12/2016</t>
        </is>
      </c>
      <c r="B3084" s="28" t="n">
        <v>70.52</v>
      </c>
    </row>
    <row r="3085">
      <c r="A3085" s="66" t="inlineStr">
        <is>
          <t>21/12/2016</t>
        </is>
      </c>
      <c r="B3085" s="28" t="n">
        <v>69.63</v>
      </c>
    </row>
    <row r="3086">
      <c r="A3086" s="66" t="inlineStr">
        <is>
          <t>22/12/2016</t>
        </is>
      </c>
      <c r="B3086" s="28" t="n">
        <v>70.04000000000001</v>
      </c>
    </row>
    <row r="3087">
      <c r="A3087" s="66" t="inlineStr">
        <is>
          <t>23/12/2016</t>
        </is>
      </c>
      <c r="B3087" s="28" t="n">
        <v>69.55</v>
      </c>
    </row>
    <row r="3088">
      <c r="A3088" s="66" t="inlineStr">
        <is>
          <t>26/12/2016</t>
        </is>
      </c>
      <c r="B3088" s="28" t="n">
        <v>69.59</v>
      </c>
    </row>
    <row r="3089">
      <c r="A3089" s="66" t="inlineStr">
        <is>
          <t>27/12/2016</t>
        </is>
      </c>
      <c r="B3089" s="28" t="n">
        <v>69.55</v>
      </c>
    </row>
    <row r="3090">
      <c r="A3090" s="66" t="inlineStr">
        <is>
          <t>28/12/2016</t>
        </is>
      </c>
      <c r="B3090" s="28" t="n">
        <v>69.03</v>
      </c>
    </row>
    <row r="3091">
      <c r="A3091" s="66" t="inlineStr">
        <is>
          <t>29/12/2016</t>
        </is>
      </c>
      <c r="B3091" s="28" t="n">
        <v>68.42</v>
      </c>
    </row>
    <row r="3092">
      <c r="A3092" s="66" t="inlineStr">
        <is>
          <t>02/01/2017</t>
        </is>
      </c>
      <c r="B3092" s="28" t="n">
        <v>68.59</v>
      </c>
    </row>
    <row r="3093">
      <c r="A3093" s="66" t="inlineStr">
        <is>
          <t>03/01/2017</t>
        </is>
      </c>
      <c r="B3093" s="28" t="n">
        <v>67.58</v>
      </c>
    </row>
    <row r="3094">
      <c r="A3094" s="66" t="inlineStr">
        <is>
          <t>04/01/2017</t>
        </is>
      </c>
      <c r="B3094" s="28" t="n">
        <v>66.34999999999999</v>
      </c>
    </row>
    <row r="3095">
      <c r="A3095" s="66" t="inlineStr">
        <is>
          <t>05/01/2017</t>
        </is>
      </c>
      <c r="B3095" s="28" t="n">
        <v>65.73</v>
      </c>
    </row>
    <row r="3096">
      <c r="A3096" s="66" t="inlineStr">
        <is>
          <t>06/01/2017</t>
        </is>
      </c>
      <c r="B3096" s="28" t="n">
        <v>64.66</v>
      </c>
    </row>
    <row r="3097">
      <c r="A3097" s="66" t="inlineStr">
        <is>
          <t>09/01/2017</t>
        </is>
      </c>
      <c r="B3097" s="28" t="n">
        <v>63.68</v>
      </c>
    </row>
    <row r="3098">
      <c r="A3098" s="66" t="inlineStr">
        <is>
          <t>10/01/2017</t>
        </is>
      </c>
      <c r="B3098" s="28" t="n">
        <v>61.93</v>
      </c>
    </row>
    <row r="3099">
      <c r="A3099" s="66" t="inlineStr">
        <is>
          <t>11/01/2017</t>
        </is>
      </c>
      <c r="B3099" s="28" t="n">
        <v>61.27</v>
      </c>
    </row>
    <row r="3100">
      <c r="A3100" s="66" t="inlineStr">
        <is>
          <t>12/01/2017</t>
        </is>
      </c>
      <c r="B3100" s="28" t="n">
        <v>61.26</v>
      </c>
    </row>
    <row r="3101">
      <c r="A3101" s="66" t="inlineStr">
        <is>
          <t>13/01/2017</t>
        </is>
      </c>
      <c r="B3101" s="28" t="n">
        <v>60.86</v>
      </c>
    </row>
    <row r="3102">
      <c r="A3102" s="66" t="inlineStr">
        <is>
          <t>16/01/2017</t>
        </is>
      </c>
      <c r="B3102" s="28" t="n">
        <v>60.97</v>
      </c>
    </row>
    <row r="3103">
      <c r="A3103" s="66" t="inlineStr">
        <is>
          <t>17/01/2017</t>
        </is>
      </c>
      <c r="B3103" s="28" t="n">
        <v>61.49</v>
      </c>
    </row>
    <row r="3104">
      <c r="A3104" s="66" t="inlineStr">
        <is>
          <t>18/01/2017</t>
        </is>
      </c>
      <c r="B3104" s="28" t="n">
        <v>62.54</v>
      </c>
    </row>
    <row r="3105">
      <c r="A3105" s="66" t="inlineStr">
        <is>
          <t>19/01/2017</t>
        </is>
      </c>
      <c r="B3105" s="28" t="n">
        <v>62.43</v>
      </c>
    </row>
    <row r="3106">
      <c r="A3106" s="66" t="inlineStr">
        <is>
          <t>20/01/2017</t>
        </is>
      </c>
      <c r="B3106" s="28" t="n">
        <v>63.39</v>
      </c>
    </row>
    <row r="3107">
      <c r="A3107" s="66" t="inlineStr">
        <is>
          <t>23/01/2017</t>
        </is>
      </c>
      <c r="B3107" s="28" t="n">
        <v>64.70999999999999</v>
      </c>
    </row>
    <row r="3108">
      <c r="A3108" s="66" t="inlineStr">
        <is>
          <t>24/01/2017</t>
        </is>
      </c>
      <c r="B3108" s="28" t="n">
        <v>64.81999999999999</v>
      </c>
    </row>
    <row r="3109">
      <c r="A3109" s="66" t="inlineStr">
        <is>
          <t>25/01/2017</t>
        </is>
      </c>
      <c r="B3109" s="28" t="n">
        <v>65.01000000000001</v>
      </c>
    </row>
    <row r="3110">
      <c r="A3110" s="66" t="inlineStr">
        <is>
          <t>26/01/2017</t>
        </is>
      </c>
      <c r="B3110" s="28" t="n">
        <v>65.20999999999999</v>
      </c>
    </row>
    <row r="3111">
      <c r="A3111" s="66" t="inlineStr">
        <is>
          <t>27/01/2017</t>
        </is>
      </c>
      <c r="B3111" s="28" t="n">
        <v>65.3</v>
      </c>
    </row>
    <row r="3112">
      <c r="A3112" s="66" t="inlineStr">
        <is>
          <t>30/01/2017</t>
        </is>
      </c>
      <c r="B3112" s="28" t="n">
        <v>65.09999999999999</v>
      </c>
    </row>
    <row r="3113">
      <c r="A3113" s="66" t="inlineStr">
        <is>
          <t>31/01/2017</t>
        </is>
      </c>
      <c r="B3113" s="28" t="n">
        <v>64.84</v>
      </c>
    </row>
    <row r="3114">
      <c r="A3114" s="66" t="inlineStr">
        <is>
          <t>01/02/2017</t>
        </is>
      </c>
      <c r="B3114" s="28" t="n">
        <v>64.18000000000001</v>
      </c>
    </row>
    <row r="3115">
      <c r="A3115" s="66" t="inlineStr">
        <is>
          <t>02/02/2017</t>
        </is>
      </c>
      <c r="B3115" s="28" t="n">
        <v>63.97</v>
      </c>
    </row>
    <row r="3116">
      <c r="A3116" s="66" t="inlineStr">
        <is>
          <t>03/02/2017</t>
        </is>
      </c>
      <c r="B3116" s="28" t="n">
        <v>64.8</v>
      </c>
    </row>
    <row r="3117">
      <c r="A3117" s="66" t="inlineStr">
        <is>
          <t>06/02/2017</t>
        </is>
      </c>
      <c r="B3117" s="28" t="n">
        <v>64.68000000000001</v>
      </c>
    </row>
    <row r="3118">
      <c r="A3118" s="66" t="inlineStr">
        <is>
          <t>07/02/2017</t>
        </is>
      </c>
      <c r="B3118" s="28" t="n">
        <v>64.11</v>
      </c>
    </row>
    <row r="3119">
      <c r="A3119" s="66" t="inlineStr">
        <is>
          <t>08/02/2017</t>
        </is>
      </c>
      <c r="B3119" s="28" t="n">
        <v>64.73</v>
      </c>
    </row>
    <row r="3120">
      <c r="A3120" s="66" t="inlineStr">
        <is>
          <t>09/02/2017</t>
        </is>
      </c>
      <c r="B3120" s="28" t="n">
        <v>64.81999999999999</v>
      </c>
    </row>
    <row r="3121">
      <c r="A3121" s="66" t="inlineStr">
        <is>
          <t>10/02/2017</t>
        </is>
      </c>
      <c r="B3121" s="28" t="n">
        <v>65.09</v>
      </c>
    </row>
    <row r="3122">
      <c r="A3122" s="66" t="inlineStr">
        <is>
          <t>13/02/2017</t>
        </is>
      </c>
      <c r="B3122" s="28" t="n">
        <v>65.03</v>
      </c>
    </row>
    <row r="3123">
      <c r="A3123" s="66" t="inlineStr">
        <is>
          <t>14/02/2017</t>
        </is>
      </c>
      <c r="B3123" s="28" t="n">
        <v>64.70999999999999</v>
      </c>
    </row>
    <row r="3124">
      <c r="A3124" s="66" t="inlineStr">
        <is>
          <t>15/02/2017</t>
        </is>
      </c>
      <c r="B3124" s="28" t="n">
        <v>64.14</v>
      </c>
    </row>
    <row r="3125">
      <c r="A3125" s="66" t="inlineStr">
        <is>
          <t>16/02/2017</t>
        </is>
      </c>
      <c r="B3125" s="28" t="n">
        <v>64.3</v>
      </c>
    </row>
    <row r="3126">
      <c r="A3126" s="66" t="inlineStr">
        <is>
          <t>17/02/2017</t>
        </is>
      </c>
      <c r="B3126" s="28" t="n">
        <v>64.18000000000001</v>
      </c>
    </row>
    <row r="3127">
      <c r="A3127" s="66" t="inlineStr">
        <is>
          <t>20/02/2017</t>
        </is>
      </c>
      <c r="B3127" s="28" t="n">
        <v>63.91</v>
      </c>
    </row>
    <row r="3128">
      <c r="A3128" s="66" t="inlineStr">
        <is>
          <t>21/02/2017</t>
        </is>
      </c>
      <c r="B3128" s="28" t="n">
        <v>64.11</v>
      </c>
    </row>
    <row r="3129">
      <c r="A3129" s="66" t="inlineStr">
        <is>
          <t>22/02/2017</t>
        </is>
      </c>
      <c r="B3129" s="28" t="n">
        <v>64.77</v>
      </c>
    </row>
    <row r="3130">
      <c r="A3130" s="66" t="inlineStr">
        <is>
          <t>23/02/2017</t>
        </is>
      </c>
      <c r="B3130" s="28" t="n">
        <v>64.25</v>
      </c>
    </row>
    <row r="3131">
      <c r="A3131" s="66" t="inlineStr">
        <is>
          <t>24/02/2017</t>
        </is>
      </c>
      <c r="B3131" s="28" t="n">
        <v>64.25</v>
      </c>
    </row>
    <row r="3132">
      <c r="A3132" s="66" t="inlineStr">
        <is>
          <t>01/03/2017</t>
        </is>
      </c>
      <c r="B3132" s="28" t="n">
        <v>63.99</v>
      </c>
    </row>
    <row r="3133">
      <c r="A3133" s="66" t="inlineStr">
        <is>
          <t>02/03/2017</t>
        </is>
      </c>
      <c r="B3133" s="28" t="n">
        <v>64.26000000000001</v>
      </c>
    </row>
    <row r="3134">
      <c r="A3134" s="66" t="inlineStr">
        <is>
          <t>03/03/2017</t>
        </is>
      </c>
      <c r="B3134" s="28" t="n">
        <v>64.51000000000001</v>
      </c>
    </row>
    <row r="3135">
      <c r="A3135" s="66" t="inlineStr">
        <is>
          <t>06/03/2017</t>
        </is>
      </c>
      <c r="B3135" s="28" t="n">
        <v>63.98</v>
      </c>
    </row>
    <row r="3136">
      <c r="A3136" s="66" t="inlineStr">
        <is>
          <t>07/03/2017</t>
        </is>
      </c>
      <c r="B3136" s="28" t="n">
        <v>63.87</v>
      </c>
    </row>
    <row r="3137">
      <c r="A3137" s="66" t="inlineStr">
        <is>
          <t>08/03/2017</t>
        </is>
      </c>
      <c r="B3137" s="28" t="n">
        <v>63.14</v>
      </c>
    </row>
    <row r="3138">
      <c r="A3138" s="66" t="inlineStr">
        <is>
          <t>09/03/2017</t>
        </is>
      </c>
      <c r="B3138" s="28" t="n">
        <v>63.23</v>
      </c>
    </row>
    <row r="3139">
      <c r="A3139" s="66" t="inlineStr">
        <is>
          <t>10/03/2017</t>
        </is>
      </c>
      <c r="B3139" s="28" t="n">
        <v>63.07</v>
      </c>
    </row>
    <row r="3140">
      <c r="A3140" s="66" t="inlineStr">
        <is>
          <t>13/03/2017</t>
        </is>
      </c>
      <c r="B3140" s="28" t="n">
        <v>62.02</v>
      </c>
    </row>
    <row r="3141">
      <c r="A3141" s="66" t="inlineStr">
        <is>
          <t>14/03/2017</t>
        </is>
      </c>
      <c r="B3141" s="28" t="n">
        <v>62.87</v>
      </c>
    </row>
    <row r="3142">
      <c r="A3142" s="66" t="inlineStr">
        <is>
          <t>15/03/2017</t>
        </is>
      </c>
      <c r="B3142" s="28" t="n">
        <v>62.48</v>
      </c>
    </row>
    <row r="3143">
      <c r="A3143" s="66" t="inlineStr">
        <is>
          <t>16/03/2017</t>
        </is>
      </c>
      <c r="B3143" s="28" t="n">
        <v>62.3</v>
      </c>
    </row>
    <row r="3144">
      <c r="A3144" s="66" t="inlineStr">
        <is>
          <t>17/03/2017</t>
        </is>
      </c>
      <c r="B3144" s="28" t="n">
        <v>61.65</v>
      </c>
    </row>
    <row r="3145">
      <c r="A3145" s="66" t="inlineStr">
        <is>
          <t>20/03/2017</t>
        </is>
      </c>
      <c r="B3145" s="28" t="n">
        <v>61.08</v>
      </c>
    </row>
    <row r="3146">
      <c r="A3146" s="66" t="inlineStr">
        <is>
          <t>21/03/2017</t>
        </is>
      </c>
      <c r="B3146" s="28" t="n">
        <v>59.07</v>
      </c>
    </row>
    <row r="3147">
      <c r="A3147" s="66" t="inlineStr">
        <is>
          <t>22/03/2017</t>
        </is>
      </c>
      <c r="B3147" s="28" t="n">
        <v>58.37</v>
      </c>
    </row>
    <row r="3148">
      <c r="A3148" s="66" t="inlineStr">
        <is>
          <t>23/03/2017</t>
        </is>
      </c>
      <c r="B3148" s="28" t="n">
        <v>56.48</v>
      </c>
    </row>
    <row r="3149">
      <c r="A3149" s="66" t="inlineStr">
        <is>
          <t>24/03/2017</t>
        </is>
      </c>
      <c r="B3149" s="28" t="n">
        <v>56.29</v>
      </c>
    </row>
    <row r="3150">
      <c r="A3150" s="66" t="inlineStr">
        <is>
          <t>27/03/2017</t>
        </is>
      </c>
      <c r="B3150" s="28" t="n">
        <v>54.21</v>
      </c>
    </row>
    <row r="3151">
      <c r="A3151" s="66" t="inlineStr">
        <is>
          <t>28/03/2017</t>
        </is>
      </c>
      <c r="B3151" s="28" t="n">
        <v>54.14</v>
      </c>
    </row>
    <row r="3152">
      <c r="A3152" s="66" t="inlineStr">
        <is>
          <t>29/03/2017</t>
        </is>
      </c>
      <c r="B3152" s="28" t="n">
        <v>53.67</v>
      </c>
    </row>
    <row r="3153">
      <c r="A3153" s="66" t="inlineStr">
        <is>
          <t>30/03/2017</t>
        </is>
      </c>
      <c r="B3153" s="28" t="n">
        <v>53.87</v>
      </c>
    </row>
    <row r="3154">
      <c r="A3154" s="66" t="inlineStr">
        <is>
          <t>31/03/2017</t>
        </is>
      </c>
      <c r="B3154" s="28" t="n">
        <v>53.6</v>
      </c>
    </row>
    <row r="3155">
      <c r="A3155" s="66" t="inlineStr">
        <is>
          <t>03/04/2017</t>
        </is>
      </c>
      <c r="B3155" s="28" t="n">
        <v>52.88</v>
      </c>
    </row>
    <row r="3156">
      <c r="A3156" s="66" t="inlineStr">
        <is>
          <t>04/04/2017</t>
        </is>
      </c>
      <c r="B3156" s="28" t="n">
        <v>51.93</v>
      </c>
    </row>
    <row r="3157">
      <c r="A3157" s="66" t="inlineStr">
        <is>
          <t>05/04/2017</t>
        </is>
      </c>
      <c r="B3157" s="28" t="n">
        <v>51.18</v>
      </c>
    </row>
    <row r="3158">
      <c r="A3158" s="66" t="inlineStr">
        <is>
          <t>06/04/2017</t>
        </is>
      </c>
      <c r="B3158" s="28" t="n">
        <v>50.8</v>
      </c>
    </row>
    <row r="3159">
      <c r="A3159" s="66" t="inlineStr">
        <is>
          <t>07/04/2017</t>
        </is>
      </c>
      <c r="B3159" s="28" t="n">
        <v>50.64</v>
      </c>
    </row>
    <row r="3160">
      <c r="A3160" s="66" t="inlineStr">
        <is>
          <t>10/04/2017</t>
        </is>
      </c>
      <c r="B3160" s="28" t="n">
        <v>50.24</v>
      </c>
    </row>
    <row r="3161">
      <c r="A3161" s="66" t="inlineStr">
        <is>
          <t>11/04/2017</t>
        </is>
      </c>
      <c r="B3161" s="28" t="n">
        <v>49.5</v>
      </c>
    </row>
    <row r="3162">
      <c r="A3162" s="66" t="inlineStr">
        <is>
          <t>12/04/2017</t>
        </is>
      </c>
      <c r="B3162" s="28" t="n">
        <v>49.54</v>
      </c>
    </row>
    <row r="3163">
      <c r="A3163" s="66" t="inlineStr">
        <is>
          <t>13/04/2017</t>
        </is>
      </c>
      <c r="B3163" s="28" t="n">
        <v>50.02</v>
      </c>
    </row>
    <row r="3164">
      <c r="A3164" s="66" t="inlineStr">
        <is>
          <t>17/04/2017</t>
        </is>
      </c>
      <c r="B3164" s="28" t="n">
        <v>50.13</v>
      </c>
    </row>
    <row r="3165">
      <c r="A3165" s="66" t="inlineStr">
        <is>
          <t>18/04/2017</t>
        </is>
      </c>
      <c r="B3165" s="28" t="n">
        <v>51.39</v>
      </c>
    </row>
    <row r="3166">
      <c r="A3166" s="66" t="inlineStr">
        <is>
          <t>19/04/2017</t>
        </is>
      </c>
      <c r="B3166" s="28" t="n">
        <v>51.21</v>
      </c>
    </row>
    <row r="3167">
      <c r="A3167" s="66" t="inlineStr">
        <is>
          <t>20/04/2017</t>
        </is>
      </c>
      <c r="B3167" s="28" t="n">
        <v>51.46</v>
      </c>
    </row>
    <row r="3168">
      <c r="A3168" s="66" t="inlineStr">
        <is>
          <t>24/04/2017</t>
        </is>
      </c>
      <c r="B3168" s="28" t="n">
        <v>52.11</v>
      </c>
    </row>
    <row r="3169">
      <c r="A3169" s="66" t="inlineStr">
        <is>
          <t>25/04/2017</t>
        </is>
      </c>
      <c r="B3169" s="28" t="n">
        <v>51.32</v>
      </c>
    </row>
    <row r="3170">
      <c r="A3170" s="66" t="inlineStr">
        <is>
          <t>26/04/2017</t>
        </is>
      </c>
      <c r="B3170" s="28" t="n">
        <v>51.39</v>
      </c>
    </row>
    <row r="3171">
      <c r="A3171" s="66" t="inlineStr">
        <is>
          <t>27/04/2017</t>
        </is>
      </c>
      <c r="B3171" s="28" t="n">
        <v>50.8</v>
      </c>
    </row>
    <row r="3172">
      <c r="A3172" s="66" t="inlineStr">
        <is>
          <t>28/04/2017</t>
        </is>
      </c>
      <c r="B3172" s="28" t="n">
        <v>50.69</v>
      </c>
    </row>
    <row r="3173">
      <c r="A3173" s="66" t="inlineStr">
        <is>
          <t>02/05/2017</t>
        </is>
      </c>
      <c r="B3173" s="28" t="n">
        <v>50.69</v>
      </c>
    </row>
    <row r="3174">
      <c r="A3174" s="66" t="inlineStr">
        <is>
          <t>03/05/2017</t>
        </is>
      </c>
      <c r="B3174" s="28" t="n">
        <v>51.29</v>
      </c>
    </row>
    <row r="3175">
      <c r="A3175" s="66" t="inlineStr">
        <is>
          <t>04/05/2017</t>
        </is>
      </c>
      <c r="B3175" s="28" t="n">
        <v>51.78</v>
      </c>
    </row>
    <row r="3176">
      <c r="A3176" s="66" t="inlineStr">
        <is>
          <t>05/05/2017</t>
        </is>
      </c>
      <c r="B3176" s="28" t="n">
        <v>51.31</v>
      </c>
    </row>
    <row r="3177">
      <c r="A3177" s="66" t="inlineStr">
        <is>
          <t>08/05/2017</t>
        </is>
      </c>
      <c r="B3177" s="28" t="n">
        <v>51.26</v>
      </c>
    </row>
    <row r="3178">
      <c r="A3178" s="66" t="inlineStr">
        <is>
          <t>09/05/2017</t>
        </is>
      </c>
      <c r="B3178" s="28" t="n">
        <v>50.91</v>
      </c>
    </row>
    <row r="3179">
      <c r="A3179" s="66" t="inlineStr">
        <is>
          <t>10/05/2017</t>
        </is>
      </c>
      <c r="B3179" s="28" t="n">
        <v>51.13</v>
      </c>
    </row>
    <row r="3180">
      <c r="A3180" s="66" t="inlineStr">
        <is>
          <t>11/05/2017</t>
        </is>
      </c>
      <c r="B3180" s="28" t="n">
        <v>50.84</v>
      </c>
    </row>
    <row r="3181">
      <c r="A3181" s="66" t="inlineStr">
        <is>
          <t>12/05/2017</t>
        </is>
      </c>
      <c r="B3181" s="28" t="n">
        <v>51.02</v>
      </c>
    </row>
    <row r="3182">
      <c r="A3182" s="66" t="inlineStr">
        <is>
          <t>15/05/2017</t>
        </is>
      </c>
      <c r="B3182" s="28" t="n">
        <v>51.09</v>
      </c>
    </row>
    <row r="3183">
      <c r="A3183" s="66" t="inlineStr">
        <is>
          <t>16/05/2017</t>
        </is>
      </c>
      <c r="B3183" s="28" t="n">
        <v>50.64</v>
      </c>
    </row>
    <row r="3184">
      <c r="A3184" s="66" t="inlineStr">
        <is>
          <t>17/05/2017</t>
        </is>
      </c>
      <c r="B3184" s="28" t="n">
        <v>50.26</v>
      </c>
    </row>
    <row r="3185">
      <c r="A3185" s="66" t="inlineStr">
        <is>
          <t>18/05/2017</t>
        </is>
      </c>
      <c r="B3185" s="28" t="n">
        <v>50.49</v>
      </c>
    </row>
    <row r="3186">
      <c r="A3186" s="66" t="inlineStr">
        <is>
          <t>19/05/2017</t>
        </is>
      </c>
      <c r="B3186" s="28" t="n">
        <v>50.98</v>
      </c>
    </row>
    <row r="3187">
      <c r="A3187" s="66" t="inlineStr">
        <is>
          <t>22/05/2017</t>
        </is>
      </c>
      <c r="B3187" s="28" t="n">
        <v>50.64</v>
      </c>
    </row>
    <row r="3188">
      <c r="A3188" s="66" t="inlineStr">
        <is>
          <t>23/05/2017</t>
        </is>
      </c>
      <c r="B3188" s="28" t="n">
        <v>50.58</v>
      </c>
    </row>
    <row r="3189">
      <c r="A3189" s="66" t="inlineStr">
        <is>
          <t>24/05/2017</t>
        </is>
      </c>
      <c r="B3189" s="28" t="n">
        <v>50.13</v>
      </c>
    </row>
    <row r="3190">
      <c r="A3190" s="66" t="inlineStr">
        <is>
          <t>25/05/2017</t>
        </is>
      </c>
      <c r="B3190" s="28" t="n">
        <v>49.24</v>
      </c>
    </row>
    <row r="3191">
      <c r="A3191" s="66" t="inlineStr">
        <is>
          <t>26/05/2017</t>
        </is>
      </c>
      <c r="B3191" s="28" t="n">
        <v>49.46</v>
      </c>
    </row>
    <row r="3192">
      <c r="A3192" s="66" t="inlineStr">
        <is>
          <t>29/05/2017</t>
        </is>
      </c>
      <c r="B3192" s="28" t="n">
        <v>48.86</v>
      </c>
    </row>
    <row r="3193">
      <c r="A3193" s="66" t="inlineStr">
        <is>
          <t>30/05/2017</t>
        </is>
      </c>
      <c r="B3193" s="28" t="n">
        <v>48.71</v>
      </c>
    </row>
    <row r="3194">
      <c r="A3194" s="66" t="inlineStr">
        <is>
          <t>31/05/2017</t>
        </is>
      </c>
      <c r="B3194" s="28" t="n">
        <v>48.11</v>
      </c>
    </row>
    <row r="3195">
      <c r="A3195" s="66" t="inlineStr">
        <is>
          <t>01/06/2017</t>
        </is>
      </c>
      <c r="B3195" s="28" t="n">
        <v>48.49</v>
      </c>
    </row>
    <row r="3196">
      <c r="A3196" s="66" t="inlineStr">
        <is>
          <t>02/06/2017</t>
        </is>
      </c>
      <c r="B3196" s="28" t="n">
        <v>48.42</v>
      </c>
    </row>
    <row r="3197">
      <c r="A3197" s="66" t="inlineStr">
        <is>
          <t>05/06/2017</t>
        </is>
      </c>
      <c r="B3197" s="28" t="n">
        <v>48.66</v>
      </c>
    </row>
    <row r="3198">
      <c r="A3198" s="66" t="inlineStr">
        <is>
          <t>06/06/2017</t>
        </is>
      </c>
      <c r="B3198" s="28" t="n">
        <v>49.08</v>
      </c>
    </row>
    <row r="3199">
      <c r="A3199" s="66" t="inlineStr">
        <is>
          <t>07/06/2017</t>
        </is>
      </c>
      <c r="B3199" s="28" t="n">
        <v>48.99</v>
      </c>
    </row>
    <row r="3200">
      <c r="A3200" s="66" t="inlineStr">
        <is>
          <t>08/06/2017</t>
        </is>
      </c>
      <c r="B3200" s="28" t="n">
        <v>49.72</v>
      </c>
    </row>
    <row r="3201">
      <c r="A3201" s="66" t="inlineStr">
        <is>
          <t>09/06/2017</t>
        </is>
      </c>
      <c r="B3201" s="28" t="n">
        <v>50.01</v>
      </c>
    </row>
    <row r="3202">
      <c r="A3202" s="66" t="inlineStr">
        <is>
          <t>12/06/2017</t>
        </is>
      </c>
      <c r="B3202" s="28" t="n">
        <v>49.59</v>
      </c>
    </row>
    <row r="3203">
      <c r="A3203" s="66" t="inlineStr">
        <is>
          <t>13/06/2017</t>
        </is>
      </c>
      <c r="B3203" s="28" t="n">
        <v>49.83</v>
      </c>
    </row>
    <row r="3204">
      <c r="A3204" s="66" t="inlineStr">
        <is>
          <t>14/06/2017</t>
        </is>
      </c>
      <c r="B3204" s="28" t="n">
        <v>49.54</v>
      </c>
    </row>
    <row r="3205">
      <c r="A3205" s="66" t="inlineStr">
        <is>
          <t>16/06/2017</t>
        </is>
      </c>
      <c r="B3205" s="28" t="n">
        <v>49.57</v>
      </c>
    </row>
    <row r="3206">
      <c r="A3206" s="66" t="inlineStr">
        <is>
          <t>19/06/2017</t>
        </is>
      </c>
      <c r="B3206" s="28" t="n">
        <v>49.75</v>
      </c>
    </row>
    <row r="3207">
      <c r="A3207" s="66" t="inlineStr">
        <is>
          <t>20/06/2017</t>
        </is>
      </c>
      <c r="B3207" s="28" t="n">
        <v>49.81</v>
      </c>
    </row>
    <row r="3208">
      <c r="A3208" s="66" t="inlineStr">
        <is>
          <t>21/06/2017</t>
        </is>
      </c>
      <c r="B3208" s="28" t="n">
        <v>49.43</v>
      </c>
    </row>
    <row r="3209">
      <c r="A3209" s="66" t="inlineStr">
        <is>
          <t>22/06/2017</t>
        </is>
      </c>
      <c r="B3209" s="28" t="n">
        <v>49.08</v>
      </c>
    </row>
    <row r="3210">
      <c r="A3210" s="66" t="inlineStr">
        <is>
          <t>23/06/2017</t>
        </is>
      </c>
      <c r="B3210" s="28" t="n">
        <v>49.04</v>
      </c>
    </row>
    <row r="3211">
      <c r="A3211" s="66" t="inlineStr">
        <is>
          <t>26/06/2017</t>
        </is>
      </c>
      <c r="B3211" s="28" t="n">
        <v>48.26</v>
      </c>
    </row>
    <row r="3212">
      <c r="A3212" s="66" t="inlineStr">
        <is>
          <t>27/06/2017</t>
        </is>
      </c>
      <c r="B3212" s="28" t="n">
        <v>48.2</v>
      </c>
    </row>
    <row r="3213">
      <c r="A3213" s="66" t="inlineStr">
        <is>
          <t>28/06/2017</t>
        </is>
      </c>
      <c r="B3213" s="28" t="n">
        <v>47.96</v>
      </c>
    </row>
    <row r="3214">
      <c r="A3214" s="66" t="inlineStr">
        <is>
          <t>29/06/2017</t>
        </is>
      </c>
      <c r="B3214" s="28" t="n">
        <v>47.34</v>
      </c>
    </row>
    <row r="3215">
      <c r="A3215" s="66" t="inlineStr">
        <is>
          <t>30/06/2017</t>
        </is>
      </c>
      <c r="B3215" s="28" t="n">
        <v>46.61</v>
      </c>
    </row>
    <row r="3216">
      <c r="A3216" s="66" t="inlineStr">
        <is>
          <t>03/07/2017</t>
        </is>
      </c>
      <c r="B3216" s="28" t="n">
        <v>48.07</v>
      </c>
    </row>
    <row r="3217">
      <c r="A3217" s="66" t="inlineStr">
        <is>
          <t>04/07/2017</t>
        </is>
      </c>
      <c r="B3217" s="28" t="n">
        <v>48.35</v>
      </c>
    </row>
    <row r="3218">
      <c r="A3218" s="66" t="inlineStr">
        <is>
          <t>05/07/2017</t>
        </is>
      </c>
      <c r="B3218" s="28" t="n">
        <v>49.19</v>
      </c>
    </row>
    <row r="3219">
      <c r="A3219" s="66" t="inlineStr">
        <is>
          <t>06/07/2017</t>
        </is>
      </c>
      <c r="B3219" s="28" t="n">
        <v>49.1</v>
      </c>
    </row>
    <row r="3220">
      <c r="A3220" s="66" t="inlineStr">
        <is>
          <t>07/07/2017</t>
        </is>
      </c>
      <c r="B3220" s="28" t="n">
        <v>49.36</v>
      </c>
    </row>
    <row r="3221">
      <c r="A3221" s="66" t="inlineStr">
        <is>
          <t>10/07/2017</t>
        </is>
      </c>
      <c r="B3221" s="28" t="n">
        <v>49.47</v>
      </c>
    </row>
    <row r="3222">
      <c r="A3222" s="66" t="inlineStr">
        <is>
          <t>11/07/2017</t>
        </is>
      </c>
      <c r="B3222" s="28" t="n">
        <v>50.13</v>
      </c>
    </row>
    <row r="3223">
      <c r="A3223" s="66" t="inlineStr">
        <is>
          <t>12/07/2017</t>
        </is>
      </c>
      <c r="B3223" s="28" t="n">
        <v>49.82</v>
      </c>
    </row>
    <row r="3224">
      <c r="A3224" s="66" t="inlineStr">
        <is>
          <t>13/07/2017</t>
        </is>
      </c>
      <c r="B3224" s="28" t="n">
        <v>49.07</v>
      </c>
    </row>
    <row r="3225">
      <c r="A3225" s="66" t="inlineStr">
        <is>
          <t>14/07/2017</t>
        </is>
      </c>
      <c r="B3225" s="28" t="n">
        <v>48.37</v>
      </c>
    </row>
    <row r="3226">
      <c r="A3226" s="66" t="inlineStr">
        <is>
          <t>17/07/2017</t>
        </is>
      </c>
      <c r="B3226" s="28" t="n">
        <v>48.59</v>
      </c>
    </row>
    <row r="3227">
      <c r="A3227" s="66" t="inlineStr">
        <is>
          <t>18/07/2017</t>
        </is>
      </c>
      <c r="B3227" s="28" t="n">
        <v>49.1</v>
      </c>
    </row>
    <row r="3228">
      <c r="A3228" s="66" t="inlineStr">
        <is>
          <t>19/07/2017</t>
        </is>
      </c>
      <c r="B3228" s="28" t="n">
        <v>49.31</v>
      </c>
    </row>
    <row r="3229">
      <c r="A3229" s="66" t="inlineStr">
        <is>
          <t>20/07/2017</t>
        </is>
      </c>
      <c r="B3229" s="28" t="n">
        <v>49.05</v>
      </c>
    </row>
    <row r="3230">
      <c r="A3230" s="66" t="inlineStr">
        <is>
          <t>21/07/2017</t>
        </is>
      </c>
      <c r="B3230" s="28" t="n">
        <v>48.64</v>
      </c>
    </row>
    <row r="3231">
      <c r="A3231" s="66" t="inlineStr">
        <is>
          <t>24/07/2017</t>
        </is>
      </c>
      <c r="B3231" s="28" t="n">
        <v>47.74</v>
      </c>
    </row>
    <row r="3232">
      <c r="A3232" s="66" t="inlineStr">
        <is>
          <t>25/07/2017</t>
        </is>
      </c>
      <c r="B3232" s="28" t="n">
        <v>47.46</v>
      </c>
    </row>
    <row r="3233">
      <c r="A3233" s="66" t="inlineStr">
        <is>
          <t>26/07/2017</t>
        </is>
      </c>
      <c r="B3233" s="28" t="n">
        <v>46.95</v>
      </c>
    </row>
    <row r="3234">
      <c r="A3234" s="66" t="inlineStr">
        <is>
          <t>27/07/2017</t>
        </is>
      </c>
      <c r="B3234" s="28" t="n">
        <v>47.06</v>
      </c>
    </row>
    <row r="3235">
      <c r="A3235" s="66" t="inlineStr">
        <is>
          <t>28/07/2017</t>
        </is>
      </c>
      <c r="B3235" s="28" t="n">
        <v>46.78</v>
      </c>
    </row>
    <row r="3236">
      <c r="A3236" s="66" t="inlineStr">
        <is>
          <t>31/07/2017</t>
        </is>
      </c>
      <c r="B3236" s="28" t="n">
        <v>46.86</v>
      </c>
    </row>
    <row r="3237">
      <c r="A3237" s="66" t="inlineStr">
        <is>
          <t>01/08/2017</t>
        </is>
      </c>
      <c r="B3237" s="28" t="n">
        <v>46.66</v>
      </c>
    </row>
    <row r="3238">
      <c r="A3238" s="66" t="inlineStr">
        <is>
          <t>02/08/2017</t>
        </is>
      </c>
      <c r="B3238" s="28" t="n">
        <v>46.57</v>
      </c>
    </row>
    <row r="3239">
      <c r="A3239" s="66" t="inlineStr">
        <is>
          <t>03/08/2017</t>
        </is>
      </c>
      <c r="B3239" s="28" t="n">
        <v>46.37</v>
      </c>
    </row>
    <row r="3240">
      <c r="A3240" s="66" t="inlineStr">
        <is>
          <t>04/08/2017</t>
        </is>
      </c>
      <c r="B3240" s="28" t="n">
        <v>47.4</v>
      </c>
    </row>
    <row r="3241">
      <c r="A3241" s="66" t="inlineStr">
        <is>
          <t>07/08/2017</t>
        </is>
      </c>
      <c r="B3241" s="28" t="n">
        <v>47.84</v>
      </c>
    </row>
    <row r="3242">
      <c r="A3242" s="66" t="inlineStr">
        <is>
          <t>08/08/2017</t>
        </is>
      </c>
      <c r="B3242" s="28" t="n">
        <v>47.62</v>
      </c>
    </row>
    <row r="3243">
      <c r="A3243" s="66" t="inlineStr">
        <is>
          <t>09/08/2017</t>
        </is>
      </c>
      <c r="B3243" s="28" t="n">
        <v>47.82</v>
      </c>
    </row>
    <row r="3244">
      <c r="A3244" s="66" t="inlineStr">
        <is>
          <t>10/08/2017</t>
        </is>
      </c>
      <c r="B3244" s="28" t="n">
        <v>48.1</v>
      </c>
    </row>
    <row r="3245">
      <c r="A3245" s="66" t="inlineStr">
        <is>
          <t>11/08/2017</t>
        </is>
      </c>
      <c r="B3245" s="28" t="n">
        <v>48.45</v>
      </c>
    </row>
    <row r="3246">
      <c r="A3246" s="66" t="inlineStr">
        <is>
          <t>14/08/2017</t>
        </is>
      </c>
      <c r="B3246" s="28" t="n">
        <v>48.72</v>
      </c>
    </row>
    <row r="3247">
      <c r="A3247" s="66" t="inlineStr">
        <is>
          <t>15/08/2017</t>
        </is>
      </c>
      <c r="B3247" s="28" t="n">
        <v>49.77</v>
      </c>
    </row>
    <row r="3248">
      <c r="A3248" s="66" t="inlineStr">
        <is>
          <t>16/08/2017</t>
        </is>
      </c>
      <c r="B3248" s="28" t="n">
        <v>50.56</v>
      </c>
    </row>
    <row r="3249">
      <c r="A3249" s="66" t="inlineStr">
        <is>
          <t>17/08/2017</t>
        </is>
      </c>
      <c r="B3249" s="28" t="n">
        <v>50.86</v>
      </c>
    </row>
    <row r="3250">
      <c r="A3250" s="66" t="inlineStr">
        <is>
          <t>18/08/2017</t>
        </is>
      </c>
      <c r="B3250" s="28" t="n">
        <v>51.45</v>
      </c>
    </row>
    <row r="3251">
      <c r="A3251" s="66" t="inlineStr">
        <is>
          <t>21/08/2017</t>
        </is>
      </c>
      <c r="B3251" s="28" t="n">
        <v>51.21</v>
      </c>
    </row>
    <row r="3252">
      <c r="A3252" s="66" t="inlineStr">
        <is>
          <t>22/08/2017</t>
        </is>
      </c>
      <c r="B3252" s="28" t="n">
        <v>50.73</v>
      </c>
    </row>
    <row r="3253">
      <c r="A3253" s="66" t="inlineStr">
        <is>
          <t>23/08/2017</t>
        </is>
      </c>
      <c r="B3253" s="28" t="n">
        <v>50.45</v>
      </c>
    </row>
    <row r="3254">
      <c r="A3254" s="66" t="inlineStr">
        <is>
          <t>24/08/2017</t>
        </is>
      </c>
      <c r="B3254" s="28" t="n">
        <v>49.64</v>
      </c>
    </row>
    <row r="3255">
      <c r="A3255" s="66" t="inlineStr">
        <is>
          <t>25/08/2017</t>
        </is>
      </c>
      <c r="B3255" s="28" t="n">
        <v>49.57</v>
      </c>
    </row>
    <row r="3256">
      <c r="A3256" s="66" t="inlineStr">
        <is>
          <t>28/08/2017</t>
        </is>
      </c>
      <c r="B3256" s="28" t="n">
        <v>49.59</v>
      </c>
    </row>
    <row r="3257">
      <c r="A3257" s="66" t="inlineStr">
        <is>
          <t>29/08/2017</t>
        </is>
      </c>
      <c r="B3257" s="28" t="n">
        <v>49.31</v>
      </c>
    </row>
    <row r="3258">
      <c r="A3258" s="66" t="inlineStr">
        <is>
          <t>30/08/2017</t>
        </is>
      </c>
      <c r="B3258" s="28" t="n">
        <v>49.55</v>
      </c>
    </row>
    <row r="3259">
      <c r="A3259" s="66" t="inlineStr">
        <is>
          <t>31/08/2017</t>
        </is>
      </c>
      <c r="B3259" s="28" t="n">
        <v>50.23</v>
      </c>
    </row>
    <row r="3260">
      <c r="A3260" s="66" t="inlineStr">
        <is>
          <t>01/09/2017</t>
        </is>
      </c>
      <c r="B3260" s="28" t="n">
        <v>50.09</v>
      </c>
    </row>
    <row r="3261">
      <c r="A3261" s="66" t="inlineStr">
        <is>
          <t>04/09/2017</t>
        </is>
      </c>
      <c r="B3261" s="28" t="n">
        <v>51.15</v>
      </c>
    </row>
    <row r="3262">
      <c r="A3262" s="66" t="inlineStr">
        <is>
          <t>05/09/2017</t>
        </is>
      </c>
      <c r="B3262" s="28" t="n">
        <v>51.19</v>
      </c>
    </row>
    <row r="3263">
      <c r="A3263" s="66" t="inlineStr">
        <is>
          <t>06/09/2017</t>
        </is>
      </c>
      <c r="B3263" s="28" t="n">
        <v>51.44</v>
      </c>
    </row>
    <row r="3264">
      <c r="A3264" s="66" t="inlineStr">
        <is>
          <t>08/09/2017</t>
        </is>
      </c>
      <c r="B3264" s="28" t="n">
        <v>51.52</v>
      </c>
    </row>
    <row r="3265">
      <c r="A3265" s="66" t="inlineStr">
        <is>
          <t>11/09/2017</t>
        </is>
      </c>
      <c r="B3265" s="28" t="n">
        <v>51.99</v>
      </c>
    </row>
    <row r="3266">
      <c r="A3266" s="66" t="inlineStr">
        <is>
          <t>12/09/2017</t>
        </is>
      </c>
      <c r="B3266" s="28" t="n">
        <v>51.94</v>
      </c>
    </row>
    <row r="3267">
      <c r="A3267" s="66" t="inlineStr">
        <is>
          <t>13/09/2017</t>
        </is>
      </c>
      <c r="B3267" s="28" t="n">
        <v>52.1</v>
      </c>
    </row>
    <row r="3268">
      <c r="A3268" s="66" t="inlineStr">
        <is>
          <t>14/09/2017</t>
        </is>
      </c>
      <c r="B3268" s="28" t="n">
        <v>52.8</v>
      </c>
    </row>
    <row r="3269">
      <c r="A3269" s="66" t="inlineStr">
        <is>
          <t>15/09/2017</t>
        </is>
      </c>
      <c r="B3269" s="28" t="n">
        <v>52.85</v>
      </c>
    </row>
    <row r="3270">
      <c r="A3270" s="66" t="inlineStr">
        <is>
          <t>18/09/2017</t>
        </is>
      </c>
      <c r="B3270" s="28" t="n">
        <v>53.07</v>
      </c>
    </row>
    <row r="3271">
      <c r="A3271" s="66" t="inlineStr">
        <is>
          <t>19/09/2017</t>
        </is>
      </c>
      <c r="B3271" s="28" t="n">
        <v>53.27</v>
      </c>
    </row>
    <row r="3272">
      <c r="A3272" s="66" t="inlineStr">
        <is>
          <t>20/09/2017</t>
        </is>
      </c>
      <c r="B3272" s="28" t="n">
        <v>54.9</v>
      </c>
    </row>
    <row r="3273">
      <c r="A3273" s="66" t="inlineStr">
        <is>
          <t>21/09/2017</t>
        </is>
      </c>
      <c r="B3273" s="28" t="n">
        <v>55.69</v>
      </c>
    </row>
    <row r="3274">
      <c r="A3274" s="66" t="inlineStr">
        <is>
          <t>22/09/2017</t>
        </is>
      </c>
      <c r="B3274" s="28" t="n">
        <v>56.11</v>
      </c>
    </row>
    <row r="3275">
      <c r="A3275" s="66" t="inlineStr">
        <is>
          <t>25/09/2017</t>
        </is>
      </c>
      <c r="B3275" s="28" t="n">
        <v>55.87</v>
      </c>
    </row>
    <row r="3276">
      <c r="A3276" s="66" t="inlineStr">
        <is>
          <t>26/09/2017</t>
        </is>
      </c>
      <c r="B3276" s="28" t="n">
        <v>55.25</v>
      </c>
    </row>
    <row r="3277">
      <c r="A3277" s="66" t="inlineStr">
        <is>
          <t>27/09/2017</t>
        </is>
      </c>
      <c r="B3277" s="28" t="n">
        <v>55.03</v>
      </c>
    </row>
    <row r="3278">
      <c r="A3278" s="66" t="inlineStr">
        <is>
          <t>28/09/2017</t>
        </is>
      </c>
      <c r="B3278" s="28" t="n">
        <v>54.83</v>
      </c>
    </row>
    <row r="3279">
      <c r="A3279" s="66" t="inlineStr">
        <is>
          <t>29/09/2017</t>
        </is>
      </c>
      <c r="B3279" s="28" t="n">
        <v>55.01</v>
      </c>
    </row>
    <row r="3280">
      <c r="A3280" s="66" t="inlineStr">
        <is>
          <t>02/10/2017</t>
        </is>
      </c>
      <c r="B3280" s="28" t="n">
        <v>55.54</v>
      </c>
    </row>
    <row r="3281">
      <c r="A3281" s="66" t="inlineStr">
        <is>
          <t>03/10/2017</t>
        </is>
      </c>
      <c r="B3281" s="28" t="n">
        <v>54.3</v>
      </c>
    </row>
    <row r="3282">
      <c r="A3282" s="66" t="inlineStr">
        <is>
          <t>04/10/2017</t>
        </is>
      </c>
      <c r="B3282" s="28" t="n">
        <v>54.08</v>
      </c>
    </row>
    <row r="3283">
      <c r="A3283" s="66" t="inlineStr">
        <is>
          <t>05/10/2017</t>
        </is>
      </c>
      <c r="B3283" s="28" t="n">
        <v>54.21</v>
      </c>
    </row>
    <row r="3284">
      <c r="A3284" s="66" t="inlineStr">
        <is>
          <t>06/10/2017</t>
        </is>
      </c>
      <c r="B3284" s="28" t="n">
        <v>55.54</v>
      </c>
    </row>
    <row r="3285">
      <c r="A3285" s="66" t="inlineStr">
        <is>
          <t>09/10/2017</t>
        </is>
      </c>
      <c r="B3285" s="28" t="n">
        <v>56.35</v>
      </c>
    </row>
    <row r="3286">
      <c r="A3286" s="66" t="inlineStr">
        <is>
          <t>10/10/2017</t>
        </is>
      </c>
      <c r="B3286" s="28" t="n">
        <v>56.97</v>
      </c>
    </row>
    <row r="3287">
      <c r="A3287" s="66" t="inlineStr">
        <is>
          <t>11/10/2017</t>
        </is>
      </c>
      <c r="B3287" s="28" t="n">
        <v>57.19</v>
      </c>
    </row>
    <row r="3288">
      <c r="A3288" s="66" t="inlineStr">
        <is>
          <t>13/10/2017</t>
        </is>
      </c>
      <c r="B3288" s="28" t="n">
        <v>57.15</v>
      </c>
    </row>
    <row r="3289">
      <c r="A3289" s="66" t="inlineStr">
        <is>
          <t>16/10/2017</t>
        </is>
      </c>
      <c r="B3289" s="28" t="n">
        <v>57.96</v>
      </c>
    </row>
    <row r="3290">
      <c r="A3290" s="66" t="inlineStr">
        <is>
          <t>17/10/2017</t>
        </is>
      </c>
      <c r="B3290" s="28" t="n">
        <v>58.14</v>
      </c>
    </row>
    <row r="3291">
      <c r="A3291" s="66" t="inlineStr">
        <is>
          <t>18/10/2017</t>
        </is>
      </c>
      <c r="B3291" s="28" t="n">
        <v>58.03</v>
      </c>
    </row>
    <row r="3292">
      <c r="A3292" s="66" t="inlineStr">
        <is>
          <t>19/10/2017</t>
        </is>
      </c>
      <c r="B3292" s="28" t="n">
        <v>57.46</v>
      </c>
    </row>
    <row r="3293">
      <c r="A3293" s="66" t="inlineStr">
        <is>
          <t>20/10/2017</t>
        </is>
      </c>
      <c r="B3293" s="28" t="n">
        <v>57.99</v>
      </c>
    </row>
    <row r="3294">
      <c r="A3294" s="66" t="inlineStr">
        <is>
          <t>23/10/2017</t>
        </is>
      </c>
      <c r="B3294" s="28" t="n">
        <v>58.56</v>
      </c>
    </row>
    <row r="3295">
      <c r="A3295" s="66" t="inlineStr">
        <is>
          <t>24/10/2017</t>
        </is>
      </c>
      <c r="B3295" s="28" t="n">
        <v>58.52</v>
      </c>
    </row>
    <row r="3296">
      <c r="A3296" s="66" t="inlineStr">
        <is>
          <t>25/10/2017</t>
        </is>
      </c>
      <c r="B3296" s="28" t="n">
        <v>58.78</v>
      </c>
    </row>
    <row r="3297">
      <c r="A3297" s="66" t="inlineStr">
        <is>
          <t>26/10/2017</t>
        </is>
      </c>
      <c r="B3297" s="28" t="n">
        <v>57.52</v>
      </c>
    </row>
    <row r="3298">
      <c r="A3298" s="66" t="inlineStr">
        <is>
          <t>27/10/2017</t>
        </is>
      </c>
      <c r="B3298" s="28" t="n">
        <v>58.05</v>
      </c>
    </row>
    <row r="3299">
      <c r="A3299" s="66" t="inlineStr">
        <is>
          <t>30/10/2017</t>
        </is>
      </c>
      <c r="B3299" s="28" t="n">
        <v>58.47</v>
      </c>
    </row>
    <row r="3300">
      <c r="A3300" s="66" t="inlineStr">
        <is>
          <t>31/10/2017</t>
        </is>
      </c>
      <c r="B3300" s="28" t="n">
        <v>58.91</v>
      </c>
    </row>
    <row r="3301">
      <c r="A3301" s="66" t="inlineStr">
        <is>
          <t>01/11/2017</t>
        </is>
      </c>
      <c r="B3301" s="28" t="n">
        <v>59.8</v>
      </c>
    </row>
    <row r="3302">
      <c r="A3302" s="66" t="inlineStr">
        <is>
          <t>03/11/2017</t>
        </is>
      </c>
      <c r="B3302" s="28" t="n">
        <v>59.77</v>
      </c>
    </row>
    <row r="3303">
      <c r="A3303" s="66" t="inlineStr">
        <is>
          <t>06/11/2017</t>
        </is>
      </c>
      <c r="B3303" s="28" t="n">
        <v>58.38</v>
      </c>
    </row>
    <row r="3304">
      <c r="A3304" s="66" t="inlineStr">
        <is>
          <t>07/11/2017</t>
        </is>
      </c>
      <c r="B3304" s="28" t="n">
        <v>59.46</v>
      </c>
    </row>
    <row r="3305">
      <c r="A3305" s="66" t="inlineStr">
        <is>
          <t>08/11/2017</t>
        </is>
      </c>
      <c r="B3305" s="28" t="n">
        <v>59.46</v>
      </c>
    </row>
    <row r="3306">
      <c r="A3306" s="66" t="inlineStr">
        <is>
          <t>09/11/2017</t>
        </is>
      </c>
      <c r="B3306" s="28" t="n">
        <v>59.13</v>
      </c>
    </row>
    <row r="3307">
      <c r="A3307" s="66" t="inlineStr">
        <is>
          <t>10/11/2017</t>
        </is>
      </c>
      <c r="B3307" s="28" t="n">
        <v>59.42</v>
      </c>
    </row>
    <row r="3308">
      <c r="A3308" s="66" t="inlineStr">
        <is>
          <t>13/11/2017</t>
        </is>
      </c>
      <c r="B3308" s="28" t="n">
        <v>58.77</v>
      </c>
    </row>
    <row r="3309">
      <c r="A3309" s="66" t="inlineStr">
        <is>
          <t>14/11/2017</t>
        </is>
      </c>
      <c r="B3309" s="28" t="n">
        <v>58.66</v>
      </c>
    </row>
    <row r="3310">
      <c r="A3310" s="66" t="inlineStr">
        <is>
          <t>16/11/2017</t>
        </is>
      </c>
      <c r="B3310" s="28" t="n">
        <v>58.62</v>
      </c>
    </row>
    <row r="3311">
      <c r="A3311" s="66" t="inlineStr">
        <is>
          <t>17/11/2017</t>
        </is>
      </c>
      <c r="B3311" s="28" t="n">
        <v>58.27</v>
      </c>
    </row>
    <row r="3312">
      <c r="A3312" s="66" t="inlineStr">
        <is>
          <t>20/11/2017</t>
        </is>
      </c>
      <c r="B3312" s="28" t="n">
        <v>57.75</v>
      </c>
    </row>
    <row r="3313">
      <c r="A3313" s="66" t="inlineStr">
        <is>
          <t>21/11/2017</t>
        </is>
      </c>
      <c r="B3313" s="28" t="n">
        <v>57.06</v>
      </c>
    </row>
    <row r="3314">
      <c r="A3314" s="66" t="inlineStr">
        <is>
          <t>22/11/2017</t>
        </is>
      </c>
      <c r="B3314" s="28" t="n">
        <v>56.33</v>
      </c>
    </row>
    <row r="3315">
      <c r="A3315" s="66" t="inlineStr">
        <is>
          <t>23/11/2017</t>
        </is>
      </c>
      <c r="B3315" s="28" t="n">
        <v>55.84</v>
      </c>
    </row>
    <row r="3316">
      <c r="A3316" s="66" t="inlineStr">
        <is>
          <t>24/11/2017</t>
        </is>
      </c>
      <c r="B3316" s="28" t="n">
        <v>56.11</v>
      </c>
    </row>
    <row r="3317">
      <c r="A3317" s="66" t="inlineStr">
        <is>
          <t>27/11/2017</t>
        </is>
      </c>
      <c r="B3317" s="28" t="n">
        <v>55.57</v>
      </c>
    </row>
    <row r="3318">
      <c r="A3318" s="66" t="inlineStr">
        <is>
          <t>28/11/2017</t>
        </is>
      </c>
      <c r="B3318" s="28" t="n">
        <v>55.13</v>
      </c>
    </row>
    <row r="3319">
      <c r="A3319" s="66" t="inlineStr">
        <is>
          <t>29/11/2017</t>
        </is>
      </c>
      <c r="B3319" s="28" t="n">
        <v>55.46</v>
      </c>
    </row>
    <row r="3320">
      <c r="A3320" s="66" t="inlineStr">
        <is>
          <t>30/11/2017</t>
        </is>
      </c>
      <c r="B3320" s="28" t="n">
        <v>55.62</v>
      </c>
    </row>
    <row r="3321">
      <c r="A3321" s="66" t="inlineStr">
        <is>
          <t>01/12/2017</t>
        </is>
      </c>
      <c r="B3321" s="28" t="n">
        <v>55.74</v>
      </c>
    </row>
    <row r="3322">
      <c r="A3322" s="66" t="inlineStr">
        <is>
          <t>04/12/2017</t>
        </is>
      </c>
      <c r="B3322" s="28" t="n">
        <v>56.25</v>
      </c>
    </row>
    <row r="3323">
      <c r="A3323" s="66" t="inlineStr">
        <is>
          <t>05/12/2017</t>
        </is>
      </c>
      <c r="B3323" s="28" t="n">
        <v>56.43</v>
      </c>
    </row>
    <row r="3324">
      <c r="A3324" s="66" t="inlineStr">
        <is>
          <t>06/12/2017</t>
        </is>
      </c>
      <c r="B3324" s="28" t="n">
        <v>57.22</v>
      </c>
    </row>
    <row r="3325">
      <c r="A3325" s="66" t="inlineStr">
        <is>
          <t>07/12/2017</t>
        </is>
      </c>
      <c r="B3325" s="28" t="n">
        <v>57.02</v>
      </c>
    </row>
    <row r="3326">
      <c r="A3326" s="66" t="inlineStr">
        <is>
          <t>08/12/2017</t>
        </is>
      </c>
      <c r="B3326" s="28" t="n">
        <v>56.91</v>
      </c>
    </row>
    <row r="3327">
      <c r="A3327" s="66" t="inlineStr">
        <is>
          <t>11/12/2017</t>
        </is>
      </c>
      <c r="B3327" s="28" t="n">
        <v>57.06</v>
      </c>
    </row>
    <row r="3328">
      <c r="A3328" s="66" t="inlineStr">
        <is>
          <t>12/12/2017</t>
        </is>
      </c>
      <c r="B3328" s="28" t="n">
        <v>57.38</v>
      </c>
    </row>
    <row r="3329">
      <c r="A3329" s="66" t="inlineStr">
        <is>
          <t>13/12/2017</t>
        </is>
      </c>
      <c r="B3329" s="28" t="n">
        <v>58.28</v>
      </c>
    </row>
    <row r="3330">
      <c r="A3330" s="66" t="inlineStr">
        <is>
          <t>14/12/2017</t>
        </is>
      </c>
      <c r="B3330" s="28" t="n">
        <v>57.74</v>
      </c>
    </row>
    <row r="3331">
      <c r="A3331" s="66" t="inlineStr">
        <is>
          <t>15/12/2017</t>
        </is>
      </c>
      <c r="B3331" s="28" t="n">
        <v>58.32</v>
      </c>
    </row>
    <row r="3332">
      <c r="A3332" s="66" t="inlineStr">
        <is>
          <t>18/12/2017</t>
        </is>
      </c>
      <c r="B3332" s="28" t="n">
        <v>58.68</v>
      </c>
    </row>
    <row r="3333">
      <c r="A3333" s="66" t="inlineStr">
        <is>
          <t>19/12/2017</t>
        </is>
      </c>
      <c r="B3333" s="28" t="n">
        <v>59.62</v>
      </c>
    </row>
    <row r="3334">
      <c r="A3334" s="66" t="inlineStr">
        <is>
          <t>20/12/2017</t>
        </is>
      </c>
      <c r="B3334" s="28" t="n">
        <v>60</v>
      </c>
    </row>
    <row r="3335">
      <c r="A3335" s="66" t="inlineStr">
        <is>
          <t>21/12/2017</t>
        </is>
      </c>
      <c r="B3335" s="28" t="n">
        <v>60.05</v>
      </c>
    </row>
    <row r="3336">
      <c r="A3336" s="66" t="inlineStr">
        <is>
          <t>22/12/2017</t>
        </is>
      </c>
      <c r="B3336" s="28" t="n">
        <v>59.94</v>
      </c>
    </row>
    <row r="3337">
      <c r="A3337" s="66" t="inlineStr">
        <is>
          <t>26/12/2017</t>
        </is>
      </c>
      <c r="B3337" s="28" t="n">
        <v>60.43</v>
      </c>
    </row>
    <row r="3338">
      <c r="A3338" s="66" t="inlineStr">
        <is>
          <t>27/12/2017</t>
        </is>
      </c>
      <c r="B3338" s="28" t="n">
        <v>60.75</v>
      </c>
    </row>
    <row r="3339">
      <c r="A3339" s="66" t="inlineStr">
        <is>
          <t>28/12/2017</t>
        </is>
      </c>
      <c r="B3339" s="28" t="n">
        <v>60.86</v>
      </c>
    </row>
    <row r="3340">
      <c r="A3340" s="66" t="inlineStr">
        <is>
          <t>02/01/2018</t>
        </is>
      </c>
      <c r="B3340" s="28" t="n">
        <v>60.4</v>
      </c>
    </row>
    <row r="3341">
      <c r="A3341" s="66" t="inlineStr">
        <is>
          <t>03/01/2018</t>
        </is>
      </c>
      <c r="B3341" s="28" t="n">
        <v>60.22</v>
      </c>
    </row>
    <row r="3342">
      <c r="A3342" s="66" t="inlineStr">
        <is>
          <t>04/01/2018</t>
        </is>
      </c>
      <c r="B3342" s="28" t="n">
        <v>60.12</v>
      </c>
    </row>
    <row r="3343">
      <c r="A3343" s="66" t="inlineStr">
        <is>
          <t>05/01/2018</t>
        </is>
      </c>
      <c r="B3343" s="28" t="n">
        <v>59.58</v>
      </c>
    </row>
    <row r="3344">
      <c r="A3344" s="66" t="inlineStr">
        <is>
          <t>08/01/2018</t>
        </is>
      </c>
      <c r="B3344" s="28" t="n">
        <v>59.24</v>
      </c>
    </row>
    <row r="3345">
      <c r="A3345" s="66" t="inlineStr">
        <is>
          <t>09/01/2018</t>
        </is>
      </c>
      <c r="B3345" s="28" t="n">
        <v>58.38</v>
      </c>
    </row>
    <row r="3346">
      <c r="A3346" s="66" t="inlineStr">
        <is>
          <t>10/01/2018</t>
        </is>
      </c>
      <c r="B3346" s="28" t="n">
        <v>58.51</v>
      </c>
    </row>
    <row r="3347">
      <c r="A3347" s="66" t="inlineStr">
        <is>
          <t>11/01/2018</t>
        </is>
      </c>
      <c r="B3347" s="28" t="n">
        <v>57.99</v>
      </c>
    </row>
    <row r="3348">
      <c r="A3348" s="66" t="inlineStr">
        <is>
          <t>12/01/2018</t>
        </is>
      </c>
      <c r="B3348" s="28" t="n">
        <v>58.7</v>
      </c>
    </row>
    <row r="3349">
      <c r="A3349" s="66" t="inlineStr">
        <is>
          <t>15/01/2018</t>
        </is>
      </c>
      <c r="B3349" s="28" t="n">
        <v>57.97</v>
      </c>
    </row>
    <row r="3350">
      <c r="A3350" s="66" t="inlineStr">
        <is>
          <t>16/01/2018</t>
        </is>
      </c>
      <c r="B3350" s="28" t="n">
        <v>56.97</v>
      </c>
    </row>
    <row r="3351">
      <c r="A3351" s="66" t="inlineStr">
        <is>
          <t>17/01/2018</t>
        </is>
      </c>
      <c r="B3351" s="28" t="n">
        <v>57.58</v>
      </c>
    </row>
    <row r="3352">
      <c r="A3352" s="66" t="inlineStr">
        <is>
          <t>18/01/2018</t>
        </is>
      </c>
      <c r="B3352" s="28" t="n">
        <v>57.74</v>
      </c>
    </row>
    <row r="3353">
      <c r="A3353" s="66" t="inlineStr">
        <is>
          <t>19/01/2018</t>
        </is>
      </c>
      <c r="B3353" s="28" t="n">
        <v>57.83</v>
      </c>
    </row>
    <row r="3354">
      <c r="A3354" s="66" t="inlineStr">
        <is>
          <t>22/01/2018</t>
        </is>
      </c>
      <c r="B3354" s="28" t="n">
        <v>58.34</v>
      </c>
    </row>
    <row r="3355">
      <c r="A3355" s="66" t="inlineStr">
        <is>
          <t>23/01/2018</t>
        </is>
      </c>
      <c r="B3355" s="28" t="n">
        <v>58.26</v>
      </c>
    </row>
    <row r="3356">
      <c r="A3356" s="66" t="inlineStr">
        <is>
          <t>24/01/2018</t>
        </is>
      </c>
      <c r="B3356" s="28" t="n">
        <v>57.58</v>
      </c>
    </row>
    <row r="3357">
      <c r="A3357" s="66" t="inlineStr">
        <is>
          <t>25/01/2018</t>
        </is>
      </c>
      <c r="B3357" s="28" t="n">
        <v>57.86</v>
      </c>
    </row>
    <row r="3358">
      <c r="A3358" s="66" t="inlineStr">
        <is>
          <t>26/01/2018</t>
        </is>
      </c>
      <c r="B3358" s="28" t="n">
        <v>58.26</v>
      </c>
    </row>
    <row r="3359">
      <c r="A3359" s="66" t="inlineStr">
        <is>
          <t>29/01/2018</t>
        </is>
      </c>
      <c r="B3359" s="28" t="n">
        <v>58.27</v>
      </c>
    </row>
    <row r="3360">
      <c r="A3360" s="66" t="inlineStr">
        <is>
          <t>30/01/2018</t>
        </is>
      </c>
      <c r="B3360" s="28" t="n">
        <v>58.42</v>
      </c>
    </row>
    <row r="3361">
      <c r="A3361" s="66" t="inlineStr">
        <is>
          <t>31/01/2018</t>
        </is>
      </c>
      <c r="B3361" s="28" t="n">
        <v>58.61</v>
      </c>
    </row>
    <row r="3362">
      <c r="A3362" s="66" t="inlineStr">
        <is>
          <t>01/02/2018</t>
        </is>
      </c>
      <c r="B3362" s="28" t="n">
        <v>58.7</v>
      </c>
    </row>
    <row r="3363">
      <c r="A3363" s="66" t="inlineStr">
        <is>
          <t>02/02/2018</t>
        </is>
      </c>
      <c r="B3363" s="28" t="n">
        <v>59.34</v>
      </c>
    </row>
    <row r="3364">
      <c r="A3364" s="66" t="inlineStr">
        <is>
          <t>05/02/2018</t>
        </is>
      </c>
      <c r="B3364" s="28" t="n">
        <v>59.16</v>
      </c>
    </row>
    <row r="3365">
      <c r="A3365" s="66" t="inlineStr">
        <is>
          <t>06/02/2018</t>
        </is>
      </c>
      <c r="B3365" s="28" t="n">
        <v>59.73</v>
      </c>
    </row>
    <row r="3366">
      <c r="A3366" s="66" t="inlineStr">
        <is>
          <t>07/02/2018</t>
        </is>
      </c>
      <c r="B3366" s="28" t="n">
        <v>59.72</v>
      </c>
    </row>
    <row r="3367">
      <c r="A3367" s="66" t="inlineStr">
        <is>
          <t>08/02/2018</t>
        </is>
      </c>
      <c r="B3367" s="28" t="n">
        <v>59.61</v>
      </c>
    </row>
    <row r="3368">
      <c r="A3368" s="66" t="inlineStr">
        <is>
          <t>09/02/2018</t>
        </is>
      </c>
      <c r="B3368" s="28" t="n">
        <v>59.59</v>
      </c>
    </row>
    <row r="3369">
      <c r="A3369" s="66" t="inlineStr">
        <is>
          <t>14/02/2018</t>
        </is>
      </c>
      <c r="B3369" s="28" t="n">
        <v>59.93</v>
      </c>
    </row>
    <row r="3370">
      <c r="A3370" s="66" t="inlineStr">
        <is>
          <t>15/02/2018</t>
        </is>
      </c>
      <c r="B3370" s="28" t="n">
        <v>60.54</v>
      </c>
    </row>
    <row r="3371">
      <c r="A3371" s="66" t="inlineStr">
        <is>
          <t>16/02/2018</t>
        </is>
      </c>
      <c r="B3371" s="28" t="n">
        <v>60.81</v>
      </c>
    </row>
    <row r="3372">
      <c r="A3372" s="66" t="inlineStr">
        <is>
          <t>19/02/2018</t>
        </is>
      </c>
      <c r="B3372" s="28" t="n">
        <v>61.16</v>
      </c>
    </row>
    <row r="3373">
      <c r="A3373" s="66" t="inlineStr">
        <is>
          <t>20/02/2018</t>
        </is>
      </c>
      <c r="B3373" s="28" t="n">
        <v>61.91</v>
      </c>
    </row>
    <row r="3374">
      <c r="A3374" s="66" t="inlineStr">
        <is>
          <t>21/02/2018</t>
        </is>
      </c>
      <c r="B3374" s="28" t="n">
        <v>62.92</v>
      </c>
    </row>
    <row r="3375">
      <c r="A3375" s="66" t="inlineStr">
        <is>
          <t>22/02/2018</t>
        </is>
      </c>
      <c r="B3375" s="28" t="n">
        <v>64.54000000000001</v>
      </c>
    </row>
    <row r="3376">
      <c r="A3376" s="66" t="inlineStr">
        <is>
          <t>23/02/2018</t>
        </is>
      </c>
      <c r="B3376" s="28" t="n">
        <v>65.7</v>
      </c>
    </row>
    <row r="3377">
      <c r="A3377" s="66" t="inlineStr">
        <is>
          <t>26/02/2018</t>
        </is>
      </c>
      <c r="B3377" s="28" t="n">
        <v>66.22</v>
      </c>
    </row>
    <row r="3378">
      <c r="A3378" s="66" t="inlineStr">
        <is>
          <t>27/02/2018</t>
        </is>
      </c>
      <c r="B3378" s="28" t="n">
        <v>68.70999999999999</v>
      </c>
    </row>
    <row r="3379">
      <c r="A3379" s="66" t="inlineStr">
        <is>
          <t>28/02/2018</t>
        </is>
      </c>
      <c r="B3379" s="28" t="n">
        <v>70.06</v>
      </c>
    </row>
    <row r="3380">
      <c r="A3380" s="66" t="inlineStr">
        <is>
          <t>01/03/2018</t>
        </is>
      </c>
      <c r="B3380" s="28" t="n">
        <v>70.58</v>
      </c>
    </row>
    <row r="3381">
      <c r="A3381" s="66" t="inlineStr">
        <is>
          <t>02/03/2018</t>
        </is>
      </c>
      <c r="B3381" s="28" t="n">
        <v>71.15000000000001</v>
      </c>
    </row>
    <row r="3382">
      <c r="A3382" s="66" t="inlineStr">
        <is>
          <t>05/03/2018</t>
        </is>
      </c>
      <c r="B3382" s="28" t="n">
        <v>73.51000000000001</v>
      </c>
    </row>
    <row r="3383">
      <c r="A3383" s="66" t="inlineStr">
        <is>
          <t>06/03/2018</t>
        </is>
      </c>
      <c r="B3383" s="28" t="n">
        <v>72.84999999999999</v>
      </c>
    </row>
    <row r="3384">
      <c r="A3384" s="66" t="inlineStr">
        <is>
          <t>07/03/2018</t>
        </is>
      </c>
      <c r="B3384" s="28" t="n">
        <v>72.78</v>
      </c>
    </row>
    <row r="3385">
      <c r="A3385" s="66" t="inlineStr">
        <is>
          <t>08/03/2018</t>
        </is>
      </c>
      <c r="B3385" s="28" t="n">
        <v>73.38</v>
      </c>
    </row>
    <row r="3386">
      <c r="A3386" s="66" t="inlineStr">
        <is>
          <t>09/03/2018</t>
        </is>
      </c>
      <c r="B3386" s="28" t="n">
        <v>73.56</v>
      </c>
    </row>
    <row r="3387">
      <c r="A3387" s="66" t="inlineStr">
        <is>
          <t>12/03/2018</t>
        </is>
      </c>
      <c r="B3387" s="28" t="n">
        <v>75.09</v>
      </c>
    </row>
    <row r="3388">
      <c r="A3388" s="66" t="inlineStr">
        <is>
          <t>13/03/2018</t>
        </is>
      </c>
      <c r="B3388" s="28" t="n">
        <v>76.23</v>
      </c>
    </row>
    <row r="3389">
      <c r="A3389" s="66" t="inlineStr">
        <is>
          <t>14/03/2018</t>
        </is>
      </c>
      <c r="B3389" s="28" t="n">
        <v>76.23999999999999</v>
      </c>
    </row>
    <row r="3390">
      <c r="A3390" s="66" t="inlineStr">
        <is>
          <t>15/03/2018</t>
        </is>
      </c>
      <c r="B3390" s="28" t="n">
        <v>75.09</v>
      </c>
    </row>
    <row r="3391">
      <c r="A3391" s="66" t="inlineStr">
        <is>
          <t>16/03/2018</t>
        </is>
      </c>
      <c r="B3391" s="28" t="n">
        <v>73.62</v>
      </c>
    </row>
    <row r="3392">
      <c r="A3392" s="66" t="inlineStr">
        <is>
          <t>19/03/2018</t>
        </is>
      </c>
      <c r="B3392" s="28" t="n">
        <v>73.7</v>
      </c>
    </row>
    <row r="3393">
      <c r="A3393" s="66" t="inlineStr">
        <is>
          <t>20/03/2018</t>
        </is>
      </c>
      <c r="B3393" s="28" t="n">
        <v>73.92</v>
      </c>
    </row>
    <row r="3394">
      <c r="A3394" s="66" t="inlineStr">
        <is>
          <t>21/03/2018</t>
        </is>
      </c>
      <c r="B3394" s="28" t="n">
        <v>74.09</v>
      </c>
    </row>
    <row r="3395">
      <c r="A3395" s="66" t="inlineStr">
        <is>
          <t>22/03/2018</t>
        </is>
      </c>
      <c r="B3395" s="28" t="n">
        <v>73.88</v>
      </c>
    </row>
    <row r="3396">
      <c r="A3396" s="66" t="inlineStr">
        <is>
          <t>23/03/2018</t>
        </is>
      </c>
      <c r="B3396" s="28" t="n">
        <v>72.84999999999999</v>
      </c>
    </row>
    <row r="3397">
      <c r="A3397" s="66" t="inlineStr">
        <is>
          <t>26/03/2018</t>
        </is>
      </c>
      <c r="B3397" s="28" t="n">
        <v>73.3</v>
      </c>
    </row>
    <row r="3398">
      <c r="A3398" s="66" t="inlineStr">
        <is>
          <t>27/03/2018</t>
        </is>
      </c>
      <c r="B3398" s="28" t="n">
        <v>72.92</v>
      </c>
    </row>
    <row r="3399">
      <c r="A3399" s="66" t="inlineStr">
        <is>
          <t>28/03/2018</t>
        </is>
      </c>
      <c r="B3399" s="28" t="n">
        <v>72.37</v>
      </c>
    </row>
    <row r="3400">
      <c r="A3400" s="66" t="inlineStr">
        <is>
          <t>29/03/2018</t>
        </is>
      </c>
      <c r="B3400" s="28" t="n">
        <v>71.66</v>
      </c>
    </row>
    <row r="3401">
      <c r="A3401" s="66" t="inlineStr">
        <is>
          <t>02/04/2018</t>
        </is>
      </c>
      <c r="B3401" s="28" t="n">
        <v>70.41</v>
      </c>
    </row>
    <row r="3402">
      <c r="A3402" s="66" t="inlineStr">
        <is>
          <t>03/04/2018</t>
        </is>
      </c>
      <c r="B3402" s="28" t="n">
        <v>70.76000000000001</v>
      </c>
    </row>
    <row r="3403">
      <c r="A3403" s="66" t="inlineStr">
        <is>
          <t>04/04/2018</t>
        </is>
      </c>
      <c r="B3403" s="28" t="n">
        <v>72.09999999999999</v>
      </c>
    </row>
    <row r="3404">
      <c r="A3404" s="66" t="inlineStr">
        <is>
          <t>05/04/2018</t>
        </is>
      </c>
      <c r="B3404" s="28" t="n">
        <v>72.69</v>
      </c>
    </row>
    <row r="3405">
      <c r="A3405" s="66" t="inlineStr">
        <is>
          <t>06/04/2018</t>
        </is>
      </c>
      <c r="B3405" s="28" t="n">
        <v>73.04000000000001</v>
      </c>
    </row>
    <row r="3406">
      <c r="A3406" s="66" t="inlineStr">
        <is>
          <t>09/04/2018</t>
        </is>
      </c>
      <c r="B3406" s="28" t="n">
        <v>73.13</v>
      </c>
    </row>
    <row r="3407">
      <c r="A3407" s="66" t="inlineStr">
        <is>
          <t>10/04/2018</t>
        </is>
      </c>
      <c r="B3407" s="28" t="n">
        <v>72.44</v>
      </c>
    </row>
    <row r="3408">
      <c r="A3408" s="66" t="inlineStr">
        <is>
          <t>11/04/2018</t>
        </is>
      </c>
      <c r="B3408" s="28" t="n">
        <v>72.09</v>
      </c>
    </row>
    <row r="3409">
      <c r="A3409" s="66" t="inlineStr">
        <is>
          <t>12/04/2018</t>
        </is>
      </c>
      <c r="B3409" s="28" t="n">
        <v>71.47</v>
      </c>
    </row>
    <row r="3410">
      <c r="A3410" s="66" t="inlineStr">
        <is>
          <t>13/04/2018</t>
        </is>
      </c>
      <c r="B3410" s="28" t="n">
        <v>70.5</v>
      </c>
    </row>
    <row r="3411">
      <c r="A3411" s="66" t="inlineStr">
        <is>
          <t>16/04/2018</t>
        </is>
      </c>
      <c r="B3411" s="28" t="n">
        <v>70.87</v>
      </c>
    </row>
    <row r="3412">
      <c r="A3412" s="66" t="inlineStr">
        <is>
          <t>17/04/2018</t>
        </is>
      </c>
      <c r="B3412" s="28" t="n">
        <v>70.70999999999999</v>
      </c>
    </row>
    <row r="3413">
      <c r="A3413" s="66" t="inlineStr">
        <is>
          <t>18/04/2018</t>
        </is>
      </c>
      <c r="B3413" s="28" t="n">
        <v>70.25</v>
      </c>
    </row>
    <row r="3414">
      <c r="A3414" s="66" t="inlineStr">
        <is>
          <t>19/04/2018</t>
        </is>
      </c>
      <c r="B3414" s="28" t="n">
        <v>69.52</v>
      </c>
    </row>
    <row r="3415">
      <c r="A3415" s="66" t="inlineStr">
        <is>
          <t>20/04/2018</t>
        </is>
      </c>
      <c r="B3415" s="28" t="n">
        <v>68.55</v>
      </c>
    </row>
    <row r="3416">
      <c r="A3416" s="66" t="inlineStr">
        <is>
          <t>23/04/2018</t>
        </is>
      </c>
      <c r="B3416" s="28" t="n">
        <v>67.81</v>
      </c>
    </row>
    <row r="3417">
      <c r="A3417" s="66" t="inlineStr">
        <is>
          <t>24/04/2018</t>
        </is>
      </c>
      <c r="B3417" s="28" t="n">
        <v>68.59</v>
      </c>
    </row>
    <row r="3418">
      <c r="A3418" s="66" t="inlineStr">
        <is>
          <t>25/04/2018</t>
        </is>
      </c>
      <c r="B3418" s="28" t="n">
        <v>68.70999999999999</v>
      </c>
    </row>
    <row r="3419">
      <c r="A3419" s="66" t="inlineStr">
        <is>
          <t>26/04/2018</t>
        </is>
      </c>
      <c r="B3419" s="28" t="n">
        <v>68.54000000000001</v>
      </c>
    </row>
    <row r="3420">
      <c r="A3420" s="66" t="inlineStr">
        <is>
          <t>27/04/2018</t>
        </is>
      </c>
      <c r="B3420" s="28" t="n">
        <v>68.84</v>
      </c>
    </row>
    <row r="3421">
      <c r="A3421" s="66" t="inlineStr">
        <is>
          <t>30/04/2018</t>
        </is>
      </c>
      <c r="B3421" s="28" t="n">
        <v>69.58</v>
      </c>
    </row>
    <row r="3422">
      <c r="A3422" s="66" t="inlineStr">
        <is>
          <t>02/05/2018</t>
        </is>
      </c>
      <c r="B3422" s="28" t="n">
        <v>69.34</v>
      </c>
    </row>
    <row r="3423">
      <c r="A3423" s="66" t="inlineStr">
        <is>
          <t>03/05/2018</t>
        </is>
      </c>
      <c r="B3423" s="28" t="n">
        <v>69.73</v>
      </c>
    </row>
    <row r="3424">
      <c r="A3424" s="66" t="inlineStr">
        <is>
          <t>04/05/2018</t>
        </is>
      </c>
      <c r="B3424" s="28" t="n">
        <v>70.42</v>
      </c>
    </row>
    <row r="3425">
      <c r="A3425" s="66" t="inlineStr">
        <is>
          <t>07/05/2018</t>
        </is>
      </c>
      <c r="B3425" s="28" t="n">
        <v>72.31</v>
      </c>
    </row>
    <row r="3426">
      <c r="A3426" s="66" t="inlineStr">
        <is>
          <t>08/05/2018</t>
        </is>
      </c>
      <c r="B3426" s="28" t="n">
        <v>72.45</v>
      </c>
    </row>
    <row r="3427">
      <c r="A3427" s="66" t="inlineStr">
        <is>
          <t>09/05/2018</t>
        </is>
      </c>
      <c r="B3427" s="28" t="n">
        <v>73.39</v>
      </c>
    </row>
    <row r="3428">
      <c r="A3428" s="66" t="inlineStr">
        <is>
          <t>10/05/2018</t>
        </is>
      </c>
      <c r="B3428" s="28" t="n">
        <v>73.16</v>
      </c>
    </row>
    <row r="3429">
      <c r="A3429" s="66" t="inlineStr">
        <is>
          <t>11/05/2018</t>
        </is>
      </c>
      <c r="B3429" s="28" t="n">
        <v>73.91</v>
      </c>
    </row>
    <row r="3430">
      <c r="A3430" s="66" t="inlineStr">
        <is>
          <t>14/05/2018</t>
        </is>
      </c>
      <c r="B3430" s="28" t="n">
        <v>73.40000000000001</v>
      </c>
    </row>
    <row r="3431">
      <c r="A3431" s="66" t="inlineStr">
        <is>
          <t>15/05/2018</t>
        </is>
      </c>
      <c r="B3431" s="28" t="n">
        <v>73.59999999999999</v>
      </c>
    </row>
    <row r="3432">
      <c r="A3432" s="66" t="inlineStr">
        <is>
          <t>16/05/2018</t>
        </is>
      </c>
      <c r="B3432" s="28" t="n">
        <v>74</v>
      </c>
    </row>
    <row r="3433">
      <c r="A3433" s="66" t="inlineStr">
        <is>
          <t>17/05/2018</t>
        </is>
      </c>
      <c r="B3433" s="28" t="n">
        <v>74.15000000000001</v>
      </c>
    </row>
    <row r="3434">
      <c r="A3434" s="66" t="inlineStr">
        <is>
          <t>18/05/2018</t>
        </is>
      </c>
      <c r="B3434" s="28" t="n">
        <v>74.22</v>
      </c>
    </row>
    <row r="3435">
      <c r="A3435" s="66" t="inlineStr">
        <is>
          <t>21/05/2018</t>
        </is>
      </c>
      <c r="B3435" s="28" t="n">
        <v>75.51000000000001</v>
      </c>
    </row>
    <row r="3436">
      <c r="A3436" s="66" t="inlineStr">
        <is>
          <t>22/05/2018</t>
        </is>
      </c>
      <c r="B3436" s="28" t="n">
        <v>76</v>
      </c>
    </row>
    <row r="3437">
      <c r="A3437" s="66" t="inlineStr">
        <is>
          <t>23/05/2018</t>
        </is>
      </c>
      <c r="B3437" s="28" t="n">
        <v>76.90000000000001</v>
      </c>
    </row>
    <row r="3438">
      <c r="A3438" s="66" t="inlineStr">
        <is>
          <t>24/05/2018</t>
        </is>
      </c>
      <c r="B3438" s="28" t="n">
        <v>77.39</v>
      </c>
    </row>
    <row r="3439">
      <c r="A3439" s="66" t="inlineStr">
        <is>
          <t>25/05/2018</t>
        </is>
      </c>
      <c r="B3439" s="28" t="n">
        <v>77.04000000000001</v>
      </c>
    </row>
    <row r="3440">
      <c r="A3440" s="66" t="inlineStr">
        <is>
          <t>28/05/2018</t>
        </is>
      </c>
      <c r="B3440" s="28" t="n">
        <v>76.87</v>
      </c>
    </row>
    <row r="3441">
      <c r="A3441" s="66" t="inlineStr">
        <is>
          <t>29/05/2018</t>
        </is>
      </c>
      <c r="B3441" s="28" t="n">
        <v>78.40000000000001</v>
      </c>
    </row>
    <row r="3442">
      <c r="A3442" s="66" t="inlineStr">
        <is>
          <t>30/05/2018</t>
        </is>
      </c>
      <c r="B3442" s="28" t="n">
        <v>79.23999999999999</v>
      </c>
    </row>
    <row r="3443">
      <c r="A3443" s="66" t="inlineStr">
        <is>
          <t>01/06/2018</t>
        </is>
      </c>
      <c r="B3443" s="28" t="n">
        <v>78.47</v>
      </c>
    </row>
    <row r="3444">
      <c r="A3444" s="66" t="inlineStr">
        <is>
          <t>04/06/2018</t>
        </is>
      </c>
      <c r="B3444" s="28" t="n">
        <v>76.52</v>
      </c>
    </row>
    <row r="3445">
      <c r="A3445" s="66" t="inlineStr">
        <is>
          <t>05/06/2018</t>
        </is>
      </c>
      <c r="B3445" s="28" t="n">
        <v>74.86</v>
      </c>
    </row>
    <row r="3446">
      <c r="A3446" s="66" t="inlineStr">
        <is>
          <t>06/06/2018</t>
        </is>
      </c>
      <c r="B3446" s="28" t="n">
        <v>74.69</v>
      </c>
    </row>
    <row r="3447">
      <c r="A3447" s="66" t="inlineStr">
        <is>
          <t>07/06/2018</t>
        </is>
      </c>
      <c r="B3447" s="28" t="n">
        <v>74.52</v>
      </c>
    </row>
    <row r="3448">
      <c r="A3448" s="66" t="inlineStr">
        <is>
          <t>08/06/2018</t>
        </is>
      </c>
      <c r="B3448" s="28" t="n">
        <v>73.98999999999999</v>
      </c>
    </row>
    <row r="3449">
      <c r="A3449" s="66" t="inlineStr">
        <is>
          <t>11/06/2018</t>
        </is>
      </c>
      <c r="B3449" s="28" t="n">
        <v>73.3</v>
      </c>
    </row>
    <row r="3450">
      <c r="A3450" s="66" t="inlineStr">
        <is>
          <t>12/06/2018</t>
        </is>
      </c>
      <c r="B3450" s="28" t="n">
        <v>71.34</v>
      </c>
    </row>
    <row r="3451">
      <c r="A3451" s="66" t="inlineStr">
        <is>
          <t>13/06/2018</t>
        </is>
      </c>
      <c r="B3451" s="28" t="n">
        <v>69.59</v>
      </c>
    </row>
    <row r="3452">
      <c r="A3452" s="66" t="inlineStr">
        <is>
          <t>14/06/2018</t>
        </is>
      </c>
      <c r="B3452" s="28" t="n">
        <v>68.81</v>
      </c>
    </row>
    <row r="3453">
      <c r="A3453" s="66" t="inlineStr">
        <is>
          <t>15/06/2018</t>
        </is>
      </c>
      <c r="B3453" s="28" t="n">
        <v>68.47</v>
      </c>
    </row>
    <row r="3454">
      <c r="A3454" s="66" t="inlineStr">
        <is>
          <t>18/06/2018</t>
        </is>
      </c>
      <c r="B3454" s="28" t="n">
        <v>68.40000000000001</v>
      </c>
    </row>
    <row r="3455">
      <c r="A3455" s="66" t="inlineStr">
        <is>
          <t>19/06/2018</t>
        </is>
      </c>
      <c r="B3455" s="28" t="n">
        <v>67.75</v>
      </c>
    </row>
    <row r="3456">
      <c r="A3456" s="66" t="inlineStr">
        <is>
          <t>20/06/2018</t>
        </is>
      </c>
      <c r="B3456" s="28" t="n">
        <v>66.28</v>
      </c>
    </row>
    <row r="3457">
      <c r="A3457" s="66" t="inlineStr">
        <is>
          <t>21/06/2018</t>
        </is>
      </c>
      <c r="B3457" s="28" t="n">
        <v>66.11</v>
      </c>
    </row>
    <row r="3458">
      <c r="A3458" s="66" t="inlineStr">
        <is>
          <t>22/06/2018</t>
        </is>
      </c>
      <c r="B3458" s="28" t="n">
        <v>64.79000000000001</v>
      </c>
    </row>
    <row r="3459">
      <c r="A3459" s="66" t="inlineStr">
        <is>
          <t>25/06/2018</t>
        </is>
      </c>
      <c r="B3459" s="28" t="n">
        <v>64.56999999999999</v>
      </c>
    </row>
    <row r="3460">
      <c r="A3460" s="66" t="inlineStr">
        <is>
          <t>26/06/2018</t>
        </is>
      </c>
      <c r="B3460" s="28" t="n">
        <v>63.87</v>
      </c>
    </row>
    <row r="3461">
      <c r="A3461" s="66" t="inlineStr">
        <is>
          <t>27/06/2018</t>
        </is>
      </c>
      <c r="B3461" s="28" t="n">
        <v>63.56</v>
      </c>
    </row>
    <row r="3462">
      <c r="A3462" s="66" t="inlineStr">
        <is>
          <t>28/06/2018</t>
        </is>
      </c>
      <c r="B3462" s="28" t="n">
        <v>63.16</v>
      </c>
    </row>
    <row r="3463">
      <c r="A3463" s="66" t="inlineStr">
        <is>
          <t>29/06/2018</t>
        </is>
      </c>
      <c r="B3463" s="28" t="n">
        <v>63.22</v>
      </c>
    </row>
    <row r="3464">
      <c r="A3464" s="66" t="inlineStr">
        <is>
          <t>02/07/2018</t>
        </is>
      </c>
      <c r="B3464" s="28" t="n">
        <v>62.57</v>
      </c>
    </row>
    <row r="3465">
      <c r="A3465" s="66" t="inlineStr">
        <is>
          <t>03/07/2018</t>
        </is>
      </c>
      <c r="B3465" s="28" t="n">
        <v>61.6</v>
      </c>
    </row>
    <row r="3466">
      <c r="A3466" s="66" t="inlineStr">
        <is>
          <t>04/07/2018</t>
        </is>
      </c>
      <c r="B3466" s="28" t="n">
        <v>60</v>
      </c>
    </row>
    <row r="3467">
      <c r="A3467" s="66" t="inlineStr">
        <is>
          <t>05/07/2018</t>
        </is>
      </c>
      <c r="B3467" s="28" t="n">
        <v>61.98</v>
      </c>
    </row>
    <row r="3468">
      <c r="A3468" s="66" t="inlineStr">
        <is>
          <t>06/07/2018</t>
        </is>
      </c>
      <c r="B3468" s="28" t="n">
        <v>61.62</v>
      </c>
    </row>
    <row r="3469">
      <c r="A3469" s="66" t="inlineStr">
        <is>
          <t>09/07/2018</t>
        </is>
      </c>
      <c r="B3469" s="28" t="n">
        <v>61.21</v>
      </c>
    </row>
    <row r="3470">
      <c r="A3470" s="66" t="inlineStr">
        <is>
          <t>10/07/2018</t>
        </is>
      </c>
      <c r="B3470" s="28" t="n">
        <v>62.72</v>
      </c>
    </row>
    <row r="3471">
      <c r="A3471" s="66" t="inlineStr">
        <is>
          <t>11/07/2018</t>
        </is>
      </c>
      <c r="B3471" s="28" t="n">
        <v>62.32</v>
      </c>
    </row>
    <row r="3472">
      <c r="A3472" s="66" t="inlineStr">
        <is>
          <t>12/07/2018</t>
        </is>
      </c>
      <c r="B3472" s="28" t="n">
        <v>62.98</v>
      </c>
    </row>
    <row r="3473">
      <c r="A3473" s="66" t="inlineStr">
        <is>
          <t>13/07/2018</t>
        </is>
      </c>
      <c r="B3473" s="28" t="n">
        <v>62.44</v>
      </c>
    </row>
    <row r="3474">
      <c r="A3474" s="66" t="inlineStr">
        <is>
          <t>16/07/2018</t>
        </is>
      </c>
      <c r="B3474" s="28" t="n">
        <v>63.32</v>
      </c>
    </row>
    <row r="3475">
      <c r="A3475" s="66" t="inlineStr">
        <is>
          <t>17/07/2018</t>
        </is>
      </c>
      <c r="B3475" s="28" t="n">
        <v>63.12</v>
      </c>
    </row>
    <row r="3476">
      <c r="A3476" s="66" t="inlineStr">
        <is>
          <t>18/07/2018</t>
        </is>
      </c>
      <c r="B3476" s="28" t="n">
        <v>63.42</v>
      </c>
    </row>
    <row r="3477">
      <c r="A3477" s="66" t="inlineStr">
        <is>
          <t>19/07/2018</t>
        </is>
      </c>
      <c r="B3477" s="28" t="n">
        <v>63.56</v>
      </c>
    </row>
    <row r="3478">
      <c r="A3478" s="66" t="inlineStr">
        <is>
          <t>20/07/2018</t>
        </is>
      </c>
      <c r="B3478" s="28" t="n">
        <v>64.17</v>
      </c>
    </row>
    <row r="3479">
      <c r="A3479" s="66" t="inlineStr">
        <is>
          <t>23/07/2018</t>
        </is>
      </c>
      <c r="B3479" s="28" t="n">
        <v>64.15000000000001</v>
      </c>
    </row>
    <row r="3480">
      <c r="A3480" s="66" t="inlineStr">
        <is>
          <t>24/07/2018</t>
        </is>
      </c>
      <c r="B3480" s="28" t="n">
        <v>64.03</v>
      </c>
    </row>
    <row r="3481">
      <c r="A3481" s="66" t="inlineStr">
        <is>
          <t>25/07/2018</t>
        </is>
      </c>
      <c r="B3481" s="28" t="n">
        <v>64.51000000000001</v>
      </c>
    </row>
    <row r="3482">
      <c r="A3482" s="66" t="inlineStr">
        <is>
          <t>26/07/2018</t>
        </is>
      </c>
      <c r="B3482" s="28" t="n">
        <v>64.75</v>
      </c>
    </row>
    <row r="3483">
      <c r="A3483" s="66" t="inlineStr">
        <is>
          <t>27/07/2018</t>
        </is>
      </c>
      <c r="B3483" s="28" t="n">
        <v>65.55</v>
      </c>
    </row>
    <row r="3484">
      <c r="A3484" s="66" t="inlineStr">
        <is>
          <t>30/07/2018</t>
        </is>
      </c>
      <c r="B3484" s="28" t="n">
        <v>65.94</v>
      </c>
    </row>
    <row r="3485">
      <c r="A3485" s="66" t="inlineStr">
        <is>
          <t>31/07/2018</t>
        </is>
      </c>
      <c r="B3485" s="28" t="n">
        <v>66.93000000000001</v>
      </c>
    </row>
    <row r="3486">
      <c r="A3486" s="66" t="inlineStr">
        <is>
          <t>01/08/2018</t>
        </is>
      </c>
      <c r="B3486" s="28" t="n">
        <v>66.65000000000001</v>
      </c>
    </row>
    <row r="3487">
      <c r="A3487" s="66" t="inlineStr">
        <is>
          <t>02/08/2018</t>
        </is>
      </c>
      <c r="B3487" s="28" t="n">
        <v>67.15000000000001</v>
      </c>
    </row>
    <row r="3488">
      <c r="A3488" s="66" t="inlineStr">
        <is>
          <t>03/08/2018</t>
        </is>
      </c>
      <c r="B3488" s="28" t="n">
        <v>67.20999999999999</v>
      </c>
    </row>
    <row r="3489">
      <c r="A3489" s="66" t="inlineStr">
        <is>
          <t>06/08/2018</t>
        </is>
      </c>
      <c r="B3489" s="28" t="n">
        <v>67.64</v>
      </c>
    </row>
    <row r="3490">
      <c r="A3490" s="66" t="inlineStr">
        <is>
          <t>07/08/2018</t>
        </is>
      </c>
      <c r="B3490" s="28" t="n">
        <v>69.87</v>
      </c>
    </row>
    <row r="3491">
      <c r="A3491" s="66" t="inlineStr">
        <is>
          <t>08/08/2018</t>
        </is>
      </c>
      <c r="B3491" s="28" t="n">
        <v>70.75</v>
      </c>
    </row>
    <row r="3492">
      <c r="A3492" s="66" t="inlineStr">
        <is>
          <t>09/08/2018</t>
        </is>
      </c>
      <c r="B3492" s="28" t="n">
        <v>70.84</v>
      </c>
    </row>
    <row r="3493">
      <c r="A3493" s="66" t="inlineStr">
        <is>
          <t>10/08/2018</t>
        </is>
      </c>
      <c r="B3493" s="28" t="n">
        <v>71.19</v>
      </c>
    </row>
    <row r="3494">
      <c r="A3494" s="66" t="inlineStr">
        <is>
          <t>13/08/2018</t>
        </is>
      </c>
      <c r="B3494" s="28" t="n">
        <v>70.47</v>
      </c>
    </row>
    <row r="3495">
      <c r="A3495" s="66" t="inlineStr">
        <is>
          <t>14/08/2018</t>
        </is>
      </c>
      <c r="B3495" s="28" t="n">
        <v>69.73999999999999</v>
      </c>
    </row>
    <row r="3496">
      <c r="A3496" s="66" t="inlineStr">
        <is>
          <t>15/08/2018</t>
        </is>
      </c>
      <c r="B3496" s="28" t="n">
        <v>69.93000000000001</v>
      </c>
    </row>
    <row r="3497">
      <c r="A3497" s="66" t="inlineStr">
        <is>
          <t>16/08/2018</t>
        </is>
      </c>
      <c r="B3497" s="28" t="n">
        <v>70.26000000000001</v>
      </c>
    </row>
    <row r="3498">
      <c r="A3498" s="66" t="inlineStr">
        <is>
          <t>17/08/2018</t>
        </is>
      </c>
      <c r="B3498" s="28" t="n">
        <v>69.77</v>
      </c>
    </row>
    <row r="3499">
      <c r="A3499" s="66" t="inlineStr">
        <is>
          <t>20/08/2018</t>
        </is>
      </c>
      <c r="B3499" s="28" t="n">
        <v>69.72</v>
      </c>
    </row>
    <row r="3500">
      <c r="A3500" s="66" t="inlineStr">
        <is>
          <t>21/08/2018</t>
        </is>
      </c>
      <c r="B3500" s="28" t="n">
        <v>69.47</v>
      </c>
    </row>
    <row r="3501">
      <c r="A3501" s="66" t="inlineStr">
        <is>
          <t>22/08/2018</t>
        </is>
      </c>
      <c r="B3501" s="28" t="n">
        <v>70.16</v>
      </c>
    </row>
    <row r="3502">
      <c r="A3502" s="66" t="inlineStr">
        <is>
          <t>23/08/2018</t>
        </is>
      </c>
      <c r="B3502" s="28" t="n">
        <v>70.43000000000001</v>
      </c>
    </row>
    <row r="3503">
      <c r="A3503" s="66" t="inlineStr">
        <is>
          <t>24/08/2018</t>
        </is>
      </c>
      <c r="B3503" s="28" t="n">
        <v>70.38</v>
      </c>
    </row>
    <row r="3504">
      <c r="A3504" s="66" t="inlineStr">
        <is>
          <t>27/08/2018</t>
        </is>
      </c>
      <c r="B3504" s="28" t="n">
        <v>70.09</v>
      </c>
    </row>
    <row r="3505">
      <c r="A3505" s="66" t="inlineStr">
        <is>
          <t>28/08/2018</t>
        </is>
      </c>
      <c r="B3505" s="28" t="n">
        <v>69.40000000000001</v>
      </c>
    </row>
    <row r="3506">
      <c r="A3506" s="66" t="inlineStr">
        <is>
          <t>29/08/2018</t>
        </is>
      </c>
      <c r="B3506" s="28" t="n">
        <v>69.59</v>
      </c>
    </row>
    <row r="3507">
      <c r="A3507" s="66" t="inlineStr">
        <is>
          <t>30/08/2018</t>
        </is>
      </c>
      <c r="B3507" s="28" t="n">
        <v>69.59</v>
      </c>
    </row>
    <row r="3508">
      <c r="A3508" s="66" t="inlineStr">
        <is>
          <t>31/08/2018</t>
        </is>
      </c>
      <c r="B3508" s="28" t="n">
        <v>69.44</v>
      </c>
    </row>
    <row r="3509">
      <c r="A3509" s="66" t="inlineStr">
        <is>
          <t>03/09/2018</t>
        </is>
      </c>
      <c r="B3509" s="28" t="n">
        <v>68.06</v>
      </c>
    </row>
    <row r="3510">
      <c r="A3510" s="66" t="inlineStr">
        <is>
          <t>04/09/2018</t>
        </is>
      </c>
      <c r="B3510" s="28" t="n">
        <v>67.95999999999999</v>
      </c>
    </row>
    <row r="3511">
      <c r="A3511" s="66" t="inlineStr">
        <is>
          <t>05/09/2018</t>
        </is>
      </c>
      <c r="B3511" s="28" t="n">
        <v>67.98</v>
      </c>
    </row>
    <row r="3512">
      <c r="A3512" s="66" t="inlineStr">
        <is>
          <t>06/09/2018</t>
        </is>
      </c>
      <c r="B3512" s="28" t="n">
        <v>67.63</v>
      </c>
    </row>
    <row r="3513">
      <c r="A3513" s="66" t="inlineStr">
        <is>
          <t>10/09/2018</t>
        </is>
      </c>
      <c r="B3513" s="28" t="n">
        <v>68.33</v>
      </c>
    </row>
    <row r="3514">
      <c r="A3514" s="66" t="inlineStr">
        <is>
          <t>11/09/2018</t>
        </is>
      </c>
      <c r="B3514" s="28" t="n">
        <v>67.86</v>
      </c>
    </row>
    <row r="3515">
      <c r="A3515" s="66" t="inlineStr">
        <is>
          <t>12/09/2018</t>
        </is>
      </c>
      <c r="B3515" s="28" t="n">
        <v>67.41</v>
      </c>
    </row>
    <row r="3516">
      <c r="A3516" s="66" t="inlineStr">
        <is>
          <t>13/09/2018</t>
        </is>
      </c>
      <c r="B3516" s="28" t="n">
        <v>67.51000000000001</v>
      </c>
    </row>
    <row r="3517">
      <c r="A3517" s="66" t="inlineStr">
        <is>
          <t>14/09/2018</t>
        </is>
      </c>
      <c r="B3517" s="28" t="n">
        <v>67.81</v>
      </c>
    </row>
    <row r="3518">
      <c r="A3518" s="66" t="inlineStr">
        <is>
          <t>17/09/2018</t>
        </is>
      </c>
      <c r="B3518" s="28" t="n">
        <v>68.01000000000001</v>
      </c>
    </row>
    <row r="3519">
      <c r="A3519" s="66" t="inlineStr">
        <is>
          <t>18/09/2018</t>
        </is>
      </c>
      <c r="B3519" s="28" t="n">
        <v>67.26000000000001</v>
      </c>
    </row>
    <row r="3520">
      <c r="A3520" s="66" t="inlineStr">
        <is>
          <t>19/09/2018</t>
        </is>
      </c>
      <c r="B3520" s="28" t="n">
        <v>67.06</v>
      </c>
    </row>
    <row r="3521">
      <c r="A3521" s="66" t="inlineStr">
        <is>
          <t>20/09/2018</t>
        </is>
      </c>
      <c r="B3521" s="28" t="n">
        <v>66.42</v>
      </c>
    </row>
    <row r="3522">
      <c r="A3522" s="66" t="inlineStr">
        <is>
          <t>21/09/2018</t>
        </is>
      </c>
      <c r="B3522" s="28" t="n">
        <v>65.90000000000001</v>
      </c>
    </row>
    <row r="3523">
      <c r="A3523" s="66" t="inlineStr">
        <is>
          <t>24/09/2018</t>
        </is>
      </c>
      <c r="B3523" s="28" t="n">
        <v>66.28</v>
      </c>
    </row>
    <row r="3524">
      <c r="A3524" s="66" t="inlineStr">
        <is>
          <t>25/09/2018</t>
        </is>
      </c>
      <c r="B3524" s="28" t="n">
        <v>65.8</v>
      </c>
    </row>
    <row r="3525">
      <c r="A3525" s="66" t="inlineStr">
        <is>
          <t>26/09/2018</t>
        </is>
      </c>
      <c r="B3525" s="28" t="n">
        <v>65.78</v>
      </c>
    </row>
    <row r="3526">
      <c r="A3526" s="66" t="inlineStr">
        <is>
          <t>27/09/2018</t>
        </is>
      </c>
      <c r="B3526" s="28" t="n">
        <v>65.77</v>
      </c>
    </row>
    <row r="3527">
      <c r="A3527" s="66" t="inlineStr">
        <is>
          <t>28/09/2018</t>
        </is>
      </c>
      <c r="B3527" s="28" t="n">
        <v>65.56999999999999</v>
      </c>
    </row>
    <row r="3528">
      <c r="A3528" s="66" t="inlineStr">
        <is>
          <t>01/10/2018</t>
        </is>
      </c>
      <c r="B3528" s="28" t="n">
        <v>64.86</v>
      </c>
    </row>
    <row r="3529">
      <c r="A3529" s="66" t="inlineStr">
        <is>
          <t>02/10/2018</t>
        </is>
      </c>
      <c r="B3529" s="28" t="n">
        <v>64.41</v>
      </c>
    </row>
    <row r="3530">
      <c r="A3530" s="66" t="inlineStr">
        <is>
          <t>03/10/2018</t>
        </is>
      </c>
      <c r="B3530" s="28" t="n">
        <v>63.59</v>
      </c>
    </row>
    <row r="3531">
      <c r="A3531" s="66" t="inlineStr">
        <is>
          <t>04/10/2018</t>
        </is>
      </c>
      <c r="B3531" s="28" t="n">
        <v>63.26</v>
      </c>
    </row>
    <row r="3532">
      <c r="A3532" s="66" t="inlineStr">
        <is>
          <t>05/10/2018</t>
        </is>
      </c>
      <c r="B3532" s="28" t="n">
        <v>63.97</v>
      </c>
    </row>
    <row r="3533">
      <c r="A3533" s="66" t="inlineStr">
        <is>
          <t>08/10/2018</t>
        </is>
      </c>
      <c r="B3533" s="28" t="n">
        <v>62.88</v>
      </c>
    </row>
    <row r="3534">
      <c r="A3534" s="66" t="inlineStr">
        <is>
          <t>09/10/2018</t>
        </is>
      </c>
      <c r="B3534" s="28" t="n">
        <v>61.95</v>
      </c>
    </row>
    <row r="3535">
      <c r="A3535" s="66" t="inlineStr">
        <is>
          <t>10/10/2018</t>
        </is>
      </c>
      <c r="B3535" s="28" t="n">
        <v>60.98</v>
      </c>
    </row>
    <row r="3536">
      <c r="A3536" s="66" t="inlineStr">
        <is>
          <t>11/10/2018</t>
        </is>
      </c>
      <c r="B3536" s="28" t="n">
        <v>61.21</v>
      </c>
    </row>
    <row r="3537">
      <c r="A3537" s="66" t="inlineStr">
        <is>
          <t>15/10/2018</t>
        </is>
      </c>
      <c r="B3537" s="28" t="n">
        <v>60.82</v>
      </c>
    </row>
    <row r="3538">
      <c r="A3538" s="66" t="inlineStr">
        <is>
          <t>16/10/2018</t>
        </is>
      </c>
      <c r="B3538" s="28" t="n">
        <v>60.3</v>
      </c>
    </row>
    <row r="3539">
      <c r="A3539" s="66" t="inlineStr">
        <is>
          <t>17/10/2018</t>
        </is>
      </c>
      <c r="B3539" s="28" t="n">
        <v>59.35</v>
      </c>
    </row>
    <row r="3540">
      <c r="A3540" s="66" t="inlineStr">
        <is>
          <t>18/10/2018</t>
        </is>
      </c>
      <c r="B3540" s="28" t="n">
        <v>58.79</v>
      </c>
    </row>
    <row r="3541">
      <c r="A3541" s="66" t="inlineStr">
        <is>
          <t>19/10/2018</t>
        </is>
      </c>
      <c r="B3541" s="28" t="n">
        <v>58.08</v>
      </c>
    </row>
    <row r="3542">
      <c r="A3542" s="66" t="inlineStr">
        <is>
          <t>22/10/2018</t>
        </is>
      </c>
      <c r="B3542" s="28" t="n">
        <v>57.9</v>
      </c>
    </row>
    <row r="3543">
      <c r="A3543" s="66" t="inlineStr">
        <is>
          <t>23/10/2018</t>
        </is>
      </c>
      <c r="B3543" s="28" t="n">
        <v>57.53</v>
      </c>
    </row>
    <row r="3544">
      <c r="A3544" s="66" t="inlineStr">
        <is>
          <t>24/10/2018</t>
        </is>
      </c>
      <c r="B3544" s="28" t="n">
        <v>57.37</v>
      </c>
    </row>
    <row r="3545">
      <c r="A3545" s="66" t="inlineStr">
        <is>
          <t>25/10/2018</t>
        </is>
      </c>
      <c r="B3545" s="28" t="n">
        <v>57.65</v>
      </c>
    </row>
    <row r="3546">
      <c r="A3546" s="66" t="inlineStr">
        <is>
          <t>26/10/2018</t>
        </is>
      </c>
      <c r="B3546" s="28" t="n">
        <v>56.99</v>
      </c>
    </row>
    <row r="3547">
      <c r="A3547" s="66" t="inlineStr">
        <is>
          <t>29/10/2018</t>
        </is>
      </c>
      <c r="B3547" s="28" t="n">
        <v>56.87</v>
      </c>
    </row>
    <row r="3548">
      <c r="A3548" s="66" t="inlineStr">
        <is>
          <t>30/10/2018</t>
        </is>
      </c>
      <c r="B3548" s="28" t="n">
        <v>56.99</v>
      </c>
    </row>
    <row r="3549">
      <c r="A3549" s="66" t="inlineStr">
        <is>
          <t>31/10/2018</t>
        </is>
      </c>
      <c r="B3549" s="28" t="n">
        <v>56.36</v>
      </c>
    </row>
    <row r="3550">
      <c r="A3550" s="66" t="inlineStr">
        <is>
          <t>01/11/2018</t>
        </is>
      </c>
      <c r="B3550" s="28" t="n">
        <v>56.79</v>
      </c>
    </row>
    <row r="3551">
      <c r="A3551" s="66" t="inlineStr">
        <is>
          <t>05/11/2018</t>
        </is>
      </c>
      <c r="B3551" s="28" t="n">
        <v>57.65</v>
      </c>
    </row>
    <row r="3552">
      <c r="A3552" s="66" t="inlineStr">
        <is>
          <t>06/11/2018</t>
        </is>
      </c>
      <c r="B3552" s="28" t="n">
        <v>57.9</v>
      </c>
    </row>
    <row r="3553">
      <c r="A3553" s="66" t="inlineStr">
        <is>
          <t>07/11/2018</t>
        </is>
      </c>
      <c r="B3553" s="28" t="n">
        <v>59.21</v>
      </c>
    </row>
    <row r="3554">
      <c r="A3554" s="66" t="inlineStr">
        <is>
          <t>08/11/2018</t>
        </is>
      </c>
      <c r="B3554" s="28" t="n">
        <v>59.16</v>
      </c>
    </row>
    <row r="3555">
      <c r="A3555" s="66" t="inlineStr">
        <is>
          <t>09/11/2018</t>
        </is>
      </c>
      <c r="B3555" s="28" t="n">
        <v>59.64</v>
      </c>
    </row>
    <row r="3556">
      <c r="A3556" s="66" t="inlineStr">
        <is>
          <t>12/11/2018</t>
        </is>
      </c>
      <c r="B3556" s="28" t="n">
        <v>60.25</v>
      </c>
    </row>
    <row r="3557">
      <c r="A3557" s="66" t="inlineStr">
        <is>
          <t>13/11/2018</t>
        </is>
      </c>
      <c r="B3557" s="28" t="n">
        <v>60.65</v>
      </c>
    </row>
    <row r="3558">
      <c r="A3558" s="66" t="inlineStr">
        <is>
          <t>14/11/2018</t>
        </is>
      </c>
      <c r="B3558" s="28" t="n">
        <v>61.05</v>
      </c>
    </row>
    <row r="3559">
      <c r="A3559" s="66" t="inlineStr">
        <is>
          <t>16/11/2018</t>
        </is>
      </c>
      <c r="B3559" s="28" t="n">
        <v>61.02</v>
      </c>
    </row>
    <row r="3560">
      <c r="A3560" s="66" t="inlineStr">
        <is>
          <t>19/11/2018</t>
        </is>
      </c>
      <c r="B3560" s="28" t="n">
        <v>61.2</v>
      </c>
    </row>
    <row r="3561">
      <c r="A3561" s="66" t="inlineStr">
        <is>
          <t>20/11/2018</t>
        </is>
      </c>
      <c r="B3561" s="28" t="n">
        <v>61.23</v>
      </c>
    </row>
    <row r="3562">
      <c r="A3562" s="66" t="inlineStr">
        <is>
          <t>21/11/2018</t>
        </is>
      </c>
      <c r="B3562" s="28" t="n">
        <v>61.89</v>
      </c>
    </row>
    <row r="3563">
      <c r="A3563" s="66" t="inlineStr">
        <is>
          <t>22/11/2018</t>
        </is>
      </c>
      <c r="B3563" s="28" t="n">
        <v>61.94</v>
      </c>
    </row>
    <row r="3564">
      <c r="A3564" s="66" t="inlineStr">
        <is>
          <t>23/11/2018</t>
        </is>
      </c>
      <c r="B3564" s="28" t="n">
        <v>61.83</v>
      </c>
    </row>
    <row r="3565">
      <c r="A3565" s="66" t="inlineStr">
        <is>
          <t>26/11/2018</t>
        </is>
      </c>
      <c r="B3565" s="28" t="n">
        <v>62.49</v>
      </c>
    </row>
    <row r="3566">
      <c r="A3566" s="66" t="inlineStr">
        <is>
          <t>27/11/2018</t>
        </is>
      </c>
      <c r="B3566" s="28" t="n">
        <v>61.88</v>
      </c>
    </row>
    <row r="3567">
      <c r="A3567" s="66" t="inlineStr">
        <is>
          <t>28/11/2018</t>
        </is>
      </c>
      <c r="B3567" s="28" t="n">
        <v>62.34</v>
      </c>
    </row>
    <row r="3568">
      <c r="A3568" s="66" t="inlineStr">
        <is>
          <t>29/11/2018</t>
        </is>
      </c>
      <c r="B3568" s="28" t="n">
        <v>61.35</v>
      </c>
    </row>
    <row r="3569">
      <c r="A3569" s="66" t="inlineStr">
        <is>
          <t>30/11/2018</t>
        </is>
      </c>
      <c r="B3569" s="28" t="n">
        <v>62.67</v>
      </c>
    </row>
    <row r="3570">
      <c r="A3570" s="66" t="inlineStr">
        <is>
          <t>03/12/2018</t>
        </is>
      </c>
      <c r="B3570" s="28" t="n">
        <v>62.9</v>
      </c>
    </row>
    <row r="3571">
      <c r="A3571" s="66" t="inlineStr">
        <is>
          <t>04/12/2018</t>
        </is>
      </c>
      <c r="B3571" s="28" t="n">
        <v>61.38</v>
      </c>
    </row>
    <row r="3572">
      <c r="A3572" s="66" t="inlineStr">
        <is>
          <t>05/12/2018</t>
        </is>
      </c>
      <c r="B3572" s="28" t="n">
        <v>62.77</v>
      </c>
    </row>
    <row r="3573">
      <c r="A3573" s="66" t="inlineStr">
        <is>
          <t>06/12/2018</t>
        </is>
      </c>
      <c r="B3573" s="28" t="n">
        <v>63.34</v>
      </c>
    </row>
    <row r="3574">
      <c r="A3574" s="66" t="inlineStr">
        <is>
          <t>07/12/2018</t>
        </is>
      </c>
      <c r="B3574" s="28" t="n">
        <v>62.82</v>
      </c>
    </row>
    <row r="3575">
      <c r="A3575" s="66" t="inlineStr">
        <is>
          <t>10/12/2018</t>
        </is>
      </c>
      <c r="B3575" s="28" t="n">
        <v>62.8</v>
      </c>
    </row>
    <row r="3576">
      <c r="A3576" s="66" t="inlineStr">
        <is>
          <t>11/12/2018</t>
        </is>
      </c>
      <c r="B3576" s="28" t="n">
        <v>61.4</v>
      </c>
    </row>
    <row r="3577">
      <c r="A3577" s="66" t="inlineStr">
        <is>
          <t>12/12/2018</t>
        </is>
      </c>
      <c r="B3577" s="28" t="n">
        <v>62.23</v>
      </c>
    </row>
    <row r="3578">
      <c r="A3578" s="66" t="inlineStr">
        <is>
          <t>13/12/2018</t>
        </is>
      </c>
      <c r="B3578" s="28" t="n">
        <v>62.49</v>
      </c>
    </row>
    <row r="3579">
      <c r="A3579" s="66" t="inlineStr">
        <is>
          <t>14/12/2018</t>
        </is>
      </c>
      <c r="B3579" s="28" t="n">
        <v>63.11</v>
      </c>
    </row>
    <row r="3580">
      <c r="A3580" s="66" t="inlineStr">
        <is>
          <t>17/12/2018</t>
        </is>
      </c>
      <c r="B3580" s="28" t="n">
        <v>63.78</v>
      </c>
    </row>
    <row r="3581">
      <c r="A3581" s="66" t="inlineStr">
        <is>
          <t>18/12/2018</t>
        </is>
      </c>
      <c r="B3581" s="28" t="n">
        <v>62.65</v>
      </c>
    </row>
    <row r="3582">
      <c r="A3582" s="66" t="inlineStr">
        <is>
          <t>19/12/2018</t>
        </is>
      </c>
      <c r="B3582" s="28" t="n">
        <v>63.66</v>
      </c>
    </row>
    <row r="3583">
      <c r="A3583" s="66" t="inlineStr">
        <is>
          <t>20/12/2018</t>
        </is>
      </c>
      <c r="B3583" s="28" t="n">
        <v>65.12</v>
      </c>
    </row>
    <row r="3584">
      <c r="A3584" s="66" t="inlineStr">
        <is>
          <t>21/12/2018</t>
        </is>
      </c>
      <c r="B3584" s="28" t="n">
        <v>64.7</v>
      </c>
    </row>
    <row r="3585">
      <c r="A3585" s="66" t="inlineStr">
        <is>
          <t>26/12/2018</t>
        </is>
      </c>
      <c r="B3585" s="28" t="n">
        <v>65.05</v>
      </c>
    </row>
    <row r="3586">
      <c r="A3586" s="66" t="inlineStr">
        <is>
          <t>27/12/2018</t>
        </is>
      </c>
      <c r="B3586" s="28" t="n">
        <v>65.48</v>
      </c>
    </row>
    <row r="3587">
      <c r="A3587" s="66" t="inlineStr">
        <is>
          <t>28/12/2018</t>
        </is>
      </c>
      <c r="B3587" s="28" t="n">
        <v>65.23</v>
      </c>
    </row>
    <row r="3588">
      <c r="A3588" s="66" t="inlineStr">
        <is>
          <t>02/01/2019</t>
        </is>
      </c>
      <c r="B3588" s="28" t="n">
        <v>65.78</v>
      </c>
    </row>
    <row r="3589">
      <c r="A3589" s="66" t="inlineStr">
        <is>
          <t>03/01/2019</t>
        </is>
      </c>
      <c r="B3589" s="28" t="n">
        <v>66.03</v>
      </c>
    </row>
    <row r="3590">
      <c r="A3590" s="66" t="inlineStr">
        <is>
          <t>04/01/2019</t>
        </is>
      </c>
      <c r="B3590" s="28" t="n">
        <v>65.88</v>
      </c>
    </row>
    <row r="3591">
      <c r="A3591" s="66" t="inlineStr">
        <is>
          <t>07/01/2019</t>
        </is>
      </c>
      <c r="B3591" s="28" t="n">
        <v>65.63</v>
      </c>
    </row>
    <row r="3592">
      <c r="A3592" s="66" t="inlineStr">
        <is>
          <t>08/01/2019</t>
        </is>
      </c>
      <c r="B3592" s="28" t="n">
        <v>65.06</v>
      </c>
    </row>
    <row r="3593">
      <c r="A3593" s="66" t="inlineStr">
        <is>
          <t>09/01/2019</t>
        </is>
      </c>
      <c r="B3593" s="28" t="n">
        <v>65.06</v>
      </c>
    </row>
    <row r="3594">
      <c r="A3594" s="66" t="inlineStr">
        <is>
          <t>10/01/2019</t>
        </is>
      </c>
      <c r="B3594" s="28" t="n">
        <v>65.18000000000001</v>
      </c>
    </row>
    <row r="3595">
      <c r="A3595" s="66" t="inlineStr">
        <is>
          <t>11/01/2019</t>
        </is>
      </c>
      <c r="B3595" s="28" t="n">
        <v>64.98</v>
      </c>
    </row>
    <row r="3596">
      <c r="A3596" s="66" t="inlineStr">
        <is>
          <t>14/01/2019</t>
        </is>
      </c>
      <c r="B3596" s="28" t="n">
        <v>64.84</v>
      </c>
    </row>
    <row r="3597">
      <c r="A3597" s="66" t="inlineStr">
        <is>
          <t>15/01/2019</t>
        </is>
      </c>
      <c r="B3597" s="28" t="n">
        <v>64.09999999999999</v>
      </c>
    </row>
    <row r="3598">
      <c r="A3598" s="66" t="inlineStr">
        <is>
          <t>16/01/2019</t>
        </is>
      </c>
      <c r="B3598" s="28" t="n">
        <v>64.05</v>
      </c>
    </row>
    <row r="3599">
      <c r="A3599" s="66" t="inlineStr">
        <is>
          <t>17/01/2019</t>
        </is>
      </c>
      <c r="B3599" s="28" t="n">
        <v>63.42</v>
      </c>
    </row>
    <row r="3600">
      <c r="A3600" s="66" t="inlineStr">
        <is>
          <t>18/01/2019</t>
        </is>
      </c>
      <c r="B3600" s="28" t="n">
        <v>64.19</v>
      </c>
    </row>
    <row r="3601">
      <c r="A3601" s="66" t="inlineStr">
        <is>
          <t>21/01/2019</t>
        </is>
      </c>
      <c r="B3601" s="28" t="n">
        <v>65.16</v>
      </c>
    </row>
    <row r="3602">
      <c r="A3602" s="66" t="inlineStr">
        <is>
          <t>22/01/2019</t>
        </is>
      </c>
      <c r="B3602" s="28" t="n">
        <v>64.93000000000001</v>
      </c>
    </row>
    <row r="3603">
      <c r="A3603" s="66" t="inlineStr">
        <is>
          <t>23/01/2019</t>
        </is>
      </c>
      <c r="B3603" s="28" t="n">
        <v>64.62</v>
      </c>
    </row>
    <row r="3604">
      <c r="A3604" s="66" t="inlineStr">
        <is>
          <t>24/01/2019</t>
        </is>
      </c>
      <c r="B3604" s="28" t="n">
        <v>65.11</v>
      </c>
    </row>
    <row r="3605">
      <c r="A3605" s="66" t="inlineStr">
        <is>
          <t>25/01/2019</t>
        </is>
      </c>
      <c r="B3605" s="28" t="n">
        <v>65.14</v>
      </c>
    </row>
    <row r="3606">
      <c r="A3606" s="66" t="inlineStr">
        <is>
          <t>28/01/2019</t>
        </is>
      </c>
      <c r="B3606" s="28" t="n">
        <v>66.42</v>
      </c>
    </row>
    <row r="3607">
      <c r="A3607" s="66" t="inlineStr">
        <is>
          <t>29/01/2019</t>
        </is>
      </c>
      <c r="B3607" s="28" t="n">
        <v>66.43000000000001</v>
      </c>
    </row>
    <row r="3608">
      <c r="A3608" s="66" t="inlineStr">
        <is>
          <t>30/01/2019</t>
        </is>
      </c>
      <c r="B3608" s="28" t="n">
        <v>66.25</v>
      </c>
    </row>
    <row r="3609">
      <c r="A3609" s="66" t="inlineStr">
        <is>
          <t>31/01/2019</t>
        </is>
      </c>
      <c r="B3609" s="28" t="n">
        <v>65.90000000000001</v>
      </c>
    </row>
    <row r="3610">
      <c r="A3610" s="66" t="inlineStr">
        <is>
          <t>01/02/2019</t>
        </is>
      </c>
      <c r="B3610" s="28" t="n">
        <v>65.79000000000001</v>
      </c>
    </row>
    <row r="3611">
      <c r="A3611" s="66" t="inlineStr">
        <is>
          <t>04/02/2019</t>
        </is>
      </c>
      <c r="B3611" s="28" t="n">
        <v>65.89</v>
      </c>
    </row>
    <row r="3612">
      <c r="A3612" s="66" t="inlineStr">
        <is>
          <t>05/02/2019</t>
        </is>
      </c>
      <c r="B3612" s="28" t="n">
        <v>65.69</v>
      </c>
    </row>
    <row r="3613">
      <c r="A3613" s="66" t="inlineStr">
        <is>
          <t>06/02/2019</t>
        </is>
      </c>
      <c r="B3613" s="28" t="n">
        <v>66.31999999999999</v>
      </c>
    </row>
    <row r="3614">
      <c r="A3614" s="66" t="inlineStr">
        <is>
          <t>07/02/2019</t>
        </is>
      </c>
      <c r="B3614" s="28" t="n">
        <v>65.7</v>
      </c>
    </row>
    <row r="3615">
      <c r="A3615" s="66" t="inlineStr">
        <is>
          <t>08/02/2019</t>
        </is>
      </c>
      <c r="B3615" s="28" t="n">
        <v>66.42</v>
      </c>
    </row>
    <row r="3616">
      <c r="A3616" s="66" t="inlineStr">
        <is>
          <t>11/02/2019</t>
        </is>
      </c>
      <c r="B3616" s="28" t="n">
        <v>66.73</v>
      </c>
    </row>
    <row r="3617">
      <c r="A3617" s="66" t="inlineStr">
        <is>
          <t>12/02/2019</t>
        </is>
      </c>
      <c r="B3617" s="28" t="n">
        <v>67.68000000000001</v>
      </c>
    </row>
    <row r="3618">
      <c r="A3618" s="66" t="inlineStr">
        <is>
          <t>13/02/2019</t>
        </is>
      </c>
      <c r="B3618" s="28" t="n">
        <v>67.83</v>
      </c>
    </row>
    <row r="3619">
      <c r="A3619" s="66" t="inlineStr">
        <is>
          <t>14/02/2019</t>
        </is>
      </c>
      <c r="B3619" s="28" t="n">
        <v>67.8</v>
      </c>
    </row>
    <row r="3620">
      <c r="A3620" s="66" t="inlineStr">
        <is>
          <t>15/02/2019</t>
        </is>
      </c>
      <c r="B3620" s="28" t="n">
        <v>68.26000000000001</v>
      </c>
    </row>
    <row r="3621">
      <c r="A3621" s="66" t="inlineStr">
        <is>
          <t>18/02/2019</t>
        </is>
      </c>
      <c r="B3621" s="28" t="n">
        <v>68.18000000000001</v>
      </c>
    </row>
    <row r="3622">
      <c r="A3622" s="66" t="inlineStr">
        <is>
          <t>19/02/2019</t>
        </is>
      </c>
      <c r="B3622" s="28" t="n">
        <v>69.16</v>
      </c>
    </row>
    <row r="3623">
      <c r="A3623" s="66" t="inlineStr">
        <is>
          <t>20/02/2019</t>
        </is>
      </c>
      <c r="B3623" s="28" t="n">
        <v>68.81</v>
      </c>
    </row>
    <row r="3624">
      <c r="A3624" s="66" t="inlineStr">
        <is>
          <t>21/02/2019</t>
        </is>
      </c>
      <c r="B3624" s="28" t="n">
        <v>68.98</v>
      </c>
    </row>
    <row r="3625">
      <c r="A3625" s="66" t="inlineStr">
        <is>
          <t>22/02/2019</t>
        </is>
      </c>
      <c r="B3625" s="28" t="n">
        <v>69.18000000000001</v>
      </c>
    </row>
    <row r="3626">
      <c r="A3626" s="66" t="inlineStr">
        <is>
          <t>25/02/2019</t>
        </is>
      </c>
      <c r="B3626" s="28" t="n">
        <v>70.31</v>
      </c>
    </row>
    <row r="3627">
      <c r="A3627" s="66" t="inlineStr">
        <is>
          <t>26/02/2019</t>
        </is>
      </c>
      <c r="B3627" s="28" t="n">
        <v>69.86</v>
      </c>
    </row>
    <row r="3628">
      <c r="A3628" s="66" t="inlineStr">
        <is>
          <t>27/02/2019</t>
        </is>
      </c>
      <c r="B3628" s="28" t="n">
        <v>69.51000000000001</v>
      </c>
    </row>
    <row r="3629">
      <c r="A3629" s="66" t="inlineStr">
        <is>
          <t>28/02/2019</t>
        </is>
      </c>
      <c r="B3629" s="28" t="n">
        <v>70.31</v>
      </c>
    </row>
    <row r="3630">
      <c r="A3630" s="66" t="inlineStr">
        <is>
          <t>01/03/2019</t>
        </is>
      </c>
      <c r="B3630" s="28" t="n">
        <v>68.23</v>
      </c>
    </row>
    <row r="3631">
      <c r="A3631" s="66" t="inlineStr">
        <is>
          <t>06/03/2019</t>
        </is>
      </c>
      <c r="B3631" s="28" t="n">
        <v>68.63</v>
      </c>
    </row>
    <row r="3632">
      <c r="A3632" s="66" t="inlineStr">
        <is>
          <t>07/03/2019</t>
        </is>
      </c>
      <c r="B3632" s="28" t="n">
        <v>69.06999999999999</v>
      </c>
    </row>
    <row r="3633">
      <c r="A3633" s="66" t="inlineStr">
        <is>
          <t>08/03/2019</t>
        </is>
      </c>
      <c r="B3633" s="28" t="n">
        <v>69.09999999999999</v>
      </c>
    </row>
    <row r="3634">
      <c r="A3634" s="66" t="inlineStr">
        <is>
          <t>11/03/2019</t>
        </is>
      </c>
      <c r="B3634" s="28" t="n">
        <v>68.92</v>
      </c>
    </row>
    <row r="3635">
      <c r="A3635" s="66" t="inlineStr">
        <is>
          <t>12/03/2019</t>
        </is>
      </c>
      <c r="B3635" s="28" t="n">
        <v>67.48999999999999</v>
      </c>
    </row>
    <row r="3636">
      <c r="A3636" s="66" t="inlineStr">
        <is>
          <t>13/03/2019</t>
        </is>
      </c>
      <c r="B3636" s="28" t="n">
        <v>66.17</v>
      </c>
    </row>
    <row r="3637">
      <c r="A3637" s="66" t="inlineStr">
        <is>
          <t>14/03/2019</t>
        </is>
      </c>
      <c r="B3637" s="28" t="n">
        <v>65.67</v>
      </c>
    </row>
    <row r="3638">
      <c r="A3638" s="66" t="inlineStr">
        <is>
          <t>15/03/2019</t>
        </is>
      </c>
      <c r="B3638" s="28" t="n">
        <v>64.97</v>
      </c>
    </row>
    <row r="3639">
      <c r="A3639" s="66" t="inlineStr">
        <is>
          <t>18/03/2019</t>
        </is>
      </c>
      <c r="B3639" s="28" t="n">
        <v>64.89</v>
      </c>
    </row>
    <row r="3640">
      <c r="A3640" s="66" t="inlineStr">
        <is>
          <t>19/03/2019</t>
        </is>
      </c>
      <c r="B3640" s="28" t="n">
        <v>63.61</v>
      </c>
    </row>
    <row r="3641">
      <c r="A3641" s="66" t="inlineStr">
        <is>
          <t>20/03/2019</t>
        </is>
      </c>
      <c r="B3641" s="28" t="n">
        <v>62.57</v>
      </c>
    </row>
    <row r="3642">
      <c r="A3642" s="66" t="inlineStr">
        <is>
          <t>21/03/2019</t>
        </is>
      </c>
      <c r="B3642" s="28" t="n">
        <v>62.49</v>
      </c>
    </row>
    <row r="3643">
      <c r="A3643" s="66" t="inlineStr">
        <is>
          <t>22/03/2019</t>
        </is>
      </c>
      <c r="B3643" s="28" t="n">
        <v>63</v>
      </c>
    </row>
    <row r="3644">
      <c r="A3644" s="66" t="inlineStr">
        <is>
          <t>25/03/2019</t>
        </is>
      </c>
      <c r="B3644" s="28" t="n">
        <v>63.71</v>
      </c>
    </row>
    <row r="3645">
      <c r="A3645" s="66" t="inlineStr">
        <is>
          <t>26/03/2019</t>
        </is>
      </c>
      <c r="B3645" s="28" t="n">
        <v>63.15</v>
      </c>
    </row>
    <row r="3646">
      <c r="A3646" s="66" t="inlineStr">
        <is>
          <t>27/03/2019</t>
        </is>
      </c>
      <c r="B3646" s="28" t="n">
        <v>63.02</v>
      </c>
    </row>
    <row r="3647">
      <c r="A3647" s="66" t="inlineStr">
        <is>
          <t>28/03/2019</t>
        </is>
      </c>
      <c r="B3647" s="28" t="n">
        <v>63.33</v>
      </c>
    </row>
    <row r="3648">
      <c r="A3648" s="66" t="inlineStr">
        <is>
          <t>29/03/2019</t>
        </is>
      </c>
      <c r="B3648" s="28" t="n">
        <v>63.03</v>
      </c>
    </row>
    <row r="3649">
      <c r="A3649" s="66" t="inlineStr">
        <is>
          <t>01/04/2019</t>
        </is>
      </c>
      <c r="B3649" s="28" t="n">
        <v>61.42</v>
      </c>
    </row>
    <row r="3650">
      <c r="A3650" s="66" t="inlineStr">
        <is>
          <t>02/04/2019</t>
        </is>
      </c>
      <c r="B3650" s="28" t="n">
        <v>62.17</v>
      </c>
    </row>
    <row r="3651">
      <c r="A3651" s="66" t="inlineStr">
        <is>
          <t>03/04/2019</t>
        </is>
      </c>
      <c r="B3651" s="28" t="n">
        <v>62.74</v>
      </c>
    </row>
    <row r="3652">
      <c r="A3652" s="66" t="inlineStr">
        <is>
          <t>04/04/2019</t>
        </is>
      </c>
      <c r="B3652" s="28" t="n">
        <v>62.28</v>
      </c>
    </row>
    <row r="3653">
      <c r="A3653" s="66" t="inlineStr">
        <is>
          <t>05/04/2019</t>
        </is>
      </c>
      <c r="B3653" s="28" t="n">
        <v>61.89</v>
      </c>
    </row>
    <row r="3654">
      <c r="A3654" s="66" t="inlineStr">
        <is>
          <t>08/04/2019</t>
        </is>
      </c>
      <c r="B3654" s="28" t="n">
        <v>60.77</v>
      </c>
    </row>
    <row r="3655">
      <c r="A3655" s="66" t="inlineStr">
        <is>
          <t>09/04/2019</t>
        </is>
      </c>
      <c r="B3655" s="28" t="n">
        <v>60.3</v>
      </c>
    </row>
    <row r="3656">
      <c r="A3656" s="66" t="inlineStr">
        <is>
          <t>10/04/2019</t>
        </is>
      </c>
      <c r="B3656" s="28" t="n">
        <v>60.15</v>
      </c>
    </row>
    <row r="3657">
      <c r="A3657" s="66" t="inlineStr">
        <is>
          <t>11/04/2019</t>
        </is>
      </c>
      <c r="B3657" s="28" t="n">
        <v>60.43</v>
      </c>
    </row>
    <row r="3658">
      <c r="A3658" s="66" t="inlineStr">
        <is>
          <t>12/04/2019</t>
        </is>
      </c>
      <c r="B3658" s="28" t="n">
        <v>59.63</v>
      </c>
    </row>
    <row r="3659">
      <c r="A3659" s="66" t="inlineStr">
        <is>
          <t>15/04/2019</t>
        </is>
      </c>
      <c r="B3659" s="28" t="n">
        <v>59.66</v>
      </c>
    </row>
    <row r="3660">
      <c r="A3660" s="66" t="inlineStr">
        <is>
          <t>16/04/2019</t>
        </is>
      </c>
      <c r="B3660" s="28" t="n">
        <v>59.73</v>
      </c>
    </row>
    <row r="3661">
      <c r="A3661" s="66" t="inlineStr">
        <is>
          <t>17/04/2019</t>
        </is>
      </c>
      <c r="B3661" s="28" t="n">
        <v>58.82</v>
      </c>
    </row>
    <row r="3662">
      <c r="A3662" s="66" t="inlineStr">
        <is>
          <t>18/04/2019</t>
        </is>
      </c>
      <c r="B3662" s="28" t="n">
        <v>58.25</v>
      </c>
    </row>
    <row r="3663">
      <c r="A3663" s="66" t="inlineStr">
        <is>
          <t>22/04/2019</t>
        </is>
      </c>
      <c r="B3663" s="28" t="n">
        <v>58.38</v>
      </c>
    </row>
    <row r="3664">
      <c r="A3664" s="66" t="inlineStr">
        <is>
          <t>23/04/2019</t>
        </is>
      </c>
      <c r="B3664" s="28" t="n">
        <v>57.99</v>
      </c>
    </row>
    <row r="3665">
      <c r="A3665" s="66" t="inlineStr">
        <is>
          <t>24/04/2019</t>
        </is>
      </c>
      <c r="B3665" s="28" t="n">
        <v>56.77</v>
      </c>
    </row>
    <row r="3666">
      <c r="A3666" s="66" t="inlineStr">
        <is>
          <t>25/04/2019</t>
        </is>
      </c>
      <c r="B3666" s="28" t="n">
        <v>56.43</v>
      </c>
    </row>
    <row r="3667">
      <c r="A3667" s="66" t="inlineStr">
        <is>
          <t>26/04/2019</t>
        </is>
      </c>
      <c r="B3667" s="28" t="n">
        <v>55.73</v>
      </c>
    </row>
    <row r="3668">
      <c r="A3668" s="66" t="inlineStr">
        <is>
          <t>29/04/2019</t>
        </is>
      </c>
      <c r="B3668" s="28" t="n">
        <v>54.93</v>
      </c>
    </row>
    <row r="3669">
      <c r="A3669" s="66" t="inlineStr">
        <is>
          <t>30/04/2019</t>
        </is>
      </c>
      <c r="B3669" s="28" t="n">
        <v>54.66</v>
      </c>
    </row>
    <row r="3670">
      <c r="A3670" s="66" t="inlineStr">
        <is>
          <t>02/05/2019</t>
        </is>
      </c>
      <c r="B3670" s="28" t="n">
        <v>54.66</v>
      </c>
    </row>
    <row r="3671">
      <c r="A3671" s="66" t="inlineStr">
        <is>
          <t>03/05/2019</t>
        </is>
      </c>
      <c r="B3671" s="28" t="n">
        <v>53.73</v>
      </c>
    </row>
    <row r="3672">
      <c r="A3672" s="66" t="inlineStr">
        <is>
          <t>06/05/2019</t>
        </is>
      </c>
      <c r="B3672" s="28" t="n">
        <v>53.2</v>
      </c>
    </row>
    <row r="3673">
      <c r="A3673" s="66" t="inlineStr">
        <is>
          <t>07/05/2019</t>
        </is>
      </c>
      <c r="B3673" s="28" t="n">
        <v>53.1</v>
      </c>
    </row>
    <row r="3674">
      <c r="A3674" s="66" t="inlineStr">
        <is>
          <t>08/05/2019</t>
        </is>
      </c>
      <c r="B3674" s="28" t="n">
        <v>53.23</v>
      </c>
    </row>
    <row r="3675">
      <c r="A3675" s="66" t="inlineStr">
        <is>
          <t>09/05/2019</t>
        </is>
      </c>
      <c r="B3675" s="28" t="n">
        <v>53.43</v>
      </c>
    </row>
    <row r="3676">
      <c r="A3676" s="66" t="inlineStr">
        <is>
          <t>10/05/2019</t>
        </is>
      </c>
      <c r="B3676" s="28" t="n">
        <v>53.28</v>
      </c>
    </row>
    <row r="3677">
      <c r="A3677" s="66" t="inlineStr">
        <is>
          <t>13/05/2019</t>
        </is>
      </c>
      <c r="B3677" s="28" t="n">
        <v>53.67</v>
      </c>
    </row>
    <row r="3678">
      <c r="A3678" s="66" t="inlineStr">
        <is>
          <t>14/05/2019</t>
        </is>
      </c>
      <c r="B3678" s="28" t="n">
        <v>53.89</v>
      </c>
    </row>
    <row r="3679">
      <c r="A3679" s="66" t="inlineStr">
        <is>
          <t>15/05/2019</t>
        </is>
      </c>
      <c r="B3679" s="28" t="n">
        <v>54.43</v>
      </c>
    </row>
    <row r="3680">
      <c r="A3680" s="66" t="inlineStr">
        <is>
          <t>16/05/2019</t>
        </is>
      </c>
      <c r="B3680" s="28" t="n">
        <v>55.42</v>
      </c>
    </row>
    <row r="3681">
      <c r="A3681" s="66" t="inlineStr">
        <is>
          <t>17/05/2019</t>
        </is>
      </c>
      <c r="B3681" s="28" t="n">
        <v>56.13</v>
      </c>
    </row>
    <row r="3682">
      <c r="A3682" s="66" t="inlineStr">
        <is>
          <t>20/05/2019</t>
        </is>
      </c>
      <c r="B3682" s="28" t="n">
        <v>57.07</v>
      </c>
    </row>
    <row r="3683">
      <c r="A3683" s="66" t="inlineStr">
        <is>
          <t>21/05/2019</t>
        </is>
      </c>
      <c r="B3683" s="28" t="n">
        <v>57.62</v>
      </c>
    </row>
    <row r="3684">
      <c r="A3684" s="66" t="inlineStr">
        <is>
          <t>22/05/2019</t>
        </is>
      </c>
      <c r="B3684" s="28" t="n">
        <v>57.75</v>
      </c>
    </row>
    <row r="3685">
      <c r="A3685" s="66" t="inlineStr">
        <is>
          <t>23/05/2019</t>
        </is>
      </c>
      <c r="B3685" s="28" t="n">
        <v>57.7</v>
      </c>
    </row>
    <row r="3686">
      <c r="A3686" s="66" t="inlineStr">
        <is>
          <t>24/05/2019</t>
        </is>
      </c>
      <c r="B3686" s="28" t="n">
        <v>57.78</v>
      </c>
    </row>
    <row r="3687">
      <c r="A3687" s="66" t="inlineStr">
        <is>
          <t>27/05/2019</t>
        </is>
      </c>
      <c r="B3687" s="28" t="n">
        <v>57.96</v>
      </c>
    </row>
    <row r="3688">
      <c r="A3688" s="66" t="inlineStr">
        <is>
          <t>28/05/2019</t>
        </is>
      </c>
      <c r="B3688" s="28" t="n">
        <v>60.4</v>
      </c>
    </row>
    <row r="3689">
      <c r="A3689" s="66" t="inlineStr">
        <is>
          <t>29/05/2019</t>
        </is>
      </c>
      <c r="B3689" s="28" t="n">
        <v>61.16</v>
      </c>
    </row>
    <row r="3690">
      <c r="A3690" s="66" t="inlineStr">
        <is>
          <t>30/05/2019</t>
        </is>
      </c>
      <c r="B3690" s="28" t="n">
        <v>62.08</v>
      </c>
    </row>
    <row r="3691">
      <c r="A3691" s="66" t="inlineStr">
        <is>
          <t>31/05/2019</t>
        </is>
      </c>
      <c r="B3691" s="28" t="n">
        <v>62.39</v>
      </c>
    </row>
    <row r="3692">
      <c r="A3692" s="66" t="inlineStr">
        <is>
          <t>03/06/2019</t>
        </is>
      </c>
      <c r="B3692" s="28" t="n">
        <v>60.63</v>
      </c>
    </row>
    <row r="3693">
      <c r="A3693" s="66" t="inlineStr">
        <is>
          <t>04/06/2019</t>
        </is>
      </c>
      <c r="B3693" s="28" t="n">
        <v>61.16</v>
      </c>
    </row>
    <row r="3694">
      <c r="A3694" s="66" t="inlineStr">
        <is>
          <t>05/06/2019</t>
        </is>
      </c>
      <c r="B3694" s="28" t="n">
        <v>60.66</v>
      </c>
    </row>
    <row r="3695">
      <c r="A3695" s="66" t="inlineStr">
        <is>
          <t>06/06/2019</t>
        </is>
      </c>
      <c r="B3695" s="28" t="n">
        <v>60</v>
      </c>
    </row>
    <row r="3696">
      <c r="A3696" s="66" t="inlineStr">
        <is>
          <t>07/06/2019</t>
        </is>
      </c>
      <c r="B3696" s="28" t="n">
        <v>59.7</v>
      </c>
    </row>
    <row r="3697">
      <c r="A3697" s="66" t="inlineStr">
        <is>
          <t>10/06/2019</t>
        </is>
      </c>
      <c r="B3697" s="28" t="n">
        <v>58.92</v>
      </c>
    </row>
    <row r="3698">
      <c r="A3698" s="66" t="inlineStr">
        <is>
          <t>11/06/2019</t>
        </is>
      </c>
      <c r="B3698" s="28" t="n">
        <v>58.09</v>
      </c>
    </row>
    <row r="3699">
      <c r="A3699" s="66" t="inlineStr">
        <is>
          <t>12/06/2019</t>
        </is>
      </c>
      <c r="B3699" s="28" t="n">
        <v>59.53</v>
      </c>
    </row>
    <row r="3700">
      <c r="A3700" s="66" t="inlineStr">
        <is>
          <t>13/06/2019</t>
        </is>
      </c>
      <c r="B3700" s="28" t="n">
        <v>59.86</v>
      </c>
    </row>
    <row r="3701">
      <c r="A3701" s="66" t="inlineStr">
        <is>
          <t>14/06/2019</t>
        </is>
      </c>
      <c r="B3701" s="28" t="n">
        <v>61.48</v>
      </c>
    </row>
    <row r="3702">
      <c r="A3702" s="66" t="inlineStr">
        <is>
          <t>17/06/2019</t>
        </is>
      </c>
      <c r="B3702" s="28" t="n">
        <v>61.93</v>
      </c>
    </row>
    <row r="3703">
      <c r="A3703" s="66" t="inlineStr">
        <is>
          <t>18/06/2019</t>
        </is>
      </c>
      <c r="B3703" s="28" t="n">
        <v>62.73</v>
      </c>
    </row>
    <row r="3704">
      <c r="A3704" s="66" t="inlineStr">
        <is>
          <t>19/06/2019</t>
        </is>
      </c>
      <c r="B3704" s="28" t="n">
        <v>62.13</v>
      </c>
    </row>
    <row r="3705">
      <c r="A3705" s="66" t="inlineStr">
        <is>
          <t>21/06/2019</t>
        </is>
      </c>
      <c r="B3705" s="28" t="n">
        <v>61.93</v>
      </c>
    </row>
    <row r="3706">
      <c r="A3706" s="66" t="inlineStr">
        <is>
          <t>24/06/2019</t>
        </is>
      </c>
      <c r="B3706" s="28" t="n">
        <v>61.88</v>
      </c>
    </row>
    <row r="3707">
      <c r="A3707" s="66" t="inlineStr">
        <is>
          <t>25/06/2019</t>
        </is>
      </c>
      <c r="B3707" s="28" t="n">
        <v>62.39</v>
      </c>
    </row>
    <row r="3708">
      <c r="A3708" s="66" t="inlineStr">
        <is>
          <t>26/06/2019</t>
        </is>
      </c>
      <c r="B3708" s="28" t="n">
        <v>62.44</v>
      </c>
    </row>
    <row r="3709">
      <c r="A3709" s="66" t="inlineStr">
        <is>
          <t>27/06/2019</t>
        </is>
      </c>
      <c r="B3709" s="28" t="n">
        <v>62.22</v>
      </c>
    </row>
    <row r="3710">
      <c r="A3710" s="66" t="inlineStr">
        <is>
          <t>28/06/2019</t>
        </is>
      </c>
      <c r="B3710" s="28" t="n">
        <v>62.36</v>
      </c>
    </row>
    <row r="3711">
      <c r="A3711" s="66" t="inlineStr">
        <is>
          <t>01/07/2019</t>
        </is>
      </c>
      <c r="B3711" s="28" t="n">
        <v>61.2</v>
      </c>
    </row>
    <row r="3712">
      <c r="A3712" s="66" t="inlineStr">
        <is>
          <t>02/07/2019</t>
        </is>
      </c>
      <c r="B3712" s="28" t="n">
        <v>60.67</v>
      </c>
    </row>
    <row r="3713">
      <c r="A3713" s="66" t="inlineStr">
        <is>
          <t>03/07/2019</t>
        </is>
      </c>
      <c r="B3713" s="28" t="n">
        <v>60.35</v>
      </c>
    </row>
    <row r="3714">
      <c r="A3714" s="66" t="inlineStr">
        <is>
          <t>04/07/2019</t>
        </is>
      </c>
      <c r="B3714" s="28" t="n">
        <v>60.48</v>
      </c>
    </row>
    <row r="3715">
      <c r="A3715" s="66" t="inlineStr">
        <is>
          <t>05/07/2019</t>
        </is>
      </c>
      <c r="B3715" s="28" t="n">
        <v>59.62</v>
      </c>
    </row>
    <row r="3716">
      <c r="A3716" s="66" t="inlineStr">
        <is>
          <t>08/07/2019</t>
        </is>
      </c>
      <c r="B3716" s="28" t="n">
        <v>59.84</v>
      </c>
    </row>
    <row r="3717">
      <c r="A3717" s="66" t="inlineStr">
        <is>
          <t>09/07/2019</t>
        </is>
      </c>
      <c r="B3717" s="28" t="n">
        <v>60.18</v>
      </c>
    </row>
    <row r="3718">
      <c r="A3718" s="66" t="inlineStr">
        <is>
          <t>10/07/2019</t>
        </is>
      </c>
      <c r="B3718" s="28" t="n">
        <v>59.81</v>
      </c>
    </row>
    <row r="3719">
      <c r="A3719" s="66" t="inlineStr">
        <is>
          <t>11/07/2019</t>
        </is>
      </c>
      <c r="B3719" s="28" t="n">
        <v>59.06</v>
      </c>
    </row>
    <row r="3720">
      <c r="A3720" s="66" t="inlineStr">
        <is>
          <t>12/07/2019</t>
        </is>
      </c>
      <c r="B3720" s="28" t="n">
        <v>59.49</v>
      </c>
    </row>
    <row r="3721">
      <c r="A3721" s="66" t="inlineStr">
        <is>
          <t>15/07/2019</t>
        </is>
      </c>
      <c r="B3721" s="28" t="n">
        <v>59.47</v>
      </c>
    </row>
    <row r="3722">
      <c r="A3722" s="66" t="inlineStr">
        <is>
          <t>16/07/2019</t>
        </is>
      </c>
      <c r="B3722" s="28" t="n">
        <v>60.1</v>
      </c>
    </row>
    <row r="3723">
      <c r="A3723" s="66" t="inlineStr">
        <is>
          <t>17/07/2019</t>
        </is>
      </c>
      <c r="B3723" s="28" t="n">
        <v>59.67</v>
      </c>
    </row>
    <row r="3724">
      <c r="A3724" s="66" t="inlineStr">
        <is>
          <t>18/07/2019</t>
        </is>
      </c>
      <c r="B3724" s="28" t="n">
        <v>59.12</v>
      </c>
    </row>
    <row r="3725">
      <c r="A3725" s="66" t="inlineStr">
        <is>
          <t>19/07/2019</t>
        </is>
      </c>
      <c r="B3725" s="28" t="n">
        <v>58.96</v>
      </c>
    </row>
    <row r="3726">
      <c r="A3726" s="66" t="inlineStr">
        <is>
          <t>22/07/2019</t>
        </is>
      </c>
      <c r="B3726" s="28" t="n">
        <v>58.74</v>
      </c>
    </row>
    <row r="3727">
      <c r="A3727" s="66" t="inlineStr">
        <is>
          <t>23/07/2019</t>
        </is>
      </c>
      <c r="B3727" s="28" t="n">
        <v>58.31</v>
      </c>
    </row>
    <row r="3728">
      <c r="A3728" s="66" t="inlineStr">
        <is>
          <t>24/07/2019</t>
        </is>
      </c>
      <c r="B3728" s="28" t="n">
        <v>58.56</v>
      </c>
    </row>
    <row r="3729">
      <c r="A3729" s="66" t="inlineStr">
        <is>
          <t>25/07/2019</t>
        </is>
      </c>
      <c r="B3729" s="28" t="n">
        <v>58.16</v>
      </c>
    </row>
    <row r="3730">
      <c r="A3730" s="66" t="inlineStr">
        <is>
          <t>26/07/2019</t>
        </is>
      </c>
      <c r="B3730" s="28" t="n">
        <v>58.13</v>
      </c>
    </row>
    <row r="3731">
      <c r="A3731" s="66" t="inlineStr">
        <is>
          <t>29/07/2019</t>
        </is>
      </c>
      <c r="B3731" s="28" t="n">
        <v>58.37</v>
      </c>
    </row>
    <row r="3732">
      <c r="A3732" s="66" t="inlineStr">
        <is>
          <t>30/07/2019</t>
        </is>
      </c>
      <c r="B3732" s="28" t="n">
        <v>58.07</v>
      </c>
    </row>
    <row r="3733">
      <c r="A3733" s="66" t="inlineStr">
        <is>
          <t>31/07/2019</t>
        </is>
      </c>
      <c r="B3733" s="28" t="n">
        <v>57.7</v>
      </c>
    </row>
    <row r="3734">
      <c r="A3734" s="66" t="inlineStr">
        <is>
          <t>01/08/2019</t>
        </is>
      </c>
      <c r="B3734" s="28" t="n">
        <v>57.86</v>
      </c>
    </row>
    <row r="3735">
      <c r="A3735" s="66" t="inlineStr">
        <is>
          <t>02/08/2019</t>
        </is>
      </c>
      <c r="B3735" s="28" t="n">
        <v>57.7</v>
      </c>
    </row>
    <row r="3736">
      <c r="A3736" s="66" t="inlineStr">
        <is>
          <t>05/08/2019</t>
        </is>
      </c>
      <c r="B3736" s="28" t="n">
        <v>57.7</v>
      </c>
    </row>
    <row r="3737">
      <c r="A3737" s="66" t="inlineStr">
        <is>
          <t>06/08/2019</t>
        </is>
      </c>
      <c r="B3737" s="28" t="n">
        <v>58.25</v>
      </c>
    </row>
    <row r="3738">
      <c r="A3738" s="66" t="inlineStr">
        <is>
          <t>07/08/2019</t>
        </is>
      </c>
      <c r="B3738" s="28" t="n">
        <v>58.38</v>
      </c>
    </row>
    <row r="3739">
      <c r="A3739" s="66" t="inlineStr">
        <is>
          <t>08/08/2019</t>
        </is>
      </c>
      <c r="B3739" s="28" t="n">
        <v>58.81</v>
      </c>
    </row>
    <row r="3740">
      <c r="A3740" s="66" t="inlineStr">
        <is>
          <t>09/08/2019</t>
        </is>
      </c>
      <c r="B3740" s="28" t="n">
        <v>58.92</v>
      </c>
    </row>
    <row r="3741">
      <c r="A3741" s="66" t="inlineStr">
        <is>
          <t>12/08/2019</t>
        </is>
      </c>
      <c r="B3741" s="28" t="n">
        <v>58.84</v>
      </c>
    </row>
    <row r="3742">
      <c r="A3742" s="66" t="inlineStr">
        <is>
          <t>13/08/2019</t>
        </is>
      </c>
      <c r="B3742" s="28" t="n">
        <v>58.75</v>
      </c>
    </row>
    <row r="3743">
      <c r="A3743" s="66" t="inlineStr">
        <is>
          <t>14/08/2019</t>
        </is>
      </c>
      <c r="B3743" s="28" t="n">
        <v>57.86</v>
      </c>
    </row>
    <row r="3744">
      <c r="A3744" s="66" t="inlineStr">
        <is>
          <t>15/08/2019</t>
        </is>
      </c>
      <c r="B3744" s="28" t="n">
        <v>58.3</v>
      </c>
    </row>
    <row r="3745">
      <c r="A3745" s="66" t="inlineStr">
        <is>
          <t>16/08/2019</t>
        </is>
      </c>
      <c r="B3745" s="28" t="n">
        <v>58.17</v>
      </c>
    </row>
    <row r="3746">
      <c r="A3746" s="66" t="inlineStr">
        <is>
          <t>19/08/2019</t>
        </is>
      </c>
      <c r="B3746" s="28" t="n">
        <v>58.39</v>
      </c>
    </row>
    <row r="3747">
      <c r="A3747" s="66" t="inlineStr">
        <is>
          <t>20/08/2019</t>
        </is>
      </c>
      <c r="B3747" s="28" t="n">
        <v>58.59</v>
      </c>
    </row>
    <row r="3748">
      <c r="A3748" s="66" t="inlineStr">
        <is>
          <t>21/08/2019</t>
        </is>
      </c>
      <c r="B3748" s="28" t="n">
        <v>58.76</v>
      </c>
    </row>
    <row r="3749">
      <c r="A3749" s="66" t="inlineStr">
        <is>
          <t>22/08/2019</t>
        </is>
      </c>
      <c r="B3749" s="28" t="n">
        <v>58.81</v>
      </c>
    </row>
    <row r="3750">
      <c r="A3750" s="66" t="inlineStr">
        <is>
          <t>23/08/2019</t>
        </is>
      </c>
      <c r="B3750" s="28" t="n">
        <v>58.91</v>
      </c>
    </row>
    <row r="3751">
      <c r="A3751" s="66" t="inlineStr">
        <is>
          <t>26/08/2019</t>
        </is>
      </c>
      <c r="B3751" s="28" t="n">
        <v>59.18</v>
      </c>
    </row>
    <row r="3752">
      <c r="A3752" s="66" t="inlineStr">
        <is>
          <t>27/08/2019</t>
        </is>
      </c>
      <c r="B3752" s="28" t="n">
        <v>58.94</v>
      </c>
    </row>
    <row r="3753">
      <c r="A3753" s="66" t="inlineStr">
        <is>
          <t>28/08/2019</t>
        </is>
      </c>
      <c r="B3753" s="28" t="n">
        <v>59.28</v>
      </c>
    </row>
    <row r="3754">
      <c r="A3754" s="66" t="inlineStr">
        <is>
          <t>29/08/2019</t>
        </is>
      </c>
      <c r="B3754" s="28" t="n">
        <v>59.84</v>
      </c>
    </row>
    <row r="3755">
      <c r="A3755" s="66" t="inlineStr">
        <is>
          <t>30/08/2019</t>
        </is>
      </c>
      <c r="B3755" s="28" t="n">
        <v>59.1</v>
      </c>
    </row>
    <row r="3756">
      <c r="A3756" s="66" t="inlineStr">
        <is>
          <t>02/09/2019</t>
        </is>
      </c>
      <c r="B3756" s="28" t="n">
        <v>59.93</v>
      </c>
    </row>
    <row r="3757">
      <c r="A3757" s="66" t="inlineStr">
        <is>
          <t>03/09/2019</t>
        </is>
      </c>
      <c r="B3757" s="28" t="n">
        <v>59.48</v>
      </c>
    </row>
    <row r="3758">
      <c r="A3758" s="66" t="inlineStr">
        <is>
          <t>04/09/2019</t>
        </is>
      </c>
      <c r="B3758" s="28" t="n">
        <v>58.96</v>
      </c>
    </row>
    <row r="3759">
      <c r="A3759" s="66" t="inlineStr">
        <is>
          <t>05/09/2019</t>
        </is>
      </c>
      <c r="B3759" s="28" t="n">
        <v>59</v>
      </c>
    </row>
    <row r="3760">
      <c r="A3760" s="66" t="inlineStr">
        <is>
          <t>06/09/2019</t>
        </is>
      </c>
      <c r="B3760" s="28" t="n">
        <v>59.3</v>
      </c>
    </row>
    <row r="3761">
      <c r="A3761" s="66" t="inlineStr">
        <is>
          <t>09/09/2019</t>
        </is>
      </c>
      <c r="B3761" s="28" t="n">
        <v>59.12</v>
      </c>
    </row>
    <row r="3762">
      <c r="A3762" s="66" t="inlineStr">
        <is>
          <t>10/09/2019</t>
        </is>
      </c>
      <c r="B3762" s="28" t="n">
        <v>59.74</v>
      </c>
    </row>
    <row r="3763">
      <c r="A3763" s="66" t="inlineStr">
        <is>
          <t>11/09/2019</t>
        </is>
      </c>
      <c r="B3763" s="28" t="n">
        <v>59.99</v>
      </c>
    </row>
    <row r="3764">
      <c r="A3764" s="66" t="inlineStr">
        <is>
          <t>12/09/2019</t>
        </is>
      </c>
      <c r="B3764" s="28" t="n">
        <v>60.28</v>
      </c>
    </row>
    <row r="3765">
      <c r="A3765" s="66" t="inlineStr">
        <is>
          <t>13/09/2019</t>
        </is>
      </c>
      <c r="B3765" s="28" t="n">
        <v>60.49</v>
      </c>
    </row>
    <row r="3766">
      <c r="A3766" s="66" t="inlineStr">
        <is>
          <t>16/09/2019</t>
        </is>
      </c>
      <c r="B3766" s="28" t="n">
        <v>60.54</v>
      </c>
    </row>
    <row r="3767">
      <c r="A3767" s="66" t="inlineStr">
        <is>
          <t>17/09/2019</t>
        </is>
      </c>
      <c r="B3767" s="28" t="n">
        <v>60.69</v>
      </c>
    </row>
    <row r="3768">
      <c r="A3768" s="66" t="inlineStr">
        <is>
          <t>18/09/2019</t>
        </is>
      </c>
      <c r="B3768" s="28" t="n">
        <v>60.72</v>
      </c>
    </row>
    <row r="3769">
      <c r="A3769" s="66" t="inlineStr">
        <is>
          <t>19/09/2019</t>
        </is>
      </c>
      <c r="B3769" s="28" t="n">
        <v>60.99</v>
      </c>
    </row>
    <row r="3770">
      <c r="A3770" s="66" t="inlineStr">
        <is>
          <t>20/09/2019</t>
        </is>
      </c>
      <c r="B3770" s="28" t="n">
        <v>60.98</v>
      </c>
    </row>
    <row r="3771">
      <c r="A3771" s="66" t="inlineStr">
        <is>
          <t>23/09/2019</t>
        </is>
      </c>
      <c r="B3771" s="28" t="n">
        <v>61.28</v>
      </c>
    </row>
    <row r="3772">
      <c r="A3772" s="66" t="inlineStr">
        <is>
          <t>24/09/2019</t>
        </is>
      </c>
      <c r="B3772" s="28" t="n">
        <v>61.18</v>
      </c>
    </row>
    <row r="3773">
      <c r="A3773" s="66" t="inlineStr">
        <is>
          <t>25/09/2019</t>
        </is>
      </c>
      <c r="B3773" s="28" t="n">
        <v>62.44</v>
      </c>
    </row>
    <row r="3774">
      <c r="A3774" s="66" t="inlineStr">
        <is>
          <t>26/09/2019</t>
        </is>
      </c>
      <c r="B3774" s="28" t="n">
        <v>62.54</v>
      </c>
    </row>
    <row r="3775">
      <c r="A3775" s="66" t="inlineStr">
        <is>
          <t>27/09/2019</t>
        </is>
      </c>
      <c r="B3775" s="28" t="n">
        <v>62.58</v>
      </c>
    </row>
    <row r="3776">
      <c r="A3776" s="66" t="inlineStr">
        <is>
          <t>30/09/2019</t>
        </is>
      </c>
      <c r="B3776" s="28" t="n">
        <v>62.29</v>
      </c>
    </row>
    <row r="3777">
      <c r="A3777" s="66" t="inlineStr">
        <is>
          <t>01/10/2019</t>
        </is>
      </c>
      <c r="B3777" s="28" t="n">
        <v>62.48</v>
      </c>
    </row>
    <row r="3778">
      <c r="A3778" s="66" t="inlineStr">
        <is>
          <t>02/10/2019</t>
        </is>
      </c>
      <c r="B3778" s="28" t="n">
        <v>63.28</v>
      </c>
    </row>
    <row r="3779">
      <c r="A3779" s="66" t="inlineStr">
        <is>
          <t>03/10/2019</t>
        </is>
      </c>
      <c r="B3779" s="28" t="n">
        <v>63.52</v>
      </c>
    </row>
    <row r="3780">
      <c r="A3780" s="66" t="inlineStr">
        <is>
          <t>04/10/2019</t>
        </is>
      </c>
      <c r="B3780" s="28" t="n">
        <v>63.9</v>
      </c>
    </row>
    <row r="3781">
      <c r="A3781" s="66" t="inlineStr">
        <is>
          <t>07/10/2019</t>
        </is>
      </c>
      <c r="B3781" s="28" t="n">
        <v>63.7</v>
      </c>
    </row>
    <row r="3782">
      <c r="A3782" s="66" t="inlineStr">
        <is>
          <t>08/10/2019</t>
        </is>
      </c>
      <c r="B3782" s="28" t="n">
        <v>63.66</v>
      </c>
    </row>
    <row r="3783">
      <c r="A3783" s="66" t="inlineStr">
        <is>
          <t>09/10/2019</t>
        </is>
      </c>
      <c r="B3783" s="28" t="n">
        <v>64.8</v>
      </c>
    </row>
    <row r="3784">
      <c r="A3784" s="66" t="inlineStr">
        <is>
          <t>10/10/2019</t>
        </is>
      </c>
      <c r="B3784" s="28" t="n">
        <v>64.48</v>
      </c>
    </row>
    <row r="3785">
      <c r="A3785" s="66" t="inlineStr">
        <is>
          <t>11/10/2019</t>
        </is>
      </c>
      <c r="B3785" s="28" t="n">
        <v>64.61</v>
      </c>
    </row>
    <row r="3786">
      <c r="A3786" s="66" t="inlineStr">
        <is>
          <t>14/10/2019</t>
        </is>
      </c>
      <c r="B3786" s="28" t="n">
        <v>64.88</v>
      </c>
    </row>
    <row r="3787">
      <c r="A3787" s="66" t="inlineStr">
        <is>
          <t>15/10/2019</t>
        </is>
      </c>
      <c r="B3787" s="28" t="n">
        <v>66.26000000000001</v>
      </c>
    </row>
    <row r="3788">
      <c r="A3788" s="66" t="inlineStr">
        <is>
          <t>16/10/2019</t>
        </is>
      </c>
      <c r="B3788" s="28" t="n">
        <v>66.88</v>
      </c>
    </row>
    <row r="3789">
      <c r="A3789" s="66" t="inlineStr">
        <is>
          <t>17/10/2019</t>
        </is>
      </c>
      <c r="B3789" s="28" t="n">
        <v>67.39</v>
      </c>
    </row>
    <row r="3790">
      <c r="A3790" s="66" t="inlineStr">
        <is>
          <t>18/10/2019</t>
        </is>
      </c>
      <c r="B3790" s="28" t="n">
        <v>68.81</v>
      </c>
    </row>
    <row r="3791">
      <c r="A3791" s="66" t="inlineStr">
        <is>
          <t>21/10/2019</t>
        </is>
      </c>
      <c r="B3791" s="28" t="n">
        <v>69.5</v>
      </c>
    </row>
    <row r="3792">
      <c r="A3792" s="66" t="inlineStr">
        <is>
          <t>22/10/2019</t>
        </is>
      </c>
      <c r="B3792" s="28" t="n">
        <v>69.58</v>
      </c>
    </row>
    <row r="3793">
      <c r="A3793" s="66" t="inlineStr">
        <is>
          <t>23/10/2019</t>
        </is>
      </c>
      <c r="B3793" s="28" t="n">
        <v>69.68000000000001</v>
      </c>
    </row>
    <row r="3794">
      <c r="A3794" s="66" t="inlineStr">
        <is>
          <t>24/10/2019</t>
        </is>
      </c>
      <c r="B3794" s="28" t="n">
        <v>68.77</v>
      </c>
    </row>
    <row r="3795">
      <c r="A3795" s="66" t="inlineStr">
        <is>
          <t>25/10/2019</t>
        </is>
      </c>
      <c r="B3795" s="28" t="n">
        <v>68.45</v>
      </c>
    </row>
    <row r="3796">
      <c r="A3796" s="66" t="inlineStr">
        <is>
          <t>28/10/2019</t>
        </is>
      </c>
      <c r="B3796" s="28" t="n">
        <v>68.33</v>
      </c>
    </row>
    <row r="3797">
      <c r="A3797" s="66" t="inlineStr">
        <is>
          <t>29/10/2019</t>
        </is>
      </c>
      <c r="B3797" s="28" t="n">
        <v>68.03</v>
      </c>
    </row>
    <row r="3798">
      <c r="A3798" s="66" t="inlineStr">
        <is>
          <t>30/10/2019</t>
        </is>
      </c>
      <c r="B3798" s="28" t="n">
        <v>68.29000000000001</v>
      </c>
    </row>
    <row r="3799">
      <c r="A3799" s="66" t="inlineStr">
        <is>
          <t>31/10/2019</t>
        </is>
      </c>
      <c r="B3799" s="28" t="n">
        <v>67.09999999999999</v>
      </c>
    </row>
    <row r="3800">
      <c r="A3800" s="66" t="inlineStr">
        <is>
          <t>01/11/2019</t>
        </is>
      </c>
      <c r="B3800" s="28" t="n">
        <v>66.23</v>
      </c>
    </row>
    <row r="3801">
      <c r="A3801" s="66" t="inlineStr">
        <is>
          <t>04/11/2019</t>
        </is>
      </c>
      <c r="B3801" s="28" t="n">
        <v>66.48999999999999</v>
      </c>
    </row>
    <row r="3802">
      <c r="A3802" s="66" t="inlineStr">
        <is>
          <t>05/11/2019</t>
        </is>
      </c>
      <c r="B3802" s="28" t="n">
        <v>66.28</v>
      </c>
    </row>
    <row r="3803">
      <c r="A3803" s="66" t="inlineStr">
        <is>
          <t>06/11/2019</t>
        </is>
      </c>
      <c r="B3803" s="28" t="n">
        <v>67.22</v>
      </c>
    </row>
    <row r="3804">
      <c r="A3804" s="66" t="inlineStr">
        <is>
          <t>07/11/2019</t>
        </is>
      </c>
      <c r="B3804" s="28" t="n">
        <v>67.70999999999999</v>
      </c>
    </row>
    <row r="3805">
      <c r="A3805" s="66" t="inlineStr">
        <is>
          <t>08/11/2019</t>
        </is>
      </c>
      <c r="B3805" s="28" t="n">
        <v>68.45</v>
      </c>
    </row>
    <row r="3806">
      <c r="A3806" s="66" t="inlineStr">
        <is>
          <t>11/11/2019</t>
        </is>
      </c>
      <c r="B3806" s="28" t="n">
        <v>69.45</v>
      </c>
    </row>
    <row r="3807">
      <c r="A3807" s="66" t="inlineStr">
        <is>
          <t>12/11/2019</t>
        </is>
      </c>
      <c r="B3807" s="28" t="n">
        <v>69.68000000000001</v>
      </c>
    </row>
    <row r="3808">
      <c r="A3808" s="66" t="inlineStr">
        <is>
          <t>13/11/2019</t>
        </is>
      </c>
      <c r="B3808" s="28" t="n">
        <v>70.56999999999999</v>
      </c>
    </row>
    <row r="3809">
      <c r="A3809" s="66" t="inlineStr">
        <is>
          <t>14/11/2019</t>
        </is>
      </c>
      <c r="B3809" s="28" t="n">
        <v>70.28</v>
      </c>
    </row>
    <row r="3810">
      <c r="A3810" s="66" t="inlineStr">
        <is>
          <t>18/11/2019</t>
        </is>
      </c>
      <c r="B3810" s="28" t="n">
        <v>69.73999999999999</v>
      </c>
    </row>
    <row r="3811">
      <c r="A3811" s="66" t="inlineStr">
        <is>
          <t>19/11/2019</t>
        </is>
      </c>
      <c r="B3811" s="28" t="n">
        <v>70.22</v>
      </c>
    </row>
    <row r="3812">
      <c r="A3812" s="66" t="inlineStr">
        <is>
          <t>20/11/2019</t>
        </is>
      </c>
      <c r="B3812" s="28" t="n">
        <v>70.31</v>
      </c>
    </row>
    <row r="3813">
      <c r="A3813" s="66" t="inlineStr">
        <is>
          <t>21/11/2019</t>
        </is>
      </c>
      <c r="B3813" s="28" t="n">
        <v>72.81999999999999</v>
      </c>
    </row>
    <row r="3814">
      <c r="A3814" s="66" t="inlineStr">
        <is>
          <t>22/11/2019</t>
        </is>
      </c>
      <c r="B3814" s="28" t="n">
        <v>74</v>
      </c>
    </row>
    <row r="3815">
      <c r="A3815" s="66" t="inlineStr">
        <is>
          <t>25/11/2019</t>
        </is>
      </c>
      <c r="B3815" s="28" t="n">
        <v>75.78</v>
      </c>
    </row>
    <row r="3816">
      <c r="A3816" s="66" t="inlineStr">
        <is>
          <t>26/11/2019</t>
        </is>
      </c>
      <c r="B3816" s="28" t="n">
        <v>75.51000000000001</v>
      </c>
    </row>
    <row r="3817">
      <c r="A3817" s="66" t="inlineStr">
        <is>
          <t>27/11/2019</t>
        </is>
      </c>
      <c r="B3817" s="28" t="n">
        <v>76.42</v>
      </c>
    </row>
    <row r="3818">
      <c r="A3818" s="66" t="inlineStr">
        <is>
          <t>28/11/2019</t>
        </is>
      </c>
      <c r="B3818" s="28" t="n">
        <v>76.56</v>
      </c>
    </row>
    <row r="3819">
      <c r="A3819" s="66" t="inlineStr">
        <is>
          <t>29/11/2019</t>
        </is>
      </c>
      <c r="B3819" s="28" t="n">
        <v>76.31999999999999</v>
      </c>
    </row>
    <row r="3820">
      <c r="A3820" s="66" t="inlineStr">
        <is>
          <t>02/12/2019</t>
        </is>
      </c>
      <c r="B3820" s="28" t="n">
        <v>74.48999999999999</v>
      </c>
    </row>
    <row r="3821">
      <c r="A3821" s="66" t="inlineStr">
        <is>
          <t>03/12/2019</t>
        </is>
      </c>
      <c r="B3821" s="28" t="n">
        <v>75.53</v>
      </c>
    </row>
    <row r="3822">
      <c r="A3822" s="66" t="inlineStr">
        <is>
          <t>04/12/2019</t>
        </is>
      </c>
      <c r="B3822" s="28" t="n">
        <v>75.65000000000001</v>
      </c>
    </row>
    <row r="3823">
      <c r="A3823" s="66" t="inlineStr">
        <is>
          <t>05/12/2019</t>
        </is>
      </c>
      <c r="B3823" s="28" t="n">
        <v>75.09999999999999</v>
      </c>
    </row>
    <row r="3824">
      <c r="A3824" s="66" t="inlineStr">
        <is>
          <t>06/12/2019</t>
        </is>
      </c>
      <c r="B3824" s="28" t="n">
        <v>75.15000000000001</v>
      </c>
    </row>
    <row r="3825">
      <c r="A3825" s="66" t="inlineStr">
        <is>
          <t>09/12/2019</t>
        </is>
      </c>
      <c r="B3825" s="28" t="n">
        <v>75.18000000000001</v>
      </c>
    </row>
    <row r="3826">
      <c r="A3826" s="66" t="inlineStr">
        <is>
          <t>10/12/2019</t>
        </is>
      </c>
      <c r="B3826" s="28" t="n">
        <v>74.90000000000001</v>
      </c>
    </row>
    <row r="3827">
      <c r="A3827" s="66" t="inlineStr">
        <is>
          <t>11/12/2019</t>
        </is>
      </c>
      <c r="B3827" s="28" t="n">
        <v>75.18000000000001</v>
      </c>
    </row>
    <row r="3828">
      <c r="A3828" s="66" t="inlineStr">
        <is>
          <t>12/12/2019</t>
        </is>
      </c>
      <c r="B3828" s="28" t="n">
        <v>74.93000000000001</v>
      </c>
    </row>
    <row r="3829">
      <c r="A3829" s="66" t="inlineStr">
        <is>
          <t>13/12/2019</t>
        </is>
      </c>
      <c r="B3829" s="28" t="n">
        <v>75.53</v>
      </c>
    </row>
    <row r="3830">
      <c r="A3830" s="66" t="inlineStr">
        <is>
          <t>16/12/2019</t>
        </is>
      </c>
      <c r="B3830" s="28" t="n">
        <v>74.84999999999999</v>
      </c>
    </row>
    <row r="3831">
      <c r="A3831" s="66" t="inlineStr">
        <is>
          <t>17/12/2019</t>
        </is>
      </c>
      <c r="B3831" s="28" t="n">
        <v>74.54000000000001</v>
      </c>
    </row>
    <row r="3832">
      <c r="A3832" s="66" t="inlineStr">
        <is>
          <t>18/12/2019</t>
        </is>
      </c>
      <c r="B3832" s="28" t="n">
        <v>75.17</v>
      </c>
    </row>
    <row r="3833">
      <c r="A3833" s="66" t="inlineStr">
        <is>
          <t>19/12/2019</t>
        </is>
      </c>
      <c r="B3833" s="28" t="n">
        <v>75.03</v>
      </c>
    </row>
    <row r="3834">
      <c r="A3834" s="66" t="inlineStr">
        <is>
          <t>20/12/2019</t>
        </is>
      </c>
      <c r="B3834" s="28" t="n">
        <v>75.04000000000001</v>
      </c>
    </row>
    <row r="3835">
      <c r="A3835" s="66" t="inlineStr">
        <is>
          <t>23/12/2019</t>
        </is>
      </c>
      <c r="B3835" s="28" t="n">
        <v>75.34</v>
      </c>
    </row>
    <row r="3836">
      <c r="A3836" s="66" t="inlineStr">
        <is>
          <t>26/12/2019</t>
        </is>
      </c>
      <c r="B3836" s="28" t="n">
        <v>75.56</v>
      </c>
    </row>
    <row r="3837">
      <c r="A3837" s="66" t="inlineStr">
        <is>
          <t>27/12/2019</t>
        </is>
      </c>
      <c r="B3837" s="28" t="n">
        <v>75.65000000000001</v>
      </c>
    </row>
    <row r="3838">
      <c r="A3838" s="66" t="inlineStr">
        <is>
          <t>30/12/2019</t>
        </is>
      </c>
      <c r="B3838" s="28" t="n">
        <v>75.92</v>
      </c>
    </row>
    <row r="3839">
      <c r="A3839" s="66" t="inlineStr">
        <is>
          <t>02/01/2020</t>
        </is>
      </c>
      <c r="B3839" s="28" t="n">
        <v>75.26000000000001</v>
      </c>
    </row>
    <row r="3840">
      <c r="A3840" s="66" t="inlineStr">
        <is>
          <t>03/01/2020</t>
        </is>
      </c>
      <c r="B3840" s="28" t="n">
        <v>76</v>
      </c>
    </row>
    <row r="3841">
      <c r="A3841" s="66" t="inlineStr">
        <is>
          <t>06/01/2020</t>
        </is>
      </c>
      <c r="B3841" s="28" t="n">
        <v>76.13</v>
      </c>
    </row>
    <row r="3842">
      <c r="A3842" s="66" t="inlineStr">
        <is>
          <t>07/01/2020</t>
        </is>
      </c>
      <c r="B3842" s="28" t="n">
        <v>76.62</v>
      </c>
    </row>
    <row r="3843">
      <c r="A3843" s="66" t="inlineStr">
        <is>
          <t>08/01/2020</t>
        </is>
      </c>
      <c r="B3843" s="28" t="n">
        <v>78.09999999999999</v>
      </c>
    </row>
    <row r="3844">
      <c r="A3844" s="66" t="inlineStr">
        <is>
          <t>09/01/2020</t>
        </is>
      </c>
      <c r="B3844" s="28" t="n">
        <v>80.03</v>
      </c>
    </row>
    <row r="3845">
      <c r="A3845" s="66" t="inlineStr">
        <is>
          <t>10/01/2020</t>
        </is>
      </c>
      <c r="B3845" s="28" t="n">
        <v>80.12</v>
      </c>
    </row>
    <row r="3846">
      <c r="A3846" s="66" t="inlineStr">
        <is>
          <t>13/01/2020</t>
        </is>
      </c>
      <c r="B3846" s="28" t="n">
        <v>80</v>
      </c>
    </row>
    <row r="3847">
      <c r="A3847" s="66" t="inlineStr">
        <is>
          <t>14/01/2020</t>
        </is>
      </c>
      <c r="B3847" s="28" t="n">
        <v>80.34</v>
      </c>
    </row>
    <row r="3848">
      <c r="A3848" s="66" t="inlineStr">
        <is>
          <t>15/01/2020</t>
        </is>
      </c>
      <c r="B3848" s="28" t="n">
        <v>81.12</v>
      </c>
    </row>
    <row r="3849">
      <c r="A3849" s="66" t="inlineStr">
        <is>
          <t>16/01/2020</t>
        </is>
      </c>
      <c r="B3849" s="28" t="n">
        <v>80.79000000000001</v>
      </c>
    </row>
    <row r="3850">
      <c r="A3850" s="66" t="inlineStr">
        <is>
          <t>17/01/2020</t>
        </is>
      </c>
      <c r="B3850" s="28" t="n">
        <v>80.45</v>
      </c>
    </row>
    <row r="3851">
      <c r="A3851" s="66" t="inlineStr">
        <is>
          <t>20/01/2020</t>
        </is>
      </c>
      <c r="B3851" s="28" t="n">
        <v>80.14</v>
      </c>
    </row>
    <row r="3852">
      <c r="A3852" s="66" t="inlineStr">
        <is>
          <t>21/01/2020</t>
        </is>
      </c>
      <c r="B3852" s="28" t="n">
        <v>80.28</v>
      </c>
    </row>
    <row r="3853">
      <c r="A3853" s="66" t="inlineStr">
        <is>
          <t>22/01/2020</t>
        </is>
      </c>
      <c r="B3853" s="28" t="n">
        <v>80.40000000000001</v>
      </c>
    </row>
    <row r="3854">
      <c r="A3854" s="66" t="inlineStr">
        <is>
          <t>23/01/2020</t>
        </is>
      </c>
      <c r="B3854" s="28" t="n">
        <v>80.01000000000001</v>
      </c>
    </row>
    <row r="3855">
      <c r="A3855" s="66" t="inlineStr">
        <is>
          <t>24/01/2020</t>
        </is>
      </c>
      <c r="B3855" s="28" t="n">
        <v>79.90000000000001</v>
      </c>
    </row>
    <row r="3856">
      <c r="A3856" s="66" t="inlineStr">
        <is>
          <t>27/01/2020</t>
        </is>
      </c>
      <c r="B3856" s="28" t="n">
        <v>80.45</v>
      </c>
    </row>
    <row r="3857">
      <c r="A3857" s="66" t="inlineStr">
        <is>
          <t>28/01/2020</t>
        </is>
      </c>
      <c r="B3857" s="28" t="n">
        <v>80.67</v>
      </c>
    </row>
    <row r="3858">
      <c r="A3858" s="66" t="inlineStr">
        <is>
          <t>29/01/2020</t>
        </is>
      </c>
      <c r="B3858" s="28" t="n">
        <v>80.09</v>
      </c>
    </row>
    <row r="3859">
      <c r="A3859" s="66" t="inlineStr">
        <is>
          <t>30/01/2020</t>
        </is>
      </c>
      <c r="B3859" s="28" t="n">
        <v>79.69</v>
      </c>
    </row>
    <row r="3860">
      <c r="A3860" s="66" t="inlineStr">
        <is>
          <t>31/01/2020</t>
        </is>
      </c>
      <c r="B3860" s="28" t="n">
        <v>79.5</v>
      </c>
    </row>
    <row r="3861">
      <c r="A3861" s="66" t="inlineStr">
        <is>
          <t>03/02/2020</t>
        </is>
      </c>
      <c r="B3861" s="28" t="n">
        <v>79.06999999999999</v>
      </c>
    </row>
    <row r="3862">
      <c r="A3862" s="66" t="inlineStr">
        <is>
          <t>04/02/2020</t>
        </is>
      </c>
      <c r="B3862" s="28" t="n">
        <v>77.84</v>
      </c>
    </row>
    <row r="3863">
      <c r="A3863" s="66" t="inlineStr">
        <is>
          <t>05/02/2020</t>
        </is>
      </c>
      <c r="B3863" s="28" t="n">
        <v>77.98999999999999</v>
      </c>
    </row>
    <row r="3864">
      <c r="A3864" s="66" t="inlineStr">
        <is>
          <t>06/02/2020</t>
        </is>
      </c>
      <c r="B3864" s="28" t="n">
        <v>77.93000000000001</v>
      </c>
    </row>
    <row r="3865">
      <c r="A3865" s="66" t="inlineStr">
        <is>
          <t>07/02/2020</t>
        </is>
      </c>
      <c r="B3865" s="28" t="n">
        <v>78.83</v>
      </c>
    </row>
    <row r="3866">
      <c r="A3866" s="66" t="inlineStr">
        <is>
          <t>10/02/2020</t>
        </is>
      </c>
      <c r="B3866" s="28" t="n">
        <v>79.09999999999999</v>
      </c>
    </row>
    <row r="3867">
      <c r="A3867" s="66" t="inlineStr">
        <is>
          <t>11/02/2020</t>
        </is>
      </c>
      <c r="B3867" s="28" t="n">
        <v>79.45</v>
      </c>
    </row>
    <row r="3868">
      <c r="A3868" s="66" t="inlineStr">
        <is>
          <t>12/02/2020</t>
        </is>
      </c>
      <c r="B3868" s="28" t="n">
        <v>80.26000000000001</v>
      </c>
    </row>
    <row r="3869">
      <c r="A3869" s="66" t="inlineStr">
        <is>
          <t>13/02/2020</t>
        </is>
      </c>
      <c r="B3869" s="28" t="n">
        <v>80.53</v>
      </c>
    </row>
    <row r="3870">
      <c r="A3870" s="66" t="inlineStr">
        <is>
          <t>14/02/2020</t>
        </is>
      </c>
      <c r="B3870" s="28" t="n">
        <v>81.04000000000001</v>
      </c>
    </row>
    <row r="3871">
      <c r="A3871" s="66" t="inlineStr">
        <is>
          <t>17/02/2020</t>
        </is>
      </c>
      <c r="B3871" s="28" t="n">
        <v>81.26000000000001</v>
      </c>
    </row>
    <row r="3872">
      <c r="A3872" s="66" t="inlineStr">
        <is>
          <t>18/02/2020</t>
        </is>
      </c>
      <c r="B3872" s="28" t="n">
        <v>81.23</v>
      </c>
    </row>
    <row r="3873">
      <c r="A3873" s="66" t="inlineStr">
        <is>
          <t>19/02/2020</t>
        </is>
      </c>
      <c r="B3873" s="28" t="n">
        <v>81.48999999999999</v>
      </c>
    </row>
    <row r="3874">
      <c r="A3874" s="66" t="inlineStr">
        <is>
          <t>20/02/2020</t>
        </is>
      </c>
      <c r="B3874" s="28" t="n">
        <v>81.26000000000001</v>
      </c>
    </row>
    <row r="3875">
      <c r="A3875" s="66" t="inlineStr">
        <is>
          <t>21/02/2020</t>
        </is>
      </c>
      <c r="B3875" s="28" t="n">
        <v>81.33</v>
      </c>
    </row>
    <row r="3876">
      <c r="A3876" s="66" t="inlineStr">
        <is>
          <t>26/02/2020</t>
        </is>
      </c>
      <c r="B3876" s="28" t="n">
        <v>82.19</v>
      </c>
    </row>
    <row r="3877">
      <c r="A3877" s="66" t="inlineStr">
        <is>
          <t>27/02/2020</t>
        </is>
      </c>
      <c r="B3877" s="28" t="n">
        <v>82.86</v>
      </c>
    </row>
    <row r="3878">
      <c r="A3878" s="66" t="inlineStr">
        <is>
          <t>28/02/2020</t>
        </is>
      </c>
      <c r="B3878" s="28" t="n">
        <v>82.78</v>
      </c>
    </row>
    <row r="3879">
      <c r="A3879" s="66" t="inlineStr">
        <is>
          <t>02/03/2020</t>
        </is>
      </c>
      <c r="B3879" s="28" t="n">
        <v>82.23</v>
      </c>
    </row>
    <row r="3880">
      <c r="A3880" s="66" t="inlineStr">
        <is>
          <t>03/03/2020</t>
        </is>
      </c>
      <c r="B3880" s="28" t="n">
        <v>82.63</v>
      </c>
    </row>
    <row r="3881">
      <c r="A3881" s="66" t="inlineStr">
        <is>
          <t>04/03/2020</t>
        </is>
      </c>
      <c r="B3881" s="28" t="n">
        <v>83.19</v>
      </c>
    </row>
    <row r="3882">
      <c r="A3882" s="66" t="inlineStr">
        <is>
          <t>05/03/2020</t>
        </is>
      </c>
      <c r="B3882" s="28" t="n">
        <v>83.98</v>
      </c>
    </row>
    <row r="3883">
      <c r="A3883" s="66" t="inlineStr">
        <is>
          <t>06/03/2020</t>
        </is>
      </c>
      <c r="B3883" s="28" t="n">
        <v>84.91</v>
      </c>
    </row>
    <row r="3884">
      <c r="A3884" s="66" t="inlineStr">
        <is>
          <t>09/03/2020</t>
        </is>
      </c>
      <c r="B3884" s="28" t="n">
        <v>85.3</v>
      </c>
    </row>
    <row r="3885">
      <c r="A3885" s="66" t="inlineStr">
        <is>
          <t>10/03/2020</t>
        </is>
      </c>
      <c r="B3885" s="28" t="n">
        <v>85.73</v>
      </c>
    </row>
    <row r="3886">
      <c r="A3886" s="66" t="inlineStr">
        <is>
          <t>11/03/2020</t>
        </is>
      </c>
      <c r="B3886" s="28" t="n">
        <v>87.17</v>
      </c>
    </row>
    <row r="3887">
      <c r="A3887" s="66" t="inlineStr">
        <is>
          <t>12/03/2020</t>
        </is>
      </c>
      <c r="B3887" s="28" t="n">
        <v>88.43000000000001</v>
      </c>
    </row>
    <row r="3888">
      <c r="A3888" s="66" t="inlineStr">
        <is>
          <t>13/03/2020</t>
        </is>
      </c>
      <c r="B3888" s="28" t="n">
        <v>88.42</v>
      </c>
    </row>
    <row r="3889">
      <c r="A3889" s="66" t="inlineStr">
        <is>
          <t>16/03/2020</t>
        </is>
      </c>
      <c r="B3889" s="28" t="n">
        <v>89.31</v>
      </c>
    </row>
    <row r="3890">
      <c r="A3890" s="66" t="inlineStr">
        <is>
          <t>17/03/2020</t>
        </is>
      </c>
      <c r="B3890" s="28" t="n">
        <v>89.69</v>
      </c>
    </row>
    <row r="3891">
      <c r="A3891" s="66" t="inlineStr">
        <is>
          <t>18/03/2020</t>
        </is>
      </c>
      <c r="B3891" s="28" t="n">
        <v>88.68000000000001</v>
      </c>
    </row>
    <row r="3892">
      <c r="A3892" s="66" t="inlineStr">
        <is>
          <t>19/03/2020</t>
        </is>
      </c>
      <c r="B3892" s="28" t="n">
        <v>89.48</v>
      </c>
    </row>
    <row r="3893">
      <c r="A3893" s="66" t="inlineStr">
        <is>
          <t>20/03/2020</t>
        </is>
      </c>
      <c r="B3893" s="28" t="n">
        <v>90.66</v>
      </c>
    </row>
    <row r="3894">
      <c r="A3894" s="66" t="inlineStr">
        <is>
          <t>23/03/2020</t>
        </is>
      </c>
      <c r="B3894" s="28" t="n">
        <v>90.01000000000001</v>
      </c>
    </row>
    <row r="3895">
      <c r="A3895" s="66" t="inlineStr">
        <is>
          <t>24/03/2020</t>
        </is>
      </c>
      <c r="B3895" s="28" t="n">
        <v>91.44</v>
      </c>
    </row>
    <row r="3896">
      <c r="A3896" s="66" t="inlineStr">
        <is>
          <t>25/03/2020</t>
        </is>
      </c>
      <c r="B3896" s="28" t="n">
        <v>91.34999999999999</v>
      </c>
    </row>
    <row r="3897">
      <c r="A3897" s="66" t="inlineStr">
        <is>
          <t>26/03/2020</t>
        </is>
      </c>
      <c r="B3897" s="28" t="n">
        <v>90.92</v>
      </c>
    </row>
    <row r="3898">
      <c r="A3898" s="66" t="inlineStr">
        <is>
          <t>27/03/2020</t>
        </is>
      </c>
      <c r="B3898" s="28" t="n">
        <v>91.36</v>
      </c>
    </row>
    <row r="3899">
      <c r="A3899" s="66" t="inlineStr">
        <is>
          <t>30/03/2020</t>
        </is>
      </c>
      <c r="B3899" s="28" t="n">
        <v>92.25</v>
      </c>
    </row>
    <row r="3900">
      <c r="A3900" s="66" t="inlineStr">
        <is>
          <t>31/03/2020</t>
        </is>
      </c>
      <c r="B3900" s="28" t="n">
        <v>92.34999999999999</v>
      </c>
    </row>
    <row r="3901">
      <c r="A3901" s="66" t="inlineStr">
        <is>
          <t>01/04/2020</t>
        </is>
      </c>
      <c r="B3901" s="28" t="n">
        <v>90.38</v>
      </c>
    </row>
    <row r="3902">
      <c r="A3902" s="66" t="inlineStr">
        <is>
          <t>02/04/2020</t>
        </is>
      </c>
      <c r="B3902" s="28" t="n">
        <v>89.68000000000001</v>
      </c>
    </row>
    <row r="3903">
      <c r="A3903" s="66" t="inlineStr">
        <is>
          <t>03/04/2020</t>
        </is>
      </c>
      <c r="B3903" s="28" t="n">
        <v>89.09999999999999</v>
      </c>
    </row>
    <row r="3904">
      <c r="A3904" s="66" t="inlineStr">
        <is>
          <t>06/04/2020</t>
        </is>
      </c>
      <c r="B3904" s="28" t="n">
        <v>88.09</v>
      </c>
    </row>
    <row r="3905">
      <c r="A3905" s="66" t="inlineStr">
        <is>
          <t>07/04/2020</t>
        </is>
      </c>
      <c r="B3905" s="28" t="n">
        <v>87.55</v>
      </c>
    </row>
    <row r="3906">
      <c r="A3906" s="66" t="inlineStr">
        <is>
          <t>08/04/2020</t>
        </is>
      </c>
      <c r="B3906" s="28" t="n">
        <v>86.01000000000001</v>
      </c>
    </row>
    <row r="3907">
      <c r="A3907" s="66" t="inlineStr">
        <is>
          <t>09/04/2020</t>
        </is>
      </c>
      <c r="B3907" s="28" t="n">
        <v>85.93000000000001</v>
      </c>
    </row>
    <row r="3908">
      <c r="A3908" s="66" t="inlineStr">
        <is>
          <t>13/04/2020</t>
        </is>
      </c>
      <c r="B3908" s="28" t="n">
        <v>85.59999999999999</v>
      </c>
    </row>
    <row r="3909">
      <c r="A3909" s="66" t="inlineStr">
        <is>
          <t>14/04/2020</t>
        </is>
      </c>
      <c r="B3909" s="28" t="n">
        <v>81.94</v>
      </c>
    </row>
    <row r="3910">
      <c r="A3910" s="66" t="inlineStr">
        <is>
          <t>15/04/2020</t>
        </is>
      </c>
      <c r="B3910" s="28" t="n">
        <v>79.52</v>
      </c>
    </row>
    <row r="3911">
      <c r="A3911" s="66" t="inlineStr">
        <is>
          <t>16/04/2020</t>
        </is>
      </c>
      <c r="B3911" s="28" t="n">
        <v>79.23999999999999</v>
      </c>
    </row>
    <row r="3912">
      <c r="A3912" s="66" t="inlineStr">
        <is>
          <t>17/04/2020</t>
        </is>
      </c>
      <c r="B3912" s="28" t="n">
        <v>78.53</v>
      </c>
    </row>
    <row r="3913">
      <c r="A3913" s="66" t="inlineStr">
        <is>
          <t>20/04/2020</t>
        </is>
      </c>
      <c r="B3913" s="28" t="n">
        <v>77.29000000000001</v>
      </c>
    </row>
    <row r="3914">
      <c r="A3914" s="66" t="inlineStr">
        <is>
          <t>22/04/2020</t>
        </is>
      </c>
      <c r="B3914" s="28" t="n">
        <v>74.11</v>
      </c>
    </row>
    <row r="3915">
      <c r="A3915" s="66" t="inlineStr">
        <is>
          <t>23/04/2020</t>
        </is>
      </c>
      <c r="B3915" s="28" t="n">
        <v>73.39</v>
      </c>
    </row>
    <row r="3916">
      <c r="A3916" s="66" t="inlineStr">
        <is>
          <t>24/04/2020</t>
        </is>
      </c>
      <c r="B3916" s="28" t="n">
        <v>72.51000000000001</v>
      </c>
    </row>
    <row r="3917">
      <c r="A3917" s="66" t="inlineStr">
        <is>
          <t>27/04/2020</t>
        </is>
      </c>
      <c r="B3917" s="28" t="n">
        <v>73.06</v>
      </c>
    </row>
    <row r="3918">
      <c r="A3918" s="66" t="inlineStr">
        <is>
          <t>28/04/2020</t>
        </is>
      </c>
      <c r="B3918" s="28" t="n">
        <v>73.03</v>
      </c>
    </row>
    <row r="3919">
      <c r="A3919" s="66" t="inlineStr">
        <is>
          <t>29/04/2020</t>
        </is>
      </c>
      <c r="B3919" s="28" t="n">
        <v>73.7</v>
      </c>
    </row>
    <row r="3920">
      <c r="A3920" s="66" t="inlineStr">
        <is>
          <t>30/04/2020</t>
        </is>
      </c>
      <c r="B3920" s="28" t="n">
        <v>73.65000000000001</v>
      </c>
    </row>
    <row r="3921">
      <c r="A3921" s="66" t="inlineStr">
        <is>
          <t>04/05/2020</t>
        </is>
      </c>
      <c r="B3921" s="28" t="n">
        <v>74.18000000000001</v>
      </c>
    </row>
    <row r="3922">
      <c r="A3922" s="66" t="inlineStr">
        <is>
          <t>05/05/2020</t>
        </is>
      </c>
      <c r="B3922" s="28" t="n">
        <v>74.09999999999999</v>
      </c>
    </row>
    <row r="3923">
      <c r="A3923" s="66" t="inlineStr">
        <is>
          <t>06/05/2020</t>
        </is>
      </c>
      <c r="B3923" s="28" t="n">
        <v>74.81</v>
      </c>
    </row>
    <row r="3924">
      <c r="A3924" s="66" t="inlineStr">
        <is>
          <t>07/05/2020</t>
        </is>
      </c>
      <c r="B3924" s="28" t="n">
        <v>75.81999999999999</v>
      </c>
    </row>
    <row r="3925">
      <c r="A3925" s="66" t="inlineStr">
        <is>
          <t>08/05/2020</t>
        </is>
      </c>
      <c r="B3925" s="28" t="n">
        <v>75.59</v>
      </c>
    </row>
    <row r="3926">
      <c r="A3926" s="66" t="inlineStr">
        <is>
          <t>11/05/2020</t>
        </is>
      </c>
      <c r="B3926" s="28" t="n">
        <v>75.97</v>
      </c>
    </row>
    <row r="3927">
      <c r="A3927" s="66" t="inlineStr">
        <is>
          <t>12/05/2020</t>
        </is>
      </c>
      <c r="B3927" s="28" t="n">
        <v>76.12</v>
      </c>
    </row>
    <row r="3928">
      <c r="A3928" s="66" t="inlineStr">
        <is>
          <t>13/05/2020</t>
        </is>
      </c>
      <c r="B3928" s="28" t="n">
        <v>77.34</v>
      </c>
    </row>
    <row r="3929">
      <c r="A3929" s="66" t="inlineStr">
        <is>
          <t>14/05/2020</t>
        </is>
      </c>
      <c r="B3929" s="28" t="n">
        <v>76.88</v>
      </c>
    </row>
    <row r="3930">
      <c r="A3930" s="66" t="inlineStr">
        <is>
          <t>15/05/2020</t>
        </is>
      </c>
      <c r="B3930" s="28" t="n">
        <v>76.81999999999999</v>
      </c>
    </row>
    <row r="3931">
      <c r="A3931" s="66" t="inlineStr">
        <is>
          <t>18/05/2020</t>
        </is>
      </c>
      <c r="B3931" s="28" t="n">
        <v>76.3</v>
      </c>
    </row>
    <row r="3932">
      <c r="A3932" s="66" t="inlineStr">
        <is>
          <t>19/05/2020</t>
        </is>
      </c>
      <c r="B3932" s="28" t="n">
        <v>76.05</v>
      </c>
    </row>
    <row r="3933">
      <c r="A3933" s="66" t="inlineStr">
        <is>
          <t>20/05/2020</t>
        </is>
      </c>
      <c r="B3933" s="28" t="n">
        <v>76.08</v>
      </c>
    </row>
    <row r="3934">
      <c r="A3934" s="66" t="inlineStr">
        <is>
          <t>21/05/2020</t>
        </is>
      </c>
      <c r="B3934" s="28" t="n">
        <v>76.73</v>
      </c>
    </row>
    <row r="3935">
      <c r="A3935" s="66" t="inlineStr">
        <is>
          <t>22/05/2020</t>
        </is>
      </c>
      <c r="B3935" s="28" t="n">
        <v>76.7</v>
      </c>
    </row>
    <row r="3936">
      <c r="A3936" s="66" t="inlineStr">
        <is>
          <t>25/05/2020</t>
        </is>
      </c>
      <c r="B3936" s="28" t="n">
        <v>77.69</v>
      </c>
    </row>
    <row r="3937">
      <c r="A3937" s="66" t="inlineStr">
        <is>
          <t>26/05/2020</t>
        </is>
      </c>
      <c r="B3937" s="28" t="n">
        <v>76.39</v>
      </c>
    </row>
    <row r="3938">
      <c r="A3938" s="66" t="inlineStr">
        <is>
          <t>27/05/2020</t>
        </is>
      </c>
      <c r="B3938" s="28" t="n">
        <v>76.77</v>
      </c>
    </row>
    <row r="3939">
      <c r="A3939" s="66" t="inlineStr">
        <is>
          <t>28/05/2020</t>
        </is>
      </c>
      <c r="B3939" s="28" t="n">
        <v>76.05</v>
      </c>
    </row>
    <row r="3940">
      <c r="A3940" s="66" t="inlineStr">
        <is>
          <t>29/05/2020</t>
        </is>
      </c>
      <c r="B3940" s="28" t="n">
        <v>76.23999999999999</v>
      </c>
    </row>
    <row r="3941">
      <c r="A3941" s="66" t="inlineStr">
        <is>
          <t>01/06/2020</t>
        </is>
      </c>
      <c r="B3941" s="28" t="n">
        <v>74.40000000000001</v>
      </c>
    </row>
    <row r="3942">
      <c r="A3942" s="66" t="inlineStr">
        <is>
          <t>02/06/2020</t>
        </is>
      </c>
      <c r="B3942" s="28" t="n">
        <v>74.19</v>
      </c>
    </row>
    <row r="3943">
      <c r="A3943" s="66" t="inlineStr">
        <is>
          <t>03/06/2020</t>
        </is>
      </c>
      <c r="B3943" s="28" t="n">
        <v>73.2</v>
      </c>
    </row>
    <row r="3944">
      <c r="A3944" s="66" t="inlineStr">
        <is>
          <t>04/06/2020</t>
        </is>
      </c>
      <c r="B3944" s="28" t="n">
        <v>72.78</v>
      </c>
    </row>
    <row r="3945">
      <c r="A3945" s="66" t="inlineStr">
        <is>
          <t>05/06/2020</t>
        </is>
      </c>
      <c r="B3945" s="28" t="n">
        <v>72.09999999999999</v>
      </c>
    </row>
    <row r="3946">
      <c r="A3946" s="66" t="inlineStr">
        <is>
          <t>08/06/2020</t>
        </is>
      </c>
      <c r="B3946" s="28" t="n">
        <v>71.09</v>
      </c>
    </row>
    <row r="3947">
      <c r="A3947" s="66" t="inlineStr">
        <is>
          <t>09/06/2020</t>
        </is>
      </c>
      <c r="B3947" s="28" t="n">
        <v>70.81</v>
      </c>
    </row>
    <row r="3948">
      <c r="A3948" s="66" t="inlineStr">
        <is>
          <t>10/06/2020</t>
        </is>
      </c>
      <c r="B3948" s="28" t="n">
        <v>70.02</v>
      </c>
    </row>
    <row r="3949">
      <c r="A3949" s="66" t="inlineStr">
        <is>
          <t>12/06/2020</t>
        </is>
      </c>
      <c r="B3949" s="28" t="n">
        <v>70.18000000000001</v>
      </c>
    </row>
    <row r="3950">
      <c r="A3950" s="66" t="inlineStr">
        <is>
          <t>15/06/2020</t>
        </is>
      </c>
      <c r="B3950" s="28" t="n">
        <v>70.23999999999999</v>
      </c>
    </row>
    <row r="3951">
      <c r="A3951" s="66" t="inlineStr">
        <is>
          <t>16/06/2020</t>
        </is>
      </c>
      <c r="B3951" s="28" t="n">
        <v>70.11</v>
      </c>
    </row>
    <row r="3952">
      <c r="A3952" s="66" t="inlineStr">
        <is>
          <t>17/06/2020</t>
        </is>
      </c>
      <c r="B3952" s="28" t="n">
        <v>70.08</v>
      </c>
    </row>
    <row r="3953">
      <c r="A3953" s="66" t="inlineStr">
        <is>
          <t>18/06/2020</t>
        </is>
      </c>
      <c r="B3953" s="28" t="n">
        <v>70.48999999999999</v>
      </c>
    </row>
    <row r="3954">
      <c r="A3954" s="66" t="inlineStr">
        <is>
          <t>19/06/2020</t>
        </is>
      </c>
      <c r="B3954" s="28" t="n">
        <v>70.52</v>
      </c>
    </row>
    <row r="3955">
      <c r="A3955" s="66" t="inlineStr">
        <is>
          <t>22/06/2020</t>
        </is>
      </c>
      <c r="B3955" s="28" t="n">
        <v>71.14</v>
      </c>
    </row>
    <row r="3956">
      <c r="A3956" s="66" t="inlineStr">
        <is>
          <t>23/06/2020</t>
        </is>
      </c>
      <c r="B3956" s="28" t="n">
        <v>70.26000000000001</v>
      </c>
    </row>
    <row r="3957">
      <c r="A3957" s="66" t="inlineStr">
        <is>
          <t>24/06/2020</t>
        </is>
      </c>
      <c r="B3957" s="28" t="n">
        <v>70.56999999999999</v>
      </c>
    </row>
    <row r="3958">
      <c r="A3958" s="66" t="inlineStr">
        <is>
          <t>25/06/2020</t>
        </is>
      </c>
      <c r="B3958" s="28" t="n">
        <v>71.03</v>
      </c>
    </row>
    <row r="3959">
      <c r="A3959" s="66" t="inlineStr">
        <is>
          <t>26/06/2020</t>
        </is>
      </c>
      <c r="B3959" s="28" t="n">
        <v>72.02</v>
      </c>
    </row>
    <row r="3960">
      <c r="A3960" s="66" t="inlineStr">
        <is>
          <t>29/06/2020</t>
        </is>
      </c>
      <c r="B3960" s="28" t="n">
        <v>72.20999999999999</v>
      </c>
    </row>
    <row r="3961">
      <c r="A3961" s="66" t="inlineStr">
        <is>
          <t>30/06/2020</t>
        </is>
      </c>
      <c r="B3961" s="28" t="n">
        <v>72.59</v>
      </c>
    </row>
    <row r="3962">
      <c r="A3962" s="66" t="inlineStr">
        <is>
          <t>01/07/2020</t>
        </is>
      </c>
      <c r="B3962" s="28" t="n">
        <v>72.44</v>
      </c>
    </row>
    <row r="3963">
      <c r="A3963" s="66" t="inlineStr">
        <is>
          <t>02/07/2020</t>
        </is>
      </c>
      <c r="B3963" s="28" t="n">
        <v>72.84999999999999</v>
      </c>
    </row>
    <row r="3964">
      <c r="A3964" s="66" t="inlineStr">
        <is>
          <t>03/07/2020</t>
        </is>
      </c>
      <c r="B3964" s="28" t="n">
        <v>72.64</v>
      </c>
    </row>
    <row r="3965">
      <c r="A3965" s="66" t="inlineStr">
        <is>
          <t>06/07/2020</t>
        </is>
      </c>
      <c r="B3965" s="28" t="n">
        <v>73.05</v>
      </c>
    </row>
    <row r="3966">
      <c r="A3966" s="66" t="inlineStr">
        <is>
          <t>07/07/2020</t>
        </is>
      </c>
      <c r="B3966" s="28" t="n">
        <v>73.06999999999999</v>
      </c>
    </row>
    <row r="3967">
      <c r="A3967" s="66" t="inlineStr">
        <is>
          <t>08/07/2020</t>
        </is>
      </c>
      <c r="B3967" s="28" t="n">
        <v>73.7</v>
      </c>
    </row>
    <row r="3968">
      <c r="A3968" s="66" t="inlineStr">
        <is>
          <t>09/07/2020</t>
        </is>
      </c>
      <c r="B3968" s="28" t="n">
        <v>73.61</v>
      </c>
    </row>
    <row r="3969">
      <c r="A3969" s="66" t="inlineStr">
        <is>
          <t>10/07/2020</t>
        </is>
      </c>
      <c r="B3969" s="28" t="n">
        <v>73.48999999999999</v>
      </c>
    </row>
    <row r="3970">
      <c r="A3970" s="66" t="inlineStr">
        <is>
          <t>13/07/2020</t>
        </is>
      </c>
      <c r="B3970" s="28" t="n">
        <v>72.83</v>
      </c>
    </row>
    <row r="3971">
      <c r="A3971" s="66" t="inlineStr">
        <is>
          <t>14/07/2020</t>
        </is>
      </c>
      <c r="B3971" s="28" t="n">
        <v>72.91</v>
      </c>
    </row>
    <row r="3972">
      <c r="A3972" s="66" t="inlineStr">
        <is>
          <t>15/07/2020</t>
        </is>
      </c>
      <c r="B3972" s="28" t="n">
        <v>72.28</v>
      </c>
    </row>
    <row r="3973">
      <c r="A3973" s="66" t="inlineStr">
        <is>
          <t>16/07/2020</t>
        </is>
      </c>
      <c r="B3973" s="28" t="n">
        <v>71.70999999999999</v>
      </c>
    </row>
    <row r="3974">
      <c r="A3974" s="66" t="inlineStr">
        <is>
          <t>17/07/2020</t>
        </is>
      </c>
      <c r="B3974" s="28" t="n">
        <v>72.31999999999999</v>
      </c>
    </row>
    <row r="3975">
      <c r="A3975" s="66" t="inlineStr">
        <is>
          <t>20/07/2020</t>
        </is>
      </c>
      <c r="B3975" s="28" t="n">
        <v>72.42</v>
      </c>
    </row>
    <row r="3976">
      <c r="A3976" s="66" t="inlineStr">
        <is>
          <t>21/07/2020</t>
        </is>
      </c>
      <c r="B3976" s="28" t="n">
        <v>72.59999999999999</v>
      </c>
    </row>
    <row r="3977">
      <c r="A3977" s="66" t="inlineStr">
        <is>
          <t>22/07/2020</t>
        </is>
      </c>
      <c r="B3977" s="28" t="n">
        <v>71.02</v>
      </c>
    </row>
    <row r="3978">
      <c r="A3978" s="66" t="inlineStr">
        <is>
          <t>23/07/2020</t>
        </is>
      </c>
      <c r="B3978" s="28" t="n">
        <v>71.44</v>
      </c>
    </row>
    <row r="3979">
      <c r="A3979" s="66" t="inlineStr">
        <is>
          <t>24/07/2020</t>
        </is>
      </c>
      <c r="B3979" s="28" t="n">
        <v>72.06</v>
      </c>
    </row>
    <row r="3980">
      <c r="A3980" s="66" t="inlineStr">
        <is>
          <t>27/07/2020</t>
        </is>
      </c>
      <c r="B3980" s="28" t="n">
        <v>72.76000000000001</v>
      </c>
    </row>
    <row r="3981">
      <c r="A3981" s="66" t="inlineStr">
        <is>
          <t>28/07/2020</t>
        </is>
      </c>
      <c r="B3981" s="28" t="n">
        <v>72.28</v>
      </c>
    </row>
    <row r="3982">
      <c r="A3982" s="66" t="inlineStr">
        <is>
          <t>29/07/2020</t>
        </is>
      </c>
      <c r="B3982" s="28" t="n">
        <v>72.84999999999999</v>
      </c>
    </row>
    <row r="3983">
      <c r="A3983" s="66" t="inlineStr">
        <is>
          <t>30/07/2020</t>
        </is>
      </c>
      <c r="B3983" s="28" t="n">
        <v>73.84</v>
      </c>
    </row>
    <row r="3984">
      <c r="A3984" s="66" t="inlineStr">
        <is>
          <t>31/07/2020</t>
        </is>
      </c>
      <c r="B3984" s="28" t="n">
        <v>74.31</v>
      </c>
    </row>
    <row r="3985">
      <c r="A3985" s="66" t="inlineStr">
        <is>
          <t>03/08/2020</t>
        </is>
      </c>
      <c r="B3985" s="28" t="n">
        <v>73.04000000000001</v>
      </c>
    </row>
    <row r="3986">
      <c r="A3986" s="66" t="inlineStr">
        <is>
          <t>04/08/2020</t>
        </is>
      </c>
      <c r="B3986" s="28" t="n">
        <v>74.01000000000001</v>
      </c>
    </row>
    <row r="3987">
      <c r="A3987" s="66" t="inlineStr">
        <is>
          <t>05/08/2020</t>
        </is>
      </c>
      <c r="B3987" s="28" t="n">
        <v>74.25</v>
      </c>
    </row>
    <row r="3988">
      <c r="A3988" s="66" t="inlineStr">
        <is>
          <t>06/08/2020</t>
        </is>
      </c>
      <c r="B3988" s="28" t="n">
        <v>74.89</v>
      </c>
    </row>
    <row r="3989">
      <c r="A3989" s="66" t="inlineStr">
        <is>
          <t>07/08/2020</t>
        </is>
      </c>
      <c r="B3989" s="28" t="n">
        <v>75.08</v>
      </c>
    </row>
    <row r="3990">
      <c r="A3990" s="66" t="inlineStr">
        <is>
          <t>10/08/2020</t>
        </is>
      </c>
      <c r="B3990" s="28" t="n">
        <v>76.31999999999999</v>
      </c>
    </row>
    <row r="3991">
      <c r="A3991" s="66" t="inlineStr">
        <is>
          <t>11/08/2020</t>
        </is>
      </c>
      <c r="B3991" s="28" t="n">
        <v>77.3</v>
      </c>
    </row>
    <row r="3992">
      <c r="A3992" s="66" t="inlineStr">
        <is>
          <t>12/08/2020</t>
        </is>
      </c>
      <c r="B3992" s="28" t="n">
        <v>78.01000000000001</v>
      </c>
    </row>
    <row r="3993">
      <c r="A3993" s="66" t="inlineStr">
        <is>
          <t>13/08/2020</t>
        </is>
      </c>
      <c r="B3993" s="28" t="n">
        <v>78.55</v>
      </c>
    </row>
    <row r="3994">
      <c r="A3994" s="66" t="inlineStr">
        <is>
          <t>14/08/2020</t>
        </is>
      </c>
      <c r="B3994" s="28" t="n">
        <v>79.05</v>
      </c>
    </row>
    <row r="3995">
      <c r="A3995" s="66" t="inlineStr">
        <is>
          <t>17/08/2020</t>
        </is>
      </c>
      <c r="B3995" s="28" t="n">
        <v>79.73999999999999</v>
      </c>
    </row>
    <row r="3996">
      <c r="A3996" s="66" t="inlineStr">
        <is>
          <t>18/08/2020</t>
        </is>
      </c>
      <c r="B3996" s="28" t="n">
        <v>82.06999999999999</v>
      </c>
    </row>
    <row r="3997">
      <c r="A3997" s="66" t="inlineStr">
        <is>
          <t>19/08/2020</t>
        </is>
      </c>
      <c r="B3997" s="28" t="n">
        <v>83.51000000000001</v>
      </c>
    </row>
    <row r="3998">
      <c r="A3998" s="66" t="inlineStr">
        <is>
          <t>20/08/2020</t>
        </is>
      </c>
      <c r="B3998" s="28" t="n">
        <v>84.04000000000001</v>
      </c>
    </row>
    <row r="3999">
      <c r="A3999" s="66" t="inlineStr">
        <is>
          <t>21/08/2020</t>
        </is>
      </c>
      <c r="B3999" s="28" t="n">
        <v>84.88</v>
      </c>
    </row>
    <row r="4000">
      <c r="A4000" s="66" t="inlineStr">
        <is>
          <t>24/08/2020</t>
        </is>
      </c>
      <c r="B4000" s="28" t="n">
        <v>85.34999999999999</v>
      </c>
    </row>
    <row r="4001">
      <c r="A4001" s="66" t="inlineStr">
        <is>
          <t>25/08/2020</t>
        </is>
      </c>
      <c r="B4001" s="28" t="n">
        <v>86.03</v>
      </c>
    </row>
    <row r="4002">
      <c r="A4002" s="66" t="inlineStr">
        <is>
          <t>26/08/2020</t>
        </is>
      </c>
      <c r="B4002" s="28" t="n">
        <v>86.44</v>
      </c>
    </row>
    <row r="4003">
      <c r="A4003" s="66" t="inlineStr">
        <is>
          <t>27/08/2020</t>
        </is>
      </c>
      <c r="B4003" s="28" t="n">
        <v>86.69</v>
      </c>
    </row>
    <row r="4004">
      <c r="A4004" s="66" t="inlineStr">
        <is>
          <t>28/08/2020</t>
        </is>
      </c>
      <c r="B4004" s="28" t="n">
        <v>86.83</v>
      </c>
    </row>
    <row r="4005">
      <c r="A4005" s="66" t="inlineStr">
        <is>
          <t>31/08/2020</t>
        </is>
      </c>
      <c r="B4005" s="28" t="n">
        <v>87.23</v>
      </c>
    </row>
    <row r="4006">
      <c r="A4006" s="66" t="inlineStr">
        <is>
          <t>01/09/2020</t>
        </is>
      </c>
      <c r="B4006" s="28" t="n">
        <v>83.15000000000001</v>
      </c>
    </row>
    <row r="4007">
      <c r="A4007" s="66" t="inlineStr">
        <is>
          <t>02/09/2020</t>
        </is>
      </c>
      <c r="B4007" s="28" t="n">
        <v>82.38</v>
      </c>
    </row>
    <row r="4008">
      <c r="A4008" s="66" t="inlineStr">
        <is>
          <t>03/09/2020</t>
        </is>
      </c>
      <c r="B4008" s="28" t="n">
        <v>80.68000000000001</v>
      </c>
    </row>
    <row r="4009">
      <c r="A4009" s="66" t="inlineStr">
        <is>
          <t>04/09/2020</t>
        </is>
      </c>
      <c r="B4009" s="28" t="n">
        <v>80.61</v>
      </c>
    </row>
    <row r="4010">
      <c r="A4010" s="66" t="inlineStr">
        <is>
          <t>08/09/2020</t>
        </is>
      </c>
      <c r="B4010" s="28" t="n">
        <v>80.04000000000001</v>
      </c>
    </row>
    <row r="4011">
      <c r="A4011" s="66" t="inlineStr">
        <is>
          <t>09/09/2020</t>
        </is>
      </c>
      <c r="B4011" s="28" t="n">
        <v>79.37</v>
      </c>
    </row>
    <row r="4012">
      <c r="A4012" s="66" t="inlineStr">
        <is>
          <t>10/09/2020</t>
        </is>
      </c>
      <c r="B4012" s="28" t="n">
        <v>79.68000000000001</v>
      </c>
    </row>
    <row r="4013">
      <c r="A4013" s="66" t="inlineStr">
        <is>
          <t>11/09/2020</t>
        </is>
      </c>
      <c r="B4013" s="28" t="n">
        <v>80.51000000000001</v>
      </c>
    </row>
    <row r="4014">
      <c r="A4014" s="66" t="inlineStr">
        <is>
          <t>14/09/2020</t>
        </is>
      </c>
      <c r="B4014" s="28" t="n">
        <v>81.48</v>
      </c>
    </row>
    <row r="4015">
      <c r="A4015" s="66" t="inlineStr">
        <is>
          <t>15/09/2020</t>
        </is>
      </c>
      <c r="B4015" s="28" t="n">
        <v>80.48999999999999</v>
      </c>
    </row>
    <row r="4016">
      <c r="A4016" s="66" t="inlineStr">
        <is>
          <t>16/09/2020</t>
        </is>
      </c>
      <c r="B4016" s="28" t="n">
        <v>80.36</v>
      </c>
    </row>
    <row r="4017">
      <c r="A4017" s="66" t="inlineStr">
        <is>
          <t>17/09/2020</t>
        </is>
      </c>
      <c r="B4017" s="28" t="n">
        <v>79.81999999999999</v>
      </c>
    </row>
    <row r="4018">
      <c r="A4018" s="66" t="inlineStr">
        <is>
          <t>18/09/2020</t>
        </is>
      </c>
      <c r="B4018" s="28" t="n">
        <v>79.81999999999999</v>
      </c>
    </row>
    <row r="4019">
      <c r="A4019" s="66" t="inlineStr">
        <is>
          <t>21/09/2020</t>
        </is>
      </c>
      <c r="B4019" s="28" t="n">
        <v>80.79000000000001</v>
      </c>
    </row>
    <row r="4020">
      <c r="A4020" s="66" t="inlineStr">
        <is>
          <t>22/09/2020</t>
        </is>
      </c>
      <c r="B4020" s="28" t="n">
        <v>81.77</v>
      </c>
    </row>
    <row r="4021">
      <c r="A4021" s="66" t="inlineStr">
        <is>
          <t>23/09/2020</t>
        </is>
      </c>
      <c r="B4021" s="28" t="n">
        <v>83.19</v>
      </c>
    </row>
    <row r="4022">
      <c r="A4022" s="66" t="inlineStr">
        <is>
          <t>24/09/2020</t>
        </is>
      </c>
      <c r="B4022" s="28" t="n">
        <v>83.64</v>
      </c>
    </row>
    <row r="4023">
      <c r="A4023" s="66" t="inlineStr">
        <is>
          <t>25/09/2020</t>
        </is>
      </c>
      <c r="B4023" s="28" t="n">
        <v>85.23999999999999</v>
      </c>
    </row>
    <row r="4024">
      <c r="A4024" s="66" t="inlineStr">
        <is>
          <t>28/09/2020</t>
        </is>
      </c>
      <c r="B4024" s="28" t="n">
        <v>85.2</v>
      </c>
    </row>
    <row r="4025">
      <c r="A4025" s="66" t="inlineStr">
        <is>
          <t>29/09/2020</t>
        </is>
      </c>
      <c r="B4025" s="28" t="n">
        <v>86.37</v>
      </c>
    </row>
    <row r="4026">
      <c r="A4026" s="66" t="inlineStr">
        <is>
          <t>30/09/2020</t>
        </is>
      </c>
      <c r="B4026" s="28" t="n">
        <v>86.84999999999999</v>
      </c>
    </row>
    <row r="4027">
      <c r="A4027" s="66" t="inlineStr">
        <is>
          <t>01/10/2020</t>
        </is>
      </c>
      <c r="B4027" s="28" t="n">
        <v>84.91</v>
      </c>
    </row>
    <row r="4028">
      <c r="A4028" s="66" t="inlineStr">
        <is>
          <t>02/10/2020</t>
        </is>
      </c>
      <c r="B4028" s="28" t="n">
        <v>85.61</v>
      </c>
    </row>
    <row r="4029">
      <c r="A4029" s="66" t="inlineStr">
        <is>
          <t>05/10/2020</t>
        </is>
      </c>
      <c r="B4029" s="28" t="n">
        <v>86.42</v>
      </c>
    </row>
    <row r="4030">
      <c r="A4030" s="66" t="inlineStr">
        <is>
          <t>06/10/2020</t>
        </is>
      </c>
      <c r="B4030" s="28" t="n">
        <v>86.58</v>
      </c>
    </row>
    <row r="4031">
      <c r="A4031" s="66" t="inlineStr">
        <is>
          <t>07/10/2020</t>
        </is>
      </c>
      <c r="B4031" s="28" t="n">
        <v>88.93000000000001</v>
      </c>
    </row>
    <row r="4032">
      <c r="A4032" s="66" t="inlineStr">
        <is>
          <t>08/10/2020</t>
        </is>
      </c>
      <c r="B4032" s="28" t="n">
        <v>89.31</v>
      </c>
    </row>
    <row r="4033">
      <c r="A4033" s="66" t="inlineStr">
        <is>
          <t>09/10/2020</t>
        </is>
      </c>
      <c r="B4033" s="28" t="n">
        <v>90.06999999999999</v>
      </c>
    </row>
    <row r="4034">
      <c r="A4034" s="66" t="inlineStr">
        <is>
          <t>13/10/2020</t>
        </is>
      </c>
      <c r="B4034" s="28" t="n">
        <v>91.34999999999999</v>
      </c>
    </row>
    <row r="4035">
      <c r="A4035" s="66" t="inlineStr">
        <is>
          <t>14/10/2020</t>
        </is>
      </c>
      <c r="B4035" s="28" t="n">
        <v>91.93000000000001</v>
      </c>
    </row>
    <row r="4036">
      <c r="A4036" s="66" t="inlineStr">
        <is>
          <t>15/10/2020</t>
        </is>
      </c>
      <c r="B4036" s="28" t="n">
        <v>92.95</v>
      </c>
    </row>
    <row r="4037">
      <c r="A4037" s="66" t="inlineStr">
        <is>
          <t>16/10/2020</t>
        </is>
      </c>
      <c r="B4037" s="28" t="n">
        <v>93.5</v>
      </c>
    </row>
    <row r="4038">
      <c r="A4038" s="66" t="inlineStr">
        <is>
          <t>19/10/2020</t>
        </is>
      </c>
      <c r="B4038" s="28" t="n">
        <v>94.52</v>
      </c>
    </row>
    <row r="4039">
      <c r="A4039" s="66" t="inlineStr">
        <is>
          <t>20/10/2020</t>
        </is>
      </c>
      <c r="B4039" s="28" t="n">
        <v>96.95</v>
      </c>
    </row>
    <row r="4040">
      <c r="A4040" s="66" t="inlineStr">
        <is>
          <t>21/10/2020</t>
        </is>
      </c>
      <c r="B4040" s="28" t="n">
        <v>99.68000000000001</v>
      </c>
    </row>
    <row r="4041">
      <c r="A4041" s="66" t="inlineStr">
        <is>
          <t>22/10/2020</t>
        </is>
      </c>
      <c r="B4041" s="28" t="n">
        <v>102.24</v>
      </c>
    </row>
    <row r="4042">
      <c r="A4042" s="66" t="inlineStr">
        <is>
          <t>23/10/2020</t>
        </is>
      </c>
      <c r="B4042" s="28" t="n">
        <v>104.21</v>
      </c>
    </row>
    <row r="4043">
      <c r="A4043" s="66" t="inlineStr">
        <is>
          <t>26/10/2020</t>
        </is>
      </c>
      <c r="B4043" s="28" t="n">
        <v>105.34</v>
      </c>
    </row>
    <row r="4044">
      <c r="A4044" s="66" t="inlineStr">
        <is>
          <t>27/10/2020</t>
        </is>
      </c>
      <c r="B4044" s="28" t="n">
        <v>107.73</v>
      </c>
    </row>
    <row r="4045">
      <c r="A4045" s="66" t="inlineStr">
        <is>
          <t>28/10/2020</t>
        </is>
      </c>
      <c r="B4045" s="28" t="n">
        <v>109.3</v>
      </c>
    </row>
    <row r="4046">
      <c r="A4046" s="66" t="inlineStr">
        <is>
          <t>29/10/2020</t>
        </is>
      </c>
      <c r="B4046" s="28" t="n">
        <v>109.14</v>
      </c>
    </row>
    <row r="4047">
      <c r="A4047" s="66" t="inlineStr">
        <is>
          <t>30/10/2020</t>
        </is>
      </c>
      <c r="B4047" s="28" t="n">
        <v>108.27</v>
      </c>
    </row>
    <row r="4048">
      <c r="A4048" s="66" t="inlineStr">
        <is>
          <t>03/11/2020</t>
        </is>
      </c>
      <c r="B4048" s="28" t="n">
        <v>103.4</v>
      </c>
    </row>
    <row r="4049">
      <c r="A4049" s="66" t="inlineStr">
        <is>
          <t>04/11/2020</t>
        </is>
      </c>
      <c r="B4049" s="28" t="n">
        <v>104.22</v>
      </c>
    </row>
    <row r="4050">
      <c r="A4050" s="66" t="inlineStr">
        <is>
          <t>05/11/2020</t>
        </is>
      </c>
      <c r="B4050" s="28" t="n">
        <v>104.04</v>
      </c>
    </row>
    <row r="4051">
      <c r="A4051" s="66" t="inlineStr">
        <is>
          <t>06/11/2020</t>
        </is>
      </c>
      <c r="B4051" s="28" t="n">
        <v>104.1</v>
      </c>
    </row>
    <row r="4052">
      <c r="A4052" s="66" t="inlineStr">
        <is>
          <t>09/11/2020</t>
        </is>
      </c>
      <c r="B4052" s="28" t="n">
        <v>103.58</v>
      </c>
    </row>
    <row r="4053">
      <c r="A4053" s="66" t="inlineStr">
        <is>
          <t>10/11/2020</t>
        </is>
      </c>
      <c r="B4053" s="28" t="n">
        <v>102.66</v>
      </c>
    </row>
    <row r="4054">
      <c r="A4054" s="66" t="inlineStr">
        <is>
          <t>11/11/2020</t>
        </is>
      </c>
      <c r="B4054" s="28" t="n">
        <v>103.16</v>
      </c>
    </row>
    <row r="4055">
      <c r="A4055" s="66" t="inlineStr">
        <is>
          <t>12/11/2020</t>
        </is>
      </c>
      <c r="B4055" s="28" t="n">
        <v>103.12</v>
      </c>
    </row>
    <row r="4056">
      <c r="A4056" s="66" t="inlineStr">
        <is>
          <t>13/11/2020</t>
        </is>
      </c>
      <c r="B4056" s="28" t="n">
        <v>103.36</v>
      </c>
    </row>
    <row r="4057">
      <c r="A4057" s="66" t="inlineStr">
        <is>
          <t>16/11/2020</t>
        </is>
      </c>
      <c r="B4057" s="28" t="n">
        <v>103.11</v>
      </c>
    </row>
    <row r="4058">
      <c r="A4058" s="66" t="inlineStr">
        <is>
          <t>17/11/2020</t>
        </is>
      </c>
      <c r="B4058" s="28" t="n">
        <v>103.59</v>
      </c>
    </row>
    <row r="4059">
      <c r="A4059" s="66" t="inlineStr">
        <is>
          <t>18/11/2020</t>
        </is>
      </c>
      <c r="B4059" s="28" t="n">
        <v>102.98</v>
      </c>
    </row>
    <row r="4060">
      <c r="A4060" s="66" t="inlineStr">
        <is>
          <t>19/11/2020</t>
        </is>
      </c>
      <c r="B4060" s="28" t="n">
        <v>102.44</v>
      </c>
    </row>
    <row r="4061">
      <c r="A4061" s="66" t="inlineStr">
        <is>
          <t>20/11/2020</t>
        </is>
      </c>
      <c r="B4061" s="28" t="n">
        <v>102.68</v>
      </c>
    </row>
    <row r="4062">
      <c r="A4062" s="66" t="inlineStr">
        <is>
          <t>23/11/2020</t>
        </is>
      </c>
      <c r="B4062" s="28" t="n">
        <v>102.49</v>
      </c>
    </row>
    <row r="4063">
      <c r="A4063" s="66" t="inlineStr">
        <is>
          <t>24/11/2020</t>
        </is>
      </c>
      <c r="B4063" s="28" t="n">
        <v>101.99</v>
      </c>
    </row>
    <row r="4064">
      <c r="A4064" s="66" t="inlineStr">
        <is>
          <t>25/11/2020</t>
        </is>
      </c>
      <c r="B4064" s="28" t="n">
        <v>102.12</v>
      </c>
    </row>
    <row r="4065">
      <c r="A4065" s="66" t="inlineStr">
        <is>
          <t>26/11/2020</t>
        </is>
      </c>
      <c r="B4065" s="28" t="n">
        <v>101.53</v>
      </c>
    </row>
    <row r="4066">
      <c r="A4066" s="66" t="inlineStr">
        <is>
          <t>27/11/2020</t>
        </is>
      </c>
      <c r="B4066" s="28" t="n">
        <v>101.48</v>
      </c>
    </row>
    <row r="4067">
      <c r="A4067" s="66" t="inlineStr">
        <is>
          <t>30/11/2020</t>
        </is>
      </c>
      <c r="B4067" s="28" t="n">
        <v>100.25</v>
      </c>
    </row>
    <row r="4068">
      <c r="A4068" s="66" t="inlineStr">
        <is>
          <t>01/12/2020</t>
        </is>
      </c>
      <c r="B4068" s="28" t="n">
        <v>97.84999999999999</v>
      </c>
    </row>
    <row r="4069">
      <c r="A4069" s="66" t="inlineStr">
        <is>
          <t>02/12/2020</t>
        </is>
      </c>
      <c r="B4069" s="28" t="n">
        <v>96.93000000000001</v>
      </c>
    </row>
    <row r="4070">
      <c r="A4070" s="66" t="inlineStr">
        <is>
          <t>03/12/2020</t>
        </is>
      </c>
      <c r="B4070" s="28" t="n">
        <v>95.7</v>
      </c>
    </row>
    <row r="4071">
      <c r="A4071" s="66" t="inlineStr">
        <is>
          <t>04/12/2020</t>
        </is>
      </c>
      <c r="B4071" s="28" t="n">
        <v>94.70999999999999</v>
      </c>
    </row>
    <row r="4072">
      <c r="A4072" s="66" t="inlineStr">
        <is>
          <t>07/12/2020</t>
        </is>
      </c>
      <c r="B4072" s="28" t="n">
        <v>93.63</v>
      </c>
    </row>
    <row r="4073">
      <c r="A4073" s="66" t="inlineStr">
        <is>
          <t>08/12/2020</t>
        </is>
      </c>
      <c r="B4073" s="28" t="n">
        <v>93.09999999999999</v>
      </c>
    </row>
    <row r="4074">
      <c r="A4074" s="66" t="inlineStr">
        <is>
          <t>09/12/2020</t>
        </is>
      </c>
      <c r="B4074" s="28" t="n">
        <v>93.34</v>
      </c>
    </row>
    <row r="4075">
      <c r="A4075" s="66" t="inlineStr">
        <is>
          <t>10/12/2020</t>
        </is>
      </c>
      <c r="B4075" s="28" t="n">
        <v>93.15000000000001</v>
      </c>
    </row>
    <row r="4076">
      <c r="A4076" s="66" t="inlineStr">
        <is>
          <t>11/12/2020</t>
        </is>
      </c>
      <c r="B4076" s="28" t="n">
        <v>92.69</v>
      </c>
    </row>
    <row r="4077">
      <c r="A4077" s="66" t="inlineStr">
        <is>
          <t>14/12/2020</t>
        </is>
      </c>
      <c r="B4077" s="28" t="n">
        <v>92.95999999999999</v>
      </c>
    </row>
    <row r="4078">
      <c r="A4078" s="66" t="inlineStr">
        <is>
          <t>15/12/2020</t>
        </is>
      </c>
      <c r="B4078" s="28" t="n">
        <v>93.63</v>
      </c>
    </row>
    <row r="4079">
      <c r="A4079" s="66" t="inlineStr">
        <is>
          <t>16/12/2020</t>
        </is>
      </c>
      <c r="B4079" s="28" t="n">
        <v>94.91</v>
      </c>
    </row>
    <row r="4080">
      <c r="A4080" s="66" t="inlineStr">
        <is>
          <t>17/12/2020</t>
        </is>
      </c>
      <c r="B4080" s="28" t="n">
        <v>93.97</v>
      </c>
    </row>
    <row r="4081">
      <c r="A4081" s="66" t="inlineStr">
        <is>
          <t>18/12/2020</t>
        </is>
      </c>
      <c r="B4081" s="28" t="n">
        <v>94.11</v>
      </c>
    </row>
    <row r="4082">
      <c r="A4082" s="66" t="inlineStr">
        <is>
          <t>21/12/2020</t>
        </is>
      </c>
      <c r="B4082" s="28" t="n">
        <v>95.23</v>
      </c>
    </row>
    <row r="4083">
      <c r="A4083" s="66" t="inlineStr">
        <is>
          <t>22/12/2020</t>
        </is>
      </c>
      <c r="B4083" s="28" t="n">
        <v>98.06999999999999</v>
      </c>
    </row>
    <row r="4084">
      <c r="A4084" s="66" t="inlineStr">
        <is>
          <t>23/12/2020</t>
        </is>
      </c>
      <c r="B4084" s="28" t="n">
        <v>98.40000000000001</v>
      </c>
    </row>
    <row r="4085">
      <c r="A4085" s="66" t="inlineStr">
        <is>
          <t>28/12/2020</t>
        </is>
      </c>
      <c r="B4085" s="28" t="n">
        <v>98.93000000000001</v>
      </c>
    </row>
    <row r="4086">
      <c r="A4086" s="66" t="inlineStr">
        <is>
          <t>29/12/2020</t>
        </is>
      </c>
      <c r="B4086" s="28" t="n">
        <v>99.47</v>
      </c>
    </row>
    <row r="4087">
      <c r="A4087" s="66" t="inlineStr">
        <is>
          <t>30/12/2020</t>
        </is>
      </c>
      <c r="B4087" s="28" t="n">
        <v>99.73</v>
      </c>
    </row>
    <row r="4088">
      <c r="A4088" s="66" t="inlineStr">
        <is>
          <t>04/01/2021</t>
        </is>
      </c>
      <c r="B4088" s="28" t="n">
        <v>101.1</v>
      </c>
    </row>
    <row r="4089">
      <c r="A4089" s="66" t="inlineStr">
        <is>
          <t>05/01/2021</t>
        </is>
      </c>
      <c r="B4089" s="28" t="n">
        <v>100.89</v>
      </c>
    </row>
    <row r="4090">
      <c r="A4090" s="66" t="inlineStr">
        <is>
          <t>06/01/2021</t>
        </is>
      </c>
      <c r="B4090" s="28" t="n">
        <v>101.74</v>
      </c>
    </row>
    <row r="4091">
      <c r="A4091" s="66" t="inlineStr">
        <is>
          <t>07/01/2021</t>
        </is>
      </c>
      <c r="B4091" s="28" t="n">
        <v>102.16</v>
      </c>
    </row>
    <row r="4092">
      <c r="A4092" s="66" t="inlineStr">
        <is>
          <t>08/01/2021</t>
        </is>
      </c>
      <c r="B4092" s="28" t="n">
        <v>102.1</v>
      </c>
    </row>
    <row r="4093">
      <c r="A4093" s="66" t="inlineStr">
        <is>
          <t>11/01/2021</t>
        </is>
      </c>
      <c r="B4093" s="28" t="n">
        <v>102.15</v>
      </c>
    </row>
    <row r="4094">
      <c r="A4094" s="66" t="inlineStr">
        <is>
          <t>12/01/2021</t>
        </is>
      </c>
      <c r="B4094" s="28" t="n">
        <v>102.99</v>
      </c>
    </row>
    <row r="4095">
      <c r="A4095" s="66" t="inlineStr">
        <is>
          <t>13/01/2021</t>
        </is>
      </c>
      <c r="B4095" s="28" t="n">
        <v>103.67</v>
      </c>
    </row>
    <row r="4096">
      <c r="A4096" s="66" t="inlineStr">
        <is>
          <t>14/01/2021</t>
        </is>
      </c>
      <c r="B4096" s="28" t="n">
        <v>104.18</v>
      </c>
    </row>
    <row r="4097">
      <c r="A4097" s="66" t="inlineStr">
        <is>
          <t>15/01/2021</t>
        </is>
      </c>
      <c r="B4097" s="28" t="n">
        <v>104.48</v>
      </c>
    </row>
    <row r="4098">
      <c r="A4098" s="66" t="inlineStr">
        <is>
          <t>18/01/2021</t>
        </is>
      </c>
      <c r="B4098" s="28" t="n">
        <v>105.02</v>
      </c>
    </row>
    <row r="4099">
      <c r="A4099" s="66" t="inlineStr">
        <is>
          <t>19/01/2021</t>
        </is>
      </c>
      <c r="B4099" s="28" t="n">
        <v>105.34</v>
      </c>
    </row>
    <row r="4100">
      <c r="A4100" s="66" t="inlineStr">
        <is>
          <t>20/01/2021</t>
        </is>
      </c>
      <c r="B4100" s="28" t="n">
        <v>105.61</v>
      </c>
    </row>
    <row r="4101">
      <c r="A4101" s="66" t="inlineStr">
        <is>
          <t>21/01/2021</t>
        </is>
      </c>
      <c r="B4101" s="28" t="n">
        <v>105.11</v>
      </c>
    </row>
    <row r="4102">
      <c r="A4102" s="66" t="inlineStr">
        <is>
          <t>22/01/2021</t>
        </is>
      </c>
      <c r="B4102" s="28" t="n">
        <v>104.36</v>
      </c>
    </row>
    <row r="4103">
      <c r="A4103" s="66" t="inlineStr">
        <is>
          <t>25/01/2021</t>
        </is>
      </c>
      <c r="B4103" s="28" t="n">
        <v>103.67</v>
      </c>
    </row>
    <row r="4104">
      <c r="A4104" s="66" t="inlineStr">
        <is>
          <t>26/01/2021</t>
        </is>
      </c>
      <c r="B4104" s="28" t="n">
        <v>103.8</v>
      </c>
    </row>
    <row r="4105">
      <c r="A4105" s="66" t="inlineStr">
        <is>
          <t>27/01/2021</t>
        </is>
      </c>
      <c r="B4105" s="28" t="n">
        <v>103.62</v>
      </c>
    </row>
    <row r="4106">
      <c r="A4106" s="66" t="inlineStr">
        <is>
          <t>28/01/2021</t>
        </is>
      </c>
      <c r="B4106" s="28" t="n">
        <v>102.91</v>
      </c>
    </row>
    <row r="4107">
      <c r="A4107" s="66" t="inlineStr">
        <is>
          <t>29/01/2021</t>
        </is>
      </c>
      <c r="B4107" s="28" t="n">
        <v>103.02</v>
      </c>
    </row>
    <row r="4108">
      <c r="A4108" s="66" t="inlineStr">
        <is>
          <t>01/02/2021</t>
        </is>
      </c>
      <c r="B4108" s="28" t="n">
        <v>101.21</v>
      </c>
    </row>
    <row r="4109">
      <c r="A4109" s="66" t="inlineStr">
        <is>
          <t>02/02/2021</t>
        </is>
      </c>
      <c r="B4109" s="28" t="n">
        <v>100.1</v>
      </c>
    </row>
    <row r="4110">
      <c r="A4110" s="66" t="inlineStr">
        <is>
          <t>03/02/2021</t>
        </is>
      </c>
      <c r="B4110" s="28" t="n">
        <v>100.17</v>
      </c>
    </row>
    <row r="4111">
      <c r="A4111" s="66" t="inlineStr">
        <is>
          <t>04/02/2021</t>
        </is>
      </c>
      <c r="B4111" s="28" t="n">
        <v>100.09</v>
      </c>
    </row>
    <row r="4112">
      <c r="A4112" s="66" t="inlineStr">
        <is>
          <t>05/02/2021</t>
        </is>
      </c>
      <c r="B4112" s="28" t="n">
        <v>99.8</v>
      </c>
    </row>
    <row r="4113">
      <c r="A4113" s="66" t="inlineStr">
        <is>
          <t>08/02/2021</t>
        </is>
      </c>
      <c r="B4113" s="28" t="n">
        <v>99.69</v>
      </c>
    </row>
    <row r="4114">
      <c r="A4114" s="66" t="inlineStr">
        <is>
          <t>09/02/2021</t>
        </is>
      </c>
      <c r="B4114" s="28" t="n">
        <v>100.54</v>
      </c>
    </row>
    <row r="4115">
      <c r="A4115" s="66" t="inlineStr">
        <is>
          <t>10/02/2021</t>
        </is>
      </c>
      <c r="B4115" s="28" t="n">
        <v>100.26</v>
      </c>
    </row>
    <row r="4116">
      <c r="A4116" s="66" t="inlineStr">
        <is>
          <t>11/02/2021</t>
        </is>
      </c>
      <c r="B4116" s="28" t="n">
        <v>100.29</v>
      </c>
    </row>
    <row r="4117">
      <c r="A4117" s="66" t="inlineStr">
        <is>
          <t>12/02/2021</t>
        </is>
      </c>
      <c r="B4117" s="28" t="n">
        <v>100.55</v>
      </c>
    </row>
    <row r="4118">
      <c r="A4118" s="66" t="inlineStr">
        <is>
          <t>17/02/2021</t>
        </is>
      </c>
      <c r="B4118" s="28" t="n">
        <v>101.03</v>
      </c>
    </row>
    <row r="4119">
      <c r="A4119" s="66" t="inlineStr">
        <is>
          <t>18/02/2021</t>
        </is>
      </c>
      <c r="B4119" s="28" t="n">
        <v>101.34</v>
      </c>
    </row>
    <row r="4120">
      <c r="A4120" s="66" t="inlineStr">
        <is>
          <t>19/02/2021</t>
        </is>
      </c>
      <c r="B4120" s="28" t="n">
        <v>101.69</v>
      </c>
    </row>
    <row r="4121">
      <c r="A4121" s="66" t="inlineStr">
        <is>
          <t>22/02/2021</t>
        </is>
      </c>
      <c r="B4121" s="28" t="n">
        <v>102.34</v>
      </c>
    </row>
    <row r="4122">
      <c r="A4122" s="66" t="inlineStr">
        <is>
          <t>23/02/2021</t>
        </is>
      </c>
      <c r="B4122" s="28" t="n">
        <v>102.57</v>
      </c>
    </row>
    <row r="4123">
      <c r="A4123" s="66" t="inlineStr">
        <is>
          <t>24/02/2021</t>
        </is>
      </c>
      <c r="B4123" s="28" t="n">
        <v>102.71</v>
      </c>
    </row>
    <row r="4124">
      <c r="A4124" s="66" t="inlineStr">
        <is>
          <t>25/02/2021</t>
        </is>
      </c>
      <c r="B4124" s="28" t="n">
        <v>103.19</v>
      </c>
    </row>
    <row r="4125">
      <c r="A4125" s="66" t="inlineStr">
        <is>
          <t>26/02/2021</t>
        </is>
      </c>
      <c r="B4125" s="28" t="n">
        <v>102.97</v>
      </c>
    </row>
    <row r="4126">
      <c r="A4126" s="66" t="inlineStr">
        <is>
          <t>01/03/2021</t>
        </is>
      </c>
      <c r="B4126" s="28" t="n">
        <v>100.24</v>
      </c>
    </row>
    <row r="4127">
      <c r="A4127" s="66" t="inlineStr">
        <is>
          <t>02/03/2021</t>
        </is>
      </c>
      <c r="B4127" s="28" t="n">
        <v>100.85</v>
      </c>
    </row>
    <row r="4128">
      <c r="A4128" s="66" t="inlineStr">
        <is>
          <t>03/03/2021</t>
        </is>
      </c>
      <c r="B4128" s="28" t="n">
        <v>101.96</v>
      </c>
    </row>
    <row r="4129">
      <c r="A4129" s="66" t="inlineStr">
        <is>
          <t>04/03/2021</t>
        </is>
      </c>
      <c r="B4129" s="28" t="n">
        <v>103.75</v>
      </c>
    </row>
    <row r="4130">
      <c r="A4130" s="66" t="inlineStr">
        <is>
          <t>05/03/2021</t>
        </is>
      </c>
      <c r="B4130" s="28" t="n">
        <v>104.32</v>
      </c>
    </row>
    <row r="4131">
      <c r="A4131" s="66" t="inlineStr">
        <is>
          <t>08/03/2021</t>
        </is>
      </c>
      <c r="B4131" s="28" t="n">
        <v>104.97</v>
      </c>
    </row>
    <row r="4132">
      <c r="A4132" s="66" t="inlineStr">
        <is>
          <t>09/03/2021</t>
        </is>
      </c>
      <c r="B4132" s="28" t="n">
        <v>105.27</v>
      </c>
    </row>
    <row r="4133">
      <c r="A4133" s="66" t="inlineStr">
        <is>
          <t>10/03/2021</t>
        </is>
      </c>
      <c r="B4133" s="28" t="n">
        <v>107.27</v>
      </c>
    </row>
    <row r="4134">
      <c r="A4134" s="66" t="inlineStr">
        <is>
          <t>11/03/2021</t>
        </is>
      </c>
      <c r="B4134" s="28" t="n">
        <v>107.42</v>
      </c>
    </row>
    <row r="4135">
      <c r="A4135" s="66" t="inlineStr">
        <is>
          <t>12/03/2021</t>
        </is>
      </c>
      <c r="B4135" s="28" t="n">
        <v>107.43</v>
      </c>
    </row>
    <row r="4136">
      <c r="A4136" s="66" t="inlineStr">
        <is>
          <t>15/03/2021</t>
        </is>
      </c>
      <c r="B4136" s="28" t="n">
        <v>107.95</v>
      </c>
    </row>
    <row r="4137">
      <c r="A4137" s="66" t="inlineStr">
        <is>
          <t>16/03/2021</t>
        </is>
      </c>
      <c r="B4137" s="28" t="n">
        <v>109.17</v>
      </c>
    </row>
    <row r="4138">
      <c r="A4138" s="66" t="inlineStr">
        <is>
          <t>17/03/2021</t>
        </is>
      </c>
      <c r="B4138" s="28" t="n">
        <v>109.43</v>
      </c>
    </row>
    <row r="4139">
      <c r="A4139" s="66" t="inlineStr">
        <is>
          <t>18/03/2021</t>
        </is>
      </c>
      <c r="B4139" s="28" t="n">
        <v>109.27</v>
      </c>
    </row>
    <row r="4140">
      <c r="A4140" s="66" t="inlineStr">
        <is>
          <t>19/03/2021</t>
        </is>
      </c>
      <c r="B4140" s="28" t="n">
        <v>109.91</v>
      </c>
    </row>
    <row r="4141">
      <c r="A4141" s="66" t="inlineStr">
        <is>
          <t>22/03/2021</t>
        </is>
      </c>
      <c r="B4141" s="28" t="n">
        <v>109.24</v>
      </c>
    </row>
    <row r="4142">
      <c r="A4142" s="66" t="inlineStr">
        <is>
          <t>23/03/2021</t>
        </is>
      </c>
      <c r="B4142" s="28" t="n">
        <v>108.4</v>
      </c>
    </row>
    <row r="4143">
      <c r="A4143" s="66" t="inlineStr">
        <is>
          <t>24/03/2021</t>
        </is>
      </c>
      <c r="B4143" s="28" t="n">
        <v>108.95</v>
      </c>
    </row>
    <row r="4144">
      <c r="A4144" s="66" t="inlineStr">
        <is>
          <t>25/03/2021</t>
        </is>
      </c>
      <c r="B4144" s="28" t="n">
        <v>109.28</v>
      </c>
    </row>
    <row r="4145">
      <c r="A4145" s="66" t="inlineStr">
        <is>
          <t>26/03/2021</t>
        </is>
      </c>
      <c r="B4145" s="28" t="n">
        <v>109.39</v>
      </c>
    </row>
    <row r="4146">
      <c r="A4146" s="66" t="inlineStr">
        <is>
          <t>29/03/2021</t>
        </is>
      </c>
      <c r="B4146" s="28" t="n">
        <v>110.56</v>
      </c>
    </row>
    <row r="4147">
      <c r="A4147" s="66" t="inlineStr">
        <is>
          <t>30/03/2021</t>
        </is>
      </c>
      <c r="B4147" s="28" t="n">
        <v>110.35</v>
      </c>
    </row>
    <row r="4148">
      <c r="A4148" s="66" t="inlineStr">
        <is>
          <t>31/03/2021</t>
        </is>
      </c>
      <c r="B4148" s="28" t="n">
        <v>109.75</v>
      </c>
    </row>
    <row r="4149">
      <c r="A4149" s="66" t="inlineStr">
        <is>
          <t>01/04/2021</t>
        </is>
      </c>
      <c r="B4149" s="28" t="n">
        <v>108.34</v>
      </c>
    </row>
    <row r="4150">
      <c r="A4150" s="66" t="inlineStr">
        <is>
          <t>05/04/2021</t>
        </is>
      </c>
      <c r="B4150" s="28" t="n">
        <v>108.5</v>
      </c>
    </row>
    <row r="4151">
      <c r="A4151" s="66" t="inlineStr">
        <is>
          <t>06/04/2021</t>
        </is>
      </c>
      <c r="B4151" s="28" t="n">
        <v>109.26</v>
      </c>
    </row>
    <row r="4152">
      <c r="A4152" s="66" t="inlineStr">
        <is>
          <t>07/04/2021</t>
        </is>
      </c>
      <c r="B4152" s="28" t="n">
        <v>109.98</v>
      </c>
    </row>
    <row r="4153">
      <c r="A4153" s="66" t="inlineStr">
        <is>
          <t>08/04/2021</t>
        </is>
      </c>
      <c r="B4153" s="28" t="n">
        <v>110.17</v>
      </c>
    </row>
    <row r="4154">
      <c r="A4154" s="66" t="inlineStr">
        <is>
          <t>09/04/2021</t>
        </is>
      </c>
      <c r="B4154" s="28" t="n">
        <v>110.03</v>
      </c>
    </row>
    <row r="4155">
      <c r="A4155" s="66" t="inlineStr">
        <is>
          <t>12/04/2021</t>
        </is>
      </c>
      <c r="B4155" s="28" t="n">
        <v>110.68</v>
      </c>
    </row>
    <row r="4156">
      <c r="A4156" s="66" t="inlineStr">
        <is>
          <t>13/04/2021</t>
        </is>
      </c>
      <c r="B4156" s="28" t="n">
        <v>111.42</v>
      </c>
    </row>
    <row r="4157">
      <c r="A4157" s="66" t="inlineStr">
        <is>
          <t>14/04/2021</t>
        </is>
      </c>
      <c r="B4157" s="28" t="n">
        <v>111.82</v>
      </c>
    </row>
    <row r="4158">
      <c r="A4158" s="66" t="inlineStr">
        <is>
          <t>15/04/2021</t>
        </is>
      </c>
      <c r="B4158" s="28" t="n">
        <v>112.65</v>
      </c>
    </row>
    <row r="4159">
      <c r="A4159" s="66" t="inlineStr">
        <is>
          <t>16/04/2021</t>
        </is>
      </c>
      <c r="B4159" s="28" t="n">
        <v>112.93</v>
      </c>
    </row>
    <row r="4160">
      <c r="A4160" s="66" t="inlineStr">
        <is>
          <t>19/04/2021</t>
        </is>
      </c>
      <c r="B4160" s="28" t="n">
        <v>112.96</v>
      </c>
    </row>
    <row r="4161">
      <c r="A4161" s="66" t="inlineStr">
        <is>
          <t>20/04/2021</t>
        </is>
      </c>
      <c r="B4161" s="28" t="n">
        <v>112.81</v>
      </c>
    </row>
    <row r="4162">
      <c r="A4162" s="66" t="inlineStr">
        <is>
          <t>22/04/2021</t>
        </is>
      </c>
      <c r="B4162" s="28" t="n">
        <v>113.04</v>
      </c>
    </row>
    <row r="4163">
      <c r="A4163" s="66" t="inlineStr">
        <is>
          <t>23/04/2021</t>
        </is>
      </c>
      <c r="B4163" s="28" t="n">
        <v>113.88</v>
      </c>
    </row>
    <row r="4164">
      <c r="A4164" s="66" t="inlineStr">
        <is>
          <t>26/04/2021</t>
        </is>
      </c>
      <c r="B4164" s="28" t="n">
        <v>114.54</v>
      </c>
    </row>
    <row r="4165">
      <c r="A4165" s="66" t="inlineStr">
        <is>
          <t>27/04/2021</t>
        </is>
      </c>
      <c r="B4165" s="28" t="n">
        <v>114.08</v>
      </c>
    </row>
    <row r="4166">
      <c r="A4166" s="66" t="inlineStr">
        <is>
          <t>28/04/2021</t>
        </is>
      </c>
      <c r="B4166" s="28" t="n">
        <v>114.51</v>
      </c>
    </row>
    <row r="4167">
      <c r="A4167" s="66" t="inlineStr">
        <is>
          <t>29/04/2021</t>
        </is>
      </c>
      <c r="B4167" s="28" t="n">
        <v>115.12</v>
      </c>
    </row>
    <row r="4168">
      <c r="A4168" s="66" t="inlineStr">
        <is>
          <t>30/04/2021</t>
        </is>
      </c>
      <c r="B4168" s="28" t="n">
        <v>115.1</v>
      </c>
    </row>
    <row r="4169">
      <c r="A4169" s="66" t="inlineStr">
        <is>
          <t>03/05/2021</t>
        </is>
      </c>
      <c r="B4169" s="28" t="n">
        <v>110.65</v>
      </c>
    </row>
    <row r="4170">
      <c r="A4170" s="66" t="inlineStr">
        <is>
          <t>04/05/2021</t>
        </is>
      </c>
      <c r="B4170" s="28" t="n">
        <v>110.6</v>
      </c>
    </row>
    <row r="4171">
      <c r="A4171" s="66" t="inlineStr">
        <is>
          <t>05/05/2021</t>
        </is>
      </c>
      <c r="B4171" s="28" t="n">
        <v>111.1</v>
      </c>
    </row>
    <row r="4172">
      <c r="A4172" s="66" t="inlineStr">
        <is>
          <t>06/05/2021</t>
        </is>
      </c>
      <c r="B4172" s="28" t="n">
        <v>111.83</v>
      </c>
    </row>
    <row r="4173">
      <c r="A4173" s="66" t="inlineStr">
        <is>
          <t>07/05/2021</t>
        </is>
      </c>
      <c r="B4173" s="28" t="n">
        <v>112.56</v>
      </c>
    </row>
    <row r="4174">
      <c r="A4174" s="66" t="inlineStr">
        <is>
          <t>10/05/2021</t>
        </is>
      </c>
      <c r="B4174" s="28" t="n">
        <v>112.19</v>
      </c>
    </row>
    <row r="4175">
      <c r="A4175" s="66" t="inlineStr">
        <is>
          <t>11/05/2021</t>
        </is>
      </c>
      <c r="B4175" s="28" t="n">
        <v>112.38</v>
      </c>
    </row>
    <row r="4176">
      <c r="A4176" s="66" t="inlineStr">
        <is>
          <t>12/05/2021</t>
        </is>
      </c>
      <c r="B4176" s="28" t="n">
        <v>113.48</v>
      </c>
    </row>
    <row r="4177">
      <c r="A4177" s="66" t="inlineStr">
        <is>
          <t>13/05/2021</t>
        </is>
      </c>
      <c r="B4177" s="28" t="n">
        <v>112.81</v>
      </c>
    </row>
    <row r="4178">
      <c r="A4178" s="66" t="inlineStr">
        <is>
          <t>14/05/2021</t>
        </is>
      </c>
      <c r="B4178" s="28" t="n">
        <v>112.32</v>
      </c>
    </row>
    <row r="4179">
      <c r="A4179" s="66" t="inlineStr">
        <is>
          <t>17/05/2021</t>
        </is>
      </c>
      <c r="B4179" s="28" t="n">
        <v>112.03</v>
      </c>
    </row>
    <row r="4180">
      <c r="A4180" s="66" t="inlineStr">
        <is>
          <t>18/05/2021</t>
        </is>
      </c>
      <c r="B4180" s="28" t="n">
        <v>114.41</v>
      </c>
    </row>
    <row r="4181">
      <c r="A4181" s="66" t="inlineStr">
        <is>
          <t>19/05/2021</t>
        </is>
      </c>
      <c r="B4181" s="28" t="n">
        <v>113.85</v>
      </c>
    </row>
    <row r="4182">
      <c r="A4182" s="66" t="inlineStr">
        <is>
          <t>20/05/2021</t>
        </is>
      </c>
      <c r="B4182" s="28" t="n">
        <v>113.11</v>
      </c>
    </row>
    <row r="4183">
      <c r="A4183" s="66" t="inlineStr">
        <is>
          <t>21/05/2021</t>
        </is>
      </c>
      <c r="B4183" s="28" t="n">
        <v>112.97</v>
      </c>
    </row>
    <row r="4184">
      <c r="A4184" s="66" t="inlineStr">
        <is>
          <t>24/05/2021</t>
        </is>
      </c>
      <c r="B4184" s="28" t="n">
        <v>112.07</v>
      </c>
    </row>
    <row r="4185">
      <c r="A4185" s="66" t="inlineStr">
        <is>
          <t>25/05/2021</t>
        </is>
      </c>
      <c r="B4185" s="28" t="n">
        <v>109.35</v>
      </c>
    </row>
    <row r="4186">
      <c r="A4186" s="66" t="inlineStr">
        <is>
          <t>26/05/2021</t>
        </is>
      </c>
      <c r="B4186" s="28" t="n">
        <v>107.32</v>
      </c>
    </row>
    <row r="4187">
      <c r="A4187" s="66" t="inlineStr">
        <is>
          <t>27/05/2021</t>
        </is>
      </c>
      <c r="B4187" s="28" t="n">
        <v>108.27</v>
      </c>
    </row>
    <row r="4188">
      <c r="A4188" s="66" t="inlineStr">
        <is>
          <t>28/05/2021</t>
        </is>
      </c>
      <c r="B4188" s="28" t="n">
        <v>109.99</v>
      </c>
    </row>
    <row r="4189">
      <c r="A4189" s="66" t="inlineStr">
        <is>
          <t>31/05/2021</t>
        </is>
      </c>
      <c r="B4189" s="28" t="n">
        <v>110.91</v>
      </c>
    </row>
    <row r="4190">
      <c r="A4190" s="66" t="inlineStr">
        <is>
          <t>01/06/2021</t>
        </is>
      </c>
      <c r="B4190" s="28" t="n">
        <v>109.32</v>
      </c>
    </row>
    <row r="4191">
      <c r="A4191" s="66" t="inlineStr">
        <is>
          <t>02/06/2021</t>
        </is>
      </c>
      <c r="B4191" s="28" t="n">
        <v>108.7</v>
      </c>
    </row>
    <row r="4192">
      <c r="A4192" s="66" t="inlineStr">
        <is>
          <t>04/06/2021</t>
        </is>
      </c>
      <c r="B4192" s="28" t="n">
        <v>108.66</v>
      </c>
    </row>
    <row r="4193">
      <c r="A4193" s="66" t="inlineStr">
        <is>
          <t>07/06/2021</t>
        </is>
      </c>
      <c r="B4193" s="28" t="n">
        <v>106.91</v>
      </c>
    </row>
    <row r="4194">
      <c r="A4194" s="66" t="inlineStr">
        <is>
          <t>08/06/2021</t>
        </is>
      </c>
      <c r="B4194" s="28" t="n">
        <v>106.39</v>
      </c>
    </row>
    <row r="4195">
      <c r="A4195" s="66" t="inlineStr">
        <is>
          <t>09/06/2021</t>
        </is>
      </c>
      <c r="B4195" s="28" t="n">
        <v>105.45</v>
      </c>
    </row>
    <row r="4196">
      <c r="A4196" s="66" t="inlineStr">
        <is>
          <t>10/06/2021</t>
        </is>
      </c>
      <c r="B4196" s="28" t="n">
        <v>104.89</v>
      </c>
    </row>
    <row r="4197">
      <c r="A4197" s="66" t="inlineStr">
        <is>
          <t>11/06/2021</t>
        </is>
      </c>
      <c r="B4197" s="28" t="n">
        <v>104.53</v>
      </c>
    </row>
    <row r="4198">
      <c r="A4198" s="66" t="inlineStr">
        <is>
          <t>14/06/2021</t>
        </is>
      </c>
      <c r="B4198" s="28" t="n">
        <v>103.88</v>
      </c>
    </row>
    <row r="4199">
      <c r="A4199" s="66" t="inlineStr">
        <is>
          <t>15/06/2021</t>
        </is>
      </c>
      <c r="B4199" s="28" t="n">
        <v>102.76</v>
      </c>
    </row>
    <row r="4200">
      <c r="A4200" s="66" t="inlineStr">
        <is>
          <t>16/06/2021</t>
        </is>
      </c>
      <c r="B4200" s="28" t="n">
        <v>100.92</v>
      </c>
    </row>
    <row r="4201">
      <c r="A4201" s="66" t="inlineStr">
        <is>
          <t>17/06/2021</t>
        </is>
      </c>
      <c r="B4201" s="28" t="n">
        <v>98.67</v>
      </c>
    </row>
    <row r="4202">
      <c r="A4202" s="66" t="inlineStr">
        <is>
          <t>18/06/2021</t>
        </is>
      </c>
      <c r="B4202" s="28" t="n">
        <v>99.01000000000001</v>
      </c>
    </row>
    <row r="4203">
      <c r="A4203" s="66" t="inlineStr">
        <is>
          <t>21/06/2021</t>
        </is>
      </c>
      <c r="B4203" s="28" t="n">
        <v>97.52</v>
      </c>
    </row>
    <row r="4204">
      <c r="A4204" s="66" t="inlineStr">
        <is>
          <t>22/06/2021</t>
        </is>
      </c>
      <c r="B4204" s="28" t="n">
        <v>96.64</v>
      </c>
    </row>
    <row r="4205">
      <c r="A4205" s="66" t="inlineStr">
        <is>
          <t>23/06/2021</t>
        </is>
      </c>
      <c r="B4205" s="28" t="n">
        <v>96.15000000000001</v>
      </c>
    </row>
    <row r="4206">
      <c r="A4206" s="66" t="inlineStr">
        <is>
          <t>24/06/2021</t>
        </is>
      </c>
      <c r="B4206" s="28" t="n">
        <v>95.02</v>
      </c>
    </row>
    <row r="4207">
      <c r="A4207" s="66" t="inlineStr">
        <is>
          <t>25/06/2021</t>
        </is>
      </c>
      <c r="B4207" s="28" t="n">
        <v>95.04000000000001</v>
      </c>
    </row>
    <row r="4208">
      <c r="A4208" s="66" t="inlineStr">
        <is>
          <t>28/06/2021</t>
        </is>
      </c>
      <c r="B4208" s="28" t="n">
        <v>95.44</v>
      </c>
    </row>
    <row r="4209">
      <c r="A4209" s="66" t="inlineStr">
        <is>
          <t>29/06/2021</t>
        </is>
      </c>
      <c r="B4209" s="28" t="n">
        <v>96</v>
      </c>
    </row>
    <row r="4210">
      <c r="A4210" s="66" t="inlineStr">
        <is>
          <t>30/06/2021</t>
        </is>
      </c>
      <c r="B4210" s="28" t="n">
        <v>98.68000000000001</v>
      </c>
    </row>
    <row r="4211">
      <c r="A4211" s="66" t="inlineStr">
        <is>
          <t>01/07/2021</t>
        </is>
      </c>
      <c r="B4211" s="28" t="n">
        <v>99.75</v>
      </c>
    </row>
    <row r="4212">
      <c r="A4212" s="66" t="inlineStr">
        <is>
          <t>02/07/2021</t>
        </is>
      </c>
      <c r="B4212" s="28" t="n">
        <v>100.68</v>
      </c>
    </row>
    <row r="4213">
      <c r="A4213" s="66" t="inlineStr">
        <is>
          <t>05/07/2021</t>
        </is>
      </c>
      <c r="B4213" s="28" t="n">
        <v>102.32</v>
      </c>
    </row>
    <row r="4214">
      <c r="A4214" s="66" t="inlineStr">
        <is>
          <t>06/07/2021</t>
        </is>
      </c>
      <c r="B4214" s="28" t="n">
        <v>103.24</v>
      </c>
    </row>
    <row r="4215">
      <c r="A4215" s="66" t="inlineStr">
        <is>
          <t>07/07/2021</t>
        </is>
      </c>
      <c r="B4215" s="28" t="n">
        <v>104.04</v>
      </c>
    </row>
    <row r="4216">
      <c r="A4216" s="66" t="inlineStr">
        <is>
          <t>08/07/2021</t>
        </is>
      </c>
      <c r="B4216" s="28" t="n">
        <v>104.87</v>
      </c>
    </row>
    <row r="4217">
      <c r="A4217" s="66" t="inlineStr">
        <is>
          <t>09/07/2021</t>
        </is>
      </c>
      <c r="B4217" s="28" t="n">
        <v>105.17</v>
      </c>
    </row>
    <row r="4218">
      <c r="A4218" s="66" t="inlineStr">
        <is>
          <t>12/07/2021</t>
        </is>
      </c>
      <c r="B4218" s="28" t="n">
        <v>105.21</v>
      </c>
    </row>
    <row r="4219">
      <c r="A4219" s="66" t="inlineStr">
        <is>
          <t>13/07/2021</t>
        </is>
      </c>
      <c r="B4219" s="28" t="n">
        <v>105.41</v>
      </c>
    </row>
    <row r="4220">
      <c r="A4220" s="66" t="inlineStr">
        <is>
          <t>14/07/2021</t>
        </is>
      </c>
      <c r="B4220" s="28" t="n">
        <v>106.25</v>
      </c>
    </row>
    <row r="4221">
      <c r="A4221" s="66" t="inlineStr">
        <is>
          <t>15/07/2021</t>
        </is>
      </c>
      <c r="B4221" s="28" t="n">
        <v>107.14</v>
      </c>
    </row>
    <row r="4222">
      <c r="A4222" s="66" t="inlineStr">
        <is>
          <t>16/07/2021</t>
        </is>
      </c>
      <c r="B4222" s="28" t="n">
        <v>106.41</v>
      </c>
    </row>
    <row r="4223">
      <c r="A4223" s="66" t="inlineStr">
        <is>
          <t>19/07/2021</t>
        </is>
      </c>
      <c r="B4223" s="28" t="n">
        <v>106.56</v>
      </c>
    </row>
    <row r="4224">
      <c r="A4224" s="66" t="inlineStr">
        <is>
          <t>20/07/2021</t>
        </is>
      </c>
      <c r="B4224" s="28" t="n">
        <v>106.57</v>
      </c>
    </row>
    <row r="4225">
      <c r="A4225" s="66" t="inlineStr">
        <is>
          <t>21/07/2021</t>
        </is>
      </c>
      <c r="B4225" s="28" t="n">
        <v>107.72</v>
      </c>
    </row>
    <row r="4226">
      <c r="A4226" s="66" t="inlineStr">
        <is>
          <t>22/07/2021</t>
        </is>
      </c>
      <c r="B4226" s="28" t="n">
        <v>108.43</v>
      </c>
    </row>
    <row r="4227">
      <c r="A4227" s="66" t="inlineStr">
        <is>
          <t>23/07/2021</t>
        </is>
      </c>
      <c r="B4227" s="28" t="n">
        <v>109.31</v>
      </c>
    </row>
    <row r="4228">
      <c r="A4228" s="66" t="inlineStr">
        <is>
          <t>26/07/2021</t>
        </is>
      </c>
      <c r="B4228" s="28" t="n">
        <v>110.01</v>
      </c>
    </row>
    <row r="4229">
      <c r="A4229" s="66" t="inlineStr">
        <is>
          <t>27/07/2021</t>
        </is>
      </c>
      <c r="B4229" s="28" t="n">
        <v>111.07</v>
      </c>
    </row>
    <row r="4230">
      <c r="A4230" s="66" t="inlineStr">
        <is>
          <t>28/07/2021</t>
        </is>
      </c>
      <c r="B4230" s="28" t="n">
        <v>111.98</v>
      </c>
    </row>
    <row r="4231">
      <c r="A4231" s="66" t="inlineStr">
        <is>
          <t>29/07/2021</t>
        </is>
      </c>
      <c r="B4231" s="28" t="n">
        <v>111.43</v>
      </c>
    </row>
    <row r="4232">
      <c r="A4232" s="66" t="inlineStr">
        <is>
          <t>30/07/2021</t>
        </is>
      </c>
      <c r="B4232" s="28" t="n">
        <v>110.85</v>
      </c>
    </row>
    <row r="4233">
      <c r="A4233" s="66" t="inlineStr">
        <is>
          <t>02/08/2021</t>
        </is>
      </c>
      <c r="B4233" s="28" t="n">
        <v>110.2</v>
      </c>
    </row>
    <row r="4234">
      <c r="A4234" s="66" t="inlineStr">
        <is>
          <t>03/08/2021</t>
        </is>
      </c>
      <c r="B4234" s="28" t="n">
        <v>109.64</v>
      </c>
    </row>
    <row r="4235">
      <c r="A4235" s="66" t="inlineStr">
        <is>
          <t>04/08/2021</t>
        </is>
      </c>
      <c r="B4235" s="28" t="n">
        <v>108.83</v>
      </c>
    </row>
    <row r="4236">
      <c r="A4236" s="66" t="inlineStr">
        <is>
          <t>05/08/2021</t>
        </is>
      </c>
      <c r="B4236" s="28" t="n">
        <v>108.94</v>
      </c>
    </row>
    <row r="4237">
      <c r="A4237" s="66" t="inlineStr">
        <is>
          <t>06/08/2021</t>
        </is>
      </c>
      <c r="B4237" s="28" t="n">
        <v>107.62</v>
      </c>
    </row>
    <row r="4238">
      <c r="A4238" s="66" t="inlineStr">
        <is>
          <t>09/08/2021</t>
        </is>
      </c>
      <c r="B4238" s="28" t="n">
        <v>108</v>
      </c>
    </row>
    <row r="4239">
      <c r="A4239" s="66" t="inlineStr">
        <is>
          <t>10/08/2021</t>
        </is>
      </c>
      <c r="B4239" s="28" t="n">
        <v>106.6</v>
      </c>
    </row>
    <row r="4240">
      <c r="A4240" s="66" t="inlineStr">
        <is>
          <t>11/08/2021</t>
        </is>
      </c>
      <c r="B4240" s="28" t="n">
        <v>106.81</v>
      </c>
    </row>
    <row r="4241">
      <c r="A4241" s="66" t="inlineStr">
        <is>
          <t>12/08/2021</t>
        </is>
      </c>
      <c r="B4241" s="28" t="n">
        <v>107.48</v>
      </c>
    </row>
    <row r="4242">
      <c r="A4242" s="66" t="inlineStr">
        <is>
          <t>13/08/2021</t>
        </is>
      </c>
      <c r="B4242" s="28" t="n">
        <v>108.46</v>
      </c>
    </row>
    <row r="4243">
      <c r="A4243" s="66" t="inlineStr">
        <is>
          <t>16/08/2021</t>
        </is>
      </c>
      <c r="B4243" s="28" t="n">
        <v>108.48</v>
      </c>
    </row>
    <row r="4244">
      <c r="A4244" s="66" t="inlineStr">
        <is>
          <t>17/08/2021</t>
        </is>
      </c>
      <c r="B4244" s="28" t="n">
        <v>107.95</v>
      </c>
    </row>
    <row r="4245">
      <c r="A4245" s="66" t="inlineStr">
        <is>
          <t>18/08/2021</t>
        </is>
      </c>
      <c r="B4245" s="28" t="n">
        <v>107.86</v>
      </c>
    </row>
    <row r="4246">
      <c r="A4246" s="66" t="inlineStr">
        <is>
          <t>19/08/2021</t>
        </is>
      </c>
      <c r="B4246" s="28" t="n">
        <v>107.54</v>
      </c>
    </row>
    <row r="4247">
      <c r="A4247" s="66" t="inlineStr">
        <is>
          <t>20/08/2021</t>
        </is>
      </c>
      <c r="B4247" s="28" t="n">
        <v>107.29</v>
      </c>
    </row>
    <row r="4248">
      <c r="A4248" s="66" t="inlineStr">
        <is>
          <t>23/08/2021</t>
        </is>
      </c>
      <c r="B4248" s="28" t="n">
        <v>106.66</v>
      </c>
    </row>
    <row r="4249">
      <c r="A4249" s="66" t="inlineStr">
        <is>
          <t>24/08/2021</t>
        </is>
      </c>
      <c r="B4249" s="28" t="n">
        <v>105.98</v>
      </c>
    </row>
    <row r="4250">
      <c r="A4250" s="66" t="inlineStr">
        <is>
          <t>25/08/2021</t>
        </is>
      </c>
      <c r="B4250" s="28" t="n">
        <v>105.87</v>
      </c>
    </row>
    <row r="4251">
      <c r="A4251" s="66" t="inlineStr">
        <is>
          <t>26/08/2021</t>
        </is>
      </c>
      <c r="B4251" s="28" t="n">
        <v>105.41</v>
      </c>
    </row>
    <row r="4252">
      <c r="A4252" s="66" t="inlineStr">
        <is>
          <t>27/08/2021</t>
        </is>
      </c>
      <c r="B4252" s="28" t="n">
        <v>104.08</v>
      </c>
    </row>
    <row r="4253">
      <c r="A4253" s="66" t="inlineStr">
        <is>
          <t>30/08/2021</t>
        </is>
      </c>
      <c r="B4253" s="28" t="n">
        <v>104.06</v>
      </c>
    </row>
    <row r="4254">
      <c r="A4254" s="66" t="inlineStr">
        <is>
          <t>31/08/2021</t>
        </is>
      </c>
      <c r="B4254" s="28" t="n">
        <v>102.91</v>
      </c>
    </row>
    <row r="4255">
      <c r="A4255" s="66" t="inlineStr">
        <is>
          <t>01/09/2021</t>
        </is>
      </c>
      <c r="B4255" s="28" t="n">
        <v>102.44</v>
      </c>
    </row>
    <row r="4256">
      <c r="A4256" s="66" t="inlineStr">
        <is>
          <t>02/09/2021</t>
        </is>
      </c>
      <c r="B4256" s="28" t="n">
        <v>101.65</v>
      </c>
    </row>
    <row r="4257">
      <c r="A4257" s="66" t="inlineStr">
        <is>
          <t>03/09/2021</t>
        </is>
      </c>
      <c r="B4257" s="28" t="n">
        <v>100.84</v>
      </c>
    </row>
    <row r="4258">
      <c r="A4258" s="66" t="inlineStr">
        <is>
          <t>06/09/2021</t>
        </is>
      </c>
      <c r="B4258" s="28" t="n">
        <v>101.1</v>
      </c>
    </row>
    <row r="4259">
      <c r="A4259" s="66" t="inlineStr">
        <is>
          <t>08/09/2021</t>
        </is>
      </c>
      <c r="B4259" s="28" t="n">
        <v>100.91</v>
      </c>
    </row>
    <row r="4260">
      <c r="A4260" s="66" t="inlineStr">
        <is>
          <t>09/09/2021</t>
        </is>
      </c>
      <c r="B4260" s="28" t="n">
        <v>100.72</v>
      </c>
    </row>
    <row r="4261">
      <c r="A4261" s="66" t="inlineStr">
        <is>
          <t>10/09/2021</t>
        </is>
      </c>
      <c r="B4261" s="28" t="n">
        <v>102.23</v>
      </c>
    </row>
    <row r="4262">
      <c r="A4262" s="66" t="inlineStr">
        <is>
          <t>13/09/2021</t>
        </is>
      </c>
      <c r="B4262" s="28" t="n">
        <v>102.43</v>
      </c>
    </row>
    <row r="4263">
      <c r="A4263" s="66" t="inlineStr">
        <is>
          <t>14/09/2021</t>
        </is>
      </c>
      <c r="B4263" s="28" t="n">
        <v>102.3</v>
      </c>
    </row>
    <row r="4264">
      <c r="A4264" s="66" t="inlineStr">
        <is>
          <t>15/09/2021</t>
        </is>
      </c>
      <c r="B4264" s="28" t="n">
        <v>102.12</v>
      </c>
    </row>
    <row r="4265">
      <c r="A4265" s="66" t="inlineStr">
        <is>
          <t>16/09/2021</t>
        </is>
      </c>
      <c r="B4265" s="28" t="n">
        <v>102.43</v>
      </c>
    </row>
    <row r="4266">
      <c r="A4266" s="66" t="inlineStr">
        <is>
          <t>17/09/2021</t>
        </is>
      </c>
      <c r="B4266" s="28" t="n">
        <v>102.38</v>
      </c>
    </row>
    <row r="4267">
      <c r="A4267" s="66" t="inlineStr">
        <is>
          <t>20/09/2021</t>
        </is>
      </c>
      <c r="B4267" s="28" t="n">
        <v>101.44</v>
      </c>
    </row>
    <row r="4268">
      <c r="A4268" s="66" t="inlineStr">
        <is>
          <t>21/09/2021</t>
        </is>
      </c>
      <c r="B4268" s="28" t="n">
        <v>100.64</v>
      </c>
    </row>
    <row r="4269">
      <c r="A4269" s="66" t="inlineStr">
        <is>
          <t>22/09/2021</t>
        </is>
      </c>
      <c r="B4269" s="28" t="n">
        <v>100.11</v>
      </c>
    </row>
    <row r="4270">
      <c r="A4270" s="66" t="inlineStr">
        <is>
          <t>23/09/2021</t>
        </is>
      </c>
      <c r="B4270" s="28" t="n">
        <v>99.28</v>
      </c>
    </row>
    <row r="4271">
      <c r="A4271" s="66" t="inlineStr">
        <is>
          <t>24/09/2021</t>
        </is>
      </c>
      <c r="B4271" s="28" t="n">
        <v>98.88</v>
      </c>
    </row>
    <row r="4272">
      <c r="A4272" s="66" t="inlineStr">
        <is>
          <t>27/09/2021</t>
        </is>
      </c>
      <c r="B4272" s="28" t="n">
        <v>99.66</v>
      </c>
    </row>
    <row r="4273">
      <c r="A4273" s="66" t="inlineStr">
        <is>
          <t>28/09/2021</t>
        </is>
      </c>
      <c r="B4273" s="28" t="n">
        <v>99.92</v>
      </c>
    </row>
    <row r="4274">
      <c r="A4274" s="66" t="inlineStr">
        <is>
          <t>29/09/2021</t>
        </is>
      </c>
      <c r="B4274" s="28" t="n">
        <v>99.95999999999999</v>
      </c>
    </row>
    <row r="4275">
      <c r="A4275" s="66" t="inlineStr">
        <is>
          <t>30/09/2021</t>
        </is>
      </c>
      <c r="B4275" s="28" t="n">
        <v>100.37</v>
      </c>
    </row>
    <row r="4276">
      <c r="A4276" s="66" t="inlineStr">
        <is>
          <t>01/10/2021</t>
        </is>
      </c>
      <c r="B4276" s="28" t="n">
        <v>99.66</v>
      </c>
    </row>
    <row r="4277">
      <c r="A4277" s="66" t="inlineStr">
        <is>
          <t>04/10/2021</t>
        </is>
      </c>
      <c r="B4277" s="28" t="n">
        <v>99.95</v>
      </c>
    </row>
    <row r="4278">
      <c r="A4278" s="66" t="inlineStr">
        <is>
          <t>05/10/2021</t>
        </is>
      </c>
      <c r="B4278" s="28" t="n">
        <v>100.16</v>
      </c>
    </row>
    <row r="4279">
      <c r="A4279" s="66" t="inlineStr">
        <is>
          <t>06/10/2021</t>
        </is>
      </c>
      <c r="B4279" s="28" t="n">
        <v>99.89</v>
      </c>
    </row>
    <row r="4280">
      <c r="A4280" s="66" t="inlineStr">
        <is>
          <t>07/10/2021</t>
        </is>
      </c>
      <c r="B4280" s="28" t="n">
        <v>98.95999999999999</v>
      </c>
    </row>
    <row r="4281">
      <c r="A4281" s="66" t="inlineStr">
        <is>
          <t>08/10/2021</t>
        </is>
      </c>
      <c r="B4281" s="28" t="n">
        <v>98.86</v>
      </c>
    </row>
    <row r="4282">
      <c r="A4282" s="66" t="inlineStr">
        <is>
          <t>11/10/2021</t>
        </is>
      </c>
      <c r="B4282" s="28" t="n">
        <v>98.84999999999999</v>
      </c>
    </row>
    <row r="4283">
      <c r="A4283" s="66" t="inlineStr">
        <is>
          <t>13/10/2021</t>
        </is>
      </c>
      <c r="B4283" s="28" t="n">
        <v>98.17</v>
      </c>
    </row>
    <row r="4284">
      <c r="A4284" s="66" t="inlineStr">
        <is>
          <t>14/10/2021</t>
        </is>
      </c>
      <c r="B4284" s="28" t="n">
        <v>97.89</v>
      </c>
    </row>
    <row r="4285">
      <c r="A4285" s="66" t="inlineStr">
        <is>
          <t>15/10/2021</t>
        </is>
      </c>
      <c r="B4285" s="28" t="n">
        <v>97.94</v>
      </c>
    </row>
    <row r="4286">
      <c r="A4286" s="66" t="inlineStr">
        <is>
          <t>18/10/2021</t>
        </is>
      </c>
      <c r="B4286" s="28" t="n">
        <v>97.63</v>
      </c>
    </row>
    <row r="4287">
      <c r="A4287" s="66" t="inlineStr">
        <is>
          <t>19/10/2021</t>
        </is>
      </c>
      <c r="B4287" s="28" t="n">
        <v>97.97</v>
      </c>
    </row>
    <row r="4288">
      <c r="A4288" s="66" t="inlineStr">
        <is>
          <t>20/10/2021</t>
        </is>
      </c>
      <c r="B4288" s="28" t="n">
        <v>97.27</v>
      </c>
    </row>
    <row r="4289">
      <c r="A4289" s="66" t="inlineStr">
        <is>
          <t>21/10/2021</t>
        </is>
      </c>
      <c r="B4289" s="28" t="n">
        <v>96.65000000000001</v>
      </c>
    </row>
    <row r="4290">
      <c r="A4290" s="66" t="inlineStr">
        <is>
          <t>22/10/2021</t>
        </is>
      </c>
      <c r="B4290" s="28" t="n">
        <v>96.95</v>
      </c>
    </row>
    <row r="4291">
      <c r="A4291" s="66" t="inlineStr">
        <is>
          <t>25/10/2021</t>
        </is>
      </c>
      <c r="B4291" s="28" t="n">
        <v>96.84999999999999</v>
      </c>
    </row>
    <row r="4292">
      <c r="A4292" s="66" t="inlineStr">
        <is>
          <t>26/10/2021</t>
        </is>
      </c>
      <c r="B4292" s="28" t="n">
        <v>95.87</v>
      </c>
    </row>
    <row r="4293">
      <c r="A4293" s="66" t="inlineStr">
        <is>
          <t>27/10/2021</t>
        </is>
      </c>
      <c r="B4293" s="28" t="n">
        <v>95.03</v>
      </c>
    </row>
    <row r="4294">
      <c r="A4294" s="66" t="inlineStr">
        <is>
          <t>28/10/2021</t>
        </is>
      </c>
      <c r="B4294" s="28" t="n">
        <v>94.37</v>
      </c>
    </row>
    <row r="4295">
      <c r="A4295" s="66" t="inlineStr">
        <is>
          <t>29/10/2021</t>
        </is>
      </c>
      <c r="B4295" s="28" t="n">
        <v>94.31</v>
      </c>
    </row>
    <row r="4296">
      <c r="A4296" s="66" t="inlineStr">
        <is>
          <t>01/11/2021</t>
        </is>
      </c>
      <c r="B4296" s="28" t="n">
        <v>94.43000000000001</v>
      </c>
    </row>
    <row r="4297">
      <c r="A4297" s="66" t="inlineStr">
        <is>
          <t>03/11/2021</t>
        </is>
      </c>
      <c r="B4297" s="28" t="n">
        <v>94.64</v>
      </c>
    </row>
    <row r="4298">
      <c r="A4298" s="66" t="inlineStr">
        <is>
          <t>04/11/2021</t>
        </is>
      </c>
      <c r="B4298" s="28" t="n">
        <v>93.81999999999999</v>
      </c>
    </row>
    <row r="4299">
      <c r="A4299" s="66" t="inlineStr">
        <is>
          <t>05/11/2021</t>
        </is>
      </c>
      <c r="B4299" s="28" t="n">
        <v>94.04000000000001</v>
      </c>
    </row>
    <row r="4300">
      <c r="A4300" s="66" t="inlineStr">
        <is>
          <t>08/11/2021</t>
        </is>
      </c>
      <c r="B4300" s="28" t="n">
        <v>93.05</v>
      </c>
    </row>
    <row r="4301">
      <c r="A4301" s="66" t="inlineStr">
        <is>
          <t>09/11/2021</t>
        </is>
      </c>
      <c r="B4301" s="28" t="n">
        <v>92.22</v>
      </c>
    </row>
    <row r="4302">
      <c r="A4302" s="66" t="inlineStr">
        <is>
          <t>10/11/2021</t>
        </is>
      </c>
      <c r="B4302" s="28" t="n">
        <v>91.76000000000001</v>
      </c>
    </row>
    <row r="4303">
      <c r="A4303" s="66" t="inlineStr">
        <is>
          <t>11/11/2021</t>
        </is>
      </c>
      <c r="B4303" s="28" t="n">
        <v>90.76000000000001</v>
      </c>
    </row>
    <row r="4304">
      <c r="A4304" s="66" t="inlineStr">
        <is>
          <t>12/11/2021</t>
        </is>
      </c>
      <c r="B4304" s="28" t="n">
        <v>89.84999999999999</v>
      </c>
    </row>
    <row r="4305">
      <c r="A4305" s="66" t="inlineStr">
        <is>
          <t>16/11/2021</t>
        </is>
      </c>
      <c r="B4305" s="28" t="n">
        <v>89.84</v>
      </c>
    </row>
    <row r="4306">
      <c r="A4306" s="66" t="inlineStr">
        <is>
          <t>17/11/2021</t>
        </is>
      </c>
      <c r="B4306" s="28" t="n">
        <v>89.53</v>
      </c>
    </row>
    <row r="4307">
      <c r="A4307" s="66" t="inlineStr">
        <is>
          <t>18/11/2021</t>
        </is>
      </c>
      <c r="B4307" s="28" t="n">
        <v>89.41</v>
      </c>
    </row>
    <row r="4308">
      <c r="A4308" s="66" t="inlineStr">
        <is>
          <t>19/11/2021</t>
        </is>
      </c>
      <c r="B4308" s="28" t="n">
        <v>89.95</v>
      </c>
    </row>
    <row r="4309">
      <c r="A4309" s="66" t="inlineStr">
        <is>
          <t>22/11/2021</t>
        </is>
      </c>
      <c r="B4309" s="28" t="n">
        <v>89.92</v>
      </c>
    </row>
    <row r="4310">
      <c r="A4310" s="66" t="inlineStr">
        <is>
          <t>23/11/2021</t>
        </is>
      </c>
      <c r="B4310" s="28" t="n">
        <v>90.41</v>
      </c>
    </row>
    <row r="4311">
      <c r="A4311" s="66" t="inlineStr">
        <is>
          <t>24/11/2021</t>
        </is>
      </c>
      <c r="B4311" s="28" t="n">
        <v>90.76000000000001</v>
      </c>
    </row>
    <row r="4312">
      <c r="A4312" s="66" t="inlineStr">
        <is>
          <t>25/11/2021</t>
        </is>
      </c>
      <c r="B4312" s="28" t="n">
        <v>90.81</v>
      </c>
    </row>
    <row r="4313">
      <c r="A4313" s="66" t="inlineStr">
        <is>
          <t>26/11/2021</t>
        </is>
      </c>
      <c r="B4313" s="28" t="n">
        <v>90.91</v>
      </c>
    </row>
    <row r="4314">
      <c r="A4314" s="66" t="inlineStr">
        <is>
          <t>29/11/2021</t>
        </is>
      </c>
      <c r="B4314" s="28" t="n">
        <v>90.59999999999999</v>
      </c>
    </row>
    <row r="4315">
      <c r="A4315" s="66" t="inlineStr">
        <is>
          <t>30/11/2021</t>
        </is>
      </c>
      <c r="B4315" s="28" t="n">
        <v>91.70999999999999</v>
      </c>
    </row>
    <row r="4316">
      <c r="A4316" s="66" t="inlineStr">
        <is>
          <t>01/12/2021</t>
        </is>
      </c>
      <c r="B4316" s="28" t="n">
        <v>91.48</v>
      </c>
    </row>
    <row r="4317">
      <c r="A4317" s="66" t="inlineStr">
        <is>
          <t>02/12/2021</t>
        </is>
      </c>
      <c r="B4317" s="28" t="n">
        <v>92.81</v>
      </c>
    </row>
    <row r="4318">
      <c r="A4318" s="66" t="inlineStr">
        <is>
          <t>03/12/2021</t>
        </is>
      </c>
      <c r="B4318" s="28" t="n">
        <v>93.5</v>
      </c>
    </row>
    <row r="4319">
      <c r="A4319" s="66" t="inlineStr">
        <is>
          <t>06/12/2021</t>
        </is>
      </c>
      <c r="B4319" s="28" t="n">
        <v>92.70999999999999</v>
      </c>
    </row>
    <row r="4320">
      <c r="A4320" s="66" t="inlineStr">
        <is>
          <t>07/12/2021</t>
        </is>
      </c>
      <c r="B4320" s="28" t="n">
        <v>94.28</v>
      </c>
    </row>
    <row r="4321">
      <c r="A4321" s="66" t="inlineStr">
        <is>
          <t>08/12/2021</t>
        </is>
      </c>
      <c r="B4321" s="28" t="n">
        <v>94.23999999999999</v>
      </c>
    </row>
    <row r="4322">
      <c r="A4322" s="66" t="inlineStr">
        <is>
          <t>09/12/2021</t>
        </is>
      </c>
      <c r="B4322" s="28" t="n">
        <v>94.23</v>
      </c>
    </row>
    <row r="4323">
      <c r="A4323" s="66" t="inlineStr">
        <is>
          <t>10/12/2021</t>
        </is>
      </c>
      <c r="B4323" s="28" t="n">
        <v>94.79000000000001</v>
      </c>
    </row>
    <row r="4324">
      <c r="A4324" s="66" t="inlineStr">
        <is>
          <t>13/12/2021</t>
        </is>
      </c>
      <c r="B4324" s="28" t="n">
        <v>94.84</v>
      </c>
    </row>
    <row r="4325">
      <c r="A4325" s="66" t="inlineStr">
        <is>
          <t>14/12/2021</t>
        </is>
      </c>
      <c r="B4325" s="28" t="n">
        <v>94.45999999999999</v>
      </c>
    </row>
    <row r="4326">
      <c r="A4326" s="66" t="inlineStr">
        <is>
          <t>15/12/2021</t>
        </is>
      </c>
      <c r="B4326" s="28" t="n">
        <v>94.26000000000001</v>
      </c>
    </row>
    <row r="4327">
      <c r="A4327" s="66" t="inlineStr">
        <is>
          <t>16/12/2021</t>
        </is>
      </c>
      <c r="B4327" s="28" t="n">
        <v>94.06999999999999</v>
      </c>
    </row>
    <row r="4328">
      <c r="A4328" s="66" t="inlineStr">
        <is>
          <t>17/12/2021</t>
        </is>
      </c>
      <c r="B4328" s="28" t="n">
        <v>93.84999999999999</v>
      </c>
    </row>
    <row r="4329">
      <c r="A4329" s="66" t="inlineStr">
        <is>
          <t>20/12/2021</t>
        </is>
      </c>
      <c r="B4329" s="28" t="n">
        <v>94.27</v>
      </c>
    </row>
    <row r="4330">
      <c r="A4330" s="66" t="inlineStr">
        <is>
          <t>21/12/2021</t>
        </is>
      </c>
      <c r="B4330" s="28" t="n">
        <v>95.39</v>
      </c>
    </row>
    <row r="4331">
      <c r="A4331" s="66" t="inlineStr">
        <is>
          <t>22/12/2021</t>
        </is>
      </c>
      <c r="B4331" s="28" t="n">
        <v>95.47</v>
      </c>
    </row>
    <row r="4332">
      <c r="A4332" s="66" t="inlineStr">
        <is>
          <t>23/12/2021</t>
        </is>
      </c>
      <c r="B4332" s="28" t="n">
        <v>96.68000000000001</v>
      </c>
    </row>
    <row r="4333">
      <c r="A4333" s="66" t="inlineStr">
        <is>
          <t>27/12/2021</t>
        </is>
      </c>
      <c r="B4333" s="28" t="n">
        <v>96.87</v>
      </c>
    </row>
    <row r="4334">
      <c r="A4334" s="66" t="inlineStr">
        <is>
          <t>28/12/2021</t>
        </is>
      </c>
      <c r="B4334" s="28" t="n">
        <v>97.25</v>
      </c>
    </row>
    <row r="4335">
      <c r="A4335" s="66" t="inlineStr">
        <is>
          <t>29/12/2021</t>
        </is>
      </c>
      <c r="B4335" s="28" t="n">
        <v>97.28</v>
      </c>
    </row>
    <row r="4336">
      <c r="A4336" s="66" t="inlineStr">
        <is>
          <t>30/12/2021</t>
        </is>
      </c>
      <c r="B4336" s="28" t="n">
        <v>97.26000000000001</v>
      </c>
    </row>
    <row r="4337">
      <c r="A4337" s="66" t="inlineStr">
        <is>
          <t>03/01/2022</t>
        </is>
      </c>
      <c r="B4337" s="28" t="n">
        <v>97.28</v>
      </c>
    </row>
    <row r="4338">
      <c r="A4338" s="66" t="inlineStr">
        <is>
          <t>04/01/2022</t>
        </is>
      </c>
      <c r="B4338" s="28" t="n">
        <v>98.03</v>
      </c>
    </row>
    <row r="4339">
      <c r="A4339" s="66" t="inlineStr">
        <is>
          <t>05/01/2022</t>
        </is>
      </c>
      <c r="B4339" s="28" t="n">
        <v>98.12</v>
      </c>
    </row>
    <row r="4340">
      <c r="A4340" s="66" t="inlineStr">
        <is>
          <t>06/01/2022</t>
        </is>
      </c>
      <c r="B4340" s="28" t="n">
        <v>98.62</v>
      </c>
    </row>
    <row r="4341">
      <c r="A4341" s="66" t="inlineStr">
        <is>
          <t>07/01/2022</t>
        </is>
      </c>
      <c r="B4341" s="28" t="n">
        <v>98.87</v>
      </c>
    </row>
    <row r="4342">
      <c r="A4342" s="66" t="inlineStr">
        <is>
          <t>10/01/2022</t>
        </is>
      </c>
      <c r="B4342" s="28" t="n">
        <v>99.83</v>
      </c>
    </row>
    <row r="4343">
      <c r="A4343" s="66" t="inlineStr">
        <is>
          <t>11/01/2022</t>
        </is>
      </c>
      <c r="B4343" s="28" t="n">
        <v>100.57</v>
      </c>
    </row>
    <row r="4344">
      <c r="A4344" s="66" t="inlineStr">
        <is>
          <t>12/01/2022</t>
        </is>
      </c>
      <c r="B4344" s="28" t="n">
        <v>100.72</v>
      </c>
    </row>
    <row r="4345">
      <c r="A4345" s="66" t="inlineStr">
        <is>
          <t>13/01/2022</t>
        </is>
      </c>
      <c r="B4345" s="28" t="n">
        <v>102.02</v>
      </c>
    </row>
    <row r="4346">
      <c r="A4346" s="66" t="inlineStr">
        <is>
          <t>14/01/2022</t>
        </is>
      </c>
      <c r="B4346" s="28" t="n">
        <v>102.31</v>
      </c>
    </row>
    <row r="4347">
      <c r="A4347" s="66" t="inlineStr">
        <is>
          <t>17/01/2022</t>
        </is>
      </c>
      <c r="B4347" s="28" t="n">
        <v>102.72</v>
      </c>
    </row>
    <row r="4348">
      <c r="A4348" s="66" t="inlineStr">
        <is>
          <t>18/01/2022</t>
        </is>
      </c>
      <c r="B4348" s="28" t="n">
        <v>102.96</v>
      </c>
    </row>
    <row r="4349">
      <c r="A4349" s="66" t="inlineStr">
        <is>
          <t>19/01/2022</t>
        </is>
      </c>
      <c r="B4349" s="28" t="n">
        <v>103.29</v>
      </c>
    </row>
    <row r="4350">
      <c r="A4350" s="66" t="inlineStr">
        <is>
          <t>20/01/2022</t>
        </is>
      </c>
      <c r="B4350" s="28" t="n">
        <v>103.75</v>
      </c>
    </row>
    <row r="4351">
      <c r="A4351" s="66" t="inlineStr">
        <is>
          <t>21/01/2022</t>
        </is>
      </c>
      <c r="B4351" s="28" t="n">
        <v>103.96</v>
      </c>
    </row>
    <row r="4352">
      <c r="A4352" s="66" t="inlineStr">
        <is>
          <t>24/01/2022</t>
        </is>
      </c>
      <c r="B4352" s="28" t="n">
        <v>103.53</v>
      </c>
    </row>
    <row r="4353">
      <c r="A4353" s="66" t="inlineStr">
        <is>
          <t>25/01/2022</t>
        </is>
      </c>
      <c r="B4353" s="28" t="n">
        <v>103.35</v>
      </c>
    </row>
    <row r="4354">
      <c r="A4354" s="66" t="inlineStr">
        <is>
          <t>26/01/2022</t>
        </is>
      </c>
      <c r="B4354" s="28" t="n">
        <v>103.5</v>
      </c>
    </row>
    <row r="4355">
      <c r="A4355" s="66" t="inlineStr">
        <is>
          <t>27/01/2022</t>
        </is>
      </c>
      <c r="B4355" s="28" t="n">
        <v>102.94</v>
      </c>
    </row>
    <row r="4356">
      <c r="A4356" s="66" t="inlineStr">
        <is>
          <t>28/01/2022</t>
        </is>
      </c>
      <c r="B4356" s="28" t="n">
        <v>102.97</v>
      </c>
    </row>
    <row r="4357">
      <c r="A4357" s="66" t="inlineStr">
        <is>
          <t>31/01/2022</t>
        </is>
      </c>
      <c r="B4357" s="28" t="n">
        <v>103</v>
      </c>
    </row>
    <row r="4358">
      <c r="A4358" s="66" t="inlineStr">
        <is>
          <t>01/02/2022</t>
        </is>
      </c>
      <c r="B4358" s="28" t="n">
        <v>101.12</v>
      </c>
    </row>
    <row r="4359">
      <c r="A4359" s="66" t="inlineStr">
        <is>
          <t>02/02/2022</t>
        </is>
      </c>
      <c r="B4359" s="28" t="n">
        <v>100.85</v>
      </c>
    </row>
    <row r="4360">
      <c r="A4360" s="66" t="inlineStr">
        <is>
          <t>03/02/2022</t>
        </is>
      </c>
      <c r="B4360" s="28" t="n">
        <v>100.52</v>
      </c>
    </row>
    <row r="4361">
      <c r="A4361" s="66" t="inlineStr">
        <is>
          <t>04/02/2022</t>
        </is>
      </c>
      <c r="B4361" s="28" t="n">
        <v>100.84</v>
      </c>
    </row>
    <row r="4362">
      <c r="A4362" s="66" t="inlineStr">
        <is>
          <t>07/02/2022</t>
        </is>
      </c>
      <c r="B4362" s="28" t="n">
        <v>100.68</v>
      </c>
    </row>
    <row r="4363">
      <c r="A4363" s="66" t="inlineStr">
        <is>
          <t>08/02/2022</t>
        </is>
      </c>
      <c r="B4363" s="28" t="n">
        <v>100.85</v>
      </c>
    </row>
    <row r="4364">
      <c r="A4364" s="66" t="inlineStr">
        <is>
          <t>09/02/2022</t>
        </is>
      </c>
      <c r="B4364" s="28" t="n">
        <v>100.64</v>
      </c>
    </row>
    <row r="4365">
      <c r="A4365" s="66" t="inlineStr">
        <is>
          <t>10/02/2022</t>
        </is>
      </c>
      <c r="B4365" s="28" t="n">
        <v>100.79</v>
      </c>
    </row>
    <row r="4366">
      <c r="A4366" s="66" t="inlineStr">
        <is>
          <t>11/02/2022</t>
        </is>
      </c>
      <c r="B4366" s="28" t="n">
        <v>100.76</v>
      </c>
    </row>
    <row r="4367">
      <c r="A4367" s="66" t="inlineStr">
        <is>
          <t>14/02/2022</t>
        </is>
      </c>
      <c r="B4367" s="28" t="n">
        <v>99.65000000000001</v>
      </c>
    </row>
    <row r="4368">
      <c r="A4368" s="66" t="inlineStr">
        <is>
          <t>15/02/2022</t>
        </is>
      </c>
      <c r="B4368" s="28" t="n">
        <v>100.24</v>
      </c>
    </row>
    <row r="4369">
      <c r="A4369" s="66" t="inlineStr">
        <is>
          <t>16/02/2022</t>
        </is>
      </c>
      <c r="B4369" s="28" t="n">
        <v>100.22</v>
      </c>
    </row>
    <row r="4370">
      <c r="A4370" s="66" t="inlineStr">
        <is>
          <t>17/02/2022</t>
        </is>
      </c>
      <c r="B4370" s="28" t="n">
        <v>100.2</v>
      </c>
    </row>
    <row r="4371">
      <c r="A4371" s="66" t="inlineStr">
        <is>
          <t>18/02/2022</t>
        </is>
      </c>
      <c r="B4371" s="28" t="n">
        <v>100.18</v>
      </c>
    </row>
    <row r="4372">
      <c r="A4372" s="66" t="inlineStr">
        <is>
          <t>21/02/2022</t>
        </is>
      </c>
      <c r="B4372" s="28" t="n">
        <v>100.21</v>
      </c>
    </row>
    <row r="4373">
      <c r="A4373" s="66" t="inlineStr">
        <is>
          <t>22/02/2022</t>
        </is>
      </c>
      <c r="B4373" s="28" t="n">
        <v>100.5</v>
      </c>
    </row>
    <row r="4374">
      <c r="A4374" s="66" t="inlineStr">
        <is>
          <t>23/02/2022</t>
        </is>
      </c>
      <c r="B4374" s="28" t="n">
        <v>100.55</v>
      </c>
    </row>
    <row r="4375">
      <c r="A4375" s="66" t="inlineStr">
        <is>
          <t>24/02/2022</t>
        </is>
      </c>
      <c r="B4375" s="28" t="n">
        <v>100.59</v>
      </c>
    </row>
    <row r="4376">
      <c r="A4376" s="66" t="inlineStr">
        <is>
          <t>25/02/2022</t>
        </is>
      </c>
      <c r="B4376" s="28" t="n">
        <v>101.06</v>
      </c>
    </row>
    <row r="4377">
      <c r="A4377" s="66" t="inlineStr">
        <is>
          <t>02/03/2022</t>
        </is>
      </c>
      <c r="B4377" s="28" t="n">
        <v>99.19</v>
      </c>
    </row>
    <row r="4378">
      <c r="A4378" s="66" t="inlineStr">
        <is>
          <t>03/03/2022</t>
        </is>
      </c>
      <c r="B4378" s="28" t="n">
        <v>99.72</v>
      </c>
    </row>
    <row r="4379">
      <c r="A4379" s="66" t="inlineStr">
        <is>
          <t>04/03/2022</t>
        </is>
      </c>
      <c r="B4379" s="28" t="n">
        <v>100.16</v>
      </c>
    </row>
    <row r="4380">
      <c r="A4380" s="66" t="inlineStr">
        <is>
          <t>07/03/2022</t>
        </is>
      </c>
      <c r="B4380" s="28" t="n">
        <v>102.24</v>
      </c>
    </row>
    <row r="4381">
      <c r="A4381" s="66" t="inlineStr">
        <is>
          <t>08/03/2022</t>
        </is>
      </c>
      <c r="B4381" s="28" t="n">
        <v>103.43</v>
      </c>
    </row>
    <row r="4382">
      <c r="A4382" s="66" t="inlineStr">
        <is>
          <t>09/03/2022</t>
        </is>
      </c>
      <c r="B4382" s="28" t="n">
        <v>103.32</v>
      </c>
    </row>
    <row r="4383">
      <c r="A4383" s="66" t="inlineStr">
        <is>
          <t>10/03/2022</t>
        </is>
      </c>
      <c r="B4383" s="28" t="n">
        <v>103.5</v>
      </c>
    </row>
    <row r="4384">
      <c r="A4384" s="66" t="inlineStr">
        <is>
          <t>11/03/2022</t>
        </is>
      </c>
      <c r="B4384" s="28" t="n">
        <v>105.69</v>
      </c>
    </row>
    <row r="4385">
      <c r="A4385" s="66" t="inlineStr">
        <is>
          <t>14/03/2022</t>
        </is>
      </c>
      <c r="B4385" s="28" t="n">
        <v>106.03</v>
      </c>
    </row>
    <row r="4386">
      <c r="A4386" s="66" t="inlineStr">
        <is>
          <t>15/03/2022</t>
        </is>
      </c>
      <c r="B4386" s="28" t="n">
        <v>106</v>
      </c>
    </row>
    <row r="4387">
      <c r="A4387" s="66" t="inlineStr">
        <is>
          <t>16/03/2022</t>
        </is>
      </c>
      <c r="B4387" s="28" t="n">
        <v>105.86</v>
      </c>
    </row>
    <row r="4388">
      <c r="A4388" s="66" t="inlineStr">
        <is>
          <t>17/03/2022</t>
        </is>
      </c>
      <c r="B4388" s="28" t="n">
        <v>105.69</v>
      </c>
    </row>
    <row r="4389">
      <c r="A4389" s="66" t="inlineStr">
        <is>
          <t>18/03/2022</t>
        </is>
      </c>
      <c r="B4389" s="28" t="n">
        <v>104.69</v>
      </c>
    </row>
    <row r="4390">
      <c r="A4390" s="66" t="inlineStr">
        <is>
          <t>21/03/2022</t>
        </is>
      </c>
      <c r="B4390" s="28" t="n">
        <v>104.73</v>
      </c>
    </row>
    <row r="4391">
      <c r="A4391" s="66" t="inlineStr">
        <is>
          <t>22/03/2022</t>
        </is>
      </c>
      <c r="B4391" s="28" t="n">
        <v>103.36</v>
      </c>
    </row>
    <row r="4392">
      <c r="A4392" s="66" t="inlineStr">
        <is>
          <t>23/03/2022</t>
        </is>
      </c>
      <c r="B4392" s="28" t="n">
        <v>101.98</v>
      </c>
    </row>
    <row r="4393">
      <c r="A4393" s="66" t="inlineStr">
        <is>
          <t>24/03/2022</t>
        </is>
      </c>
      <c r="B4393" s="28" t="n">
        <v>101.23</v>
      </c>
    </row>
    <row r="4394">
      <c r="A4394" s="66" t="inlineStr">
        <is>
          <t>25/03/2022</t>
        </is>
      </c>
      <c r="B4394" s="28" t="n">
        <v>98.97</v>
      </c>
    </row>
    <row r="4395">
      <c r="A4395" s="66" t="inlineStr">
        <is>
          <t>28/03/2022</t>
        </is>
      </c>
      <c r="B4395" s="28" t="n">
        <v>98.13</v>
      </c>
    </row>
    <row r="4396">
      <c r="A4396" s="66" t="inlineStr">
        <is>
          <t>29/03/2022</t>
        </is>
      </c>
      <c r="B4396" s="28" t="n">
        <v>94.67</v>
      </c>
    </row>
    <row r="4397">
      <c r="A4397" s="66" t="inlineStr">
        <is>
          <t>30/03/2022</t>
        </is>
      </c>
      <c r="B4397" s="28" t="n">
        <v>94.59999999999999</v>
      </c>
    </row>
    <row r="4398">
      <c r="A4398" s="66" t="inlineStr">
        <is>
          <t>31/03/2022</t>
        </is>
      </c>
      <c r="B4398" s="28" t="n">
        <v>95</v>
      </c>
    </row>
    <row r="4399">
      <c r="A4399" s="66" t="inlineStr">
        <is>
          <t>01/04/2022</t>
        </is>
      </c>
      <c r="B4399" s="28" t="n">
        <v>92.62</v>
      </c>
    </row>
    <row r="4400">
      <c r="A4400" s="66" t="inlineStr">
        <is>
          <t>04/04/2022</t>
        </is>
      </c>
      <c r="B4400" s="28" t="n">
        <v>92.13</v>
      </c>
    </row>
    <row r="4401">
      <c r="A4401" s="66" t="inlineStr">
        <is>
          <t>05/04/2022</t>
        </is>
      </c>
      <c r="B4401" s="28" t="n">
        <v>90.76000000000001</v>
      </c>
    </row>
    <row r="4402">
      <c r="A4402" s="66" t="inlineStr">
        <is>
          <t>06/04/2022</t>
        </is>
      </c>
      <c r="B4402" s="28" t="n">
        <v>90.02</v>
      </c>
    </row>
    <row r="4403">
      <c r="A4403" s="66" t="inlineStr">
        <is>
          <t>07/04/2022</t>
        </is>
      </c>
      <c r="B4403" s="28" t="n">
        <v>89.62</v>
      </c>
    </row>
    <row r="4404">
      <c r="A4404" s="66" t="inlineStr">
        <is>
          <t>08/04/2022</t>
        </is>
      </c>
      <c r="B4404" s="28" t="n">
        <v>89.58</v>
      </c>
    </row>
    <row r="4405">
      <c r="A4405" s="66" t="inlineStr">
        <is>
          <t>11/04/2022</t>
        </is>
      </c>
      <c r="B4405" s="28" t="n">
        <v>89.45999999999999</v>
      </c>
    </row>
    <row r="4406">
      <c r="A4406" s="66" t="inlineStr">
        <is>
          <t>12/04/2022</t>
        </is>
      </c>
      <c r="B4406" s="28" t="n">
        <v>88.72</v>
      </c>
    </row>
    <row r="4407">
      <c r="A4407" s="66" t="inlineStr">
        <is>
          <t>13/04/2022</t>
        </is>
      </c>
      <c r="B4407" s="28" t="n">
        <v>88.11</v>
      </c>
    </row>
    <row r="4408">
      <c r="A4408" s="66" t="inlineStr">
        <is>
          <t>14/04/2022</t>
        </is>
      </c>
      <c r="B4408" s="28" t="n">
        <v>87.84999999999999</v>
      </c>
    </row>
    <row r="4409">
      <c r="A4409" s="66" t="inlineStr">
        <is>
          <t>18/04/2022</t>
        </is>
      </c>
      <c r="B4409" s="28" t="n">
        <v>88.18000000000001</v>
      </c>
    </row>
    <row r="4410">
      <c r="A4410" s="66" t="inlineStr">
        <is>
          <t>19/04/2022</t>
        </is>
      </c>
      <c r="B4410" s="28" t="n">
        <v>88.58</v>
      </c>
    </row>
    <row r="4411">
      <c r="A4411" s="66" t="inlineStr">
        <is>
          <t>20/04/2022</t>
        </is>
      </c>
      <c r="B4411" s="28" t="n">
        <v>88.42</v>
      </c>
    </row>
    <row r="4412">
      <c r="A4412" s="66" t="inlineStr">
        <is>
          <t>22/04/2022</t>
        </is>
      </c>
      <c r="B4412" s="28" t="n">
        <v>88.48</v>
      </c>
    </row>
    <row r="4413">
      <c r="A4413" s="66" t="inlineStr">
        <is>
          <t>25/04/2022</t>
        </is>
      </c>
      <c r="B4413" s="28" t="n">
        <v>89.27</v>
      </c>
    </row>
    <row r="4414">
      <c r="A4414" s="66" t="inlineStr">
        <is>
          <t>26/04/2022</t>
        </is>
      </c>
      <c r="B4414" s="28" t="n">
        <v>89.06999999999999</v>
      </c>
    </row>
    <row r="4415">
      <c r="A4415" s="66" t="inlineStr">
        <is>
          <t>27/04/2022</t>
        </is>
      </c>
      <c r="B4415" s="28" t="n">
        <v>88.76000000000001</v>
      </c>
    </row>
    <row r="4416">
      <c r="A4416" s="66" t="inlineStr">
        <is>
          <t>28/04/2022</t>
        </is>
      </c>
      <c r="B4416" s="28" t="n">
        <v>88.94</v>
      </c>
    </row>
    <row r="4417">
      <c r="A4417" s="66" t="inlineStr">
        <is>
          <t>29/04/2022</t>
        </is>
      </c>
      <c r="B4417" s="28" t="n">
        <v>88.8</v>
      </c>
    </row>
    <row r="4418">
      <c r="A4418" s="66" t="inlineStr">
        <is>
          <t>02/05/2022</t>
        </is>
      </c>
      <c r="B4418" s="28" t="n">
        <v>87.95999999999999</v>
      </c>
    </row>
    <row r="4419">
      <c r="A4419" s="66" t="inlineStr">
        <is>
          <t>03/05/2022</t>
        </is>
      </c>
      <c r="B4419" s="28" t="n">
        <v>87.69</v>
      </c>
    </row>
    <row r="4420">
      <c r="A4420" s="66" t="inlineStr">
        <is>
          <t>04/05/2022</t>
        </is>
      </c>
      <c r="B4420" s="28" t="n">
        <v>87.64</v>
      </c>
    </row>
    <row r="4421">
      <c r="A4421" s="66" t="inlineStr">
        <is>
          <t>05/05/2022</t>
        </is>
      </c>
      <c r="B4421" s="28" t="n">
        <v>87.5</v>
      </c>
    </row>
    <row r="4422">
      <c r="A4422" s="66" t="inlineStr">
        <is>
          <t>06/05/2022</t>
        </is>
      </c>
      <c r="B4422" s="28" t="n">
        <v>86.72</v>
      </c>
    </row>
    <row r="4423">
      <c r="A4423" s="66" t="inlineStr">
        <is>
          <t>09/05/2022</t>
        </is>
      </c>
      <c r="B4423" s="28" t="n">
        <v>86.23999999999999</v>
      </c>
    </row>
    <row r="4424">
      <c r="A4424" s="66" t="inlineStr">
        <is>
          <t>10/05/2022</t>
        </is>
      </c>
      <c r="B4424" s="28" t="n">
        <v>85.92</v>
      </c>
    </row>
    <row r="4425">
      <c r="A4425" s="66" t="inlineStr">
        <is>
          <t>11/05/2022</t>
        </is>
      </c>
      <c r="B4425" s="28" t="n">
        <v>86.17</v>
      </c>
    </row>
    <row r="4426">
      <c r="A4426" s="66" t="inlineStr">
        <is>
          <t>12/05/2022</t>
        </is>
      </c>
      <c r="B4426" s="28" t="n">
        <v>86.48999999999999</v>
      </c>
    </row>
    <row r="4427">
      <c r="A4427" s="66" t="inlineStr">
        <is>
          <t>13/05/2022</t>
        </is>
      </c>
      <c r="B4427" s="28" t="n">
        <v>86.63</v>
      </c>
    </row>
    <row r="4428">
      <c r="A4428" s="66" t="inlineStr">
        <is>
          <t>16/05/2022</t>
        </is>
      </c>
      <c r="B4428" s="28" t="n">
        <v>88.06</v>
      </c>
    </row>
    <row r="4429">
      <c r="A4429" s="66" t="inlineStr">
        <is>
          <t>17/05/2022</t>
        </is>
      </c>
      <c r="B4429" s="28" t="n">
        <v>89.19</v>
      </c>
    </row>
    <row r="4430">
      <c r="A4430" s="66" t="inlineStr">
        <is>
          <t>18/05/2022</t>
        </is>
      </c>
      <c r="B4430" s="28" t="n">
        <v>89.38</v>
      </c>
    </row>
    <row r="4431">
      <c r="A4431" s="66" t="inlineStr">
        <is>
          <t>19/05/2022</t>
        </is>
      </c>
      <c r="B4431" s="28" t="n">
        <v>89.33</v>
      </c>
    </row>
    <row r="4432">
      <c r="A4432" s="66" t="inlineStr">
        <is>
          <t>20/05/2022</t>
        </is>
      </c>
      <c r="B4432" s="28" t="n">
        <v>88.58</v>
      </c>
    </row>
    <row r="4433">
      <c r="A4433" s="66" t="inlineStr">
        <is>
          <t>23/05/2022</t>
        </is>
      </c>
      <c r="B4433" s="28" t="n">
        <v>88.12</v>
      </c>
    </row>
    <row r="4434">
      <c r="A4434" s="66" t="inlineStr">
        <is>
          <t>24/05/2022</t>
        </is>
      </c>
      <c r="B4434" s="28" t="n">
        <v>87.52</v>
      </c>
    </row>
    <row r="4435">
      <c r="A4435" s="66" t="inlineStr">
        <is>
          <t>25/05/2022</t>
        </is>
      </c>
      <c r="B4435" s="28" t="n">
        <v>87.42</v>
      </c>
    </row>
    <row r="4436">
      <c r="A4436" s="66" t="inlineStr">
        <is>
          <t>26/05/2022</t>
        </is>
      </c>
      <c r="B4436" s="28" t="n">
        <v>87.08</v>
      </c>
    </row>
    <row r="4437">
      <c r="A4437" s="66" t="inlineStr">
        <is>
          <t>27/05/2022</t>
        </is>
      </c>
      <c r="B4437" s="28" t="n">
        <v>86.98999999999999</v>
      </c>
    </row>
    <row r="4438">
      <c r="A4438" s="66" t="inlineStr">
        <is>
          <t>30/05/2022</t>
        </is>
      </c>
      <c r="B4438" s="28" t="n">
        <v>86.93000000000001</v>
      </c>
    </row>
    <row r="4439">
      <c r="A4439" s="66" t="inlineStr">
        <is>
          <t>31/05/2022</t>
        </is>
      </c>
      <c r="B4439" s="28" t="n">
        <v>86.34</v>
      </c>
    </row>
    <row r="4440">
      <c r="A4440" s="66" t="inlineStr">
        <is>
          <t>01/06/2022</t>
        </is>
      </c>
      <c r="B4440" s="28" t="n">
        <v>85.39</v>
      </c>
    </row>
    <row r="4441">
      <c r="A4441" s="66" t="inlineStr">
        <is>
          <t>02/06/2022</t>
        </is>
      </c>
      <c r="B4441" s="28" t="n">
        <v>85.11</v>
      </c>
    </row>
    <row r="4442">
      <c r="A4442" s="66" t="inlineStr">
        <is>
          <t>03/06/2022</t>
        </is>
      </c>
      <c r="B4442" s="28" t="n">
        <v>84.66</v>
      </c>
    </row>
    <row r="4443">
      <c r="A4443" s="66" t="inlineStr">
        <is>
          <t>06/06/2022</t>
        </is>
      </c>
      <c r="B4443" s="28" t="n">
        <v>84.39</v>
      </c>
    </row>
    <row r="4444">
      <c r="A4444" s="66" t="inlineStr">
        <is>
          <t>07/06/2022</t>
        </is>
      </c>
      <c r="B4444" s="28" t="n">
        <v>85.15000000000001</v>
      </c>
    </row>
    <row r="4445">
      <c r="A4445" s="66" t="inlineStr">
        <is>
          <t>08/06/2022</t>
        </is>
      </c>
      <c r="B4445" s="28" t="n">
        <v>85.45</v>
      </c>
    </row>
    <row r="4446">
      <c r="A4446" s="66" t="inlineStr">
        <is>
          <t>09/06/2022</t>
        </is>
      </c>
      <c r="B4446" s="28" t="n">
        <v>85.44</v>
      </c>
    </row>
    <row r="4447">
      <c r="A4447" s="66" t="inlineStr">
        <is>
          <t>10/06/2022</t>
        </is>
      </c>
      <c r="B4447" s="28" t="n">
        <v>85.01000000000001</v>
      </c>
    </row>
    <row r="4448">
      <c r="A4448" s="66" t="inlineStr">
        <is>
          <t>13/06/2022</t>
        </is>
      </c>
      <c r="B4448" s="28" t="n">
        <v>85</v>
      </c>
    </row>
    <row r="4449">
      <c r="A4449" s="66" t="inlineStr">
        <is>
          <t>14/06/2022</t>
        </is>
      </c>
      <c r="B4449" s="28" t="n">
        <v>86.01000000000001</v>
      </c>
    </row>
    <row r="4450">
      <c r="A4450" s="66" t="inlineStr">
        <is>
          <t>15/06/2022</t>
        </is>
      </c>
      <c r="B4450" s="28" t="n">
        <v>85.84</v>
      </c>
    </row>
    <row r="4451">
      <c r="A4451" s="66" t="inlineStr">
        <is>
          <t>17/06/2022</t>
        </is>
      </c>
      <c r="B4451" s="28" t="n">
        <v>85.91</v>
      </c>
    </row>
    <row r="4452">
      <c r="A4452" s="66" t="inlineStr">
        <is>
          <t>20/06/2022</t>
        </is>
      </c>
      <c r="B4452" s="28" t="n">
        <v>87</v>
      </c>
    </row>
    <row r="4453">
      <c r="A4453" s="66" t="inlineStr">
        <is>
          <t>21/06/2022</t>
        </is>
      </c>
      <c r="B4453" s="28" t="n">
        <v>86.73</v>
      </c>
    </row>
    <row r="4454">
      <c r="A4454" s="66" t="inlineStr">
        <is>
          <t>22/06/2022</t>
        </is>
      </c>
      <c r="B4454" s="28" t="n">
        <v>86.62</v>
      </c>
    </row>
    <row r="4455">
      <c r="A4455" s="66" t="inlineStr">
        <is>
          <t>23/06/2022</t>
        </is>
      </c>
      <c r="B4455" s="28" t="n">
        <v>85.51000000000001</v>
      </c>
    </row>
    <row r="4456">
      <c r="A4456" s="66" t="inlineStr">
        <is>
          <t>24/06/2022</t>
        </is>
      </c>
      <c r="B4456" s="28" t="n">
        <v>85.23999999999999</v>
      </c>
    </row>
    <row r="4457">
      <c r="A4457" s="66" t="inlineStr">
        <is>
          <t>27/06/2022</t>
        </is>
      </c>
      <c r="B4457" s="28" t="n">
        <v>84.34</v>
      </c>
    </row>
    <row r="4458">
      <c r="A4458" s="66" t="inlineStr">
        <is>
          <t>28/06/2022</t>
        </is>
      </c>
      <c r="B4458" s="28" t="n">
        <v>83.5</v>
      </c>
    </row>
    <row r="4459">
      <c r="A4459" s="66" t="inlineStr">
        <is>
          <t>29/06/2022</t>
        </is>
      </c>
      <c r="B4459" s="28" t="n">
        <v>84.44</v>
      </c>
    </row>
    <row r="4460">
      <c r="A4460" s="66" t="inlineStr">
        <is>
          <t>30/06/2022</t>
        </is>
      </c>
      <c r="B4460" s="28" t="n">
        <v>83.15000000000001</v>
      </c>
    </row>
    <row r="4461">
      <c r="A4461" s="66" t="inlineStr">
        <is>
          <t>01/07/2022</t>
        </is>
      </c>
      <c r="B4461" s="28" t="n">
        <v>82.59</v>
      </c>
    </row>
    <row r="4462">
      <c r="A4462" s="66" t="inlineStr">
        <is>
          <t>04/07/2022</t>
        </is>
      </c>
      <c r="B4462" s="28" t="n">
        <v>82.67</v>
      </c>
    </row>
    <row r="4463">
      <c r="A4463" s="66" t="inlineStr">
        <is>
          <t>05/07/2022</t>
        </is>
      </c>
      <c r="B4463" s="28" t="n">
        <v>82.03</v>
      </c>
    </row>
    <row r="4464">
      <c r="A4464" s="66" t="inlineStr">
        <is>
          <t>06/07/2022</t>
        </is>
      </c>
      <c r="B4464" s="28" t="n">
        <v>81.62</v>
      </c>
    </row>
    <row r="4465">
      <c r="A4465" s="66" t="inlineStr">
        <is>
          <t>07/07/2022</t>
        </is>
      </c>
      <c r="B4465" s="28" t="n">
        <v>81.12</v>
      </c>
    </row>
    <row r="4466">
      <c r="A4466" s="66" t="inlineStr">
        <is>
          <t>08/07/2022</t>
        </is>
      </c>
      <c r="B4466" s="28" t="n">
        <v>80.94</v>
      </c>
    </row>
    <row r="4467">
      <c r="A4467" s="66" t="inlineStr">
        <is>
          <t>11/07/2022</t>
        </is>
      </c>
      <c r="B4467" s="28" t="n">
        <v>81.79000000000001</v>
      </c>
    </row>
    <row r="4468">
      <c r="A4468" s="66" t="inlineStr">
        <is>
          <t>12/07/2022</t>
        </is>
      </c>
      <c r="B4468" s="28" t="n">
        <v>82.55</v>
      </c>
    </row>
    <row r="4469">
      <c r="A4469" s="66" t="inlineStr">
        <is>
          <t>13/07/2022</t>
        </is>
      </c>
      <c r="B4469" s="28" t="n">
        <v>82.16</v>
      </c>
    </row>
    <row r="4470">
      <c r="A4470" s="66" t="inlineStr">
        <is>
          <t>14/07/2022</t>
        </is>
      </c>
      <c r="B4470" s="28" t="n">
        <v>82.01000000000001</v>
      </c>
    </row>
    <row r="4471">
      <c r="A4471" s="66" t="inlineStr">
        <is>
          <t>15/07/2022</t>
        </is>
      </c>
      <c r="B4471" s="28" t="n">
        <v>81.89</v>
      </c>
    </row>
    <row r="4472">
      <c r="A4472" s="66" t="inlineStr">
        <is>
          <t>18/07/2022</t>
        </is>
      </c>
      <c r="B4472" s="28" t="n">
        <v>81.79000000000001</v>
      </c>
    </row>
    <row r="4473">
      <c r="A4473" s="66" t="inlineStr">
        <is>
          <t>19/07/2022</t>
        </is>
      </c>
      <c r="B4473" s="28" t="n">
        <v>81.11</v>
      </c>
    </row>
    <row r="4474">
      <c r="A4474" s="66" t="inlineStr">
        <is>
          <t>20/07/2022</t>
        </is>
      </c>
      <c r="B4474" s="28" t="n">
        <v>80.84999999999999</v>
      </c>
    </row>
    <row r="4475">
      <c r="A4475" s="66" t="inlineStr">
        <is>
          <t>21/07/2022</t>
        </is>
      </c>
      <c r="B4475" s="28" t="n">
        <v>80.29000000000001</v>
      </c>
    </row>
    <row r="4476">
      <c r="A4476" s="66" t="inlineStr">
        <is>
          <t>22/07/2022</t>
        </is>
      </c>
      <c r="B4476" s="28" t="n">
        <v>79.51000000000001</v>
      </c>
    </row>
    <row r="4477">
      <c r="A4477" s="66" t="inlineStr">
        <is>
          <t>25/07/2022</t>
        </is>
      </c>
      <c r="B4477" s="28" t="n">
        <v>79.65000000000001</v>
      </c>
    </row>
    <row r="4478">
      <c r="A4478" s="66" t="inlineStr">
        <is>
          <t>26/07/2022</t>
        </is>
      </c>
      <c r="B4478" s="28" t="n">
        <v>80.70999999999999</v>
      </c>
    </row>
    <row r="4479">
      <c r="A4479" s="66" t="inlineStr">
        <is>
          <t>27/07/2022</t>
        </is>
      </c>
      <c r="B4479" s="28" t="n">
        <v>80.84</v>
      </c>
    </row>
    <row r="4480">
      <c r="A4480" s="66" t="inlineStr">
        <is>
          <t>28/07/2022</t>
        </is>
      </c>
      <c r="B4480" s="28" t="n">
        <v>81.22</v>
      </c>
    </row>
    <row r="4481">
      <c r="A4481" s="66" t="inlineStr">
        <is>
          <t>29/07/2022</t>
        </is>
      </c>
      <c r="B4481" s="28" t="n">
        <v>82.36</v>
      </c>
    </row>
    <row r="4482">
      <c r="A4482" s="66" t="inlineStr">
        <is>
          <t>01/08/2022</t>
        </is>
      </c>
      <c r="B4482" s="28" t="n">
        <v>82.65000000000001</v>
      </c>
    </row>
    <row r="4483">
      <c r="A4483" s="66" t="inlineStr">
        <is>
          <t>02/08/2022</t>
        </is>
      </c>
      <c r="B4483" s="28" t="n">
        <v>82.59</v>
      </c>
    </row>
    <row r="4484">
      <c r="A4484" s="66" t="inlineStr">
        <is>
          <t>03/08/2022</t>
        </is>
      </c>
      <c r="B4484" s="28" t="n">
        <v>82.42</v>
      </c>
    </row>
    <row r="4485">
      <c r="A4485" s="66" t="inlineStr">
        <is>
          <t>04/08/2022</t>
        </is>
      </c>
      <c r="B4485" s="28" t="n">
        <v>82.25</v>
      </c>
    </row>
    <row r="4486">
      <c r="A4486" s="66" t="inlineStr">
        <is>
          <t>05/08/2022</t>
        </is>
      </c>
      <c r="B4486" s="28" t="n">
        <v>81.92</v>
      </c>
    </row>
    <row r="4487">
      <c r="A4487" s="66" t="inlineStr">
        <is>
          <t>08/08/2022</t>
        </is>
      </c>
      <c r="B4487" s="28" t="n">
        <v>82.06</v>
      </c>
    </row>
    <row r="4488">
      <c r="A4488" s="66" t="inlineStr">
        <is>
          <t>09/08/2022</t>
        </is>
      </c>
      <c r="B4488" s="28" t="n">
        <v>81.64</v>
      </c>
    </row>
    <row r="4489">
      <c r="A4489" s="66" t="inlineStr">
        <is>
          <t>10/08/2022</t>
        </is>
      </c>
      <c r="B4489" s="28" t="n">
        <v>82.77</v>
      </c>
    </row>
    <row r="4490">
      <c r="A4490" s="66" t="inlineStr">
        <is>
          <t>11/08/2022</t>
        </is>
      </c>
      <c r="B4490" s="28" t="n">
        <v>81.95</v>
      </c>
    </row>
    <row r="4491">
      <c r="A4491" s="66" t="inlineStr">
        <is>
          <t>12/08/2022</t>
        </is>
      </c>
      <c r="B4491" s="28" t="n">
        <v>81.56</v>
      </c>
    </row>
    <row r="4492">
      <c r="A4492" s="66" t="inlineStr">
        <is>
          <t>15/08/2022</t>
        </is>
      </c>
      <c r="B4492" s="28" t="n">
        <v>81.42</v>
      </c>
    </row>
    <row r="4493">
      <c r="A4493" s="66" t="inlineStr">
        <is>
          <t>16/08/2022</t>
        </is>
      </c>
      <c r="B4493" s="28" t="n">
        <v>82.12</v>
      </c>
    </row>
    <row r="4494">
      <c r="A4494" s="66" t="inlineStr">
        <is>
          <t>17/08/2022</t>
        </is>
      </c>
      <c r="B4494" s="28" t="n">
        <v>82.78</v>
      </c>
    </row>
    <row r="4495">
      <c r="A4495" s="66" t="inlineStr">
        <is>
          <t>18/08/2022</t>
        </is>
      </c>
      <c r="B4495" s="28" t="n">
        <v>82.11</v>
      </c>
    </row>
    <row r="4496">
      <c r="A4496" s="66" t="inlineStr">
        <is>
          <t>19/08/2022</t>
        </is>
      </c>
      <c r="B4496" s="28" t="n">
        <v>82.17</v>
      </c>
    </row>
    <row r="4497">
      <c r="A4497" s="66" t="inlineStr">
        <is>
          <t>22/08/2022</t>
        </is>
      </c>
      <c r="B4497" s="28" t="n">
        <v>81.91</v>
      </c>
    </row>
    <row r="4498">
      <c r="A4498" s="66" t="inlineStr">
        <is>
          <t>23/08/2022</t>
        </is>
      </c>
      <c r="B4498" s="28" t="n">
        <v>82.7</v>
      </c>
    </row>
    <row r="4499">
      <c r="A4499" s="66" t="inlineStr">
        <is>
          <t>24/08/2022</t>
        </is>
      </c>
      <c r="B4499" s="28" t="n">
        <v>82.78</v>
      </c>
    </row>
    <row r="4500">
      <c r="A4500" s="66" t="inlineStr">
        <is>
          <t>25/08/2022</t>
        </is>
      </c>
      <c r="B4500" s="28" t="n">
        <v>83.31999999999999</v>
      </c>
    </row>
    <row r="4501">
      <c r="A4501" s="66" t="inlineStr">
        <is>
          <t>26/08/2022</t>
        </is>
      </c>
      <c r="B4501" s="28" t="n">
        <v>83.61</v>
      </c>
    </row>
    <row r="4502">
      <c r="A4502" s="66" t="inlineStr">
        <is>
          <t>29/08/2022</t>
        </is>
      </c>
      <c r="B4502" s="28" t="n">
        <v>83.81</v>
      </c>
    </row>
    <row r="4503">
      <c r="A4503" s="66" t="inlineStr">
        <is>
          <t>30/08/2022</t>
        </is>
      </c>
      <c r="B4503" s="28" t="n">
        <v>83.73999999999999</v>
      </c>
    </row>
    <row r="4504">
      <c r="A4504" s="66" t="inlineStr">
        <is>
          <t>31/08/2022</t>
        </is>
      </c>
      <c r="B4504" s="28" t="n">
        <v>83.95</v>
      </c>
    </row>
    <row r="4505">
      <c r="A4505" s="66" t="inlineStr">
        <is>
          <t>01/09/2022</t>
        </is>
      </c>
      <c r="B4505" s="28" t="n">
        <v>84.47</v>
      </c>
    </row>
    <row r="4506">
      <c r="A4506" s="66" t="inlineStr">
        <is>
          <t>02/09/2022</t>
        </is>
      </c>
      <c r="B4506" s="28" t="n">
        <v>84.2</v>
      </c>
    </row>
    <row r="4507">
      <c r="A4507" s="66" t="inlineStr">
        <is>
          <t>05/09/2022</t>
        </is>
      </c>
      <c r="B4507" s="28" t="n">
        <v>84.06999999999999</v>
      </c>
    </row>
    <row r="4508">
      <c r="A4508" s="66" t="inlineStr">
        <is>
          <t>06/09/2022</t>
        </is>
      </c>
      <c r="B4508" s="28" t="n">
        <v>84.34999999999999</v>
      </c>
    </row>
    <row r="4509">
      <c r="A4509" s="66" t="inlineStr">
        <is>
          <t>08/09/2022</t>
        </is>
      </c>
      <c r="B4509" s="28" t="n">
        <v>84.06</v>
      </c>
    </row>
    <row r="4510">
      <c r="A4510" s="66" t="inlineStr">
        <is>
          <t>09/09/2022</t>
        </is>
      </c>
      <c r="B4510" s="28" t="n">
        <v>84.23999999999999</v>
      </c>
    </row>
    <row r="4511">
      <c r="A4511" s="66" t="inlineStr">
        <is>
          <t>12/09/2022</t>
        </is>
      </c>
      <c r="B4511" s="28" t="n">
        <v>84.77</v>
      </c>
    </row>
    <row r="4512">
      <c r="A4512" s="66" t="inlineStr">
        <is>
          <t>13/09/2022</t>
        </is>
      </c>
      <c r="B4512" s="28" t="n">
        <v>84.53</v>
      </c>
    </row>
    <row r="4513">
      <c r="A4513" s="66" t="inlineStr">
        <is>
          <t>14/09/2022</t>
        </is>
      </c>
      <c r="B4513" s="28" t="n">
        <v>85.09999999999999</v>
      </c>
    </row>
    <row r="4514">
      <c r="A4514" s="66" t="inlineStr">
        <is>
          <t>15/09/2022</t>
        </is>
      </c>
      <c r="B4514" s="28" t="n">
        <v>85.37</v>
      </c>
    </row>
    <row r="4515">
      <c r="A4515" s="66" t="inlineStr">
        <is>
          <t>16/09/2022</t>
        </is>
      </c>
      <c r="B4515" s="28" t="n">
        <v>85.17</v>
      </c>
    </row>
    <row r="4516">
      <c r="A4516" s="66" t="inlineStr">
        <is>
          <t>19/09/2022</t>
        </is>
      </c>
      <c r="B4516" s="28" t="n">
        <v>84.84</v>
      </c>
    </row>
    <row r="4517">
      <c r="A4517" s="66" t="inlineStr">
        <is>
          <t>20/09/2022</t>
        </is>
      </c>
      <c r="B4517" s="28" t="n">
        <v>85.03</v>
      </c>
    </row>
    <row r="4518">
      <c r="A4518" s="66" t="inlineStr">
        <is>
          <t>21/09/2022</t>
        </is>
      </c>
      <c r="B4518" s="28" t="n">
        <v>85.06</v>
      </c>
    </row>
    <row r="4519">
      <c r="A4519" s="66" t="inlineStr">
        <is>
          <t>22/09/2022</t>
        </is>
      </c>
      <c r="B4519" s="28" t="n">
        <v>85.38</v>
      </c>
    </row>
    <row r="4520">
      <c r="A4520" s="66" t="inlineStr">
        <is>
          <t>23/09/2022</t>
        </is>
      </c>
      <c r="B4520" s="28" t="n">
        <v>85.36</v>
      </c>
    </row>
    <row r="4521">
      <c r="A4521" s="66" t="inlineStr">
        <is>
          <t>26/09/2022</t>
        </is>
      </c>
      <c r="B4521" s="28" t="n">
        <v>85.40000000000001</v>
      </c>
    </row>
    <row r="4522">
      <c r="A4522" s="66" t="inlineStr">
        <is>
          <t>27/09/2022</t>
        </is>
      </c>
      <c r="B4522" s="28" t="n">
        <v>85.54000000000001</v>
      </c>
    </row>
    <row r="4523">
      <c r="A4523" s="66" t="inlineStr">
        <is>
          <t>28/09/2022</t>
        </is>
      </c>
      <c r="B4523" s="28" t="n">
        <v>85.06999999999999</v>
      </c>
    </row>
    <row r="4524">
      <c r="A4524" s="66" t="inlineStr">
        <is>
          <t>29/09/2022</t>
        </is>
      </c>
      <c r="B4524" s="28" t="n">
        <v>85.06</v>
      </c>
    </row>
    <row r="4525">
      <c r="A4525" s="66" t="inlineStr">
        <is>
          <t>30/09/2022</t>
        </is>
      </c>
      <c r="B4525" s="28" t="n">
        <v>85.23999999999999</v>
      </c>
    </row>
    <row r="4526">
      <c r="A4526" s="66" t="inlineStr">
        <is>
          <t>03/10/2022</t>
        </is>
      </c>
      <c r="B4526" s="28" t="n">
        <v>85.79000000000001</v>
      </c>
    </row>
    <row r="4527">
      <c r="A4527" s="66" t="inlineStr">
        <is>
          <t>04/10/2022</t>
        </is>
      </c>
      <c r="B4527" s="28" t="n">
        <v>84.90000000000001</v>
      </c>
    </row>
    <row r="4528">
      <c r="A4528" s="66" t="inlineStr">
        <is>
          <t>05/10/2022</t>
        </is>
      </c>
      <c r="B4528" s="28" t="n">
        <v>84.54000000000001</v>
      </c>
    </row>
    <row r="4529">
      <c r="A4529" s="66" t="inlineStr">
        <is>
          <t>06/10/2022</t>
        </is>
      </c>
      <c r="B4529" s="28" t="n">
        <v>84.67</v>
      </c>
    </row>
    <row r="4530">
      <c r="A4530" s="66" t="inlineStr">
        <is>
          <t>07/10/2022</t>
        </is>
      </c>
      <c r="B4530" s="28" t="n">
        <v>84.68000000000001</v>
      </c>
    </row>
    <row r="4531">
      <c r="A4531" s="66" t="inlineStr">
        <is>
          <t>10/10/2022</t>
        </is>
      </c>
      <c r="B4531" s="28" t="n">
        <v>85.14</v>
      </c>
    </row>
    <row r="4532">
      <c r="A4532" s="66" t="inlineStr">
        <is>
          <t>11/10/2022</t>
        </is>
      </c>
      <c r="B4532" s="28" t="n">
        <v>85.5</v>
      </c>
    </row>
    <row r="4533">
      <c r="A4533" s="66" t="inlineStr">
        <is>
          <t>13/10/2022</t>
        </is>
      </c>
      <c r="B4533" s="28" t="n">
        <v>86.06999999999999</v>
      </c>
    </row>
    <row r="4534">
      <c r="A4534" s="66" t="inlineStr">
        <is>
          <t>14/10/2022</t>
        </is>
      </c>
      <c r="B4534" s="28" t="n">
        <v>86.33</v>
      </c>
    </row>
    <row r="4535">
      <c r="A4535" s="66" t="inlineStr">
        <is>
          <t>17/10/2022</t>
        </is>
      </c>
      <c r="B4535" s="28" t="n">
        <v>86.52</v>
      </c>
    </row>
    <row r="4536">
      <c r="A4536" s="66" t="inlineStr">
        <is>
          <t>18/10/2022</t>
        </is>
      </c>
      <c r="B4536" s="28" t="n">
        <v>87.05</v>
      </c>
    </row>
    <row r="4537">
      <c r="A4537" s="66" t="inlineStr">
        <is>
          <t>19/10/2022</t>
        </is>
      </c>
      <c r="B4537" s="28" t="n">
        <v>87.08</v>
      </c>
    </row>
    <row r="4538">
      <c r="A4538" s="66" t="inlineStr">
        <is>
          <t>20/10/2022</t>
        </is>
      </c>
      <c r="B4538" s="28" t="n">
        <v>86.88</v>
      </c>
    </row>
    <row r="4539">
      <c r="A4539" s="66" t="inlineStr">
        <is>
          <t>21/10/2022</t>
        </is>
      </c>
      <c r="B4539" s="28" t="n">
        <v>86.95</v>
      </c>
    </row>
    <row r="4540">
      <c r="A4540" s="66" t="inlineStr">
        <is>
          <t>24/10/2022</t>
        </is>
      </c>
      <c r="B4540" s="28" t="n">
        <v>86.75</v>
      </c>
    </row>
    <row r="4541">
      <c r="A4541" s="66" t="inlineStr">
        <is>
          <t>25/10/2022</t>
        </is>
      </c>
      <c r="B4541" s="28" t="n">
        <v>86.56999999999999</v>
      </c>
    </row>
    <row r="4542">
      <c r="A4542" s="66" t="inlineStr">
        <is>
          <t>26/10/2022</t>
        </is>
      </c>
      <c r="B4542" s="28" t="n">
        <v>86.79000000000001</v>
      </c>
    </row>
    <row r="4543">
      <c r="A4543" s="66" t="inlineStr">
        <is>
          <t>27/10/2022</t>
        </is>
      </c>
      <c r="B4543" s="28" t="n">
        <v>87.02</v>
      </c>
    </row>
    <row r="4544">
      <c r="A4544" s="66" t="inlineStr">
        <is>
          <t>28/10/2022</t>
        </is>
      </c>
      <c r="B4544" s="28" t="n">
        <v>87.37</v>
      </c>
    </row>
    <row r="4545">
      <c r="A4545" s="66" t="inlineStr">
        <is>
          <t>31/10/2022</t>
        </is>
      </c>
      <c r="B4545" s="28" t="n">
        <v>87.02</v>
      </c>
    </row>
    <row r="4546">
      <c r="A4546" s="66" t="inlineStr">
        <is>
          <t>01/11/2022</t>
        </is>
      </c>
      <c r="B4546" s="28" t="n">
        <v>87.27</v>
      </c>
    </row>
    <row r="4547">
      <c r="A4547" s="66" t="inlineStr">
        <is>
          <t>03/11/2022</t>
        </is>
      </c>
      <c r="B4547" s="28" t="n">
        <v>86.91</v>
      </c>
    </row>
    <row r="4548">
      <c r="A4548" s="66" t="inlineStr">
        <is>
          <t>04/11/2022</t>
        </is>
      </c>
      <c r="B4548" s="28" t="n">
        <v>87.09999999999999</v>
      </c>
    </row>
    <row r="4549">
      <c r="A4549" s="66" t="inlineStr">
        <is>
          <t>07/11/2022</t>
        </is>
      </c>
      <c r="B4549" s="28" t="n">
        <v>87.34999999999999</v>
      </c>
    </row>
    <row r="4550">
      <c r="A4550" s="66" t="inlineStr">
        <is>
          <t>08/11/2022</t>
        </is>
      </c>
      <c r="B4550" s="28" t="n">
        <v>87.45999999999999</v>
      </c>
    </row>
    <row r="4551">
      <c r="A4551" s="66" t="inlineStr">
        <is>
          <t>09/11/2022</t>
        </is>
      </c>
      <c r="B4551" s="28" t="n">
        <v>86.91</v>
      </c>
    </row>
    <row r="4552">
      <c r="A4552" s="66" t="inlineStr">
        <is>
          <t>10/11/2022</t>
        </is>
      </c>
      <c r="B4552" s="28" t="n">
        <v>86.62</v>
      </c>
    </row>
    <row r="4553">
      <c r="A4553" s="66" t="inlineStr">
        <is>
          <t>11/11/2022</t>
        </is>
      </c>
      <c r="B4553" s="28" t="n">
        <v>85.86</v>
      </c>
    </row>
    <row r="4554">
      <c r="A4554" s="66" t="inlineStr">
        <is>
          <t>14/11/2022</t>
        </is>
      </c>
      <c r="B4554" s="28" t="n">
        <v>86.13</v>
      </c>
    </row>
    <row r="4555">
      <c r="A4555" s="66" t="inlineStr">
        <is>
          <t>16/11/2022</t>
        </is>
      </c>
      <c r="B4555" s="28" t="n">
        <v>85.81</v>
      </c>
    </row>
    <row r="4556">
      <c r="A4556" s="66" t="inlineStr">
        <is>
          <t>17/11/2022</t>
        </is>
      </c>
      <c r="B4556" s="28" t="n">
        <v>86.19</v>
      </c>
    </row>
    <row r="4557">
      <c r="A4557" s="66" t="inlineStr">
        <is>
          <t>18/11/2022</t>
        </is>
      </c>
      <c r="B4557" s="28" t="n">
        <v>86.92</v>
      </c>
    </row>
    <row r="4558">
      <c r="A4558" s="66" t="inlineStr">
        <is>
          <t>21/11/2022</t>
        </is>
      </c>
      <c r="B4558" s="28" t="n">
        <v>87.23999999999999</v>
      </c>
    </row>
    <row r="4559">
      <c r="A4559" s="66" t="inlineStr">
        <is>
          <t>22/11/2022</t>
        </is>
      </c>
      <c r="B4559" s="28" t="n">
        <v>87.34999999999999</v>
      </c>
    </row>
    <row r="4560">
      <c r="A4560" s="66" t="inlineStr">
        <is>
          <t>23/11/2022</t>
        </is>
      </c>
      <c r="B4560" s="28" t="n">
        <v>87.68000000000001</v>
      </c>
    </row>
    <row r="4561">
      <c r="A4561" s="66" t="inlineStr">
        <is>
          <t>24/11/2022</t>
        </is>
      </c>
      <c r="B4561" s="28" t="n">
        <v>88.05</v>
      </c>
    </row>
    <row r="4562">
      <c r="A4562" s="66" t="inlineStr">
        <is>
          <t>25/11/2022</t>
        </is>
      </c>
      <c r="B4562" s="28" t="n">
        <v>87.65000000000001</v>
      </c>
    </row>
    <row r="4563">
      <c r="A4563" s="66" t="inlineStr">
        <is>
          <t>28/11/2022</t>
        </is>
      </c>
      <c r="B4563" s="28" t="n">
        <v>88.14</v>
      </c>
    </row>
    <row r="4564">
      <c r="A4564" s="66" t="inlineStr">
        <is>
          <t>29/11/2022</t>
        </is>
      </c>
      <c r="B4564" s="28" t="n">
        <v>87.93000000000001</v>
      </c>
    </row>
    <row r="4565">
      <c r="A4565" s="66" t="inlineStr">
        <is>
          <t>30/11/2022</t>
        </is>
      </c>
      <c r="B4565" s="28" t="n">
        <v>88.38</v>
      </c>
    </row>
    <row r="4566">
      <c r="A4566" s="66" t="inlineStr">
        <is>
          <t>01/12/2022</t>
        </is>
      </c>
      <c r="B4566" s="28" t="n">
        <v>87.78</v>
      </c>
    </row>
    <row r="4567">
      <c r="A4567" s="66" t="inlineStr">
        <is>
          <t>02/12/2022</t>
        </is>
      </c>
      <c r="B4567" s="28" t="n">
        <v>87.81999999999999</v>
      </c>
    </row>
    <row r="4568">
      <c r="A4568" s="66" t="inlineStr">
        <is>
          <t>05/12/2022</t>
        </is>
      </c>
      <c r="B4568" s="28" t="n">
        <v>87.31999999999999</v>
      </c>
    </row>
    <row r="4569">
      <c r="A4569" s="66" t="inlineStr">
        <is>
          <t>06/12/2022</t>
        </is>
      </c>
      <c r="B4569" s="28" t="n">
        <v>87.89</v>
      </c>
    </row>
    <row r="4570">
      <c r="A4570" s="66" t="inlineStr">
        <is>
          <t>07/12/2022</t>
        </is>
      </c>
      <c r="B4570" s="28" t="n">
        <v>87.98</v>
      </c>
    </row>
    <row r="4571">
      <c r="A4571" s="66" t="inlineStr">
        <is>
          <t>08/12/2022</t>
        </is>
      </c>
      <c r="B4571" s="28" t="n">
        <v>87.68000000000001</v>
      </c>
    </row>
    <row r="4572">
      <c r="A4572" s="66" t="inlineStr">
        <is>
          <t>09/12/2022</t>
        </is>
      </c>
      <c r="B4572" s="28" t="n">
        <v>87.87</v>
      </c>
    </row>
    <row r="4573">
      <c r="A4573" s="66" t="inlineStr">
        <is>
          <t>12/12/2022</t>
        </is>
      </c>
      <c r="B4573" s="28" t="n">
        <v>87.94</v>
      </c>
    </row>
    <row r="4574">
      <c r="A4574" s="66" t="inlineStr">
        <is>
          <t>13/12/2022</t>
        </is>
      </c>
      <c r="B4574" s="28" t="n">
        <v>87.78</v>
      </c>
    </row>
    <row r="4575">
      <c r="A4575" s="66" t="inlineStr">
        <is>
          <t>14/12/2022</t>
        </is>
      </c>
      <c r="B4575" s="28" t="n">
        <v>87.56999999999999</v>
      </c>
    </row>
    <row r="4576">
      <c r="A4576" s="66" t="inlineStr">
        <is>
          <t>15/12/2022</t>
        </is>
      </c>
      <c r="B4576" s="28" t="n">
        <v>87.69</v>
      </c>
    </row>
    <row r="4577">
      <c r="A4577" s="66" t="inlineStr">
        <is>
          <t>16/12/2022</t>
        </is>
      </c>
      <c r="B4577" s="28" t="n">
        <v>88.23</v>
      </c>
    </row>
    <row r="4578">
      <c r="A4578" s="66" t="inlineStr">
        <is>
          <t>19/12/2022</t>
        </is>
      </c>
      <c r="B4578" s="28" t="n">
        <v>87.84</v>
      </c>
    </row>
    <row r="4579">
      <c r="A4579" s="66" t="inlineStr">
        <is>
          <t>20/12/2022</t>
        </is>
      </c>
      <c r="B4579" s="28" t="n">
        <v>87.76000000000001</v>
      </c>
    </row>
    <row r="4580">
      <c r="A4580" s="66" t="inlineStr">
        <is>
          <t>21/12/2022</t>
        </is>
      </c>
      <c r="B4580" s="28" t="n">
        <v>87.59999999999999</v>
      </c>
    </row>
    <row r="4581">
      <c r="A4581" s="66" t="inlineStr">
        <is>
          <t>22/12/2022</t>
        </is>
      </c>
      <c r="B4581" s="28" t="n">
        <v>87.36</v>
      </c>
    </row>
    <row r="4582">
      <c r="A4582" s="66" t="inlineStr">
        <is>
          <t>23/12/2022</t>
        </is>
      </c>
      <c r="B4582" s="28" t="n">
        <v>87.58</v>
      </c>
    </row>
    <row r="4583">
      <c r="A4583" s="66" t="inlineStr">
        <is>
          <t>26/12/2022</t>
        </is>
      </c>
      <c r="B4583" s="28" t="n">
        <v>87.56999999999999</v>
      </c>
    </row>
    <row r="4584">
      <c r="A4584" s="66" t="inlineStr">
        <is>
          <t>27/12/2022</t>
        </is>
      </c>
      <c r="B4584" s="28" t="n">
        <v>88.41</v>
      </c>
    </row>
    <row r="4585">
      <c r="A4585" s="66" t="inlineStr">
        <is>
          <t>28/12/2022</t>
        </is>
      </c>
      <c r="B4585" s="28" t="n">
        <v>88.20999999999999</v>
      </c>
    </row>
    <row r="4586">
      <c r="A4586" s="66" t="inlineStr">
        <is>
          <t>29/12/2022</t>
        </is>
      </c>
      <c r="B4586" s="28" t="n">
        <v>87.86</v>
      </c>
    </row>
    <row r="4587">
      <c r="A4587" s="66" t="inlineStr">
        <is>
          <t>02/01/2023</t>
        </is>
      </c>
      <c r="B4587" s="28" t="n">
        <v>87.69</v>
      </c>
    </row>
    <row r="4588">
      <c r="A4588" s="66" t="inlineStr">
        <is>
          <t>03/01/2023</t>
        </is>
      </c>
      <c r="B4588" s="28" t="n">
        <v>87.67</v>
      </c>
    </row>
    <row r="4589">
      <c r="A4589" s="66" t="inlineStr">
        <is>
          <t>04/01/2023</t>
        </is>
      </c>
      <c r="B4589" s="28" t="n">
        <v>87.95999999999999</v>
      </c>
    </row>
    <row r="4590">
      <c r="A4590" s="66" t="inlineStr">
        <is>
          <t>05/01/2023</t>
        </is>
      </c>
      <c r="B4590" s="28" t="n">
        <v>89.34999999999999</v>
      </c>
    </row>
    <row r="4591">
      <c r="A4591" s="66" t="inlineStr">
        <is>
          <t>06/01/2023</t>
        </is>
      </c>
      <c r="B4591" s="28" t="n">
        <v>89.13</v>
      </c>
    </row>
    <row r="4592">
      <c r="A4592" s="66" t="inlineStr">
        <is>
          <t>09/01/2023</t>
        </is>
      </c>
      <c r="B4592" s="28" t="n">
        <v>88.89</v>
      </c>
    </row>
    <row r="4593">
      <c r="A4593" s="66" t="inlineStr">
        <is>
          <t>10/01/2023</t>
        </is>
      </c>
      <c r="B4593" s="28" t="n">
        <v>88.95999999999999</v>
      </c>
    </row>
    <row r="4594">
      <c r="A4594" s="66" t="inlineStr">
        <is>
          <t>11/01/2023</t>
        </is>
      </c>
      <c r="B4594" s="28" t="n">
        <v>88.81</v>
      </c>
    </row>
    <row r="4595">
      <c r="A4595" s="66" t="inlineStr">
        <is>
          <t>12/01/2023</t>
        </is>
      </c>
      <c r="B4595" s="28" t="n">
        <v>88.48</v>
      </c>
    </row>
    <row r="4596">
      <c r="A4596" s="66" t="inlineStr">
        <is>
          <t>13/01/2023</t>
        </is>
      </c>
      <c r="B4596" s="28" t="n">
        <v>88.48999999999999</v>
      </c>
    </row>
    <row r="4597">
      <c r="A4597" s="66" t="inlineStr">
        <is>
          <t>16/01/2023</t>
        </is>
      </c>
      <c r="B4597" s="28" t="n">
        <v>88</v>
      </c>
    </row>
    <row r="4598">
      <c r="A4598" s="66" t="inlineStr">
        <is>
          <t>17/01/2023</t>
        </is>
      </c>
      <c r="B4598" s="28" t="n">
        <v>87.79000000000001</v>
      </c>
    </row>
    <row r="4599">
      <c r="A4599" s="66" t="inlineStr">
        <is>
          <t>18/01/2023</t>
        </is>
      </c>
      <c r="B4599" s="28" t="n">
        <v>87.5</v>
      </c>
    </row>
    <row r="4600">
      <c r="A4600" s="66" t="inlineStr">
        <is>
          <t>19/01/2023</t>
        </is>
      </c>
      <c r="B4600" s="28" t="n">
        <v>86.97</v>
      </c>
    </row>
    <row r="4601">
      <c r="A4601" s="66" t="inlineStr">
        <is>
          <t>20/01/2023</t>
        </is>
      </c>
      <c r="B4601" s="28" t="n">
        <v>86.92</v>
      </c>
    </row>
    <row r="4602">
      <c r="A4602" s="66" t="inlineStr">
        <is>
          <t>23/01/2023</t>
        </is>
      </c>
      <c r="B4602" s="28" t="n">
        <v>87.02</v>
      </c>
    </row>
    <row r="4603">
      <c r="A4603" s="66" t="inlineStr">
        <is>
          <t>24/01/2023</t>
        </is>
      </c>
      <c r="B4603" s="28" t="n">
        <v>86.76000000000001</v>
      </c>
    </row>
    <row r="4604">
      <c r="A4604" s="66" t="inlineStr">
        <is>
          <t>25/01/2023</t>
        </is>
      </c>
      <c r="B4604" s="28" t="n">
        <v>86.81</v>
      </c>
    </row>
    <row r="4605">
      <c r="A4605" s="66" t="inlineStr">
        <is>
          <t>26/01/2023</t>
        </is>
      </c>
      <c r="B4605" s="28" t="n">
        <v>86.45999999999999</v>
      </c>
    </row>
    <row r="4606">
      <c r="A4606" s="66" t="inlineStr">
        <is>
          <t>27/01/2023</t>
        </is>
      </c>
      <c r="B4606" s="28" t="n">
        <v>86.31999999999999</v>
      </c>
    </row>
    <row r="4607">
      <c r="A4607" s="66" t="inlineStr">
        <is>
          <t>30/01/2023</t>
        </is>
      </c>
      <c r="B4607" s="28" t="n">
        <v>86.53</v>
      </c>
    </row>
    <row r="4608">
      <c r="A4608" s="66" t="inlineStr">
        <is>
          <t>31/01/2023</t>
        </is>
      </c>
      <c r="B4608" s="28" t="n">
        <v>87.08</v>
      </c>
    </row>
    <row r="4609">
      <c r="A4609" s="66" t="inlineStr">
        <is>
          <t>01/02/2023</t>
        </is>
      </c>
      <c r="B4609" s="28" t="n">
        <v>87.41</v>
      </c>
    </row>
    <row r="4610">
      <c r="A4610" s="66" t="inlineStr">
        <is>
          <t>02/02/2023</t>
        </is>
      </c>
      <c r="B4610" s="28" t="n">
        <v>86.67</v>
      </c>
    </row>
    <row r="4611">
      <c r="A4611" s="66" t="inlineStr">
        <is>
          <t>03/02/2023</t>
        </is>
      </c>
      <c r="B4611" s="28" t="n">
        <v>86.61</v>
      </c>
    </row>
    <row r="4612">
      <c r="A4612" s="66" t="inlineStr">
        <is>
          <t>06/02/2023</t>
        </is>
      </c>
      <c r="B4612" s="28" t="n">
        <v>86.76000000000001</v>
      </c>
    </row>
    <row r="4613">
      <c r="A4613" s="66" t="inlineStr">
        <is>
          <t>07/02/2023</t>
        </is>
      </c>
      <c r="B4613" s="28" t="n">
        <v>86.5</v>
      </c>
    </row>
    <row r="4614">
      <c r="A4614" s="66" t="inlineStr">
        <is>
          <t>08/02/2023</t>
        </is>
      </c>
      <c r="B4614" s="28" t="n">
        <v>86.53</v>
      </c>
    </row>
    <row r="4615">
      <c r="A4615" s="66" t="inlineStr">
        <is>
          <t>09/02/2023</t>
        </is>
      </c>
      <c r="B4615" s="28" t="n">
        <v>87.61</v>
      </c>
    </row>
    <row r="4616">
      <c r="A4616" s="66" t="inlineStr">
        <is>
          <t>10/02/2023</t>
        </is>
      </c>
      <c r="B4616" s="28" t="n">
        <v>87.68000000000001</v>
      </c>
    </row>
    <row r="4617">
      <c r="A4617" s="66" t="inlineStr">
        <is>
          <t>13/02/2023</t>
        </is>
      </c>
      <c r="B4617" s="28" t="n">
        <v>87.51000000000001</v>
      </c>
    </row>
    <row r="4618">
      <c r="A4618" s="66" t="inlineStr">
        <is>
          <t>14/02/2023</t>
        </is>
      </c>
      <c r="B4618" s="28" t="n">
        <v>87.92</v>
      </c>
    </row>
    <row r="4619">
      <c r="A4619" s="66" t="inlineStr">
        <is>
          <t>15/02/2023</t>
        </is>
      </c>
      <c r="B4619" s="28" t="n">
        <v>87.70999999999999</v>
      </c>
    </row>
    <row r="4620">
      <c r="A4620" s="66" t="inlineStr">
        <is>
          <t>16/02/2023</t>
        </is>
      </c>
      <c r="B4620" s="28" t="n">
        <v>87.90000000000001</v>
      </c>
    </row>
    <row r="4621">
      <c r="A4621" s="66" t="inlineStr">
        <is>
          <t>17/02/2023</t>
        </is>
      </c>
      <c r="B4621" s="28" t="n">
        <v>87.38</v>
      </c>
    </row>
    <row r="4622">
      <c r="A4622" s="66" t="inlineStr">
        <is>
          <t>22/02/2023</t>
        </is>
      </c>
      <c r="B4622" s="28" t="n">
        <v>87.70999999999999</v>
      </c>
    </row>
    <row r="4623">
      <c r="A4623" s="66" t="inlineStr">
        <is>
          <t>23/02/2023</t>
        </is>
      </c>
      <c r="B4623" s="28" t="n">
        <v>87.88</v>
      </c>
    </row>
    <row r="4624">
      <c r="A4624" s="66" t="inlineStr">
        <is>
          <t>24/02/2023</t>
        </is>
      </c>
      <c r="B4624" s="28" t="n">
        <v>87.48</v>
      </c>
    </row>
    <row r="4625">
      <c r="A4625" s="66" t="inlineStr">
        <is>
          <t>27/02/2023</t>
        </is>
      </c>
      <c r="B4625" s="28" t="n">
        <v>88.06</v>
      </c>
    </row>
    <row r="4626">
      <c r="A4626" s="66" t="inlineStr">
        <is>
          <t>28/02/2023</t>
        </is>
      </c>
      <c r="B4626" s="28" t="n">
        <v>87.73</v>
      </c>
    </row>
    <row r="4627">
      <c r="A4627" s="66" t="inlineStr">
        <is>
          <t>01/03/2023</t>
        </is>
      </c>
      <c r="B4627" s="28" t="n">
        <v>87.72</v>
      </c>
    </row>
    <row r="4628">
      <c r="A4628" s="66" t="inlineStr">
        <is>
          <t>02/03/2023</t>
        </is>
      </c>
      <c r="B4628" s="28" t="n">
        <v>87.98</v>
      </c>
    </row>
    <row r="4629">
      <c r="A4629" s="66" t="inlineStr">
        <is>
          <t>03/03/2023</t>
        </is>
      </c>
      <c r="B4629" s="28" t="n">
        <v>87.83</v>
      </c>
    </row>
    <row r="4630">
      <c r="A4630" s="66" t="inlineStr">
        <is>
          <t>06/03/2023</t>
        </is>
      </c>
      <c r="B4630" s="28" t="n">
        <v>87.76000000000001</v>
      </c>
    </row>
    <row r="4631">
      <c r="A4631" s="66" t="inlineStr">
        <is>
          <t>07/03/2023</t>
        </is>
      </c>
      <c r="B4631" s="28" t="n">
        <v>87.45</v>
      </c>
    </row>
    <row r="4632">
      <c r="A4632" s="66" t="inlineStr">
        <is>
          <t>08/03/2023</t>
        </is>
      </c>
      <c r="B4632" s="28" t="n">
        <v>87.64</v>
      </c>
    </row>
    <row r="4633">
      <c r="A4633" s="66" t="inlineStr">
        <is>
          <t>09/03/2023</t>
        </is>
      </c>
      <c r="B4633" s="28" t="n">
        <v>87.06999999999999</v>
      </c>
    </row>
    <row r="4634">
      <c r="A4634" s="66" t="inlineStr">
        <is>
          <t>10/03/2023</t>
        </is>
      </c>
      <c r="B4634" s="28" t="n">
        <v>86.92</v>
      </c>
    </row>
    <row r="4635">
      <c r="A4635" s="66" t="inlineStr">
        <is>
          <t>13/03/2023</t>
        </is>
      </c>
      <c r="B4635" s="28" t="n">
        <v>87.20999999999999</v>
      </c>
    </row>
    <row r="4636">
      <c r="A4636" s="66" t="inlineStr">
        <is>
          <t>14/03/2023</t>
        </is>
      </c>
      <c r="B4636" s="28" t="n">
        <v>87.02</v>
      </c>
    </row>
    <row r="4637">
      <c r="A4637" s="66" t="inlineStr">
        <is>
          <t>15/03/2023</t>
        </is>
      </c>
      <c r="B4637" s="28" t="n">
        <v>87.09</v>
      </c>
    </row>
    <row r="4638">
      <c r="A4638" s="66" t="inlineStr">
        <is>
          <t>16/03/2023</t>
        </is>
      </c>
      <c r="B4638" s="28" t="n">
        <v>86.97</v>
      </c>
    </row>
    <row r="4639">
      <c r="A4639" s="66" t="inlineStr">
        <is>
          <t>17/03/2023</t>
        </is>
      </c>
      <c r="B4639" s="28" t="n">
        <v>86.84</v>
      </c>
    </row>
    <row r="4640">
      <c r="A4640" s="66" t="inlineStr">
        <is>
          <t>20/03/2023</t>
        </is>
      </c>
      <c r="B4640" s="28" t="n">
        <v>86.23999999999999</v>
      </c>
    </row>
    <row r="4641">
      <c r="A4641" s="66" t="inlineStr">
        <is>
          <t>21/03/2023</t>
        </is>
      </c>
      <c r="B4641" s="28" t="n">
        <v>86.04000000000001</v>
      </c>
    </row>
    <row r="4642">
      <c r="A4642" s="66" t="inlineStr">
        <is>
          <t>22/03/2023</t>
        </is>
      </c>
      <c r="B4642" s="28" t="n">
        <v>85.94</v>
      </c>
    </row>
    <row r="4643">
      <c r="A4643" s="66" t="inlineStr">
        <is>
          <t>23/03/2023</t>
        </is>
      </c>
      <c r="B4643" s="28" t="n">
        <v>85.48</v>
      </c>
    </row>
    <row r="4644">
      <c r="A4644" s="66" t="inlineStr">
        <is>
          <t>24/03/2023</t>
        </is>
      </c>
      <c r="B4644" s="28" t="n">
        <v>85.76000000000001</v>
      </c>
    </row>
    <row r="4645">
      <c r="A4645" s="66" t="inlineStr">
        <is>
          <t>27/03/2023</t>
        </is>
      </c>
      <c r="B4645" s="28" t="n">
        <v>85.56999999999999</v>
      </c>
    </row>
    <row r="4646">
      <c r="A4646" s="66" t="inlineStr">
        <is>
          <t>28/03/2023</t>
        </is>
      </c>
      <c r="B4646" s="28" t="n">
        <v>84.95</v>
      </c>
    </row>
    <row r="4647">
      <c r="A4647" s="66" t="inlineStr">
        <is>
          <t>29/03/2023</t>
        </is>
      </c>
      <c r="B4647" s="28" t="n">
        <v>84.73</v>
      </c>
    </row>
    <row r="4648">
      <c r="A4648" s="66" t="inlineStr">
        <is>
          <t>30/03/2023</t>
        </is>
      </c>
      <c r="B4648" s="28" t="n">
        <v>84.45</v>
      </c>
    </row>
    <row r="4649">
      <c r="A4649" s="66" t="inlineStr">
        <is>
          <t>31/03/2023</t>
        </is>
      </c>
      <c r="B4649" s="28" t="n">
        <v>84.15000000000001</v>
      </c>
    </row>
    <row r="4650">
      <c r="A4650" s="66" t="inlineStr">
        <is>
          <t>03/04/2023</t>
        </is>
      </c>
      <c r="B4650" s="28" t="n">
        <v>84.75</v>
      </c>
    </row>
    <row r="4651">
      <c r="A4651" s="66" t="inlineStr">
        <is>
          <t>04/04/2023</t>
        </is>
      </c>
      <c r="B4651" s="28" t="n">
        <v>83.43000000000001</v>
      </c>
    </row>
    <row r="4652">
      <c r="A4652" s="66" t="inlineStr">
        <is>
          <t>05/04/2023</t>
        </is>
      </c>
      <c r="B4652" s="28" t="n">
        <v>83.19</v>
      </c>
    </row>
    <row r="4653">
      <c r="A4653" s="66" t="inlineStr">
        <is>
          <t>06/04/2023</t>
        </is>
      </c>
      <c r="B4653" s="28" t="n">
        <v>82.53</v>
      </c>
    </row>
    <row r="4654">
      <c r="A4654" s="66" t="inlineStr">
        <is>
          <t>10/04/2023</t>
        </is>
      </c>
      <c r="B4654" s="28" t="n">
        <v>81.65000000000001</v>
      </c>
    </row>
    <row r="4655">
      <c r="A4655" s="66" t="inlineStr">
        <is>
          <t>11/04/2023</t>
        </is>
      </c>
      <c r="B4655" s="28" t="n">
        <v>80.56999999999999</v>
      </c>
    </row>
    <row r="4656">
      <c r="A4656" s="66" t="inlineStr">
        <is>
          <t>12/04/2023</t>
        </is>
      </c>
      <c r="B4656" s="28" t="n">
        <v>79.87</v>
      </c>
    </row>
    <row r="4657">
      <c r="A4657" s="66" t="inlineStr">
        <is>
          <t>13/04/2023</t>
        </is>
      </c>
      <c r="B4657" s="28" t="n">
        <v>79.06999999999999</v>
      </c>
    </row>
    <row r="4658">
      <c r="A4658" s="66" t="inlineStr">
        <is>
          <t>14/04/2023</t>
        </is>
      </c>
      <c r="B4658" s="28" t="n">
        <v>78.15000000000001</v>
      </c>
    </row>
    <row r="4659">
      <c r="A4659" s="66" t="inlineStr">
        <is>
          <t>17/04/2023</t>
        </is>
      </c>
      <c r="B4659" s="28" t="n">
        <v>77.43000000000001</v>
      </c>
    </row>
    <row r="4660">
      <c r="A4660" s="66" t="inlineStr">
        <is>
          <t>18/04/2023</t>
        </is>
      </c>
      <c r="B4660" s="28" t="n">
        <v>76.03</v>
      </c>
    </row>
    <row r="4661">
      <c r="A4661" s="66" t="inlineStr">
        <is>
          <t>19/04/2023</t>
        </is>
      </c>
      <c r="B4661" s="28" t="n">
        <v>74.83</v>
      </c>
    </row>
    <row r="4662">
      <c r="A4662" s="66" t="inlineStr">
        <is>
          <t>20/04/2023</t>
        </is>
      </c>
      <c r="B4662" s="28" t="n">
        <v>72.61</v>
      </c>
    </row>
    <row r="4663">
      <c r="A4663" s="66" t="inlineStr">
        <is>
          <t>24/04/2023</t>
        </is>
      </c>
      <c r="B4663" s="28" t="n">
        <v>72.11</v>
      </c>
    </row>
    <row r="4664">
      <c r="A4664" s="66" t="inlineStr">
        <is>
          <t>25/04/2023</t>
        </is>
      </c>
      <c r="B4664" s="28" t="n">
        <v>71.73999999999999</v>
      </c>
    </row>
    <row r="4665">
      <c r="A4665" s="66" t="inlineStr">
        <is>
          <t>26/04/2023</t>
        </is>
      </c>
      <c r="B4665" s="28" t="n">
        <v>70.64</v>
      </c>
    </row>
    <row r="4666">
      <c r="A4666" s="66" t="inlineStr">
        <is>
          <t>27/04/2023</t>
        </is>
      </c>
      <c r="B4666" s="28" t="n">
        <v>69.64</v>
      </c>
    </row>
    <row r="4667">
      <c r="A4667" s="66" t="inlineStr">
        <is>
          <t>28/04/2023</t>
        </is>
      </c>
      <c r="B4667" s="28" t="n">
        <v>67.48</v>
      </c>
    </row>
    <row r="4668">
      <c r="A4668" s="66" t="inlineStr">
        <is>
          <t>02/05/2023</t>
        </is>
      </c>
      <c r="B4668" s="28" t="n">
        <v>67.58</v>
      </c>
    </row>
    <row r="4669">
      <c r="A4669" s="66" t="inlineStr">
        <is>
          <t>03/05/2023</t>
        </is>
      </c>
      <c r="B4669" s="28" t="n">
        <v>67.20999999999999</v>
      </c>
    </row>
    <row r="4670">
      <c r="A4670" s="66" t="inlineStr">
        <is>
          <t>04/05/2023</t>
        </is>
      </c>
      <c r="B4670" s="28" t="n">
        <v>65.84999999999999</v>
      </c>
    </row>
    <row r="4671">
      <c r="A4671" s="66" t="inlineStr">
        <is>
          <t>05/05/2023</t>
        </is>
      </c>
      <c r="B4671" s="28" t="n">
        <v>65.3</v>
      </c>
    </row>
    <row r="4672">
      <c r="A4672" s="66" t="inlineStr">
        <is>
          <t>08/05/2023</t>
        </is>
      </c>
      <c r="B4672" s="28" t="n">
        <v>64.7</v>
      </c>
    </row>
    <row r="4673">
      <c r="A4673" s="66" t="inlineStr">
        <is>
          <t>09/05/2023</t>
        </is>
      </c>
      <c r="B4673" s="28" t="n">
        <v>63.35</v>
      </c>
    </row>
    <row r="4674">
      <c r="A4674" s="66" t="inlineStr">
        <is>
          <t>10/05/2023</t>
        </is>
      </c>
      <c r="B4674" s="28" t="n">
        <v>63</v>
      </c>
    </row>
    <row r="4675">
      <c r="A4675" s="66" t="inlineStr">
        <is>
          <t>11/05/2023</t>
        </is>
      </c>
      <c r="B4675" s="28" t="n">
        <v>61.49</v>
      </c>
    </row>
    <row r="4676">
      <c r="A4676" s="66" t="inlineStr">
        <is>
          <t>12/05/2023</t>
        </is>
      </c>
      <c r="B4676" s="28" t="n">
        <v>61.6</v>
      </c>
    </row>
    <row r="4677">
      <c r="A4677" s="66" t="inlineStr">
        <is>
          <t>15/05/2023</t>
        </is>
      </c>
      <c r="B4677" s="28" t="n">
        <v>61.64</v>
      </c>
    </row>
    <row r="4678">
      <c r="A4678" s="66" t="inlineStr">
        <is>
          <t>16/05/2023</t>
        </is>
      </c>
      <c r="B4678" s="28" t="n">
        <v>61.65</v>
      </c>
    </row>
    <row r="4679">
      <c r="A4679" s="66" t="inlineStr">
        <is>
          <t>17/05/2023</t>
        </is>
      </c>
      <c r="B4679" s="28" t="n">
        <v>60.17</v>
      </c>
    </row>
    <row r="4680">
      <c r="A4680" s="66" t="inlineStr">
        <is>
          <t>18/05/2023</t>
        </is>
      </c>
      <c r="B4680" s="28" t="n">
        <v>59.21</v>
      </c>
    </row>
    <row r="4681">
      <c r="A4681" s="66" t="inlineStr">
        <is>
          <t>19/05/2023</t>
        </is>
      </c>
      <c r="B4681" s="28" t="n">
        <v>58.72</v>
      </c>
    </row>
    <row r="4682">
      <c r="A4682" s="66" t="inlineStr">
        <is>
          <t>22/05/2023</t>
        </is>
      </c>
      <c r="B4682" s="28" t="n">
        <v>58.5</v>
      </c>
    </row>
    <row r="4683">
      <c r="A4683" s="66" t="inlineStr">
        <is>
          <t>23/05/2023</t>
        </is>
      </c>
      <c r="B4683" s="28" t="n">
        <v>57.79</v>
      </c>
    </row>
    <row r="4684">
      <c r="A4684" s="66" t="inlineStr">
        <is>
          <t>24/05/2023</t>
        </is>
      </c>
      <c r="B4684" s="28" t="n">
        <v>57.17</v>
      </c>
    </row>
    <row r="4685">
      <c r="A4685" s="66" t="inlineStr">
        <is>
          <t>25/05/2023</t>
        </is>
      </c>
      <c r="B4685" s="28" t="n">
        <v>57.63</v>
      </c>
    </row>
    <row r="4686">
      <c r="A4686" s="66" t="inlineStr">
        <is>
          <t>26/05/2023</t>
        </is>
      </c>
      <c r="B4686" s="28" t="n">
        <v>57.44</v>
      </c>
    </row>
    <row r="4687">
      <c r="A4687" s="66" t="inlineStr">
        <is>
          <t>29/05/2023</t>
        </is>
      </c>
      <c r="B4687" s="28" t="n">
        <v>57.45</v>
      </c>
    </row>
    <row r="4688">
      <c r="A4688" s="66" t="inlineStr">
        <is>
          <t>30/05/2023</t>
        </is>
      </c>
      <c r="B4688" s="28" t="n">
        <v>56.86</v>
      </c>
    </row>
    <row r="4689">
      <c r="A4689" s="66" t="inlineStr">
        <is>
          <t>31/05/2023</t>
        </is>
      </c>
      <c r="B4689" s="28" t="n">
        <v>56.34</v>
      </c>
    </row>
    <row r="4690">
      <c r="A4690" s="66" t="inlineStr">
        <is>
          <t>01/06/2023</t>
        </is>
      </c>
      <c r="B4690" s="28" t="n">
        <v>57.59</v>
      </c>
    </row>
    <row r="4691">
      <c r="A4691" s="66" t="inlineStr">
        <is>
          <t>02/06/2023</t>
        </is>
      </c>
      <c r="B4691" s="28" t="n">
        <v>57.39</v>
      </c>
    </row>
    <row r="4692">
      <c r="A4692" s="66" t="inlineStr">
        <is>
          <t>05/06/2023</t>
        </is>
      </c>
      <c r="B4692" s="28" t="n">
        <v>57.3</v>
      </c>
    </row>
    <row r="4693">
      <c r="A4693" s="66" t="inlineStr">
        <is>
          <t>06/06/2023</t>
        </is>
      </c>
      <c r="B4693" s="28" t="n">
        <v>57.77</v>
      </c>
    </row>
    <row r="4694">
      <c r="A4694" s="66" t="inlineStr">
        <is>
          <t>07/06/2023</t>
        </is>
      </c>
      <c r="B4694" s="28" t="n">
        <v>57.39</v>
      </c>
    </row>
    <row r="4695">
      <c r="A4695" s="66" t="inlineStr">
        <is>
          <t>09/06/2023</t>
        </is>
      </c>
      <c r="B4695" s="28" t="n">
        <v>57.4</v>
      </c>
    </row>
    <row r="4696">
      <c r="A4696" s="66" t="inlineStr">
        <is>
          <t>12/06/2023</t>
        </is>
      </c>
      <c r="B4696" s="28" t="n">
        <v>57.45</v>
      </c>
    </row>
    <row r="4697">
      <c r="A4697" s="66" t="inlineStr">
        <is>
          <t>13/06/2023</t>
        </is>
      </c>
      <c r="B4697" s="28" t="n">
        <v>57.77</v>
      </c>
    </row>
    <row r="4698">
      <c r="A4698" s="66" t="inlineStr">
        <is>
          <t>14/06/2023</t>
        </is>
      </c>
      <c r="B4698" s="28" t="n">
        <v>58.05</v>
      </c>
    </row>
    <row r="4699">
      <c r="A4699" s="66" t="inlineStr">
        <is>
          <t>15/06/2023</t>
        </is>
      </c>
      <c r="B4699" s="28" t="n">
        <v>58.07</v>
      </c>
    </row>
    <row r="4700">
      <c r="A4700" s="66" t="inlineStr">
        <is>
          <t>16/06/2023</t>
        </is>
      </c>
      <c r="B4700" s="28" t="n">
        <v>58.08</v>
      </c>
    </row>
    <row r="4701">
      <c r="A4701" s="66" t="inlineStr">
        <is>
          <t>19/06/2023</t>
        </is>
      </c>
      <c r="B4701" s="28" t="n">
        <v>58.19</v>
      </c>
    </row>
    <row r="4702">
      <c r="A4702" s="66" t="inlineStr">
        <is>
          <t>20/06/2023</t>
        </is>
      </c>
      <c r="B4702" s="28" t="n">
        <v>58.58</v>
      </c>
    </row>
    <row r="4703">
      <c r="A4703" s="66" t="inlineStr">
        <is>
          <t>21/06/2023</t>
        </is>
      </c>
      <c r="B4703" s="28" t="n">
        <v>59.32</v>
      </c>
    </row>
    <row r="4704">
      <c r="A4704" s="66" t="inlineStr">
        <is>
          <t>22/06/2023</t>
        </is>
      </c>
      <c r="B4704" s="28" t="n">
        <v>60.97</v>
      </c>
    </row>
    <row r="4705">
      <c r="A4705" s="66" t="inlineStr">
        <is>
          <t>23/06/2023</t>
        </is>
      </c>
      <c r="B4705" s="28" t="n">
        <v>61.28</v>
      </c>
    </row>
    <row r="4706">
      <c r="A4706" s="66" t="inlineStr">
        <is>
          <t>26/06/2023</t>
        </is>
      </c>
      <c r="B4706" s="28" t="n">
        <v>61.34</v>
      </c>
    </row>
    <row r="4707">
      <c r="A4707" s="66" t="inlineStr">
        <is>
          <t>27/06/2023</t>
        </is>
      </c>
      <c r="B4707" s="28" t="n">
        <v>61.61</v>
      </c>
    </row>
    <row r="4708">
      <c r="A4708" s="66" t="inlineStr">
        <is>
          <t>28/06/2023</t>
        </is>
      </c>
      <c r="B4708" s="28" t="n">
        <v>60.21</v>
      </c>
    </row>
    <row r="4709">
      <c r="A4709" s="66" t="inlineStr">
        <is>
          <t>29/06/2023</t>
        </is>
      </c>
      <c r="B4709" s="28" t="n">
        <v>59.96</v>
      </c>
    </row>
    <row r="4710">
      <c r="A4710" s="66" t="inlineStr">
        <is>
          <t>30/06/2023</t>
        </is>
      </c>
      <c r="B4710" s="28" t="n">
        <v>59.15</v>
      </c>
    </row>
    <row r="4711">
      <c r="A4711" s="66" t="inlineStr">
        <is>
          <t>03/07/2023</t>
        </is>
      </c>
      <c r="B4711" s="28" t="n">
        <v>59.76</v>
      </c>
    </row>
    <row r="4712">
      <c r="A4712" s="66" t="inlineStr">
        <is>
          <t>04/07/2023</t>
        </is>
      </c>
      <c r="B4712" s="28" t="n">
        <v>59.92</v>
      </c>
    </row>
    <row r="4713">
      <c r="A4713" s="66" t="inlineStr">
        <is>
          <t>05/07/2023</t>
        </is>
      </c>
      <c r="B4713" s="28" t="n">
        <v>60.39</v>
      </c>
    </row>
    <row r="4714">
      <c r="A4714" s="66" t="inlineStr">
        <is>
          <t>06/07/2023</t>
        </is>
      </c>
      <c r="B4714" s="28" t="n">
        <v>59.56</v>
      </c>
    </row>
    <row r="4715">
      <c r="A4715" s="66" t="inlineStr">
        <is>
          <t>07/07/2023</t>
        </is>
      </c>
      <c r="B4715" s="28" t="n">
        <v>60.13</v>
      </c>
    </row>
    <row r="4716">
      <c r="A4716" s="66" t="inlineStr">
        <is>
          <t>10/07/2023</t>
        </is>
      </c>
      <c r="B4716" s="28" t="n">
        <v>60.04</v>
      </c>
    </row>
    <row r="4717">
      <c r="A4717" s="66" t="inlineStr">
        <is>
          <t>11/07/2023</t>
        </is>
      </c>
      <c r="B4717" s="28" t="n">
        <v>59.45</v>
      </c>
    </row>
    <row r="4718">
      <c r="A4718" s="66" t="inlineStr">
        <is>
          <t>12/07/2023</t>
        </is>
      </c>
      <c r="B4718" s="28" t="n">
        <v>59.5</v>
      </c>
    </row>
    <row r="4719">
      <c r="A4719" s="66" t="inlineStr">
        <is>
          <t>13/07/2023</t>
        </is>
      </c>
      <c r="B4719" s="28" t="n">
        <v>58.18</v>
      </c>
    </row>
    <row r="4720">
      <c r="A4720" s="66" t="inlineStr">
        <is>
          <t>14/07/2023</t>
        </is>
      </c>
      <c r="B4720" s="28" t="n">
        <v>58.41</v>
      </c>
    </row>
    <row r="4721">
      <c r="A4721" s="66" t="inlineStr">
        <is>
          <t>17/07/2023</t>
        </is>
      </c>
      <c r="B4721" s="28" t="n">
        <v>58.67</v>
      </c>
    </row>
    <row r="4722">
      <c r="A4722" s="66" t="inlineStr">
        <is>
          <t>18/07/2023</t>
        </is>
      </c>
      <c r="B4722" s="28" t="n">
        <v>58.72</v>
      </c>
    </row>
    <row r="4723">
      <c r="A4723" s="66" t="inlineStr">
        <is>
          <t>19/07/2023</t>
        </is>
      </c>
      <c r="B4723" s="28" t="n">
        <v>59.23</v>
      </c>
    </row>
    <row r="4724">
      <c r="A4724" s="66" t="inlineStr">
        <is>
          <t>20/07/2023</t>
        </is>
      </c>
      <c r="B4724" s="28" t="n">
        <v>58.84</v>
      </c>
    </row>
    <row r="4725">
      <c r="A4725" s="66" t="inlineStr">
        <is>
          <t>21/07/2023</t>
        </is>
      </c>
      <c r="B4725" s="28" t="n">
        <v>57.83</v>
      </c>
    </row>
    <row r="4726">
      <c r="A4726" s="66" t="inlineStr">
        <is>
          <t>24/07/2023</t>
        </is>
      </c>
      <c r="B4726" s="28" t="n">
        <v>59.25</v>
      </c>
    </row>
    <row r="4727">
      <c r="A4727" s="66" t="inlineStr">
        <is>
          <t>25/07/2023</t>
        </is>
      </c>
      <c r="B4727" s="28" t="n">
        <v>59.49</v>
      </c>
    </row>
    <row r="4728">
      <c r="A4728" s="66" t="inlineStr">
        <is>
          <t>26/07/2023</t>
        </is>
      </c>
      <c r="B4728" s="28" t="n">
        <v>59.32</v>
      </c>
    </row>
    <row r="4729">
      <c r="A4729" s="66" t="inlineStr">
        <is>
          <t>27/07/2023</t>
        </is>
      </c>
      <c r="B4729" s="28" t="n">
        <v>58.88</v>
      </c>
    </row>
    <row r="4730">
      <c r="A4730" s="66" t="inlineStr">
        <is>
          <t>28/07/2023</t>
        </is>
      </c>
      <c r="B4730" s="28" t="n">
        <v>59.1</v>
      </c>
    </row>
    <row r="4731">
      <c r="A4731" s="66" t="inlineStr">
        <is>
          <t>31/07/2023</t>
        </is>
      </c>
      <c r="B4731" s="28" t="n">
        <v>57.7</v>
      </c>
    </row>
    <row r="4732">
      <c r="A4732" s="66" t="inlineStr">
        <is>
          <t>01/08/2023</t>
        </is>
      </c>
      <c r="B4732" s="28" t="n">
        <v>57.92</v>
      </c>
    </row>
    <row r="4733">
      <c r="A4733" s="66" t="inlineStr">
        <is>
          <t>02/08/2023</t>
        </is>
      </c>
      <c r="B4733" s="28" t="n">
        <v>57.35</v>
      </c>
    </row>
    <row r="4734">
      <c r="A4734" s="66" t="inlineStr">
        <is>
          <t>03/08/2023</t>
        </is>
      </c>
      <c r="B4734" s="28" t="n">
        <v>57.62</v>
      </c>
    </row>
    <row r="4735">
      <c r="A4735" s="66" t="inlineStr">
        <is>
          <t>04/08/2023</t>
        </is>
      </c>
      <c r="B4735" s="28" t="n">
        <v>57.32</v>
      </c>
    </row>
    <row r="4736">
      <c r="A4736" s="66" t="inlineStr">
        <is>
          <t>07/08/2023</t>
        </is>
      </c>
      <c r="B4736" s="28" t="n">
        <v>57.26</v>
      </c>
    </row>
    <row r="4737">
      <c r="A4737" s="66" t="inlineStr">
        <is>
          <t>08/08/2023</t>
        </is>
      </c>
      <c r="B4737" s="28" t="n">
        <v>57.07</v>
      </c>
    </row>
    <row r="4738">
      <c r="A4738" s="66" t="inlineStr">
        <is>
          <t>09/08/2023</t>
        </is>
      </c>
      <c r="B4738" s="28" t="n">
        <v>57.08</v>
      </c>
    </row>
    <row r="4739">
      <c r="A4739" s="66" t="inlineStr">
        <is>
          <t>10/08/2023</t>
        </is>
      </c>
      <c r="B4739" s="28" t="n">
        <v>56.74</v>
      </c>
    </row>
    <row r="4740">
      <c r="A4740" s="66" t="inlineStr">
        <is>
          <t>11/08/2023</t>
        </is>
      </c>
      <c r="B4740" s="28" t="n">
        <v>56.94</v>
      </c>
    </row>
    <row r="4741">
      <c r="A4741" s="66" t="inlineStr">
        <is>
          <t>14/08/2023</t>
        </is>
      </c>
      <c r="B4741" s="28" t="n">
        <v>57.4</v>
      </c>
    </row>
    <row r="4742">
      <c r="A4742" s="66" t="inlineStr">
        <is>
          <t>15/08/2023</t>
        </is>
      </c>
      <c r="B4742" s="28" t="n">
        <v>57.47</v>
      </c>
    </row>
    <row r="4743">
      <c r="A4743" s="66" t="inlineStr">
        <is>
          <t>16/08/2023</t>
        </is>
      </c>
      <c r="B4743" s="28" t="n">
        <v>57.32</v>
      </c>
    </row>
    <row r="4744">
      <c r="A4744" s="66" t="inlineStr">
        <is>
          <t>17/08/2023</t>
        </is>
      </c>
      <c r="B4744" s="28" t="n">
        <v>57.35</v>
      </c>
    </row>
    <row r="4745">
      <c r="A4745" s="66" t="inlineStr">
        <is>
          <t>18/08/2023</t>
        </is>
      </c>
      <c r="B4745" s="28" t="n">
        <v>57.71</v>
      </c>
    </row>
    <row r="4746">
      <c r="A4746" s="66" t="inlineStr">
        <is>
          <t>21/08/2023</t>
        </is>
      </c>
      <c r="B4746" s="28" t="n">
        <v>57.82</v>
      </c>
    </row>
    <row r="4747">
      <c r="A4747" s="66" t="inlineStr">
        <is>
          <t>22/08/2023</t>
        </is>
      </c>
      <c r="B4747" s="28" t="n">
        <v>57.62</v>
      </c>
    </row>
    <row r="4748">
      <c r="A4748" s="66" t="inlineStr">
        <is>
          <t>23/08/2023</t>
        </is>
      </c>
      <c r="B4748" s="28" t="n">
        <v>58.15</v>
      </c>
    </row>
    <row r="4749">
      <c r="A4749" s="66" t="inlineStr">
        <is>
          <t>24/08/2023</t>
        </is>
      </c>
      <c r="B4749" s="28" t="n">
        <v>57.72</v>
      </c>
    </row>
    <row r="4750">
      <c r="A4750" s="66" t="inlineStr">
        <is>
          <t>25/08/2023</t>
        </is>
      </c>
      <c r="B4750" s="28" t="n">
        <v>57.52</v>
      </c>
    </row>
    <row r="4751">
      <c r="A4751" s="66" t="inlineStr">
        <is>
          <t>28/08/2023</t>
        </is>
      </c>
      <c r="B4751" s="28" t="n">
        <v>57.59</v>
      </c>
    </row>
    <row r="4752">
      <c r="A4752" s="66" t="inlineStr">
        <is>
          <t>29/08/2023</t>
        </is>
      </c>
      <c r="B4752" s="28" t="n">
        <v>57.65</v>
      </c>
    </row>
    <row r="4753">
      <c r="A4753" s="66" t="inlineStr">
        <is>
          <t>30/08/2023</t>
        </is>
      </c>
      <c r="B4753" s="28" t="n">
        <v>57.87</v>
      </c>
    </row>
    <row r="4754">
      <c r="A4754" s="66" t="inlineStr">
        <is>
          <t>31/08/2023</t>
        </is>
      </c>
      <c r="B4754" s="28" t="n">
        <v>57.7</v>
      </c>
    </row>
    <row r="4755">
      <c r="A4755" s="66" t="inlineStr">
        <is>
          <t>01/09/2023</t>
        </is>
      </c>
      <c r="B4755" s="28" t="n">
        <v>57.85</v>
      </c>
    </row>
    <row r="4756">
      <c r="A4756" s="66" t="inlineStr">
        <is>
          <t>04/09/2023</t>
        </is>
      </c>
      <c r="B4756" s="28" t="n">
        <v>57.78</v>
      </c>
    </row>
    <row r="4757">
      <c r="A4757" s="66" t="inlineStr">
        <is>
          <t>05/09/2023</t>
        </is>
      </c>
      <c r="B4757" s="28" t="n">
        <v>57.98</v>
      </c>
    </row>
    <row r="4758">
      <c r="A4758" s="66" t="inlineStr">
        <is>
          <t>06/09/2023</t>
        </is>
      </c>
      <c r="B4758" s="28" t="n">
        <v>57.83</v>
      </c>
    </row>
    <row r="4759">
      <c r="A4759" s="66" t="inlineStr">
        <is>
          <t>08/09/2023</t>
        </is>
      </c>
      <c r="B4759" s="28" t="n">
        <v>58.58</v>
      </c>
    </row>
    <row r="4760">
      <c r="A4760" s="66" t="inlineStr">
        <is>
          <t>11/09/2023</t>
        </is>
      </c>
      <c r="B4760" s="28" t="n">
        <v>57.78</v>
      </c>
    </row>
    <row r="4761">
      <c r="A4761" s="66" t="inlineStr">
        <is>
          <t>12/09/2023</t>
        </is>
      </c>
      <c r="B4761" s="28" t="n">
        <v>57.21</v>
      </c>
    </row>
    <row r="4762">
      <c r="A4762" s="66" t="inlineStr">
        <is>
          <t>13/09/2023</t>
        </is>
      </c>
      <c r="B4762" s="28" t="n">
        <v>56.97</v>
      </c>
    </row>
    <row r="4763">
      <c r="A4763" s="66" t="inlineStr">
        <is>
          <t>14/09/2023</t>
        </is>
      </c>
      <c r="B4763" s="28" t="n">
        <v>57.97</v>
      </c>
    </row>
    <row r="4764">
      <c r="A4764" s="66" t="inlineStr">
        <is>
          <t>15/09/2023</t>
        </is>
      </c>
      <c r="B4764" s="28" t="n">
        <v>57.84</v>
      </c>
    </row>
    <row r="4765">
      <c r="A4765" s="66" t="inlineStr">
        <is>
          <t>18/09/2023</t>
        </is>
      </c>
      <c r="B4765" s="28" t="n">
        <v>57.78</v>
      </c>
    </row>
    <row r="4766">
      <c r="A4766" s="66" t="inlineStr">
        <is>
          <t>19/09/2023</t>
        </is>
      </c>
      <c r="B4766" s="28" t="n">
        <v>58.29</v>
      </c>
    </row>
    <row r="4767">
      <c r="A4767" s="66" t="inlineStr">
        <is>
          <t>20/09/2023</t>
        </is>
      </c>
      <c r="B4767" s="28" t="n">
        <v>58.34</v>
      </c>
    </row>
    <row r="4768">
      <c r="A4768" s="66" t="inlineStr">
        <is>
          <t>21/09/2023</t>
        </is>
      </c>
      <c r="B4768" s="28" t="n">
        <v>58.44</v>
      </c>
    </row>
    <row r="4769">
      <c r="A4769" s="66" t="inlineStr">
        <is>
          <t>22/09/2023</t>
        </is>
      </c>
      <c r="B4769" s="28" t="n">
        <v>58.94</v>
      </c>
    </row>
    <row r="4770">
      <c r="A4770" s="66" t="inlineStr">
        <is>
          <t>25/09/2023</t>
        </is>
      </c>
      <c r="B4770" s="28" t="n">
        <v>59.84</v>
      </c>
    </row>
    <row r="4771">
      <c r="A4771" s="66" t="inlineStr">
        <is>
          <t>26/09/2023</t>
        </is>
      </c>
      <c r="B4771" s="28" t="n">
        <v>60.09</v>
      </c>
    </row>
    <row r="4772">
      <c r="A4772" s="66" t="inlineStr">
        <is>
          <t>27/09/2023</t>
        </is>
      </c>
      <c r="B4772" s="28" t="n">
        <v>60.54</v>
      </c>
    </row>
    <row r="4773">
      <c r="A4773" s="66" t="inlineStr">
        <is>
          <t>28/09/2023</t>
        </is>
      </c>
      <c r="B4773" s="28" t="n">
        <v>61.22</v>
      </c>
    </row>
    <row r="4774">
      <c r="A4774" s="66" t="inlineStr">
        <is>
          <t>29/09/2023</t>
        </is>
      </c>
      <c r="B4774" s="28" t="n">
        <v>61.7</v>
      </c>
    </row>
    <row r="4775">
      <c r="A4775" s="66" t="inlineStr">
        <is>
          <t>02/10/2023</t>
        </is>
      </c>
      <c r="B4775" s="28" t="n">
        <v>62.05</v>
      </c>
    </row>
    <row r="4776">
      <c r="A4776" s="66" t="inlineStr">
        <is>
          <t>03/10/2023</t>
        </is>
      </c>
      <c r="B4776" s="28" t="n">
        <v>61.76</v>
      </c>
    </row>
    <row r="4777">
      <c r="A4777" s="66" t="inlineStr">
        <is>
          <t>04/10/2023</t>
        </is>
      </c>
      <c r="B4777" s="28" t="n">
        <v>62.47</v>
      </c>
    </row>
    <row r="4778">
      <c r="A4778" s="66" t="inlineStr">
        <is>
          <t>05/10/2023</t>
        </is>
      </c>
      <c r="B4778" s="28" t="n">
        <v>63.23</v>
      </c>
    </row>
    <row r="4779">
      <c r="A4779" s="66" t="inlineStr">
        <is>
          <t>06/10/2023</t>
        </is>
      </c>
      <c r="B4779" s="28" t="n">
        <v>63.8</v>
      </c>
    </row>
    <row r="4780">
      <c r="A4780" s="66" t="inlineStr">
        <is>
          <t>09/10/2023</t>
        </is>
      </c>
      <c r="B4780" s="28" t="n">
        <v>64.06</v>
      </c>
    </row>
    <row r="4781">
      <c r="A4781" s="66" t="inlineStr">
        <is>
          <t>10/10/2023</t>
        </is>
      </c>
      <c r="B4781" s="28" t="n">
        <v>64.66</v>
      </c>
    </row>
    <row r="4782">
      <c r="A4782" s="66" t="inlineStr">
        <is>
          <t>11/10/2023</t>
        </is>
      </c>
      <c r="B4782" s="28" t="n">
        <v>64.45999999999999</v>
      </c>
    </row>
    <row r="4783">
      <c r="A4783" s="66" t="inlineStr">
        <is>
          <t>13/10/2023</t>
        </is>
      </c>
      <c r="B4783" s="28" t="n">
        <v>63.82</v>
      </c>
    </row>
    <row r="4784">
      <c r="A4784" s="66" t="inlineStr">
        <is>
          <t>16/10/2023</t>
        </is>
      </c>
      <c r="B4784" s="28" t="n">
        <v>63.48</v>
      </c>
    </row>
    <row r="4785">
      <c r="A4785" s="66" t="inlineStr">
        <is>
          <t>17/10/2023</t>
        </is>
      </c>
      <c r="B4785" s="28" t="n">
        <v>62.83</v>
      </c>
    </row>
    <row r="4786">
      <c r="A4786" s="66" t="inlineStr">
        <is>
          <t>18/10/2023</t>
        </is>
      </c>
      <c r="B4786" s="28" t="n">
        <v>62.48</v>
      </c>
    </row>
    <row r="4787">
      <c r="A4787" s="66" t="inlineStr">
        <is>
          <t>19/10/2023</t>
        </is>
      </c>
      <c r="B4787" s="28" t="n">
        <v>62.53</v>
      </c>
    </row>
    <row r="4788">
      <c r="A4788" s="66" t="inlineStr">
        <is>
          <t>20/10/2023</t>
        </is>
      </c>
      <c r="B4788" s="28" t="n">
        <v>62.86</v>
      </c>
    </row>
    <row r="4789">
      <c r="A4789" s="66" t="inlineStr">
        <is>
          <t>23/10/2023</t>
        </is>
      </c>
      <c r="B4789" s="28" t="n">
        <v>63.03</v>
      </c>
    </row>
    <row r="4790">
      <c r="A4790" s="66" t="inlineStr">
        <is>
          <t>24/10/2023</t>
        </is>
      </c>
      <c r="B4790" s="28" t="n">
        <v>62.95</v>
      </c>
    </row>
    <row r="4791">
      <c r="A4791" s="66" t="inlineStr">
        <is>
          <t>25/10/2023</t>
        </is>
      </c>
      <c r="B4791" s="28" t="n">
        <v>62.94</v>
      </c>
    </row>
    <row r="4792">
      <c r="A4792" s="66" t="inlineStr">
        <is>
          <t>26/10/2023</t>
        </is>
      </c>
      <c r="B4792" s="28" t="n">
        <v>62.83</v>
      </c>
    </row>
    <row r="4793">
      <c r="A4793" s="66" t="inlineStr">
        <is>
          <t>27/10/2023</t>
        </is>
      </c>
      <c r="B4793" s="28" t="n">
        <v>63.01</v>
      </c>
    </row>
    <row r="4794">
      <c r="A4794" s="66" t="inlineStr">
        <is>
          <t>30/10/2023</t>
        </is>
      </c>
      <c r="B4794" s="28" t="n">
        <v>63.3</v>
      </c>
    </row>
    <row r="4795">
      <c r="A4795" s="66" t="inlineStr">
        <is>
          <t>31/10/2023</t>
        </is>
      </c>
      <c r="B4795" s="28" t="n">
        <v>64.12</v>
      </c>
    </row>
    <row r="4796">
      <c r="A4796" s="66" t="inlineStr">
        <is>
          <t>01/11/2023</t>
        </is>
      </c>
      <c r="B4796" s="28" t="n">
        <v>63.76</v>
      </c>
    </row>
    <row r="4797">
      <c r="A4797" s="66" t="inlineStr">
        <is>
          <t>03/11/2023</t>
        </is>
      </c>
      <c r="B4797" s="28" t="n">
        <v>63.71</v>
      </c>
    </row>
    <row r="4798">
      <c r="A4798" s="66" t="inlineStr">
        <is>
          <t>06/11/2023</t>
        </is>
      </c>
      <c r="B4798" s="28" t="n">
        <v>63.78</v>
      </c>
    </row>
    <row r="4799">
      <c r="A4799" s="66" t="inlineStr">
        <is>
          <t>07/11/2023</t>
        </is>
      </c>
      <c r="B4799" s="28" t="n">
        <v>63.15</v>
      </c>
    </row>
    <row r="4800">
      <c r="A4800" s="66" t="inlineStr">
        <is>
          <t>08/11/2023</t>
        </is>
      </c>
      <c r="B4800" s="28" t="n">
        <v>63.04</v>
      </c>
    </row>
    <row r="4801">
      <c r="A4801" s="66" t="inlineStr">
        <is>
          <t>09/11/2023</t>
        </is>
      </c>
      <c r="B4801" s="28" t="n">
        <v>63.2</v>
      </c>
    </row>
    <row r="4802">
      <c r="A4802" s="66" t="inlineStr">
        <is>
          <t>10/11/2023</t>
        </is>
      </c>
      <c r="B4802" s="28" t="n">
        <v>63.59</v>
      </c>
    </row>
    <row r="4803">
      <c r="A4803" s="66" t="inlineStr">
        <is>
          <t>13/11/2023</t>
        </is>
      </c>
      <c r="B4803" s="28" t="n">
        <v>63.37</v>
      </c>
    </row>
    <row r="4804">
      <c r="A4804" s="66" t="inlineStr">
        <is>
          <t>14/11/2023</t>
        </is>
      </c>
      <c r="B4804" s="28" t="n">
        <v>63.88</v>
      </c>
    </row>
    <row r="4805">
      <c r="A4805" s="66" t="inlineStr">
        <is>
          <t>16/11/2023</t>
        </is>
      </c>
      <c r="B4805" s="28" t="n">
        <v>64.93000000000001</v>
      </c>
    </row>
    <row r="4806">
      <c r="A4806" s="66" t="inlineStr">
        <is>
          <t>17/11/2023</t>
        </is>
      </c>
      <c r="B4806" s="28" t="n">
        <v>64.51000000000001</v>
      </c>
    </row>
    <row r="4807">
      <c r="A4807" s="66" t="inlineStr">
        <is>
          <t>20/11/2023</t>
        </is>
      </c>
      <c r="B4807" s="28" t="n">
        <v>64.53</v>
      </c>
    </row>
    <row r="4808">
      <c r="A4808" s="66" t="inlineStr">
        <is>
          <t>21/11/2023</t>
        </is>
      </c>
      <c r="B4808" s="28" t="n">
        <v>64.90000000000001</v>
      </c>
    </row>
    <row r="4809">
      <c r="A4809" s="66" t="inlineStr">
        <is>
          <t>22/11/2023</t>
        </is>
      </c>
      <c r="B4809" s="28" t="n">
        <v>64.95999999999999</v>
      </c>
    </row>
    <row r="4810">
      <c r="A4810" s="66" t="inlineStr">
        <is>
          <t>23/11/2023</t>
        </is>
      </c>
      <c r="B4810" s="28" t="n">
        <v>64.98</v>
      </c>
    </row>
    <row r="4811">
      <c r="A4811" s="66" t="inlineStr">
        <is>
          <t>24/11/2023</t>
        </is>
      </c>
      <c r="B4811" s="28" t="n">
        <v>64.73999999999999</v>
      </c>
    </row>
    <row r="4812">
      <c r="A4812" s="66" t="inlineStr">
        <is>
          <t>27/11/2023</t>
        </is>
      </c>
      <c r="B4812" s="28" t="n">
        <v>65.33</v>
      </c>
    </row>
    <row r="4813">
      <c r="A4813" s="66" t="inlineStr">
        <is>
          <t>28/11/2023</t>
        </is>
      </c>
      <c r="B4813" s="28" t="n">
        <v>65.76000000000001</v>
      </c>
    </row>
    <row r="4814">
      <c r="A4814" s="66" t="inlineStr">
        <is>
          <t>29/11/2023</t>
        </is>
      </c>
      <c r="B4814" s="28" t="n">
        <v>65.45</v>
      </c>
    </row>
    <row r="4815">
      <c r="A4815" s="66" t="inlineStr">
        <is>
          <t>30/11/2023</t>
        </is>
      </c>
      <c r="B4815" s="28" t="n">
        <v>66.63</v>
      </c>
    </row>
    <row r="4816">
      <c r="A4816" s="66" t="inlineStr">
        <is>
          <t>01/12/2023</t>
        </is>
      </c>
      <c r="B4816" s="28" t="n">
        <v>66.03</v>
      </c>
    </row>
    <row r="4817">
      <c r="A4817" s="66" t="inlineStr">
        <is>
          <t>04/12/2023</t>
        </is>
      </c>
      <c r="B4817" s="28" t="n">
        <v>66.72</v>
      </c>
    </row>
    <row r="4818">
      <c r="A4818" s="66" t="inlineStr">
        <is>
          <t>05/12/2023</t>
        </is>
      </c>
      <c r="B4818" s="28" t="n">
        <v>68.18000000000001</v>
      </c>
    </row>
    <row r="4819">
      <c r="A4819" s="66" t="inlineStr">
        <is>
          <t>06/12/2023</t>
        </is>
      </c>
      <c r="B4819" s="28" t="n">
        <v>68.43000000000001</v>
      </c>
    </row>
    <row r="4820">
      <c r="A4820" s="66" t="inlineStr">
        <is>
          <t>07/12/2023</t>
        </is>
      </c>
      <c r="B4820" s="28" t="n">
        <v>69.36</v>
      </c>
    </row>
    <row r="4821">
      <c r="A4821" s="66" t="inlineStr">
        <is>
          <t>08/12/2023</t>
        </is>
      </c>
      <c r="B4821" s="28" t="n">
        <v>69.52</v>
      </c>
    </row>
    <row r="4822">
      <c r="A4822" s="66" t="inlineStr">
        <is>
          <t>11/12/2023</t>
        </is>
      </c>
      <c r="B4822" s="28" t="n">
        <v>70.91</v>
      </c>
    </row>
    <row r="4823">
      <c r="A4823" s="66" t="inlineStr">
        <is>
          <t>12/12/2023</t>
        </is>
      </c>
      <c r="B4823" s="28" t="n">
        <v>71.16</v>
      </c>
    </row>
    <row r="4824">
      <c r="A4824" s="66" t="inlineStr">
        <is>
          <t>13/12/2023</t>
        </is>
      </c>
      <c r="B4824" s="28" t="n">
        <v>71.83</v>
      </c>
    </row>
    <row r="4825">
      <c r="A4825" s="66" t="inlineStr">
        <is>
          <t>14/12/2023</t>
        </is>
      </c>
      <c r="B4825" s="28" t="n">
        <v>71.91</v>
      </c>
    </row>
    <row r="4826">
      <c r="A4826" s="66" t="inlineStr">
        <is>
          <t>15/12/2023</t>
        </is>
      </c>
      <c r="B4826" s="28" t="n">
        <v>71.23999999999999</v>
      </c>
    </row>
    <row r="4827">
      <c r="A4827" s="66" t="inlineStr">
        <is>
          <t>18/12/2023</t>
        </is>
      </c>
      <c r="B4827" s="28" t="n">
        <v>71.23</v>
      </c>
    </row>
    <row r="4828">
      <c r="A4828" s="66" t="inlineStr">
        <is>
          <t>19/12/2023</t>
        </is>
      </c>
      <c r="B4828" s="28" t="n">
        <v>71.08</v>
      </c>
    </row>
    <row r="4829">
      <c r="A4829" s="66" t="inlineStr">
        <is>
          <t>20/12/2023</t>
        </is>
      </c>
      <c r="B4829" s="28" t="n">
        <v>71.22</v>
      </c>
    </row>
    <row r="4830">
      <c r="A4830" s="66" t="inlineStr">
        <is>
          <t>21/12/2023</t>
        </is>
      </c>
      <c r="B4830" s="28" t="n">
        <v>71.26000000000001</v>
      </c>
    </row>
    <row r="4831">
      <c r="A4831" s="66" t="inlineStr">
        <is>
          <t>22/12/2023</t>
        </is>
      </c>
      <c r="B4831" s="28" t="n">
        <v>71.23</v>
      </c>
    </row>
    <row r="4832">
      <c r="A4832" s="66" t="inlineStr">
        <is>
          <t>26/12/2023</t>
        </is>
      </c>
      <c r="B4832" s="28" t="n">
        <v>71.52</v>
      </c>
    </row>
    <row r="4833">
      <c r="A4833" s="66" t="inlineStr">
        <is>
          <t>27/12/2023</t>
        </is>
      </c>
      <c r="B4833" s="28" t="n">
        <v>71.70999999999999</v>
      </c>
    </row>
    <row r="4834">
      <c r="A4834" s="66" t="inlineStr">
        <is>
          <t>28/12/2023</t>
        </is>
      </c>
      <c r="B4834" s="28" t="n">
        <v>72.97</v>
      </c>
    </row>
    <row r="4835">
      <c r="A4835" s="66" t="inlineStr">
        <is>
          <t>02/01/2024</t>
        </is>
      </c>
      <c r="B4835" s="28" t="n">
        <v>73.48</v>
      </c>
    </row>
    <row r="4836">
      <c r="A4836" s="66" t="inlineStr">
        <is>
          <t>03/01/2024</t>
        </is>
      </c>
      <c r="B4836" s="28" t="n">
        <v>73.5</v>
      </c>
    </row>
    <row r="4837">
      <c r="A4837" s="66" t="inlineStr">
        <is>
          <t>04/01/2024</t>
        </is>
      </c>
      <c r="B4837" s="28" t="n">
        <v>75.14</v>
      </c>
    </row>
    <row r="4838">
      <c r="A4838" s="66" t="inlineStr">
        <is>
          <t>05/01/2024</t>
        </is>
      </c>
      <c r="B4838" s="28" t="n">
        <v>74.23999999999999</v>
      </c>
    </row>
    <row r="4839">
      <c r="A4839" s="66" t="inlineStr">
        <is>
          <t>08/01/2024</t>
        </is>
      </c>
      <c r="B4839" s="28" t="n">
        <v>73.87</v>
      </c>
    </row>
    <row r="4840">
      <c r="A4840" s="66" t="inlineStr">
        <is>
          <t>09/01/2024</t>
        </is>
      </c>
      <c r="B4840" s="28" t="n">
        <v>74</v>
      </c>
    </row>
    <row r="4841">
      <c r="A4841" s="66" t="inlineStr">
        <is>
          <t>10/01/2024</t>
        </is>
      </c>
      <c r="B4841" s="28" t="n">
        <v>73.01000000000001</v>
      </c>
    </row>
    <row r="4842">
      <c r="A4842" s="66" t="inlineStr">
        <is>
          <t>11/01/2024</t>
        </is>
      </c>
      <c r="B4842" s="28" t="n">
        <v>71.64</v>
      </c>
    </row>
    <row r="4843">
      <c r="A4843" s="66" t="inlineStr">
        <is>
          <t>12/01/2024</t>
        </is>
      </c>
      <c r="B4843" s="28" t="n">
        <v>70.84</v>
      </c>
    </row>
    <row r="4844">
      <c r="A4844" s="66" t="inlineStr">
        <is>
          <t>15/01/2024</t>
        </is>
      </c>
      <c r="B4844" s="28" t="n">
        <v>69.62</v>
      </c>
    </row>
    <row r="4845">
      <c r="A4845" s="66" t="inlineStr">
        <is>
          <t>16/01/2024</t>
        </is>
      </c>
      <c r="B4845" s="28" t="n">
        <v>69.04000000000001</v>
      </c>
    </row>
    <row r="4846">
      <c r="A4846" s="66" t="inlineStr">
        <is>
          <t>17/01/2024</t>
        </is>
      </c>
      <c r="B4846" s="28" t="n">
        <v>68.27</v>
      </c>
    </row>
    <row r="4847">
      <c r="A4847" s="66" t="inlineStr">
        <is>
          <t>18/01/2024</t>
        </is>
      </c>
      <c r="B4847" s="28" t="n">
        <v>67.52</v>
      </c>
    </row>
    <row r="4848">
      <c r="A4848" s="66" t="inlineStr">
        <is>
          <t>19/01/2024</t>
        </is>
      </c>
      <c r="B4848" s="28" t="n">
        <v>66.37</v>
      </c>
    </row>
    <row r="4849">
      <c r="A4849" s="66" t="inlineStr">
        <is>
          <t>22/01/2024</t>
        </is>
      </c>
      <c r="B4849" s="28" t="n">
        <v>65.61</v>
      </c>
    </row>
    <row r="4850">
      <c r="A4850" s="66" t="inlineStr">
        <is>
          <t>23/01/2024</t>
        </is>
      </c>
      <c r="B4850" s="28" t="n">
        <v>65.43000000000001</v>
      </c>
    </row>
    <row r="4851">
      <c r="A4851" s="66" t="inlineStr">
        <is>
          <t>24/01/2024</t>
        </is>
      </c>
      <c r="B4851" s="28" t="n">
        <v>65.98999999999999</v>
      </c>
    </row>
    <row r="4852">
      <c r="A4852" s="66" t="inlineStr">
        <is>
          <t>25/01/2024</t>
        </is>
      </c>
      <c r="B4852" s="28" t="n">
        <v>65.56999999999999</v>
      </c>
    </row>
    <row r="4853">
      <c r="A4853" s="66" t="inlineStr">
        <is>
          <t>26/01/2024</t>
        </is>
      </c>
      <c r="B4853" s="28" t="n">
        <v>65.27</v>
      </c>
    </row>
    <row r="4854">
      <c r="A4854" s="66" t="inlineStr">
        <is>
          <t>29/01/2024</t>
        </is>
      </c>
      <c r="B4854" s="28" t="n">
        <v>65.48</v>
      </c>
    </row>
    <row r="4855">
      <c r="A4855" s="66" t="inlineStr">
        <is>
          <t>30/01/2024</t>
        </is>
      </c>
      <c r="B4855" s="28" t="n">
        <v>66.17</v>
      </c>
    </row>
    <row r="4856">
      <c r="A4856" s="66" t="inlineStr">
        <is>
          <t>31/01/2024</t>
        </is>
      </c>
      <c r="B4856" s="28" t="n">
        <v>65.68000000000001</v>
      </c>
    </row>
    <row r="4857">
      <c r="A4857" s="66" t="inlineStr">
        <is>
          <t>01/02/2024</t>
        </is>
      </c>
      <c r="B4857" s="28" t="n">
        <v>65.08</v>
      </c>
    </row>
    <row r="4858">
      <c r="A4858" s="66" t="inlineStr">
        <is>
          <t>02/02/2024</t>
        </is>
      </c>
      <c r="B4858" s="28" t="n">
        <v>65.8</v>
      </c>
    </row>
    <row r="4859">
      <c r="A4859" s="66" t="inlineStr">
        <is>
          <t>05/02/2024</t>
        </is>
      </c>
      <c r="B4859" s="28" t="n">
        <v>66.42</v>
      </c>
    </row>
    <row r="4860">
      <c r="A4860" s="66" t="inlineStr">
        <is>
          <t>06/02/2024</t>
        </is>
      </c>
      <c r="B4860" s="28" t="n">
        <v>66.53</v>
      </c>
    </row>
    <row r="4861">
      <c r="A4861" s="66" t="inlineStr">
        <is>
          <t>07/02/2024</t>
        </is>
      </c>
      <c r="B4861" s="28" t="n">
        <v>67.02</v>
      </c>
    </row>
    <row r="4862">
      <c r="A4862" s="66" t="inlineStr">
        <is>
          <t>08/02/2024</t>
        </is>
      </c>
      <c r="B4862" s="28" t="n">
        <v>66.41</v>
      </c>
    </row>
    <row r="4863">
      <c r="A4863" s="66" t="inlineStr">
        <is>
          <t>09/02/2024</t>
        </is>
      </c>
      <c r="B4863" s="28" t="n">
        <v>65.84</v>
      </c>
    </row>
    <row r="4864">
      <c r="A4864" s="66" t="inlineStr">
        <is>
          <t>14/02/2024</t>
        </is>
      </c>
      <c r="B4864" s="28" t="n">
        <v>65.8</v>
      </c>
    </row>
    <row r="4865">
      <c r="A4865" s="66" t="inlineStr">
        <is>
          <t>15/02/2024</t>
        </is>
      </c>
      <c r="B4865" s="28" t="n">
        <v>65.79000000000001</v>
      </c>
    </row>
    <row r="4866">
      <c r="A4866" s="66" t="inlineStr">
        <is>
          <t>16/02/2024</t>
        </is>
      </c>
      <c r="B4866" s="28" t="n">
        <v>66.16</v>
      </c>
    </row>
    <row r="4867">
      <c r="A4867" s="66" t="inlineStr">
        <is>
          <t>19/02/2024</t>
        </is>
      </c>
      <c r="B4867" s="28" t="n">
        <v>66.26000000000001</v>
      </c>
    </row>
    <row r="4868">
      <c r="A4868" s="66" t="inlineStr">
        <is>
          <t>20/02/2024</t>
        </is>
      </c>
      <c r="B4868" s="28" t="n">
        <v>66.56</v>
      </c>
    </row>
    <row r="4869">
      <c r="A4869" s="66" t="inlineStr">
        <is>
          <t>21/02/2024</t>
        </is>
      </c>
      <c r="B4869" s="28" t="n">
        <v>66.84</v>
      </c>
    </row>
    <row r="4870">
      <c r="A4870" s="66" t="inlineStr">
        <is>
          <t>22/02/2024</t>
        </is>
      </c>
      <c r="B4870" s="28" t="n">
        <v>66.58</v>
      </c>
    </row>
    <row r="4871">
      <c r="A4871" s="66" t="inlineStr">
        <is>
          <t>23/02/2024</t>
        </is>
      </c>
      <c r="B4871" s="28" t="n">
        <v>66.78</v>
      </c>
    </row>
    <row r="4872">
      <c r="A4872" s="66" t="inlineStr">
        <is>
          <t>26/02/2024</t>
        </is>
      </c>
      <c r="B4872" s="28" t="n">
        <v>66.84</v>
      </c>
    </row>
    <row r="4873">
      <c r="A4873" s="66" t="inlineStr">
        <is>
          <t>27/02/2024</t>
        </is>
      </c>
      <c r="B4873" s="28" t="n">
        <v>66.62</v>
      </c>
    </row>
    <row r="4874">
      <c r="A4874" s="66" t="inlineStr">
        <is>
          <t>28/02/2024</t>
        </is>
      </c>
      <c r="B4874" s="28" t="n">
        <v>65.98</v>
      </c>
    </row>
    <row r="4875">
      <c r="A4875" s="66" t="inlineStr">
        <is>
          <t>29/02/2024</t>
        </is>
      </c>
      <c r="B4875" s="28" t="n">
        <v>65.90000000000001</v>
      </c>
    </row>
    <row r="4876">
      <c r="A4876" s="66" t="inlineStr">
        <is>
          <t>01/03/2024</t>
        </is>
      </c>
      <c r="B4876" s="28" t="n">
        <v>66.73999999999999</v>
      </c>
    </row>
    <row r="4877">
      <c r="A4877" s="66" t="inlineStr">
        <is>
          <t>04/03/2024</t>
        </is>
      </c>
      <c r="B4877" s="28" t="n">
        <v>67.04000000000001</v>
      </c>
    </row>
    <row r="4878">
      <c r="A4878" s="66" t="inlineStr">
        <is>
          <t>05/03/2024</t>
        </is>
      </c>
      <c r="B4878" s="28" t="n">
        <v>66.79000000000001</v>
      </c>
    </row>
    <row r="4879">
      <c r="A4879" s="66" t="inlineStr">
        <is>
          <t>06/03/2024</t>
        </is>
      </c>
      <c r="B4879" s="28" t="n">
        <v>66.77</v>
      </c>
    </row>
    <row r="4880">
      <c r="A4880" s="66" t="inlineStr">
        <is>
          <t>07/03/2024</t>
        </is>
      </c>
      <c r="B4880" s="28" t="n">
        <v>66.86</v>
      </c>
    </row>
    <row r="4881">
      <c r="A4881" s="66" t="inlineStr">
        <is>
          <t>08/03/2024</t>
        </is>
      </c>
      <c r="B4881" s="28" t="n">
        <v>66.90000000000001</v>
      </c>
    </row>
    <row r="4882">
      <c r="A4882" s="66" t="inlineStr">
        <is>
          <t>11/03/2024</t>
        </is>
      </c>
      <c r="B4882" s="28" t="n">
        <v>66.93000000000001</v>
      </c>
    </row>
    <row r="4883">
      <c r="A4883" s="66" t="inlineStr">
        <is>
          <t>12/03/2024</t>
        </is>
      </c>
      <c r="B4883" s="28" t="n">
        <v>67.11</v>
      </c>
    </row>
    <row r="4884">
      <c r="A4884" s="66" t="inlineStr">
        <is>
          <t>13/03/2024</t>
        </is>
      </c>
      <c r="B4884" s="28" t="n">
        <v>67.03</v>
      </c>
    </row>
    <row r="4885">
      <c r="A4885" s="66" t="inlineStr">
        <is>
          <t>14/03/2024</t>
        </is>
      </c>
      <c r="B4885" s="28" t="n">
        <v>67.29000000000001</v>
      </c>
    </row>
    <row r="4886">
      <c r="A4886" s="66" t="inlineStr">
        <is>
          <t>15/03/2024</t>
        </is>
      </c>
      <c r="B4886" s="28" t="n">
        <v>67.20999999999999</v>
      </c>
    </row>
    <row r="4887">
      <c r="A4887" s="66" t="inlineStr">
        <is>
          <t>18/03/2024</t>
        </is>
      </c>
      <c r="B4887" s="28" t="n">
        <v>66.90000000000001</v>
      </c>
    </row>
    <row r="4888">
      <c r="A4888" s="66" t="inlineStr">
        <is>
          <t>19/03/2024</t>
        </is>
      </c>
      <c r="B4888" s="28" t="n">
        <v>66.88</v>
      </c>
    </row>
    <row r="4889">
      <c r="A4889" s="66" t="inlineStr">
        <is>
          <t>20/03/2024</t>
        </is>
      </c>
      <c r="B4889" s="28" t="n">
        <v>66.77</v>
      </c>
    </row>
    <row r="4890">
      <c r="A4890" s="66" t="inlineStr">
        <is>
          <t>21/03/2024</t>
        </is>
      </c>
      <c r="B4890" s="28" t="n">
        <v>66.63</v>
      </c>
    </row>
    <row r="4891">
      <c r="A4891" s="66" t="inlineStr">
        <is>
          <t>22/03/2024</t>
        </is>
      </c>
      <c r="B4891" s="28" t="n">
        <v>66.45</v>
      </c>
    </row>
    <row r="4892">
      <c r="A4892" s="66" t="inlineStr">
        <is>
          <t>25/03/2024</t>
        </is>
      </c>
      <c r="B4892" s="28" t="n">
        <v>66.61</v>
      </c>
    </row>
    <row r="4893">
      <c r="A4893" s="66" t="inlineStr">
        <is>
          <t>26/03/2024</t>
        </is>
      </c>
      <c r="B4893" s="28" t="n">
        <v>66.29000000000001</v>
      </c>
    </row>
    <row r="4894">
      <c r="A4894" s="66" t="inlineStr">
        <is>
          <t>27/03/2024</t>
        </is>
      </c>
      <c r="B4894" s="28" t="n">
        <v>65.78</v>
      </c>
    </row>
    <row r="4895">
      <c r="A4895" s="66" t="inlineStr">
        <is>
          <t>28/03/2024</t>
        </is>
      </c>
      <c r="B4895" s="28" t="n">
        <v>65.73999999999999</v>
      </c>
    </row>
    <row r="4896">
      <c r="A4896" s="66" t="inlineStr">
        <is>
          <t>01/04/2024</t>
        </is>
      </c>
      <c r="B4896" s="28" t="n">
        <v>65.45999999999999</v>
      </c>
    </row>
    <row r="4897">
      <c r="A4897" s="66" t="inlineStr">
        <is>
          <t>02/04/2024</t>
        </is>
      </c>
      <c r="B4897" s="28" t="n">
        <v>65.31</v>
      </c>
    </row>
    <row r="4898">
      <c r="A4898" s="66" t="inlineStr">
        <is>
          <t>03/04/2024</t>
        </is>
      </c>
      <c r="B4898" s="28" t="n">
        <v>65.22</v>
      </c>
    </row>
    <row r="4899">
      <c r="A4899" s="66" t="inlineStr">
        <is>
          <t>04/04/2024</t>
        </is>
      </c>
      <c r="B4899" s="28" t="n">
        <v>65.20999999999999</v>
      </c>
    </row>
    <row r="4900">
      <c r="A4900" s="66" t="inlineStr">
        <is>
          <t>05/04/2024</t>
        </is>
      </c>
      <c r="B4900" s="28" t="n">
        <v>64.69</v>
      </c>
    </row>
    <row r="4901">
      <c r="A4901" s="66" t="inlineStr">
        <is>
          <t>08/04/2024</t>
        </is>
      </c>
      <c r="B4901" s="28" t="n">
        <v>64.3</v>
      </c>
    </row>
    <row r="4902">
      <c r="A4902" s="66" t="inlineStr">
        <is>
          <t>09/04/2024</t>
        </is>
      </c>
      <c r="B4902" s="28" t="n">
        <v>63.79</v>
      </c>
    </row>
    <row r="4903">
      <c r="A4903" s="66" t="inlineStr">
        <is>
          <t>10/04/2024</t>
        </is>
      </c>
      <c r="B4903" s="28" t="n">
        <v>63.46</v>
      </c>
    </row>
    <row r="4904">
      <c r="A4904" s="66" t="inlineStr">
        <is>
          <t>11/04/2024</t>
        </is>
      </c>
      <c r="B4904" s="28" t="n">
        <v>63.15</v>
      </c>
    </row>
    <row r="4905">
      <c r="A4905" s="66" t="inlineStr">
        <is>
          <t>12/04/2024</t>
        </is>
      </c>
      <c r="B4905" s="28" t="n">
        <v>63.24</v>
      </c>
    </row>
    <row r="4906">
      <c r="A4906" s="66" t="inlineStr">
        <is>
          <t>15/04/2024</t>
        </is>
      </c>
      <c r="B4906" s="28" t="n">
        <v>63.33</v>
      </c>
    </row>
    <row r="4907">
      <c r="A4907" s="66" t="inlineStr">
        <is>
          <t>16/04/2024</t>
        </is>
      </c>
      <c r="B4907" s="28" t="n">
        <v>63.37</v>
      </c>
    </row>
    <row r="4908">
      <c r="A4908" s="66" t="inlineStr">
        <is>
          <t>17/04/2024</t>
        </is>
      </c>
      <c r="B4908" s="28" t="n">
        <v>63.02</v>
      </c>
    </row>
    <row r="4909">
      <c r="A4909" s="66" t="inlineStr">
        <is>
          <t>18/04/2024</t>
        </is>
      </c>
      <c r="B4909" s="28" t="n">
        <v>62.89</v>
      </c>
    </row>
    <row r="4910">
      <c r="A4910" s="66" t="inlineStr">
        <is>
          <t>19/04/2024</t>
        </is>
      </c>
      <c r="B4910" s="28" t="n">
        <v>62.7</v>
      </c>
    </row>
    <row r="4911">
      <c r="A4911" s="66" t="inlineStr">
        <is>
          <t>22/04/2024</t>
        </is>
      </c>
      <c r="B4911" s="28" t="n">
        <v>62.33</v>
      </c>
    </row>
    <row r="4912">
      <c r="A4912" s="66" t="inlineStr">
        <is>
          <t>23/04/2024</t>
        </is>
      </c>
      <c r="B4912" s="28" t="n">
        <v>62.04</v>
      </c>
    </row>
    <row r="4913">
      <c r="A4913" s="66" t="inlineStr">
        <is>
          <t>24/04/2024</t>
        </is>
      </c>
      <c r="B4913" s="28" t="n">
        <v>61.81</v>
      </c>
    </row>
    <row r="4914">
      <c r="A4914" s="66" t="inlineStr">
        <is>
          <t>25/04/2024</t>
        </is>
      </c>
      <c r="B4914" s="28" t="n">
        <v>61.53</v>
      </c>
    </row>
    <row r="4915">
      <c r="A4915" s="66" t="inlineStr">
        <is>
          <t>26/04/2024</t>
        </is>
      </c>
      <c r="B4915" s="28" t="n">
        <v>61.62</v>
      </c>
    </row>
    <row r="4916">
      <c r="A4916" s="66" t="inlineStr">
        <is>
          <t>29/04/2024</t>
        </is>
      </c>
      <c r="B4916" s="28" t="n">
        <v>61.64</v>
      </c>
    </row>
    <row r="4917">
      <c r="A4917" s="66" t="inlineStr">
        <is>
          <t>30/04/2024</t>
        </is>
      </c>
      <c r="B4917" s="28" t="n">
        <v>61.45</v>
      </c>
    </row>
    <row r="4918">
      <c r="A4918" s="66" t="inlineStr">
        <is>
          <t>02/05/2024</t>
        </is>
      </c>
      <c r="B4918" s="28" t="n">
        <v>60.52</v>
      </c>
    </row>
    <row r="4919">
      <c r="A4919" s="66" t="inlineStr">
        <is>
          <t>03/05/2024</t>
        </is>
      </c>
      <c r="B4919" s="28" t="n">
        <v>61.09</v>
      </c>
    </row>
    <row r="4920">
      <c r="A4920" s="66" t="inlineStr">
        <is>
          <t>06/05/2024</t>
        </is>
      </c>
      <c r="B4920" s="28" t="n">
        <v>61.19</v>
      </c>
    </row>
    <row r="4921">
      <c r="A4921" s="66" t="inlineStr">
        <is>
          <t>07/05/2024</t>
        </is>
      </c>
      <c r="B4921" s="28" t="n">
        <v>61.15</v>
      </c>
    </row>
    <row r="4922">
      <c r="A4922" s="66" t="inlineStr">
        <is>
          <t>08/05/2024</t>
        </is>
      </c>
      <c r="B4922" s="28" t="n">
        <v>61.09</v>
      </c>
    </row>
    <row r="4923">
      <c r="A4923" s="66" t="inlineStr">
        <is>
          <t>09/05/2024</t>
        </is>
      </c>
      <c r="B4923" s="28" t="n">
        <v>61.18</v>
      </c>
    </row>
    <row r="4924">
      <c r="A4924" s="66" t="inlineStr">
        <is>
          <t>10/05/2024</t>
        </is>
      </c>
      <c r="B4924" s="28" t="n">
        <v>61.91</v>
      </c>
    </row>
    <row r="4925">
      <c r="A4925" s="66" t="inlineStr">
        <is>
          <t>13/05/2024</t>
        </is>
      </c>
      <c r="B4925" s="28" t="n">
        <v>61.85</v>
      </c>
    </row>
    <row r="4926">
      <c r="A4926" s="66" t="inlineStr">
        <is>
          <t>14/05/2024</t>
        </is>
      </c>
      <c r="B4926" s="28" t="n">
        <v>61.68</v>
      </c>
    </row>
    <row r="4927">
      <c r="A4927" s="66" t="inlineStr">
        <is>
          <t>15/05/2024</t>
        </is>
      </c>
      <c r="B4927" s="28" t="n">
        <v>61.99</v>
      </c>
    </row>
    <row r="4928">
      <c r="A4928" s="66" t="inlineStr">
        <is>
          <t>16/05/2024</t>
        </is>
      </c>
      <c r="B4928" s="28" t="n">
        <v>61.87</v>
      </c>
    </row>
    <row r="4929">
      <c r="A4929" s="66" t="inlineStr">
        <is>
          <t>17/05/2024</t>
        </is>
      </c>
      <c r="B4929" s="28" t="n">
        <v>62.17</v>
      </c>
    </row>
    <row r="4930">
      <c r="A4930" s="66" t="inlineStr">
        <is>
          <t>20/05/2024</t>
        </is>
      </c>
      <c r="B4930" s="28" t="n">
        <v>62.75</v>
      </c>
    </row>
    <row r="4931">
      <c r="A4931" s="66" t="inlineStr">
        <is>
          <t>21/05/2024</t>
        </is>
      </c>
      <c r="B4931" s="28" t="n">
        <v>62.54</v>
      </c>
    </row>
    <row r="4932">
      <c r="A4932" s="66" t="inlineStr">
        <is>
          <t>22/05/2024</t>
        </is>
      </c>
      <c r="B4932" s="28" t="n">
        <v>62.41</v>
      </c>
    </row>
    <row r="4933">
      <c r="A4933" s="66" t="inlineStr">
        <is>
          <t>23/05/2024</t>
        </is>
      </c>
      <c r="B4933" s="28" t="n">
        <v>62.84</v>
      </c>
    </row>
    <row r="4934">
      <c r="A4934" s="66" t="inlineStr">
        <is>
          <t>24/05/2024</t>
        </is>
      </c>
      <c r="B4934" s="28" t="n">
        <v>62.81</v>
      </c>
    </row>
    <row r="4935">
      <c r="A4935" s="66" t="inlineStr">
        <is>
          <t>27/05/2024</t>
        </is>
      </c>
      <c r="B4935" s="28" t="n">
        <v>62.74</v>
      </c>
    </row>
    <row r="4936">
      <c r="A4936" s="66" t="inlineStr">
        <is>
          <t>28/05/2024</t>
        </is>
      </c>
      <c r="B4936" s="28" t="n">
        <v>62.48</v>
      </c>
    </row>
    <row r="4937">
      <c r="A4937" s="66" t="inlineStr">
        <is>
          <t>29/05/2024</t>
        </is>
      </c>
      <c r="B4937" s="28" t="n">
        <v>62.34</v>
      </c>
    </row>
    <row r="4938">
      <c r="A4938" s="66" t="inlineStr">
        <is>
          <t>31/05/2024</t>
        </is>
      </c>
      <c r="B4938" s="28" t="n">
        <v>62.41</v>
      </c>
    </row>
    <row r="4939">
      <c r="A4939" s="66" t="inlineStr">
        <is>
          <t>03/06/2024</t>
        </is>
      </c>
      <c r="B4939" s="28" t="n">
        <v>61.48</v>
      </c>
    </row>
    <row r="4940">
      <c r="A4940" s="66" t="inlineStr">
        <is>
          <t>04/06/2024</t>
        </is>
      </c>
      <c r="B4940" s="28" t="n">
        <v>61.1</v>
      </c>
    </row>
    <row r="4941">
      <c r="A4941" s="66" t="inlineStr">
        <is>
          <t>05/06/2024</t>
        </is>
      </c>
      <c r="B4941" s="28" t="n">
        <v>61.06</v>
      </c>
    </row>
    <row r="4942">
      <c r="A4942" s="66" t="inlineStr">
        <is>
          <t>06/06/2024</t>
        </is>
      </c>
      <c r="B4942" s="28" t="n">
        <v>60.77</v>
      </c>
    </row>
    <row r="4943">
      <c r="A4943" s="66" t="inlineStr">
        <is>
          <t>07/06/2024</t>
        </is>
      </c>
      <c r="B4943" s="28" t="n">
        <v>60.33</v>
      </c>
    </row>
    <row r="4944">
      <c r="A4944" s="66" t="inlineStr">
        <is>
          <t>10/06/2024</t>
        </is>
      </c>
      <c r="B4944" s="28" t="n">
        <v>60.72</v>
      </c>
    </row>
    <row r="4945">
      <c r="A4945" s="66" t="inlineStr">
        <is>
          <t>11/06/2024</t>
        </is>
      </c>
      <c r="B4945" s="28" t="n">
        <v>60.43</v>
      </c>
    </row>
    <row r="4946">
      <c r="A4946" s="66" t="inlineStr">
        <is>
          <t>12/06/2024</t>
        </is>
      </c>
      <c r="B4946" s="28" t="n">
        <v>59.98</v>
      </c>
    </row>
    <row r="4947">
      <c r="A4947" s="66" t="inlineStr">
        <is>
          <t>13/06/2024</t>
        </is>
      </c>
      <c r="B4947" s="28" t="n">
        <v>60</v>
      </c>
    </row>
    <row r="4948">
      <c r="A4948" s="66" t="inlineStr">
        <is>
          <t>14/06/2024</t>
        </is>
      </c>
      <c r="B4948" s="28" t="n">
        <v>60.25</v>
      </c>
    </row>
    <row r="4949">
      <c r="A4949" s="66" t="inlineStr">
        <is>
          <t>17/06/2024</t>
        </is>
      </c>
      <c r="B4949" s="28" t="n">
        <v>60.2</v>
      </c>
    </row>
    <row r="4950">
      <c r="A4950" s="66" t="inlineStr">
        <is>
          <t>18/06/2024</t>
        </is>
      </c>
      <c r="B4950" s="28" t="n">
        <v>60.19</v>
      </c>
    </row>
    <row r="4951">
      <c r="A4951" s="66" t="inlineStr">
        <is>
          <t>19/06/2024</t>
        </is>
      </c>
      <c r="B4951" s="28" t="n">
        <v>60.55</v>
      </c>
    </row>
    <row r="4952">
      <c r="A4952" s="66" t="inlineStr">
        <is>
          <t>20/06/2024</t>
        </is>
      </c>
      <c r="B4952" s="28" t="n">
        <v>60.65</v>
      </c>
    </row>
    <row r="4953">
      <c r="A4953" s="66" t="inlineStr">
        <is>
          <t>21/06/2024</t>
        </is>
      </c>
      <c r="B4953" s="28" t="n">
        <v>60.63</v>
      </c>
    </row>
    <row r="4954">
      <c r="A4954" s="66" t="inlineStr">
        <is>
          <t>24/06/2024</t>
        </is>
      </c>
      <c r="B4954" s="28" t="n">
        <v>59.72</v>
      </c>
    </row>
    <row r="4955">
      <c r="A4955" s="66" t="inlineStr">
        <is>
          <t>25/06/2024</t>
        </is>
      </c>
      <c r="B4955" s="28" t="n">
        <v>59.32</v>
      </c>
    </row>
    <row r="4956">
      <c r="A4956" s="66" t="inlineStr">
        <is>
          <t>26/06/2024</t>
        </is>
      </c>
      <c r="B4956" s="28" t="n">
        <v>59.83</v>
      </c>
    </row>
    <row r="4957">
      <c r="A4957" s="66" t="inlineStr">
        <is>
          <t>27/06/2024</t>
        </is>
      </c>
      <c r="B4957" s="28" t="n">
        <v>60.01</v>
      </c>
    </row>
    <row r="4958">
      <c r="A4958" s="66" t="inlineStr">
        <is>
          <t>28/06/2024</t>
        </is>
      </c>
      <c r="B4958" s="28" t="n">
        <v>59.68</v>
      </c>
    </row>
    <row r="4959">
      <c r="A4959" s="66" t="inlineStr">
        <is>
          <t>01/07/2024</t>
        </is>
      </c>
      <c r="B4959" s="28" t="n">
        <v>59.42</v>
      </c>
    </row>
    <row r="4960">
      <c r="A4960" s="66" t="inlineStr">
        <is>
          <t>02/07/2024</t>
        </is>
      </c>
      <c r="B4960" s="28" t="n">
        <v>58.95</v>
      </c>
    </row>
    <row r="4961">
      <c r="A4961" s="66" t="inlineStr">
        <is>
          <t>03/07/2024</t>
        </is>
      </c>
      <c r="B4961" s="28" t="n">
        <v>58.46</v>
      </c>
    </row>
    <row r="4962">
      <c r="A4962" s="66" t="inlineStr">
        <is>
          <t>04/07/2024</t>
        </is>
      </c>
      <c r="B4962" s="28" t="n">
        <v>58.17</v>
      </c>
    </row>
    <row r="4963">
      <c r="A4963" s="66" t="inlineStr">
        <is>
          <t>05/07/2024</t>
        </is>
      </c>
      <c r="B4963" s="28" t="n">
        <v>58.16</v>
      </c>
    </row>
    <row r="4964">
      <c r="A4964" s="66" t="inlineStr">
        <is>
          <t>08/07/2024</t>
        </is>
      </c>
      <c r="B4964" s="28" t="n">
        <v>58.2</v>
      </c>
    </row>
    <row r="4965">
      <c r="A4965" s="66" t="inlineStr">
        <is>
          <t>09/07/2024</t>
        </is>
      </c>
      <c r="B4965" s="28" t="n">
        <v>58.27</v>
      </c>
    </row>
    <row r="4966">
      <c r="A4966" s="66" t="inlineStr">
        <is>
          <t>10/07/2024</t>
        </is>
      </c>
      <c r="B4966" s="28" t="n">
        <v>57.88</v>
      </c>
    </row>
    <row r="4967">
      <c r="A4967" s="66" t="inlineStr">
        <is>
          <t>11/07/2024</t>
        </is>
      </c>
      <c r="B4967" s="28" t="n">
        <v>58.56</v>
      </c>
    </row>
    <row r="4968">
      <c r="A4968" s="66" t="inlineStr">
        <is>
          <t>12/07/2024</t>
        </is>
      </c>
      <c r="B4968" s="28" t="n">
        <v>58.78</v>
      </c>
    </row>
    <row r="4969">
      <c r="A4969" s="66" t="inlineStr">
        <is>
          <t>15/07/2024</t>
        </is>
      </c>
      <c r="B4969" s="28" t="n">
        <v>58.41</v>
      </c>
    </row>
    <row r="4970">
      <c r="A4970" s="66" t="inlineStr">
        <is>
          <t>16/07/2024</t>
        </is>
      </c>
      <c r="B4970" s="28" t="n">
        <v>58.39</v>
      </c>
    </row>
    <row r="4971">
      <c r="A4971" s="66" t="inlineStr">
        <is>
          <t>17/07/2024</t>
        </is>
      </c>
      <c r="B4971" s="28" t="n">
        <v>58.23</v>
      </c>
    </row>
    <row r="4972">
      <c r="A4972" s="66" t="inlineStr">
        <is>
          <t>18/07/2024</t>
        </is>
      </c>
      <c r="B4972" s="28" t="n">
        <v>59.34</v>
      </c>
    </row>
    <row r="4973">
      <c r="A4973" s="66" t="inlineStr">
        <is>
          <t>19/07/2024</t>
        </is>
      </c>
      <c r="B4973" s="28" t="n">
        <v>59.58</v>
      </c>
    </row>
    <row r="4974">
      <c r="A4974" s="66" t="inlineStr">
        <is>
          <t>22/07/2024</t>
        </is>
      </c>
      <c r="B4974" s="28" t="n">
        <v>59.67</v>
      </c>
    </row>
    <row r="4975">
      <c r="A4975" s="66" t="inlineStr">
        <is>
          <t>23/07/2024</t>
        </is>
      </c>
      <c r="B4975" s="28" t="n">
        <v>60.55</v>
      </c>
    </row>
    <row r="4976">
      <c r="A4976" s="66" t="inlineStr">
        <is>
          <t>24/07/2024</t>
        </is>
      </c>
      <c r="B4976" s="28" t="n">
        <v>60.7</v>
      </c>
    </row>
    <row r="4977">
      <c r="A4977" s="66" t="inlineStr">
        <is>
          <t>25/07/2024</t>
        </is>
      </c>
      <c r="B4977" s="28" t="n">
        <v>61.07</v>
      </c>
    </row>
    <row r="4978">
      <c r="A4978" s="66" t="inlineStr">
        <is>
          <t>26/07/2024</t>
        </is>
      </c>
      <c r="B4978" s="28" t="n">
        <v>60.96</v>
      </c>
    </row>
    <row r="4979">
      <c r="A4979" s="66" t="inlineStr">
        <is>
          <t>29/07/2024</t>
        </is>
      </c>
      <c r="B4979" s="28" t="n">
        <v>60.59</v>
      </c>
    </row>
    <row r="4980">
      <c r="A4980" s="66" t="inlineStr">
        <is>
          <t>30/07/2024</t>
        </is>
      </c>
      <c r="B4980" s="28" t="n">
        <v>60.49</v>
      </c>
    </row>
    <row r="4981">
      <c r="A4981" s="66" t="inlineStr">
        <is>
          <t>31/07/2024</t>
        </is>
      </c>
      <c r="B4981" s="28" t="n">
        <v>61.37</v>
      </c>
    </row>
    <row r="4982">
      <c r="A4982" s="66" t="inlineStr">
        <is>
          <t>01/08/2024</t>
        </is>
      </c>
      <c r="B4982" s="28" t="n">
        <v>61.44</v>
      </c>
    </row>
    <row r="4983">
      <c r="A4983" s="66" t="inlineStr">
        <is>
          <t>02/08/2024</t>
        </is>
      </c>
      <c r="B4983" s="28" t="n">
        <v>61.33</v>
      </c>
    </row>
    <row r="4984">
      <c r="A4984" s="66" t="inlineStr">
        <is>
          <t>05/08/2024</t>
        </is>
      </c>
      <c r="B4984" s="28" t="n">
        <v>61.13</v>
      </c>
    </row>
    <row r="4985">
      <c r="A4985" s="66" t="inlineStr">
        <is>
          <t>06/08/2024</t>
        </is>
      </c>
      <c r="B4985" s="28" t="n">
        <v>61.18</v>
      </c>
    </row>
    <row r="4986">
      <c r="A4986" s="66" t="inlineStr">
        <is>
          <t>07/08/2024</t>
        </is>
      </c>
      <c r="B4986" s="28" t="n">
        <v>61.19</v>
      </c>
    </row>
    <row r="4987">
      <c r="A4987" s="66" t="inlineStr">
        <is>
          <t>08/08/2024</t>
        </is>
      </c>
      <c r="B4987" s="28" t="n">
        <v>61</v>
      </c>
    </row>
    <row r="4988">
      <c r="A4988" s="66" t="inlineStr">
        <is>
          <t>09/08/2024</t>
        </is>
      </c>
      <c r="B4988" s="28" t="n">
        <v>60.84</v>
      </c>
    </row>
    <row r="4989">
      <c r="A4989" s="66" t="inlineStr">
        <is>
          <t>12/08/2024</t>
        </is>
      </c>
      <c r="B4989" s="28" t="n">
        <v>61.06</v>
      </c>
    </row>
    <row r="4990">
      <c r="A4990" s="66" t="inlineStr">
        <is>
          <t>13/08/2024</t>
        </is>
      </c>
      <c r="B4990" s="28" t="n">
        <v>61.21</v>
      </c>
    </row>
    <row r="4991">
      <c r="A4991" s="66" t="inlineStr">
        <is>
          <t>14/08/2024</t>
        </is>
      </c>
      <c r="B4991" s="28" t="n">
        <v>61.39</v>
      </c>
    </row>
    <row r="4992">
      <c r="A4992" s="66" t="inlineStr">
        <is>
          <t>15/08/2024</t>
        </is>
      </c>
      <c r="B4992" s="28" t="n">
        <v>60.99</v>
      </c>
    </row>
    <row r="4993">
      <c r="A4993" s="66" t="inlineStr">
        <is>
          <t>16/08/2024</t>
        </is>
      </c>
      <c r="B4993" s="28" t="n">
        <v>61.76</v>
      </c>
    </row>
    <row r="4994">
      <c r="A4994" s="66" t="inlineStr">
        <is>
          <t>19/08/2024</t>
        </is>
      </c>
      <c r="B4994" s="28" t="n">
        <v>61.84</v>
      </c>
    </row>
    <row r="4995">
      <c r="A4995" s="66" t="inlineStr">
        <is>
          <t>20/08/2024</t>
        </is>
      </c>
      <c r="B4995" s="28" t="n">
        <v>61.7</v>
      </c>
    </row>
    <row r="4996">
      <c r="A4996" s="66" t="inlineStr">
        <is>
          <t>21/08/2024</t>
        </is>
      </c>
      <c r="B4996" s="28" t="n">
        <v>61.9</v>
      </c>
    </row>
    <row r="4997">
      <c r="A4997" s="66" t="inlineStr">
        <is>
          <t>22/08/2024</t>
        </is>
      </c>
      <c r="B4997" s="28" t="n">
        <v>62.14</v>
      </c>
    </row>
    <row r="4998">
      <c r="A4998" s="66" t="inlineStr">
        <is>
          <t>23/08/2024</t>
        </is>
      </c>
      <c r="B4998" s="28" t="n">
        <v>62.04</v>
      </c>
    </row>
    <row r="4999">
      <c r="A4999" s="66" t="inlineStr">
        <is>
          <t>26/08/2024</t>
        </is>
      </c>
      <c r="B4999" s="28" t="n">
        <v>61.75</v>
      </c>
    </row>
    <row r="5000">
      <c r="A5000" s="66" t="inlineStr">
        <is>
          <t>27/08/2024</t>
        </is>
      </c>
      <c r="B5000" s="28" t="n">
        <v>62</v>
      </c>
    </row>
    <row r="5001">
      <c r="A5001" s="66" t="inlineStr">
        <is>
          <t>28/08/2024</t>
        </is>
      </c>
      <c r="B5001" s="28" t="n">
        <v>61.93</v>
      </c>
    </row>
    <row r="5002">
      <c r="A5002" s="66" t="inlineStr">
        <is>
          <t>29/08/2024</t>
        </is>
      </c>
      <c r="B5002" s="28" t="n">
        <v>62.3</v>
      </c>
    </row>
    <row r="5003">
      <c r="A5003" s="66" t="inlineStr">
        <is>
          <t>30/08/2024</t>
        </is>
      </c>
      <c r="B5003" s="28" t="n">
        <v>62.63</v>
      </c>
    </row>
    <row r="5004">
      <c r="A5004" s="66" t="inlineStr">
        <is>
          <t>02/09/2024</t>
        </is>
      </c>
      <c r="B5004" s="28" t="n">
        <v>62.35</v>
      </c>
    </row>
    <row r="5005">
      <c r="A5005" s="66" t="inlineStr">
        <is>
          <t>03/09/2024</t>
        </is>
      </c>
      <c r="B5005" s="28" t="n">
        <v>62.81</v>
      </c>
    </row>
    <row r="5006">
      <c r="A5006" s="66" t="inlineStr">
        <is>
          <t>04/09/2024</t>
        </is>
      </c>
      <c r="B5006" s="28" t="n">
        <v>63.25</v>
      </c>
    </row>
    <row r="5007">
      <c r="A5007" s="66" t="inlineStr">
        <is>
          <t>05/09/2024</t>
        </is>
      </c>
      <c r="B5007" s="28" t="n">
        <v>63.58</v>
      </c>
    </row>
    <row r="5008">
      <c r="A5008" s="66" t="inlineStr">
        <is>
          <t>06/09/2024</t>
        </is>
      </c>
      <c r="B5008" s="28" t="n">
        <v>63.86</v>
      </c>
    </row>
    <row r="5009">
      <c r="A5009" s="66" t="inlineStr">
        <is>
          <t>09/09/2024</t>
        </is>
      </c>
      <c r="B5009" s="28" t="n">
        <v>64.03</v>
      </c>
    </row>
    <row r="5010">
      <c r="A5010" s="66" t="inlineStr">
        <is>
          <t>10/09/2024</t>
        </is>
      </c>
      <c r="B5010" s="28" t="n">
        <v>64.53</v>
      </c>
    </row>
    <row r="5011">
      <c r="A5011" s="66" t="inlineStr">
        <is>
          <t>11/09/2024</t>
        </is>
      </c>
      <c r="B5011" s="28" t="n">
        <v>65.15000000000001</v>
      </c>
    </row>
    <row r="5012">
      <c r="A5012" s="66" t="inlineStr">
        <is>
          <t>12/09/2024</t>
        </is>
      </c>
      <c r="B5012" s="28" t="n">
        <v>65.23</v>
      </c>
    </row>
    <row r="5013">
      <c r="A5013" s="66" t="inlineStr">
        <is>
          <t>13/09/2024</t>
        </is>
      </c>
      <c r="B5013" s="28" t="n">
        <v>64.45</v>
      </c>
    </row>
    <row r="5014">
      <c r="A5014" s="66" t="inlineStr">
        <is>
          <t>16/09/2024</t>
        </is>
      </c>
      <c r="B5014" s="28" t="n">
        <v>64.12</v>
      </c>
    </row>
    <row r="5015">
      <c r="A5015" s="66" t="inlineStr">
        <is>
          <t>17/09/2024</t>
        </is>
      </c>
      <c r="B5015" s="28" t="n">
        <v>63.71</v>
      </c>
    </row>
    <row r="5016">
      <c r="A5016" s="66" t="inlineStr">
        <is>
          <t>18/09/2024</t>
        </is>
      </c>
      <c r="B5016" s="28" t="n">
        <v>64.04000000000001</v>
      </c>
    </row>
    <row r="5017">
      <c r="A5017" s="66" t="inlineStr">
        <is>
          <t>19/09/2024</t>
        </is>
      </c>
      <c r="B5017" s="28" t="n">
        <v>64.01000000000001</v>
      </c>
    </row>
    <row r="5018">
      <c r="A5018" s="66" t="inlineStr">
        <is>
          <t>20/09/2024</t>
        </is>
      </c>
      <c r="B5018" s="28" t="n">
        <v>63.89</v>
      </c>
    </row>
    <row r="5019">
      <c r="A5019" s="66" t="inlineStr">
        <is>
          <t>23/09/2024</t>
        </is>
      </c>
      <c r="B5019" s="28" t="n">
        <v>64.40000000000001</v>
      </c>
    </row>
    <row r="5020">
      <c r="A5020" s="66" t="inlineStr">
        <is>
          <t>24/09/2024</t>
        </is>
      </c>
      <c r="B5020" s="28" t="n">
        <v>64.95999999999999</v>
      </c>
    </row>
    <row r="5021">
      <c r="A5021" s="66" t="inlineStr">
        <is>
          <t>25/09/2024</t>
        </is>
      </c>
      <c r="B5021" s="28" t="n">
        <v>65.06999999999999</v>
      </c>
    </row>
    <row r="5022">
      <c r="A5022" s="66" t="inlineStr">
        <is>
          <t>26/09/2024</t>
        </is>
      </c>
      <c r="B5022" s="28" t="n">
        <v>65.3</v>
      </c>
    </row>
    <row r="5023">
      <c r="A5023" s="66" t="inlineStr">
        <is>
          <t>27/09/2024</t>
        </is>
      </c>
      <c r="B5023" s="28" t="n">
        <v>65.62</v>
      </c>
    </row>
    <row r="5024">
      <c r="A5024" s="66" t="inlineStr">
        <is>
          <t>30/09/2024</t>
        </is>
      </c>
      <c r="B5024" s="28" t="n">
        <v>66.05</v>
      </c>
    </row>
    <row r="5025">
      <c r="A5025" s="66" t="inlineStr">
        <is>
          <t>01/10/2024</t>
        </is>
      </c>
      <c r="B5025" s="28" t="n">
        <v>65.81</v>
      </c>
    </row>
    <row r="5026">
      <c r="A5026" s="66" t="inlineStr">
        <is>
          <t>02/10/2024</t>
        </is>
      </c>
      <c r="B5026" s="28" t="n">
        <v>66.3</v>
      </c>
    </row>
    <row r="5027">
      <c r="A5027" s="66" t="inlineStr">
        <is>
          <t>03/10/2024</t>
        </is>
      </c>
      <c r="B5027" s="28" t="n">
        <v>66.48999999999999</v>
      </c>
    </row>
    <row r="5028">
      <c r="A5028" s="66" t="inlineStr">
        <is>
          <t>04/10/2024</t>
        </is>
      </c>
      <c r="B5028" s="28" t="n">
        <v>67</v>
      </c>
    </row>
    <row r="5029">
      <c r="A5029" s="66" t="inlineStr">
        <is>
          <t>07/10/2024</t>
        </is>
      </c>
      <c r="B5029" s="28" t="n">
        <v>66.83</v>
      </c>
    </row>
    <row r="5030">
      <c r="A5030" s="66" t="inlineStr">
        <is>
          <t>08/10/2024</t>
        </is>
      </c>
      <c r="B5030" s="28" t="n">
        <v>67</v>
      </c>
    </row>
    <row r="5031">
      <c r="A5031" s="66" t="inlineStr">
        <is>
          <t>09/10/2024</t>
        </is>
      </c>
      <c r="B5031" s="28" t="n">
        <v>67.87</v>
      </c>
    </row>
    <row r="5032">
      <c r="A5032" s="66" t="inlineStr">
        <is>
          <t>10/10/2024</t>
        </is>
      </c>
      <c r="B5032" s="28" t="n">
        <v>68.48999999999999</v>
      </c>
    </row>
    <row r="5033">
      <c r="A5033" s="66" t="inlineStr">
        <is>
          <t>11/10/2024</t>
        </is>
      </c>
      <c r="B5033" s="28" t="n">
        <v>68.55</v>
      </c>
    </row>
    <row r="5034">
      <c r="A5034" s="66" t="inlineStr">
        <is>
          <t>14/10/2024</t>
        </is>
      </c>
      <c r="B5034" s="28" t="n">
        <v>68.61</v>
      </c>
    </row>
    <row r="5035">
      <c r="A5035" s="66" t="inlineStr">
        <is>
          <t>15/10/2024</t>
        </is>
      </c>
      <c r="B5035" s="28" t="n">
        <v>68.77</v>
      </c>
    </row>
    <row r="5036">
      <c r="A5036" s="66" t="inlineStr">
        <is>
          <t>16/10/2024</t>
        </is>
      </c>
      <c r="B5036" s="28" t="n">
        <v>69.25</v>
      </c>
    </row>
    <row r="5037">
      <c r="A5037" s="66" t="inlineStr">
        <is>
          <t>17/10/2024</t>
        </is>
      </c>
      <c r="B5037" s="28" t="n">
        <v>69.23</v>
      </c>
    </row>
    <row r="5038">
      <c r="A5038" s="66" t="inlineStr">
        <is>
          <t>18/10/2024</t>
        </is>
      </c>
      <c r="B5038" s="28" t="n">
        <v>69.59</v>
      </c>
    </row>
    <row r="5039">
      <c r="A5039" s="66" t="inlineStr">
        <is>
          <t>21/10/2024</t>
        </is>
      </c>
      <c r="B5039" s="28" t="n">
        <v>70.59</v>
      </c>
    </row>
    <row r="5040">
      <c r="A5040" s="66" t="inlineStr">
        <is>
          <t>22/10/2024</t>
        </is>
      </c>
      <c r="B5040" s="28" t="n">
        <v>70.77</v>
      </c>
    </row>
    <row r="5041">
      <c r="A5041" s="66" t="inlineStr">
        <is>
          <t>23/10/2024</t>
        </is>
      </c>
      <c r="B5041" s="28" t="n">
        <v>71.43000000000001</v>
      </c>
    </row>
    <row r="5042">
      <c r="A5042" s="66" t="inlineStr">
        <is>
          <t>24/10/2024</t>
        </is>
      </c>
      <c r="B5042" s="28" t="n">
        <v>72.20999999999999</v>
      </c>
    </row>
    <row r="5043">
      <c r="A5043" s="66" t="inlineStr">
        <is>
          <t>25/10/2024</t>
        </is>
      </c>
      <c r="B5043" s="28" t="n">
        <v>72.52</v>
      </c>
    </row>
    <row r="5044">
      <c r="A5044" s="66" t="inlineStr">
        <is>
          <t>28/10/2024</t>
        </is>
      </c>
      <c r="B5044" s="28" t="n">
        <v>73.03</v>
      </c>
    </row>
    <row r="5045">
      <c r="A5045" s="66" t="inlineStr">
        <is>
          <t>29/10/2024</t>
        </is>
      </c>
      <c r="B5045" s="28" t="n">
        <v>73.23</v>
      </c>
    </row>
    <row r="5046">
      <c r="A5046" s="66" t="inlineStr">
        <is>
          <t>30/10/2024</t>
        </is>
      </c>
      <c r="B5046" s="28" t="n">
        <v>73.53</v>
      </c>
    </row>
    <row r="5047">
      <c r="A5047" s="66" t="inlineStr">
        <is>
          <t>31/10/2024</t>
        </is>
      </c>
      <c r="B5047" s="28" t="n">
        <v>73.81</v>
      </c>
    </row>
    <row r="5048">
      <c r="A5048" s="66" t="inlineStr">
        <is>
          <t>01/11/2024</t>
        </is>
      </c>
      <c r="B5048" s="28" t="n">
        <v>73.03</v>
      </c>
    </row>
    <row r="5049">
      <c r="A5049" s="66" t="inlineStr">
        <is>
          <t>04/11/2024</t>
        </is>
      </c>
      <c r="B5049" s="28" t="n">
        <v>72.84999999999999</v>
      </c>
    </row>
    <row r="5050">
      <c r="A5050" s="66" t="inlineStr">
        <is>
          <t>05/11/2024</t>
        </is>
      </c>
      <c r="B5050" s="28" t="n">
        <v>72.98999999999999</v>
      </c>
    </row>
    <row r="5051">
      <c r="A5051" s="66" t="inlineStr">
        <is>
          <t>06/11/2024</t>
        </is>
      </c>
      <c r="B5051" s="28" t="n">
        <v>74.13</v>
      </c>
    </row>
    <row r="5052">
      <c r="A5052" s="66" t="inlineStr">
        <is>
          <t>07/11/2024</t>
        </is>
      </c>
      <c r="B5052" s="28" t="n">
        <v>74.33</v>
      </c>
    </row>
    <row r="5053">
      <c r="A5053" s="66" t="inlineStr">
        <is>
          <t>08/11/2024</t>
        </is>
      </c>
      <c r="B5053" s="28" t="n">
        <v>74.56</v>
      </c>
    </row>
    <row r="5054">
      <c r="A5054" s="66" t="inlineStr">
        <is>
          <t>11/11/2024</t>
        </is>
      </c>
      <c r="B5054" s="28" t="n">
        <v>74.47</v>
      </c>
    </row>
    <row r="5055">
      <c r="A5055" s="66" t="inlineStr">
        <is>
          <t>12/11/2024</t>
        </is>
      </c>
      <c r="B5055" s="28" t="n">
        <v>74.29000000000001</v>
      </c>
    </row>
    <row r="5056">
      <c r="A5056" s="66" t="inlineStr">
        <is>
          <t>13/11/2024</t>
        </is>
      </c>
      <c r="B5056" s="28" t="n">
        <v>74.37</v>
      </c>
    </row>
    <row r="5057">
      <c r="A5057" s="66" t="inlineStr">
        <is>
          <t>14/11/2024</t>
        </is>
      </c>
      <c r="B5057" s="28" t="n">
        <v>74.59</v>
      </c>
    </row>
    <row r="5058">
      <c r="A5058" s="66" t="inlineStr">
        <is>
          <t>18/11/2024</t>
        </is>
      </c>
      <c r="B5058" s="28" t="n">
        <v>74.58</v>
      </c>
    </row>
    <row r="5059">
      <c r="A5059" s="66" t="inlineStr">
        <is>
          <t>19/11/2024</t>
        </is>
      </c>
      <c r="B5059" s="28" t="n">
        <v>73.47</v>
      </c>
    </row>
    <row r="5060">
      <c r="A5060" s="66" t="inlineStr">
        <is>
          <t>21/11/2024</t>
        </is>
      </c>
      <c r="B5060" s="28" t="n">
        <v>73.38</v>
      </c>
    </row>
    <row r="5061">
      <c r="A5061" s="66" t="inlineStr">
        <is>
          <t>22/11/2024</t>
        </is>
      </c>
      <c r="B5061" s="28" t="n">
        <v>73.33</v>
      </c>
    </row>
    <row r="5062">
      <c r="A5062" s="66" t="inlineStr">
        <is>
          <t>25/11/2024</t>
        </is>
      </c>
      <c r="B5062" s="28" t="n">
        <v>73.40000000000001</v>
      </c>
    </row>
    <row r="5063">
      <c r="A5063" s="66" t="inlineStr">
        <is>
          <t>26/11/2024</t>
        </is>
      </c>
      <c r="B5063" s="28" t="n">
        <v>73.04000000000001</v>
      </c>
    </row>
    <row r="5064">
      <c r="A5064" s="66" t="inlineStr">
        <is>
          <t>27/11/2024</t>
        </is>
      </c>
      <c r="B5064" s="28" t="n">
        <v>72.43000000000001</v>
      </c>
    </row>
    <row r="5065">
      <c r="A5065" s="66" t="inlineStr">
        <is>
          <t>28/11/2024</t>
        </is>
      </c>
      <c r="B5065" s="28" t="n">
        <v>72.38</v>
      </c>
    </row>
    <row r="5066">
      <c r="A5066" s="66" t="inlineStr">
        <is>
          <t>29/11/2024</t>
        </is>
      </c>
      <c r="B5066" s="28" t="n">
        <v>72.69</v>
      </c>
    </row>
    <row r="5067">
      <c r="A5067" s="66" t="inlineStr">
        <is>
          <t>02/12/2024</t>
        </is>
      </c>
      <c r="B5067" s="28" t="n">
        <v>71.93000000000001</v>
      </c>
    </row>
    <row r="5068">
      <c r="A5068" s="66" t="inlineStr">
        <is>
          <t>03/12/2024</t>
        </is>
      </c>
      <c r="B5068" s="28" t="n">
        <v>71.81</v>
      </c>
    </row>
    <row r="5069">
      <c r="A5069" s="66" t="inlineStr">
        <is>
          <t>04/12/2024</t>
        </is>
      </c>
      <c r="B5069" s="28" t="n">
        <v>71.70999999999999</v>
      </c>
    </row>
    <row r="5070">
      <c r="A5070" s="66" t="inlineStr">
        <is>
          <t>05/12/2024</t>
        </is>
      </c>
      <c r="B5070" s="28" t="n">
        <v>72.33</v>
      </c>
    </row>
    <row r="5071">
      <c r="A5071" s="66" t="inlineStr">
        <is>
          <t>06/12/2024</t>
        </is>
      </c>
      <c r="B5071" s="28" t="n">
        <v>72.44</v>
      </c>
    </row>
    <row r="5072">
      <c r="A5072" s="66" t="inlineStr">
        <is>
          <t>09/12/2024</t>
        </is>
      </c>
      <c r="B5072" s="28" t="n">
        <v>72.77</v>
      </c>
    </row>
    <row r="5073">
      <c r="A5073" s="66" t="inlineStr">
        <is>
          <t>10/12/2024</t>
        </is>
      </c>
      <c r="B5073" s="28" t="n">
        <v>72.84999999999999</v>
      </c>
    </row>
    <row r="5074">
      <c r="A5074" s="66" t="inlineStr">
        <is>
          <t>11/12/2024</t>
        </is>
      </c>
      <c r="B5074" s="28" t="n">
        <v>72.90000000000001</v>
      </c>
    </row>
    <row r="5075">
      <c r="A5075" s="66" t="inlineStr">
        <is>
          <t>12/12/2024</t>
        </is>
      </c>
      <c r="B5075" s="28" t="n">
        <v>72.48999999999999</v>
      </c>
    </row>
    <row r="5076">
      <c r="A5076" s="66" t="inlineStr">
        <is>
          <t>13/12/2024</t>
        </is>
      </c>
      <c r="B5076" s="28" t="n">
        <v>72.17</v>
      </c>
    </row>
    <row r="5077">
      <c r="A5077" s="66" t="inlineStr">
        <is>
          <t>16/12/2024</t>
        </is>
      </c>
      <c r="B5077" s="28" t="n">
        <v>72.13</v>
      </c>
    </row>
    <row r="5078">
      <c r="A5078" s="66" t="inlineStr">
        <is>
          <t>17/12/2024</t>
        </is>
      </c>
      <c r="B5078" s="28" t="n">
        <v>71.97</v>
      </c>
    </row>
    <row r="5079">
      <c r="A5079" s="66" t="inlineStr">
        <is>
          <t>18/12/2024</t>
        </is>
      </c>
      <c r="B5079" s="28" t="n">
        <v>71.98</v>
      </c>
    </row>
    <row r="5080">
      <c r="A5080" s="66" t="inlineStr">
        <is>
          <t>19/12/2024</t>
        </is>
      </c>
      <c r="B5080" s="28" t="n">
        <v>71.69</v>
      </c>
    </row>
    <row r="5081">
      <c r="A5081" s="66" t="inlineStr">
        <is>
          <t>20/12/2024</t>
        </is>
      </c>
      <c r="B5081" s="28" t="n">
        <v>71.97</v>
      </c>
    </row>
    <row r="5082">
      <c r="A5082" s="66" t="inlineStr">
        <is>
          <t>23/12/2024</t>
        </is>
      </c>
      <c r="B5082" s="28" t="n">
        <v>72.08</v>
      </c>
    </row>
    <row r="5083">
      <c r="A5083" s="66" t="inlineStr">
        <is>
          <t>26/12/2024</t>
        </is>
      </c>
      <c r="B5083" s="28" t="n">
        <v>71.93000000000001</v>
      </c>
    </row>
    <row r="5084">
      <c r="A5084" s="66" t="inlineStr">
        <is>
          <t>27/12/2024</t>
        </is>
      </c>
      <c r="B5084" s="28" t="n">
        <v>71.89</v>
      </c>
    </row>
    <row r="5085">
      <c r="A5085" s="66" t="inlineStr">
        <is>
          <t>30/12/2024</t>
        </is>
      </c>
      <c r="B5085" s="28" t="n">
        <v>71.93000000000001</v>
      </c>
    </row>
    <row r="5086">
      <c r="A5086" s="66" t="inlineStr">
        <is>
          <t>02/01/2025</t>
        </is>
      </c>
      <c r="B5086" s="28" t="n">
        <v>71.98999999999999</v>
      </c>
    </row>
    <row r="5087">
      <c r="A5087" s="66" t="inlineStr">
        <is>
          <t>03/01/2025</t>
        </is>
      </c>
      <c r="B5087" s="28" t="n">
        <v>72.03</v>
      </c>
    </row>
    <row r="5088">
      <c r="A5088" s="66" t="inlineStr">
        <is>
          <t>06/01/2025</t>
        </is>
      </c>
      <c r="B5088" s="28" t="n">
        <v>72.18000000000001</v>
      </c>
    </row>
    <row r="5089">
      <c r="A5089" s="66" t="inlineStr">
        <is>
          <t>07/01/2025</t>
        </is>
      </c>
      <c r="B5089" s="28" t="n">
        <v>73.01000000000001</v>
      </c>
    </row>
    <row r="5090">
      <c r="A5090" s="66" t="inlineStr">
        <is>
          <t>08/01/2025</t>
        </is>
      </c>
      <c r="B5090" s="28" t="n">
        <v>73.26000000000001</v>
      </c>
    </row>
    <row r="5091">
      <c r="A5091" s="66" t="inlineStr">
        <is>
          <t>09/01/2025</t>
        </is>
      </c>
      <c r="B5091" s="28" t="n">
        <v>73.34999999999999</v>
      </c>
    </row>
    <row r="5092">
      <c r="A5092" s="66" t="inlineStr">
        <is>
          <t>10/01/2025</t>
        </is>
      </c>
      <c r="B5092" s="28" t="n">
        <v>73.93000000000001</v>
      </c>
    </row>
    <row r="5093">
      <c r="A5093" s="66" t="inlineStr">
        <is>
          <t>13/01/2025</t>
        </is>
      </c>
      <c r="B5093" s="28" t="n">
        <v>73.94</v>
      </c>
    </row>
    <row r="5094">
      <c r="A5094" s="66" t="inlineStr">
        <is>
          <t>14/01/2025</t>
        </is>
      </c>
      <c r="B5094" s="28" t="n">
        <v>73.70999999999999</v>
      </c>
    </row>
    <row r="5095">
      <c r="A5095" s="66" t="inlineStr">
        <is>
          <t>15/01/2025</t>
        </is>
      </c>
      <c r="B5095" s="28" t="n">
        <v>73.98999999999999</v>
      </c>
    </row>
    <row r="5096">
      <c r="A5096" s="66" t="inlineStr">
        <is>
          <t>16/01/2025</t>
        </is>
      </c>
      <c r="B5096" s="28" t="n">
        <v>73.45</v>
      </c>
    </row>
    <row r="5097">
      <c r="A5097" s="66" t="inlineStr">
        <is>
          <t>17/01/2025</t>
        </is>
      </c>
      <c r="B5097" s="28" t="n">
        <v>73.28</v>
      </c>
    </row>
    <row r="5098">
      <c r="A5098" s="66" t="inlineStr">
        <is>
          <t>20/01/2025</t>
        </is>
      </c>
      <c r="B5098" s="28" t="n">
        <v>72.88</v>
      </c>
    </row>
    <row r="5099">
      <c r="A5099" s="66" t="inlineStr">
        <is>
          <t>21/01/2025</t>
        </is>
      </c>
      <c r="B5099" s="28" t="n">
        <v>73.05</v>
      </c>
    </row>
    <row r="5100">
      <c r="A5100" s="66" t="inlineStr">
        <is>
          <t>22/01/2025</t>
        </is>
      </c>
      <c r="B5100" s="28" t="n">
        <v>73.13</v>
      </c>
    </row>
    <row r="5101">
      <c r="A5101" s="66" t="inlineStr">
        <is>
          <t>23/01/2025</t>
        </is>
      </c>
      <c r="B5101" s="28" t="n">
        <v>72.91</v>
      </c>
    </row>
    <row r="5102">
      <c r="A5102" s="66" t="inlineStr">
        <is>
          <t>24/01/2025</t>
        </is>
      </c>
      <c r="B5102" s="28" t="n">
        <v>72.89</v>
      </c>
    </row>
    <row r="5103">
      <c r="A5103" s="66" t="inlineStr">
        <is>
          <t>27/01/2025</t>
        </is>
      </c>
      <c r="B5103" s="28" t="n">
        <v>73.06999999999999</v>
      </c>
    </row>
    <row r="5104">
      <c r="A5104" s="66" t="inlineStr">
        <is>
          <t>28/01/2025</t>
        </is>
      </c>
      <c r="B5104" s="28" t="n">
        <v>73.08</v>
      </c>
    </row>
    <row r="5105">
      <c r="A5105" s="66" t="inlineStr">
        <is>
          <t>29/01/2025</t>
        </is>
      </c>
      <c r="B5105" s="28" t="n">
        <v>73.52</v>
      </c>
    </row>
    <row r="5106">
      <c r="A5106" s="66" t="inlineStr">
        <is>
          <t>30/01/2025</t>
        </is>
      </c>
      <c r="B5106" s="28" t="n">
        <v>73.81</v>
      </c>
    </row>
    <row r="5107">
      <c r="A5107" s="66" t="inlineStr">
        <is>
          <t>31/01/2025</t>
        </is>
      </c>
      <c r="B5107" s="28" t="n">
        <v>74.01000000000001</v>
      </c>
    </row>
    <row r="5108">
      <c r="A5108" s="66" t="inlineStr">
        <is>
          <t>03/02/2025</t>
        </is>
      </c>
      <c r="B5108" s="28" t="n">
        <v>73.55</v>
      </c>
    </row>
    <row r="5109">
      <c r="A5109" s="66" t="inlineStr">
        <is>
          <t>04/02/2025</t>
        </is>
      </c>
      <c r="B5109" s="28" t="n">
        <v>73.83</v>
      </c>
    </row>
    <row r="5110">
      <c r="A5110" s="66" t="inlineStr">
        <is>
          <t>05/02/2025</t>
        </is>
      </c>
      <c r="B5110" s="28" t="n">
        <v>74.26000000000001</v>
      </c>
    </row>
    <row r="5111">
      <c r="A5111" s="66" t="inlineStr">
        <is>
          <t>06/02/2025</t>
        </is>
      </c>
      <c r="B5111" s="28" t="n">
        <v>74.63</v>
      </c>
    </row>
    <row r="5112">
      <c r="A5112" s="66" t="inlineStr">
        <is>
          <t>07/02/2025</t>
        </is>
      </c>
      <c r="B5112" s="28" t="n">
        <v>75.43000000000001</v>
      </c>
    </row>
    <row r="5113">
      <c r="A5113" s="66" t="inlineStr">
        <is>
          <t>10/02/2025</t>
        </is>
      </c>
      <c r="B5113" s="28" t="n">
        <v>75.45</v>
      </c>
    </row>
    <row r="5114">
      <c r="A5114" s="66" t="inlineStr">
        <is>
          <t>11/02/2025</t>
        </is>
      </c>
      <c r="B5114" s="28" t="n">
        <v>76.13</v>
      </c>
    </row>
    <row r="5115">
      <c r="A5115" s="66" t="inlineStr">
        <is>
          <t>12/02/2025</t>
        </is>
      </c>
      <c r="B5115" s="28" t="n">
        <v>77.15000000000001</v>
      </c>
    </row>
    <row r="5116">
      <c r="A5116" s="66" t="inlineStr">
        <is>
          <t>13/02/2025</t>
        </is>
      </c>
      <c r="B5116" s="28" t="n">
        <v>77.27</v>
      </c>
    </row>
    <row r="5117">
      <c r="A5117" s="66" t="inlineStr">
        <is>
          <t>14/02/2025</t>
        </is>
      </c>
      <c r="B5117" s="28" t="n">
        <v>77.98999999999999</v>
      </c>
    </row>
    <row r="5118">
      <c r="A5118" s="66" t="inlineStr">
        <is>
          <t>17/02/2025</t>
        </is>
      </c>
      <c r="B5118" s="28" t="n">
        <v>77.75</v>
      </c>
    </row>
    <row r="5119">
      <c r="A5119" s="66" t="inlineStr">
        <is>
          <t>18/02/2025</t>
        </is>
      </c>
      <c r="B5119" s="28" t="n">
        <v>77.06</v>
      </c>
    </row>
    <row r="5120">
      <c r="A5120" s="66" t="inlineStr">
        <is>
          <t>19/02/2025</t>
        </is>
      </c>
      <c r="B5120" s="28" t="n">
        <v>79.36</v>
      </c>
    </row>
    <row r="5121">
      <c r="A5121" s="66" t="inlineStr">
        <is>
          <t>20/02/2025</t>
        </is>
      </c>
      <c r="B5121" s="28" t="n">
        <v>81.66</v>
      </c>
    </row>
    <row r="5122">
      <c r="A5122" s="66" t="inlineStr">
        <is>
          <t>21/02/2025</t>
        </is>
      </c>
      <c r="B5122" s="28" t="n">
        <v>82.22</v>
      </c>
    </row>
    <row r="5123">
      <c r="A5123" s="66" t="inlineStr">
        <is>
          <t>24/02/2025</t>
        </is>
      </c>
      <c r="B5123" s="28" t="n">
        <v>82.86</v>
      </c>
    </row>
    <row r="5124">
      <c r="A5124" s="66" t="inlineStr">
        <is>
          <t>25/02/2025</t>
        </is>
      </c>
      <c r="B5124" s="28" t="n">
        <v>84.64</v>
      </c>
    </row>
    <row r="5125">
      <c r="A5125" s="66" t="inlineStr">
        <is>
          <t>26/02/2025</t>
        </is>
      </c>
      <c r="B5125" s="28" t="n">
        <v>85.14</v>
      </c>
    </row>
    <row r="5126">
      <c r="A5126" s="66" t="inlineStr">
        <is>
          <t>27/02/2025</t>
        </is>
      </c>
      <c r="B5126" s="28" t="n">
        <v>85.62</v>
      </c>
    </row>
    <row r="5127">
      <c r="A5127" s="66" t="inlineStr">
        <is>
          <t>28/02/2025</t>
        </is>
      </c>
      <c r="B5127" s="28" t="n">
        <v>85.44</v>
      </c>
    </row>
    <row r="5128">
      <c r="A5128" s="66" t="inlineStr">
        <is>
          <t>05/03/2025</t>
        </is>
      </c>
      <c r="B5128" s="28" t="n">
        <v>85.91</v>
      </c>
    </row>
    <row r="5129">
      <c r="A5129" s="66" t="inlineStr">
        <is>
          <t>06/03/2025</t>
        </is>
      </c>
      <c r="B5129" s="28" t="n">
        <v>86.08</v>
      </c>
    </row>
    <row r="5130">
      <c r="A5130" s="66" t="inlineStr">
        <is>
          <t>07/03/2025</t>
        </is>
      </c>
      <c r="B5130" s="28" t="n">
        <v>86.93000000000001</v>
      </c>
    </row>
    <row r="5131">
      <c r="A5131" s="66" t="inlineStr">
        <is>
          <t>10/03/2025</t>
        </is>
      </c>
      <c r="B5131" s="28" t="n">
        <v>86.73999999999999</v>
      </c>
    </row>
    <row r="5132">
      <c r="A5132" s="66" t="inlineStr">
        <is>
          <t>11/03/2025</t>
        </is>
      </c>
      <c r="B5132" s="28" t="n">
        <v>87.29000000000001</v>
      </c>
    </row>
    <row r="5133">
      <c r="A5133" s="66" t="inlineStr">
        <is>
          <t>12/03/2025</t>
        </is>
      </c>
      <c r="B5133" s="28" t="n">
        <v>87.59</v>
      </c>
    </row>
    <row r="5134">
      <c r="A5134" s="66" t="inlineStr">
        <is>
          <t>13/03/2025</t>
        </is>
      </c>
      <c r="B5134" s="28" t="n">
        <v>88.06999999999999</v>
      </c>
    </row>
    <row r="5135">
      <c r="A5135" s="66" t="inlineStr">
        <is>
          <t>14/03/2025</t>
        </is>
      </c>
      <c r="B5135" s="28" t="n">
        <v>88.02</v>
      </c>
    </row>
    <row r="5136">
      <c r="A5136" s="66" t="inlineStr">
        <is>
          <t>17/03/2025</t>
        </is>
      </c>
      <c r="B5136" s="28" t="n">
        <v>88.45</v>
      </c>
    </row>
    <row r="5137">
      <c r="A5137" s="66" t="inlineStr">
        <is>
          <t>18/03/2025</t>
        </is>
      </c>
      <c r="B5137" s="28" t="n">
        <v>88.51000000000001</v>
      </c>
    </row>
    <row r="5138">
      <c r="A5138" s="66" t="inlineStr">
        <is>
          <t>19/03/2025</t>
        </is>
      </c>
      <c r="B5138" s="28" t="n">
        <v>88.37</v>
      </c>
    </row>
    <row r="5139">
      <c r="A5139" s="66" t="inlineStr">
        <is>
          <t>20/03/2025</t>
        </is>
      </c>
      <c r="B5139" s="28" t="n">
        <v>88.27</v>
      </c>
    </row>
    <row r="5140">
      <c r="A5140" s="66" t="inlineStr">
        <is>
          <t>21/03/2025</t>
        </is>
      </c>
      <c r="B5140" s="28" t="n">
        <v>88.33</v>
      </c>
    </row>
    <row r="5141">
      <c r="A5141" s="66" t="inlineStr">
        <is>
          <t>24/03/2025</t>
        </is>
      </c>
      <c r="B5141" s="28" t="n">
        <v>87.94</v>
      </c>
    </row>
    <row r="5142">
      <c r="A5142" s="66" t="inlineStr">
        <is>
          <t>25/03/2025</t>
        </is>
      </c>
      <c r="B5142" s="28" t="n">
        <v>87.33</v>
      </c>
    </row>
    <row r="5143">
      <c r="A5143" s="66" t="inlineStr">
        <is>
          <t>26/03/2025</t>
        </is>
      </c>
      <c r="B5143" s="28" t="n">
        <v>87.15000000000001</v>
      </c>
    </row>
    <row r="5144">
      <c r="A5144" s="66" t="inlineStr">
        <is>
          <t>27/03/2025</t>
        </is>
      </c>
      <c r="B5144" s="28" t="n">
        <v>86.15000000000001</v>
      </c>
    </row>
    <row r="5145">
      <c r="A5145" s="66" t="inlineStr">
        <is>
          <t>28/03/2025</t>
        </is>
      </c>
      <c r="B5145" s="28" t="n">
        <v>86.09999999999999</v>
      </c>
    </row>
    <row r="5146">
      <c r="A5146" s="66" t="inlineStr">
        <is>
          <t>31/03/2025</t>
        </is>
      </c>
      <c r="B5146" s="28" t="n">
        <v>85.95</v>
      </c>
    </row>
    <row r="5147">
      <c r="A5147" s="66" t="inlineStr">
        <is>
          <t>01/04/2025</t>
        </is>
      </c>
      <c r="B5147" s="28" t="n">
        <v>84.68000000000001</v>
      </c>
    </row>
    <row r="5148">
      <c r="A5148" s="66" t="inlineStr">
        <is>
          <t>02/04/2025</t>
        </is>
      </c>
      <c r="B5148" s="28" t="n">
        <v>84.04000000000001</v>
      </c>
    </row>
    <row r="5149">
      <c r="A5149" s="66" t="inlineStr">
        <is>
          <t>03/04/2025</t>
        </is>
      </c>
      <c r="B5149" s="28" t="n">
        <v>82.92</v>
      </c>
    </row>
    <row r="5150">
      <c r="A5150" s="66" t="inlineStr">
        <is>
          <t>04/04/2025</t>
        </is>
      </c>
      <c r="B5150" s="28" t="n">
        <v>82.73</v>
      </c>
    </row>
    <row r="5151">
      <c r="A5151" s="66" t="inlineStr">
        <is>
          <t>07/04/2025</t>
        </is>
      </c>
      <c r="B5151" s="28" t="n">
        <v>82.93000000000001</v>
      </c>
    </row>
    <row r="5152">
      <c r="A5152" s="66" t="inlineStr">
        <is>
          <t>08/04/2025</t>
        </is>
      </c>
      <c r="B5152" s="28" t="n">
        <v>83.34</v>
      </c>
    </row>
    <row r="5153">
      <c r="A5153" s="66" t="inlineStr">
        <is>
          <t>09/04/2025</t>
        </is>
      </c>
      <c r="B5153" s="28" t="n">
        <v>83.8</v>
      </c>
    </row>
    <row r="5154">
      <c r="A5154" s="66" t="inlineStr">
        <is>
          <t>10/04/2025</t>
        </is>
      </c>
      <c r="B5154" s="28" t="n">
        <v>83.65000000000001</v>
      </c>
    </row>
    <row r="5155">
      <c r="A5155" s="66" t="inlineStr">
        <is>
          <t>11/04/2025</t>
        </is>
      </c>
      <c r="B5155" s="28" t="n">
        <v>83.06999999999999</v>
      </c>
    </row>
    <row r="5156">
      <c r="A5156" s="66" t="inlineStr">
        <is>
          <t>14/04/2025</t>
        </is>
      </c>
      <c r="B5156" s="28" t="n">
        <v>83.38</v>
      </c>
    </row>
    <row r="5157">
      <c r="A5157" s="66" t="inlineStr">
        <is>
          <t>15/04/2025</t>
        </is>
      </c>
      <c r="B5157" s="28" t="n">
        <v>82.81</v>
      </c>
    </row>
    <row r="5158">
      <c r="A5158" s="66" t="inlineStr">
        <is>
          <t>16/04/2025</t>
        </is>
      </c>
      <c r="B5158" s="28" t="n">
        <v>81.90000000000001</v>
      </c>
    </row>
    <row r="5159">
      <c r="A5159" s="66" t="inlineStr">
        <is>
          <t>17/04/2025</t>
        </is>
      </c>
      <c r="B5159" s="28" t="n">
        <v>81.62</v>
      </c>
    </row>
    <row r="5160">
      <c r="A5160" s="66" t="inlineStr">
        <is>
          <t>22/04/2025</t>
        </is>
      </c>
      <c r="B5160" s="28" t="n">
        <v>80.72</v>
      </c>
    </row>
    <row r="5161">
      <c r="A5161" s="66" t="inlineStr">
        <is>
          <t>23/04/2025</t>
        </is>
      </c>
      <c r="B5161" s="28" t="n">
        <v>80.13</v>
      </c>
    </row>
    <row r="5162">
      <c r="A5162" s="66" t="inlineStr">
        <is>
          <t>24/04/2025</t>
        </is>
      </c>
      <c r="B5162" s="28" t="n">
        <v>79.77</v>
      </c>
    </row>
    <row r="5163">
      <c r="A5163" s="66" t="inlineStr">
        <is>
          <t>25/04/2025</t>
        </is>
      </c>
      <c r="B5163" s="28" t="n">
        <v>78.73</v>
      </c>
    </row>
    <row r="5164">
      <c r="A5164" s="66" t="inlineStr">
        <is>
          <t>28/04/2025</t>
        </is>
      </c>
      <c r="B5164" s="28" t="n">
        <v>78.68000000000001</v>
      </c>
    </row>
    <row r="5165">
      <c r="A5165" s="66" t="inlineStr">
        <is>
          <t>29/04/2025</t>
        </is>
      </c>
      <c r="B5165" s="28" t="n">
        <v>78.56999999999999</v>
      </c>
    </row>
    <row r="5166">
      <c r="A5166" s="66" t="inlineStr">
        <is>
          <t>30/04/2025</t>
        </is>
      </c>
      <c r="B5166" s="28" t="n">
        <v>78.33</v>
      </c>
    </row>
    <row r="5167">
      <c r="A5167" s="66" t="inlineStr">
        <is>
          <t>02/05/2025</t>
        </is>
      </c>
      <c r="B5167" s="28" t="n">
        <v>77.68000000000001</v>
      </c>
    </row>
    <row r="5168">
      <c r="A5168" s="66" t="inlineStr">
        <is>
          <t>05/05/2025</t>
        </is>
      </c>
      <c r="B5168" s="28" t="n">
        <v>77.66</v>
      </c>
    </row>
    <row r="5169">
      <c r="A5169" s="66" t="inlineStr">
        <is>
          <t>06/05/2025</t>
        </is>
      </c>
      <c r="B5169" s="28" t="n">
        <v>76.23999999999999</v>
      </c>
    </row>
    <row r="5170">
      <c r="A5170" s="66" t="inlineStr">
        <is>
          <t>07/05/2025</t>
        </is>
      </c>
      <c r="B5170" s="28" t="n">
        <v>75.03</v>
      </c>
    </row>
    <row r="5171">
      <c r="A5171" s="66" t="inlineStr">
        <is>
          <t>08/05/2025</t>
        </is>
      </c>
      <c r="B5171" s="28" t="n">
        <v>74.59</v>
      </c>
    </row>
    <row r="5172">
      <c r="A5172" s="66" t="inlineStr">
        <is>
          <t>09/05/2025</t>
        </is>
      </c>
      <c r="B5172" s="28" t="n">
        <v>73.75</v>
      </c>
    </row>
    <row r="5173">
      <c r="A5173" s="66" t="inlineStr">
        <is>
          <t>12/05/2025</t>
        </is>
      </c>
      <c r="B5173" s="28" t="n">
        <v>73.03</v>
      </c>
    </row>
    <row r="5174">
      <c r="A5174" s="66" t="inlineStr">
        <is>
          <t>13/05/2025</t>
        </is>
      </c>
      <c r="B5174" s="28" t="n">
        <v>72.27</v>
      </c>
    </row>
    <row r="5175">
      <c r="A5175" s="66" t="inlineStr">
        <is>
          <t>14/05/2025</t>
        </is>
      </c>
      <c r="B5175" s="28" t="n">
        <v>71.83</v>
      </c>
    </row>
    <row r="5176">
      <c r="A5176" s="66" t="inlineStr">
        <is>
          <t>15/05/2025</t>
        </is>
      </c>
      <c r="B5176" s="28" t="n">
        <v>71.78</v>
      </c>
    </row>
    <row r="5177">
      <c r="A5177" s="66" t="inlineStr">
        <is>
          <t>16/05/2025</t>
        </is>
      </c>
      <c r="B5177" s="28" t="n">
        <v>71.64</v>
      </c>
    </row>
    <row r="5178">
      <c r="A5178" s="66" t="inlineStr">
        <is>
          <t>19/05/2025</t>
        </is>
      </c>
      <c r="B5178" s="28" t="n">
        <v>71.40000000000001</v>
      </c>
    </row>
    <row r="5179">
      <c r="A5179" s="66" t="inlineStr">
        <is>
          <t>20/05/2025</t>
        </is>
      </c>
      <c r="B5179" s="28" t="n">
        <v>71.31</v>
      </c>
    </row>
    <row r="5180">
      <c r="A5180" s="66" t="inlineStr">
        <is>
          <t>21/05/2025</t>
        </is>
      </c>
      <c r="B5180" s="28" t="n">
        <v>70.76000000000001</v>
      </c>
    </row>
    <row r="5181">
      <c r="A5181" s="66" t="inlineStr">
        <is>
          <t>22/05/2025</t>
        </is>
      </c>
      <c r="B5181" s="28" t="n">
        <v>69.95999999999999</v>
      </c>
    </row>
    <row r="5182">
      <c r="A5182" s="66" t="inlineStr">
        <is>
          <t>23/05/2025</t>
        </is>
      </c>
      <c r="B5182" s="28" t="n">
        <v>69.88</v>
      </c>
    </row>
    <row r="5183">
      <c r="A5183" s="66" t="inlineStr">
        <is>
          <t>26/05/2025</t>
        </is>
      </c>
      <c r="B5183" s="28" t="n">
        <v>69.98</v>
      </c>
    </row>
    <row r="5184">
      <c r="A5184" s="66" t="inlineStr">
        <is>
          <t>27/05/2025</t>
        </is>
      </c>
      <c r="B5184" s="28" t="n">
        <v>69.56999999999999</v>
      </c>
    </row>
    <row r="5185">
      <c r="A5185" s="66" t="inlineStr">
        <is>
          <t>28/05/2025</t>
        </is>
      </c>
      <c r="B5185" s="28" t="n">
        <v>68.2</v>
      </c>
    </row>
    <row r="5186">
      <c r="A5186" s="66" t="inlineStr">
        <is>
          <t>29/05/2025</t>
        </is>
      </c>
      <c r="B5186" s="28" t="n">
        <v>67.95</v>
      </c>
    </row>
    <row r="5187">
      <c r="A5187" s="66" t="inlineStr">
        <is>
          <t>30/05/2025</t>
        </is>
      </c>
      <c r="B5187" s="28" t="n">
        <v>67.73</v>
      </c>
    </row>
    <row r="5188">
      <c r="A5188" s="66" t="inlineStr">
        <is>
          <t>02/06/2025</t>
        </is>
      </c>
      <c r="B5188" s="28" t="n">
        <v>68.78</v>
      </c>
    </row>
    <row r="5189">
      <c r="A5189" s="66" t="inlineStr">
        <is>
          <t>03/06/2025</t>
        </is>
      </c>
      <c r="B5189" s="28" t="n">
        <v>68.81999999999999</v>
      </c>
    </row>
    <row r="5190">
      <c r="A5190" s="66" t="inlineStr">
        <is>
          <t>04/06/2025</t>
        </is>
      </c>
      <c r="B5190" s="28" t="n">
        <v>68.95</v>
      </c>
    </row>
    <row r="5191">
      <c r="A5191" s="66" t="inlineStr">
        <is>
          <t>05/06/2025</t>
        </is>
      </c>
      <c r="B5191" s="28" t="n">
        <v>68.89</v>
      </c>
    </row>
    <row r="5192">
      <c r="A5192" s="66" t="inlineStr">
        <is>
          <t>06/06/2025</t>
        </is>
      </c>
      <c r="B5192" s="28" t="n">
        <v>69.45999999999999</v>
      </c>
    </row>
    <row r="5193">
      <c r="A5193" s="66" t="inlineStr">
        <is>
          <t>09/06/2025</t>
        </is>
      </c>
      <c r="B5193" s="28" t="n">
        <v>68.72</v>
      </c>
    </row>
    <row r="5194">
      <c r="A5194" s="66" t="inlineStr">
        <is>
          <t>10/06/2025</t>
        </is>
      </c>
      <c r="B5194" s="28" t="n">
        <v>67.67</v>
      </c>
    </row>
    <row r="5195">
      <c r="A5195" s="66" t="inlineStr">
        <is>
          <t>11/06/2025</t>
        </is>
      </c>
      <c r="B5195" s="28" t="n">
        <v>67.91</v>
      </c>
    </row>
    <row r="5196">
      <c r="A5196" s="66" t="inlineStr">
        <is>
          <t>12/06/2025</t>
        </is>
      </c>
      <c r="B5196" s="28" t="n">
        <v>67.58</v>
      </c>
    </row>
    <row r="5197">
      <c r="A5197" s="66" t="inlineStr">
        <is>
          <t>13/06/2025</t>
        </is>
      </c>
      <c r="B5197" s="28" t="n">
        <v>67.55</v>
      </c>
    </row>
    <row r="5198">
      <c r="A5198" s="66" t="inlineStr">
        <is>
          <t>16/06/2025</t>
        </is>
      </c>
      <c r="B5198" s="28" t="n">
        <v>67.44</v>
      </c>
    </row>
    <row r="5199">
      <c r="A5199" s="66" t="inlineStr">
        <is>
          <t>17/06/2025</t>
        </is>
      </c>
      <c r="B5199" s="28" t="n">
        <v>67.3</v>
      </c>
    </row>
    <row r="5200">
      <c r="A5200" s="66" t="inlineStr">
        <is>
          <t>18/06/2025</t>
        </is>
      </c>
      <c r="B5200" s="28" t="n">
        <v>68.01000000000001</v>
      </c>
    </row>
    <row r="5201">
      <c r="A5201" s="66" t="inlineStr">
        <is>
          <t>20/06/2025</t>
        </is>
      </c>
      <c r="B5201" s="28" t="n">
        <v>68.04000000000001</v>
      </c>
    </row>
    <row r="5202">
      <c r="A5202" s="66" t="inlineStr">
        <is>
          <t>23/06/2025</t>
        </is>
      </c>
      <c r="B5202" s="28" t="n">
        <v>68.36</v>
      </c>
    </row>
    <row r="5203">
      <c r="A5203" s="66" t="inlineStr">
        <is>
          <t>24/06/2025</t>
        </is>
      </c>
      <c r="B5203" s="28" t="n">
        <v>68.2</v>
      </c>
    </row>
    <row r="5204">
      <c r="A5204" s="66" t="inlineStr">
        <is>
          <t>25/06/2025</t>
        </is>
      </c>
      <c r="B5204" s="28" t="n">
        <v>67.98</v>
      </c>
    </row>
    <row r="5205">
      <c r="A5205" s="66" t="inlineStr">
        <is>
          <t>26/06/2025</t>
        </is>
      </c>
      <c r="B5205" s="28" t="n">
        <v>67.52</v>
      </c>
    </row>
    <row r="5206">
      <c r="A5206" s="66" t="inlineStr">
        <is>
          <t>27/06/2025</t>
        </is>
      </c>
      <c r="B5206" s="28" t="n">
        <v>67.59</v>
      </c>
    </row>
    <row r="5207">
      <c r="A5207" s="66" t="inlineStr">
        <is>
          <t>30/06/2025</t>
        </is>
      </c>
      <c r="B5207" s="28" t="n">
        <v>66.95999999999999</v>
      </c>
    </row>
    <row r="5208">
      <c r="A5208" s="66" t="inlineStr">
        <is>
          <t>01/07/2025</t>
        </is>
      </c>
      <c r="B5208" s="28" t="n">
        <v>66.13</v>
      </c>
    </row>
    <row r="5209">
      <c r="A5209" s="66" t="inlineStr">
        <is>
          <t>02/07/2025</t>
        </is>
      </c>
      <c r="B5209" s="28" t="n">
        <v>65.69</v>
      </c>
    </row>
    <row r="5210">
      <c r="A5210" s="66" t="inlineStr">
        <is>
          <t>03/07/2025</t>
        </is>
      </c>
      <c r="B5210" s="28" t="n">
        <v>64.59</v>
      </c>
    </row>
    <row r="5211">
      <c r="A5211" s="66" t="inlineStr">
        <is>
          <t>04/07/2025</t>
        </is>
      </c>
      <c r="B5211" s="28" t="n">
        <v>64.48999999999999</v>
      </c>
    </row>
    <row r="5212">
      <c r="A5212" s="66" t="inlineStr">
        <is>
          <t>07/07/2025</t>
        </is>
      </c>
      <c r="B5212" s="28" t="n">
        <v>63.87</v>
      </c>
    </row>
    <row r="5213">
      <c r="A5213" s="66" t="inlineStr">
        <is>
          <t>08/07/2025</t>
        </is>
      </c>
      <c r="B5213" s="28" t="n">
        <v>63.78</v>
      </c>
    </row>
    <row r="5214">
      <c r="A5214" s="66" t="inlineStr">
        <is>
          <t>09/07/2025</t>
        </is>
      </c>
      <c r="B5214" s="28" t="n">
        <v>63.62</v>
      </c>
    </row>
    <row r="5215">
      <c r="A5215" s="66" t="inlineStr">
        <is>
          <t>10/07/2025</t>
        </is>
      </c>
      <c r="B5215" s="28" t="n">
        <v>63.41</v>
      </c>
    </row>
    <row r="5216">
      <c r="A5216" s="66" t="inlineStr">
        <is>
          <t>11/07/2025</t>
        </is>
      </c>
      <c r="B5216" s="28" t="n">
        <v>63.34</v>
      </c>
    </row>
    <row r="5217">
      <c r="A5217" s="66" t="inlineStr">
        <is>
          <t>14/07/2025</t>
        </is>
      </c>
      <c r="B5217" s="28" t="n">
        <v>63.16</v>
      </c>
    </row>
    <row r="5218">
      <c r="A5218" s="66" t="inlineStr">
        <is>
          <t>15/07/2025</t>
        </is>
      </c>
      <c r="B5218" s="28" t="n">
        <v>63.21</v>
      </c>
    </row>
    <row r="5219">
      <c r="A5219" s="66" t="inlineStr">
        <is>
          <t>16/07/2025</t>
        </is>
      </c>
      <c r="B5219" s="28" t="n">
        <v>63.27</v>
      </c>
    </row>
    <row r="5220">
      <c r="A5220" s="66" t="inlineStr">
        <is>
          <t>17/07/2025</t>
        </is>
      </c>
      <c r="B5220" s="28" t="n">
        <v>63.36</v>
      </c>
    </row>
    <row r="5221">
      <c r="A5221" s="66" t="inlineStr">
        <is>
          <t>18/07/2025</t>
        </is>
      </c>
      <c r="B5221" s="28" t="n">
        <v>63.82</v>
      </c>
    </row>
    <row r="5222">
      <c r="A5222" s="66" t="inlineStr">
        <is>
          <t>21/07/2025</t>
        </is>
      </c>
      <c r="B5222" s="28" t="n">
        <v>63.99</v>
      </c>
    </row>
    <row r="5223">
      <c r="A5223" s="66" t="inlineStr">
        <is>
          <t>22/07/2025</t>
        </is>
      </c>
      <c r="B5223" s="28" t="n">
        <v>64.45999999999999</v>
      </c>
    </row>
    <row r="5224">
      <c r="A5224" s="66" t="inlineStr">
        <is>
          <t>23/07/2025</t>
        </is>
      </c>
      <c r="B5224" s="28" t="n">
        <v>64.44</v>
      </c>
    </row>
    <row r="5225">
      <c r="A5225" s="66" t="inlineStr">
        <is>
          <t>24/07/2025</t>
        </is>
      </c>
      <c r="B5225" s="28" t="n">
        <v>64.55</v>
      </c>
    </row>
    <row r="5226">
      <c r="A5226" s="66" t="inlineStr">
        <is>
          <t>25/07/2025</t>
        </is>
      </c>
      <c r="B5226" s="28" t="n">
        <v>64.17</v>
      </c>
    </row>
    <row r="5227">
      <c r="A5227" s="66" t="inlineStr">
        <is>
          <t>28/07/2025</t>
        </is>
      </c>
      <c r="B5227" s="28" t="n">
        <v>64.13</v>
      </c>
    </row>
    <row r="5228">
      <c r="A5228" s="66" t="inlineStr">
        <is>
          <t>29/07/2025</t>
        </is>
      </c>
      <c r="B5228" s="28" t="n">
        <v>64.06999999999999</v>
      </c>
    </row>
    <row r="5229">
      <c r="A5229" s="66" t="inlineStr">
        <is>
          <t>30/07/2025</t>
        </is>
      </c>
      <c r="B5229" s="28" t="n">
        <v>63.94</v>
      </c>
    </row>
    <row r="5230">
      <c r="A5230" s="66" t="inlineStr">
        <is>
          <t>31/07/2025</t>
        </is>
      </c>
      <c r="B5230" s="28" t="n">
        <v>63.97</v>
      </c>
    </row>
    <row r="5231">
      <c r="A5231" s="66" t="inlineStr">
        <is>
          <t>01/08/2025</t>
        </is>
      </c>
      <c r="B5231" s="28" t="n">
        <v>63.91</v>
      </c>
    </row>
    <row r="5232">
      <c r="A5232" s="66" t="inlineStr">
        <is>
          <t>04/08/2025</t>
        </is>
      </c>
      <c r="B5232" s="28" t="n">
        <v>64.2</v>
      </c>
    </row>
    <row r="5233">
      <c r="A5233" s="66" t="inlineStr">
        <is>
          <t>05/08/2025</t>
        </is>
      </c>
      <c r="B5233" s="28" t="n">
        <v>64.20999999999999</v>
      </c>
    </row>
    <row r="5234">
      <c r="A5234" s="66" t="inlineStr">
        <is>
          <t>06/08/2025</t>
        </is>
      </c>
      <c r="B5234" s="28" t="n">
        <v>63.87</v>
      </c>
    </row>
    <row r="5235">
      <c r="A5235" s="66" t="inlineStr">
        <is>
          <t>07/08/2025</t>
        </is>
      </c>
      <c r="B5235" s="28" t="n">
        <v>63.78</v>
      </c>
    </row>
    <row r="5236">
      <c r="A5236" s="66" t="inlineStr">
        <is>
          <t>08/08/2025</t>
        </is>
      </c>
      <c r="B5236" s="28" t="n">
        <v>63.81</v>
      </c>
    </row>
    <row r="5237">
      <c r="A5237" s="66" t="inlineStr">
        <is>
          <t>11/08/2025</t>
        </is>
      </c>
      <c r="B5237" s="28" t="n">
        <v>63.85</v>
      </c>
    </row>
    <row r="5238">
      <c r="A5238" s="66" t="inlineStr">
        <is>
          <t>12/08/2025</t>
        </is>
      </c>
      <c r="B5238" s="28" t="n">
        <v>64.09</v>
      </c>
    </row>
    <row r="5239">
      <c r="A5239" s="66" t="inlineStr">
        <is>
          <t>13/08/2025</t>
        </is>
      </c>
      <c r="B5239" s="28" t="n">
        <v>63.9</v>
      </c>
    </row>
    <row r="5240">
      <c r="A5240" s="66" t="inlineStr">
        <is>
          <t>14/08/2025</t>
        </is>
      </c>
      <c r="B5240" s="28" t="n">
        <v>63.57</v>
      </c>
    </row>
    <row r="5241">
      <c r="A5241" s="66" t="inlineStr">
        <is>
          <t>15/08/2025</t>
        </is>
      </c>
      <c r="B5241" s="28" t="n">
        <v>63.46</v>
      </c>
    </row>
    <row r="5242">
      <c r="A5242" s="66" t="inlineStr">
        <is>
          <t>18/08/2025</t>
        </is>
      </c>
      <c r="B5242" s="28" t="n">
        <v>63.53</v>
      </c>
    </row>
    <row r="5243">
      <c r="A5243" s="66" t="inlineStr">
        <is>
          <t>19/08/2025</t>
        </is>
      </c>
      <c r="B5243" s="28" t="n">
        <v>64.03</v>
      </c>
    </row>
    <row r="5244">
      <c r="A5244" s="66" t="inlineStr">
        <is>
          <t>20/08/2025</t>
        </is>
      </c>
      <c r="B5244" s="28" t="n">
        <v>64.06999999999999</v>
      </c>
    </row>
    <row r="5245">
      <c r="A5245" s="66" t="inlineStr">
        <is>
          <t>21/08/2025</t>
        </is>
      </c>
      <c r="B5245" s="28" t="n">
        <v>64.23</v>
      </c>
    </row>
    <row r="5246">
      <c r="A5246" s="66" t="inlineStr">
        <is>
          <t>22/08/2025</t>
        </is>
      </c>
      <c r="B5246" s="28" t="n">
        <v>64.25</v>
      </c>
    </row>
    <row r="5247">
      <c r="A5247" s="66" t="inlineStr">
        <is>
          <t>25/08/2025</t>
        </is>
      </c>
      <c r="B5247" s="28" t="n">
        <v>64.52</v>
      </c>
    </row>
    <row r="5248">
      <c r="A5248" s="66" t="inlineStr">
        <is>
          <t>26/08/2025</t>
        </is>
      </c>
      <c r="B5248" s="28" t="n">
        <v>64.54000000000001</v>
      </c>
    </row>
    <row r="5249">
      <c r="A5249" s="66" t="inlineStr">
        <is>
          <t>27/08/2025</t>
        </is>
      </c>
      <c r="B5249" s="28" t="n">
        <v>64.7</v>
      </c>
    </row>
    <row r="5250">
      <c r="A5250" s="66" t="inlineStr">
        <is>
          <t>28/08/2025</t>
        </is>
      </c>
      <c r="B5250" s="28" t="n">
        <v>64.45999999999999</v>
      </c>
    </row>
    <row r="5251">
      <c r="A5251" s="66" t="inlineStr">
        <is>
          <t>29/08/2025</t>
        </is>
      </c>
      <c r="B5251" s="28" t="n">
        <v>64.48999999999999</v>
      </c>
    </row>
    <row r="5252">
      <c r="A5252" s="66" t="inlineStr">
        <is>
          <t>01/09/2025</t>
        </is>
      </c>
      <c r="B5252" s="28" t="n">
        <v>64.28</v>
      </c>
    </row>
    <row r="5253">
      <c r="A5253" s="66" t="inlineStr">
        <is>
          <t>02/09/2025</t>
        </is>
      </c>
      <c r="B5253" s="28" t="n">
        <v>64.45999999999999</v>
      </c>
    </row>
    <row r="5254">
      <c r="A5254" s="66" t="inlineStr">
        <is>
          <t>03/09/2025</t>
        </is>
      </c>
      <c r="B5254" s="28" t="n">
        <v>64.51000000000001</v>
      </c>
    </row>
    <row r="5255">
      <c r="A5255" s="66" t="inlineStr">
        <is>
          <t>04/09/2025</t>
        </is>
      </c>
      <c r="B5255" s="28" t="n">
        <v>64.63</v>
      </c>
    </row>
    <row r="5256">
      <c r="A5256" s="66" t="inlineStr">
        <is>
          <t>05/09/2025</t>
        </is>
      </c>
      <c r="B5256" s="28" t="n">
        <v>64.70999999999999</v>
      </c>
    </row>
    <row r="5257">
      <c r="A5257" s="66" t="inlineStr">
        <is>
          <t>08/09/2025</t>
        </is>
      </c>
      <c r="B5257" s="28" t="n">
        <v>64.75</v>
      </c>
    </row>
    <row r="5258">
      <c r="A5258" s="66" t="inlineStr">
        <is>
          <t>09/09/2025</t>
        </is>
      </c>
      <c r="B5258" s="28" t="n">
        <v>65.08</v>
      </c>
    </row>
    <row r="5259">
      <c r="A5259" s="66" t="inlineStr">
        <is>
          <t>10/09/2025</t>
        </is>
      </c>
      <c r="B5259" s="28" t="n">
        <v>65</v>
      </c>
    </row>
    <row r="5260">
      <c r="A5260" s="66" t="inlineStr">
        <is>
          <t>11/09/2025</t>
        </is>
      </c>
      <c r="B5260" s="28" t="n">
        <v>64.90000000000001</v>
      </c>
    </row>
    <row r="5261">
      <c r="A5261" s="66" t="inlineStr">
        <is>
          <t>12/09/2025</t>
        </is>
      </c>
      <c r="B5261" s="28" t="n">
        <v>64.95999999999999</v>
      </c>
    </row>
    <row r="5262">
      <c r="A5262" s="66" t="inlineStr">
        <is>
          <t>15/09/2025</t>
        </is>
      </c>
      <c r="B5262" s="28" t="n">
        <v>65.01000000000001</v>
      </c>
    </row>
    <row r="5263">
      <c r="A5263" s="66" t="inlineStr">
        <is>
          <t>16/09/2025</t>
        </is>
      </c>
      <c r="B5263" s="28" t="n">
        <v>65.12</v>
      </c>
    </row>
    <row r="5264">
      <c r="A5264" s="66" t="inlineStr">
        <is>
          <t>17/09/2025</t>
        </is>
      </c>
      <c r="B5264" s="28" t="n">
        <v>65.29000000000001</v>
      </c>
    </row>
    <row r="5265">
      <c r="A5265" s="66" t="inlineStr">
        <is>
          <t>18/09/2025</t>
        </is>
      </c>
      <c r="B5265" s="28" t="n">
        <v>65.26000000000001</v>
      </c>
    </row>
    <row r="5266">
      <c r="A5266" s="66" t="inlineStr">
        <is>
          <t>19/09/2025</t>
        </is>
      </c>
      <c r="B5266" s="28" t="n">
        <v>65.25</v>
      </c>
    </row>
    <row r="5267">
      <c r="A5267" s="66" t="inlineStr">
        <is>
          <t>22/09/2025</t>
        </is>
      </c>
      <c r="B5267" s="28" t="n">
        <v>64.68000000000001</v>
      </c>
    </row>
    <row r="5268">
      <c r="A5268" s="66" t="inlineStr">
        <is>
          <t>23/09/2025</t>
        </is>
      </c>
      <c r="B5268" s="28" t="n">
        <v>64.26000000000001</v>
      </c>
    </row>
    <row r="5269">
      <c r="A5269" s="66" t="inlineStr">
        <is>
          <t>24/09/2025</t>
        </is>
      </c>
      <c r="B5269" s="28" t="n">
        <v>64.27</v>
      </c>
    </row>
    <row r="5270">
      <c r="A5270" s="66" t="inlineStr">
        <is>
          <t>25/09/2025</t>
        </is>
      </c>
      <c r="B5270" s="28" t="n">
        <v>64.3</v>
      </c>
    </row>
    <row r="5271">
      <c r="A5271" s="66" t="inlineStr">
        <is>
          <t>26/09/2025</t>
        </is>
      </c>
      <c r="B5271" s="28" t="n">
        <v>64.28</v>
      </c>
    </row>
    <row r="5272">
      <c r="A5272" s="66" t="inlineStr">
        <is>
          <t>29/09/2025</t>
        </is>
      </c>
      <c r="B5272" s="28" t="n">
        <v>64.3</v>
      </c>
    </row>
    <row r="5273">
      <c r="A5273" s="66" t="inlineStr">
        <is>
          <t>30/09/2025</t>
        </is>
      </c>
      <c r="B5273" s="28" t="n">
        <v>64.2</v>
      </c>
    </row>
    <row r="5274">
      <c r="A5274" s="66" t="inlineStr">
        <is>
          <t>01/10/2025</t>
        </is>
      </c>
      <c r="B5274" s="28" t="n">
        <v>64.48</v>
      </c>
    </row>
    <row r="5275">
      <c r="A5275" s="66" t="inlineStr">
        <is>
          <t>02/10/2025</t>
        </is>
      </c>
      <c r="B5275" s="28" t="n">
        <v>64.73999999999999</v>
      </c>
    </row>
    <row r="5276">
      <c r="A5276" s="66" t="inlineStr">
        <is>
          <t>03/10/2025</t>
        </is>
      </c>
      <c r="B5276" s="28" t="n">
        <v>64.94</v>
      </c>
    </row>
    <row r="5277">
      <c r="A5277" s="66" t="inlineStr">
        <is>
          <t>06/10/2025</t>
        </is>
      </c>
      <c r="B5277" s="28" t="n">
        <v>65.09999999999999</v>
      </c>
    </row>
    <row r="5278">
      <c r="A5278" s="66" t="inlineStr">
        <is>
          <t>07/10/2025</t>
        </is>
      </c>
      <c r="B5278" s="28" t="n">
        <v>65.26000000000001</v>
      </c>
    </row>
    <row r="5279">
      <c r="A5279" s="66" t="inlineStr">
        <is>
          <t>08/10/2025</t>
        </is>
      </c>
      <c r="B5279" s="28" t="n">
        <v>65.47</v>
      </c>
    </row>
    <row r="5280">
      <c r="A5280" s="66" t="inlineStr">
        <is>
          <t>09/10/2025</t>
        </is>
      </c>
      <c r="B5280" s="28" t="n">
        <v>65.36</v>
      </c>
    </row>
    <row r="5281">
      <c r="A5281" s="66" t="inlineStr">
        <is>
          <t>10/10/2025</t>
        </is>
      </c>
      <c r="B5281" s="28" t="n">
        <v>65.38</v>
      </c>
    </row>
    <row r="5282">
      <c r="A5282" s="66" t="inlineStr">
        <is>
          <t>13/10/2025</t>
        </is>
      </c>
      <c r="B5282" s="28" t="n">
        <v>65.31999999999999</v>
      </c>
    </row>
    <row r="5283">
      <c r="A5283" s="66" t="inlineStr">
        <is>
          <t>14/10/2025</t>
        </is>
      </c>
      <c r="B5283" s="28" t="n">
        <v>65.15000000000001</v>
      </c>
    </row>
    <row r="5284">
      <c r="A5284" s="66" t="inlineStr">
        <is>
          <t>15/10/2025</t>
        </is>
      </c>
      <c r="B5284" s="28" t="n">
        <v>65.13</v>
      </c>
    </row>
    <row r="5285">
      <c r="A5285" s="66" t="inlineStr">
        <is>
          <t>16/10/2025</t>
        </is>
      </c>
      <c r="B5285" s="28" t="n">
        <v>65.29000000000001</v>
      </c>
    </row>
    <row r="5286">
      <c r="A5286" s="66" t="inlineStr">
        <is>
          <t>17/10/2025</t>
        </is>
      </c>
      <c r="B5286" s="28" t="n">
        <v>65.7</v>
      </c>
    </row>
    <row r="5287">
      <c r="A5287" s="66" t="inlineStr">
        <is>
          <t>20/10/2025</t>
        </is>
      </c>
      <c r="B5287" s="28" t="n">
        <v>65.66</v>
      </c>
    </row>
    <row r="5288">
      <c r="A5288" s="66" t="inlineStr">
        <is>
          <t>21/10/2025</t>
        </is>
      </c>
      <c r="B5288" s="28" t="n">
        <v>65.78</v>
      </c>
    </row>
    <row r="5289">
      <c r="A5289" s="66" t="inlineStr">
        <is>
          <t>22/10/2025</t>
        </is>
      </c>
      <c r="B5289" s="28" t="n">
        <v>65.64</v>
      </c>
    </row>
    <row r="5290">
      <c r="A5290" s="66" t="inlineStr">
        <is>
          <t>23/10/2025</t>
        </is>
      </c>
      <c r="B5290" s="28" t="n">
        <v>65.8</v>
      </c>
    </row>
    <row r="5291">
      <c r="A5291" s="66" t="inlineStr">
        <is>
          <t>24/10/2025</t>
        </is>
      </c>
      <c r="B5291" s="28" t="n">
        <v>65.83</v>
      </c>
    </row>
    <row r="5292">
      <c r="A5292" s="66" t="inlineStr">
        <is>
          <t>27/10/2025</t>
        </is>
      </c>
      <c r="B5292" s="28" t="n">
        <v>65.88</v>
      </c>
    </row>
    <row r="5293">
      <c r="A5293" s="66" t="inlineStr">
        <is>
          <t>28/10/2025</t>
        </is>
      </c>
      <c r="B5293" s="28" t="n">
        <v>66.01000000000001</v>
      </c>
    </row>
    <row r="5294">
      <c r="A5294" s="66" t="inlineStr">
        <is>
          <t>29/10/2025</t>
        </is>
      </c>
      <c r="B5294" s="28" t="n">
        <v>66.2</v>
      </c>
    </row>
    <row r="5295">
      <c r="A5295" s="66" t="inlineStr">
        <is>
          <t>30/10/2025</t>
        </is>
      </c>
      <c r="B5295" s="28" t="n">
        <v>66.41</v>
      </c>
    </row>
    <row r="5296">
      <c r="A5296" s="66" t="inlineStr">
        <is>
          <t>31/10/2025</t>
        </is>
      </c>
      <c r="B5296" s="28" t="n">
        <v>66.31999999999999</v>
      </c>
    </row>
    <row r="5297">
      <c r="A5297" s="66" t="inlineStr">
        <is>
          <t>03/11/2025</t>
        </is>
      </c>
      <c r="B5297" s="28" t="n">
        <v>66.42</v>
      </c>
    </row>
    <row r="5298">
      <c r="A5298" s="66" t="inlineStr">
        <is>
          <t>04/11/2025</t>
        </is>
      </c>
      <c r="B5298" s="28" t="n">
        <v>66.68000000000001</v>
      </c>
    </row>
    <row r="5299">
      <c r="A5299" s="66" t="inlineStr">
        <is>
          <t>05/11/2025</t>
        </is>
      </c>
      <c r="B5299" s="28" t="n">
        <v>66.79000000000001</v>
      </c>
    </row>
    <row r="5300">
      <c r="A5300" s="66" t="inlineStr">
        <is>
          <t>06/11/2025</t>
        </is>
      </c>
      <c r="B5300" s="28" t="n">
        <v>66.84</v>
      </c>
    </row>
    <row r="5301">
      <c r="A5301" s="66" t="inlineStr">
        <is>
          <t>07/11/2025</t>
        </is>
      </c>
      <c r="B5301" s="28" t="n">
        <v>67.06999999999999</v>
      </c>
    </row>
    <row r="5302">
      <c r="A5302" s="66" t="inlineStr">
        <is>
          <t>10/11/2025</t>
        </is>
      </c>
      <c r="B5302" s="28" t="n">
        <v>67.3</v>
      </c>
    </row>
    <row r="5303">
      <c r="A5303" s="66" t="inlineStr">
        <is>
          <t>11/11/2025</t>
        </is>
      </c>
      <c r="B5303" s="28" t="n">
        <v>67.33</v>
      </c>
    </row>
    <row r="5304">
      <c r="A5304" s="66" t="inlineStr">
        <is>
          <t>12/11/2025</t>
        </is>
      </c>
      <c r="B5304" s="28" t="n">
        <v>67.34999999999999</v>
      </c>
    </row>
    <row r="5305">
      <c r="A5305" s="66" t="inlineStr">
        <is>
          <t>13/11/2025</t>
        </is>
      </c>
      <c r="B5305" s="28" t="n">
        <v>67.45</v>
      </c>
    </row>
    <row r="5306">
      <c r="A5306" s="66" t="inlineStr">
        <is>
          <t>14/11/2025</t>
        </is>
      </c>
      <c r="B5306" s="28" t="n">
        <v>67.51000000000001</v>
      </c>
    </row>
    <row r="5307">
      <c r="A5307" s="66" t="inlineStr">
        <is>
          <t>17/11/2025</t>
        </is>
      </c>
      <c r="B5307" s="28" t="n">
        <v>67.61</v>
      </c>
    </row>
    <row r="5308">
      <c r="A5308" s="66" t="inlineStr">
        <is>
          <t>18/11/2025</t>
        </is>
      </c>
      <c r="B5308" s="28" t="n">
        <v>67.59999999999999</v>
      </c>
    </row>
    <row r="5309">
      <c r="A5309" s="66" t="inlineStr">
        <is>
          <t>19/11/2025</t>
        </is>
      </c>
      <c r="B5309" s="28" t="n">
        <v>67.63</v>
      </c>
    </row>
    <row r="5310">
      <c r="A5310" s="66" t="inlineStr">
        <is>
          <t>21/11/2025</t>
        </is>
      </c>
      <c r="B5310" s="28" t="n">
        <v>67.66</v>
      </c>
    </row>
    <row r="5311">
      <c r="A5311" s="66" t="inlineStr">
        <is>
          <t>24/11/2025</t>
        </is>
      </c>
      <c r="B5311" s="28" t="n">
        <v>67.81</v>
      </c>
    </row>
    <row r="5312">
      <c r="A5312" s="66" t="inlineStr">
        <is>
          <t>25/11/2025</t>
        </is>
      </c>
      <c r="B5312" s="28" t="n">
        <v>68.23</v>
      </c>
    </row>
    <row r="5313">
      <c r="A5313" s="66" t="inlineStr">
        <is>
          <t>26/11/2025</t>
        </is>
      </c>
      <c r="B5313" s="28" t="n">
        <v>68.39</v>
      </c>
    </row>
    <row r="5314">
      <c r="A5314" s="66" t="inlineStr">
        <is>
          <t>27/11/2025</t>
        </is>
      </c>
      <c r="B5314" s="28" t="n">
        <v>68.61</v>
      </c>
    </row>
    <row r="5315">
      <c r="A5315" s="66" t="inlineStr">
        <is>
          <t>28/11/2025</t>
        </is>
      </c>
      <c r="B5315" s="28" t="n">
        <v>68.75</v>
      </c>
    </row>
    <row r="5316">
      <c r="A5316" s="66" t="inlineStr">
        <is>
          <t>01/12/2025</t>
        </is>
      </c>
      <c r="B5316" s="28" t="n">
        <v>69.04000000000001</v>
      </c>
    </row>
    <row r="5317">
      <c r="A5317" s="66" t="inlineStr">
        <is>
          <t>02/12/2025</t>
        </is>
      </c>
      <c r="B5317" s="28" t="n">
        <v>69.54000000000001</v>
      </c>
    </row>
    <row r="5318">
      <c r="A5318" s="66" t="inlineStr">
        <is>
          <t>03/12/2025</t>
        </is>
      </c>
      <c r="B5318" s="28" t="n">
        <v>69.91</v>
      </c>
    </row>
    <row r="5319">
      <c r="A5319" s="66" t="inlineStr">
        <is>
          <t>04/12/2025</t>
        </is>
      </c>
      <c r="B5319" s="28" t="n">
        <v>69.97</v>
      </c>
    </row>
    <row r="5320">
      <c r="A5320" s="66" t="inlineStr">
        <is>
          <t>05/12/2025</t>
        </is>
      </c>
      <c r="B5320" s="28" t="n">
        <v>70.3</v>
      </c>
    </row>
    <row r="5321">
      <c r="A5321" s="66" t="inlineStr">
        <is>
          <t>08/12/2025</t>
        </is>
      </c>
      <c r="B5321" s="28" t="n">
        <v>70.15000000000001</v>
      </c>
    </row>
    <row r="5322">
      <c r="A5322" s="66" t="inlineStr">
        <is>
          <t>09/12/2025</t>
        </is>
      </c>
      <c r="B5322" s="28" t="n">
        <v>69.98999999999999</v>
      </c>
    </row>
    <row r="5323">
      <c r="A5323" s="66" t="inlineStr">
        <is>
          <t>10/12/2025</t>
        </is>
      </c>
      <c r="B5323" s="28" t="n">
        <v>69.76000000000001</v>
      </c>
    </row>
    <row r="5324">
      <c r="A5324" s="66" t="inlineStr">
        <is>
          <t>11/12/2025</t>
        </is>
      </c>
      <c r="B5324" s="28" t="n">
        <v>69.62</v>
      </c>
    </row>
    <row r="5325">
      <c r="A5325" s="66" t="inlineStr">
        <is>
          <t>12/12/2025</t>
        </is>
      </c>
      <c r="B5325" s="28" t="n">
        <v>69.45999999999999</v>
      </c>
    </row>
    <row r="5326">
      <c r="A5326" s="66" t="inlineStr">
        <is>
          <t>15/12/2025</t>
        </is>
      </c>
      <c r="B5326" s="28" t="n">
        <v>69.70999999999999</v>
      </c>
    </row>
    <row r="5327">
      <c r="A5327" s="66" t="inlineStr">
        <is>
          <t>16/12/2025</t>
        </is>
      </c>
      <c r="B5327" s="28" t="n">
        <v>69.56</v>
      </c>
    </row>
    <row r="5328">
      <c r="A5328" s="66" t="inlineStr">
        <is>
          <t>17/12/2025</t>
        </is>
      </c>
      <c r="B5328" s="28" t="n">
        <v>69.19</v>
      </c>
    </row>
    <row r="5329">
      <c r="A5329" s="66" t="inlineStr">
        <is>
          <t>18/12/2025</t>
        </is>
      </c>
      <c r="B5329" s="28" t="n">
        <v>69.27</v>
      </c>
    </row>
    <row r="5330">
      <c r="A5330" s="66" t="inlineStr">
        <is>
          <t>19/12/2025</t>
        </is>
      </c>
      <c r="B5330" s="28" t="n">
        <v>69.42</v>
      </c>
    </row>
    <row r="5331">
      <c r="A5331" s="66" t="inlineStr">
        <is>
          <t>22/12/2025</t>
        </is>
      </c>
      <c r="B5331" s="28" t="n">
        <v>69.47</v>
      </c>
    </row>
    <row r="5332">
      <c r="A5332" s="66" t="inlineStr">
        <is>
          <t>23/12/2025</t>
        </is>
      </c>
      <c r="B5332" s="28" t="n">
        <v>69.5</v>
      </c>
    </row>
    <row r="5333">
      <c r="A5333" s="66" t="inlineStr">
        <is>
          <t>26/12/2025</t>
        </is>
      </c>
      <c r="B5333" s="28" t="n">
        <v>69.48</v>
      </c>
    </row>
    <row r="5334">
      <c r="A5334" s="66" t="inlineStr">
        <is>
          <t>29/12/2025</t>
        </is>
      </c>
      <c r="B5334" s="28" t="n">
        <v>69.45999999999999</v>
      </c>
    </row>
    <row r="5335">
      <c r="A5335" s="66" t="inlineStr">
        <is>
          <t>30/12/2025</t>
        </is>
      </c>
      <c r="B5335" s="28" t="n">
        <v>69.5</v>
      </c>
    </row>
    <row r="5336">
      <c r="A5336" s="66" t="inlineStr">
        <is>
          <t>02/01/2026</t>
        </is>
      </c>
      <c r="B5336" s="28" t="n">
        <v>69.45</v>
      </c>
    </row>
    <row r="5337">
      <c r="A5337" s="66" t="inlineStr">
        <is>
          <t>05/01/2026</t>
        </is>
      </c>
      <c r="B5337" s="28" t="n">
        <v>69.38</v>
      </c>
    </row>
    <row r="5338">
      <c r="A5338" s="66" t="inlineStr">
        <is>
          <t>06/01/2026</t>
        </is>
      </c>
      <c r="B5338" s="28" t="n">
        <v>69.13</v>
      </c>
    </row>
    <row r="5339">
      <c r="A5339" s="66" t="inlineStr">
        <is>
          <t>07/01/2026</t>
        </is>
      </c>
      <c r="B5339" s="28" t="n">
        <v>69</v>
      </c>
    </row>
    <row r="5340">
      <c r="A5340" s="66" t="inlineStr">
        <is>
          <t>08/01/2026</t>
        </is>
      </c>
      <c r="B5340" s="28" t="n">
        <v>68.94</v>
      </c>
    </row>
    <row r="5341">
      <c r="A5341" s="66" t="inlineStr">
        <is>
          <t>09/01/2026</t>
        </is>
      </c>
      <c r="B5341" s="28" t="n">
        <v>69.02</v>
      </c>
    </row>
    <row r="5342">
      <c r="A5342" s="66" t="inlineStr">
        <is>
          <t>12/01/2026</t>
        </is>
      </c>
      <c r="B5342" s="28" t="n">
        <v>68.84</v>
      </c>
    </row>
    <row r="5343">
      <c r="A5343" s="66" t="inlineStr">
        <is>
          <t>13/01/2026</t>
        </is>
      </c>
      <c r="B5343" s="28" t="n">
        <v>68.79000000000001</v>
      </c>
    </row>
    <row r="5344">
      <c r="A5344" s="66" t="inlineStr">
        <is>
          <t>14/01/2026</t>
        </is>
      </c>
      <c r="B5344" s="28" t="n">
        <v>68.43000000000001</v>
      </c>
    </row>
    <row r="5345">
      <c r="A5345" s="66" t="inlineStr">
        <is>
          <t>15/01/2026</t>
        </is>
      </c>
      <c r="B5345" s="28" t="n">
        <v>68.37</v>
      </c>
    </row>
    <row r="5346">
      <c r="A5346" s="66" t="inlineStr">
        <is>
          <t>16/01/2026</t>
        </is>
      </c>
      <c r="B5346" s="28" t="n">
        <v>68.41</v>
      </c>
    </row>
    <row r="5347">
      <c r="A5347" s="66" t="inlineStr">
        <is>
          <t>19/01/2026</t>
        </is>
      </c>
      <c r="B5347" s="28" t="n">
        <v>68.12</v>
      </c>
    </row>
    <row r="5348">
      <c r="A5348" s="66" t="inlineStr">
        <is>
          <t>20/01/2026</t>
        </is>
      </c>
      <c r="B5348" s="28" t="n">
        <v>67.45999999999999</v>
      </c>
    </row>
    <row r="5349">
      <c r="A5349" s="66" t="inlineStr">
        <is>
          <t>21/01/2026</t>
        </is>
      </c>
      <c r="B5349" s="28" t="n">
        <v>67.04000000000001</v>
      </c>
    </row>
    <row r="5350">
      <c r="A5350" s="66" t="inlineStr">
        <is>
          <t>22/01/2026</t>
        </is>
      </c>
      <c r="B5350" s="28" t="n">
        <v>66.72</v>
      </c>
    </row>
    <row r="5351">
      <c r="A5351" s="66" t="inlineStr">
        <is>
          <t>23/01/2026</t>
        </is>
      </c>
      <c r="B5351" s="28" t="n">
        <v>66.63</v>
      </c>
    </row>
    <row r="5352">
      <c r="A5352" s="66" t="inlineStr">
        <is>
          <t>26/01/2026</t>
        </is>
      </c>
      <c r="B5352" s="28" t="n">
        <v>66.69</v>
      </c>
    </row>
    <row r="5353">
      <c r="A5353" s="66" t="inlineStr">
        <is>
          <t>27/01/2026</t>
        </is>
      </c>
      <c r="B5353" s="28" t="n">
        <v>66.22</v>
      </c>
    </row>
    <row r="5354">
      <c r="A5354" s="66" t="inlineStr">
        <is>
          <t>28/01/2026</t>
        </is>
      </c>
      <c r="B5354" s="28" t="n">
        <v>65.87</v>
      </c>
    </row>
    <row r="5355">
      <c r="A5355" s="66" t="inlineStr">
        <is>
          <t>29/01/2026</t>
        </is>
      </c>
      <c r="B5355" s="28" t="n">
        <v>65.95999999999999</v>
      </c>
    </row>
    <row r="5356">
      <c r="A5356" s="66" t="inlineStr">
        <is>
          <t>30/01/2026</t>
        </is>
      </c>
      <c r="B5356" s="28" t="n">
        <v>66.09999999999999</v>
      </c>
    </row>
    <row r="5357">
      <c r="A5357" s="66" t="inlineStr">
        <is>
          <t>02/02/2026</t>
        </is>
      </c>
      <c r="B5357" s="28" t="n">
        <v>66.17</v>
      </c>
    </row>
    <row r="5358">
      <c r="A5358" s="66" t="inlineStr">
        <is>
          <t>03/02/2026</t>
        </is>
      </c>
      <c r="B5358" s="28" t="n">
        <v>66.28</v>
      </c>
    </row>
    <row r="5359">
      <c r="A5359" s="66" t="inlineStr">
        <is>
          <t>04/02/2026</t>
        </is>
      </c>
      <c r="B5359" s="28" t="n">
        <v>66.44</v>
      </c>
    </row>
    <row r="5360">
      <c r="A5360" s="66" t="inlineStr">
        <is>
          <t>05/02/2026</t>
        </is>
      </c>
      <c r="B5360" s="28" t="n">
        <v>66.48999999999999</v>
      </c>
    </row>
    <row r="5361">
      <c r="A5361" s="66" t="inlineStr">
        <is>
          <t>06/02/2026</t>
        </is>
      </c>
      <c r="B5361" s="28" t="n">
        <v>66.78</v>
      </c>
    </row>
    <row r="5362">
      <c r="A5362" s="66" t="inlineStr">
        <is>
          <t>09/02/2026</t>
        </is>
      </c>
      <c r="B5362" s="28" t="n">
        <v>67.09</v>
      </c>
    </row>
    <row r="5363">
      <c r="A5363" s="66" t="inlineStr">
        <is>
          <t>10/02/2026</t>
        </is>
      </c>
      <c r="B5363" s="28" t="n">
        <v>67.06</v>
      </c>
    </row>
    <row r="5364">
      <c r="A5364" s="66" t="inlineStr">
        <is>
          <t>11/02/2026</t>
        </is>
      </c>
      <c r="B5364" s="28" t="n">
        <v>67.20999999999999</v>
      </c>
    </row>
    <row r="5365">
      <c r="A5365" s="66" t="inlineStr">
        <is>
          <t>12/02/2026</t>
        </is>
      </c>
      <c r="B5365" s="28" t="n">
        <v>67.67</v>
      </c>
    </row>
    <row r="5366">
      <c r="A5366" s="66" t="inlineStr">
        <is>
          <t>13/02/2026</t>
        </is>
      </c>
      <c r="B5366" s="28" t="n">
        <v>68.14</v>
      </c>
    </row>
    <row r="5367">
      <c r="A5367" s="66" t="inlineStr">
        <is>
          <t>18/02/2026</t>
        </is>
      </c>
      <c r="B5367" s="28" t="n">
        <v>68.39</v>
      </c>
    </row>
    <row r="5368">
      <c r="A5368" s="66" t="inlineStr">
        <is>
          <t>19/02/2026</t>
        </is>
      </c>
      <c r="B5368" s="28" t="n">
        <v>68.8</v>
      </c>
    </row>
    <row r="5369">
      <c r="A5369" s="66" t="inlineStr">
        <is>
          <t>20/02/2026</t>
        </is>
      </c>
      <c r="B5369" s="28" t="n">
        <v>68.73999999999999</v>
      </c>
    </row>
    <row r="5370">
      <c r="A5370" s="66" t="inlineStr">
        <is>
          <t>23/02/2026</t>
        </is>
      </c>
      <c r="B5370" s="28" t="n">
        <v>69.02</v>
      </c>
    </row>
    <row r="5371">
      <c r="A5371" s="66" t="inlineStr">
        <is>
          <t>24/02/2026</t>
        </is>
      </c>
      <c r="B5371" s="28" t="n">
        <v>69.14</v>
      </c>
    </row>
    <row r="5372">
      <c r="A5372" s="66" t="inlineStr">
        <is>
          <t>25/02/2026</t>
        </is>
      </c>
      <c r="B5372" s="28" t="n">
        <v>69.28</v>
      </c>
    </row>
    <row r="5373">
      <c r="A5373" s="66" t="inlineStr">
        <is>
          <t>26/02/2026</t>
        </is>
      </c>
      <c r="B5373" s="28" t="n">
        <v>69.28</v>
      </c>
    </row>
    <row r="5374">
      <c r="A5374" s="66" t="inlineStr">
        <is>
          <t>27/02/2026</t>
        </is>
      </c>
      <c r="B5374" s="28" t="n">
        <v>69.53</v>
      </c>
    </row>
    <row r="5375">
      <c r="A5375" s="66" t="inlineStr">
        <is>
          <t>02/03/2026</t>
        </is>
      </c>
      <c r="B5375" s="28" t="n">
        <v>69.75</v>
      </c>
    </row>
    <row r="5376">
      <c r="A5376" s="66" t="inlineStr">
        <is>
          <t>03/03/2026</t>
        </is>
      </c>
      <c r="B5376" s="28" t="n">
        <v>69.98</v>
      </c>
    </row>
    <row r="5377">
      <c r="A5377" s="66" t="inlineStr">
        <is>
          <t>04/03/2026</t>
        </is>
      </c>
      <c r="B5377" s="28" t="n">
        <v>70.23</v>
      </c>
    </row>
    <row r="5378">
      <c r="A5378" s="66" t="inlineStr">
        <is>
          <t>05/03/2026</t>
        </is>
      </c>
      <c r="B5378" s="28" t="n">
        <v>70.23999999999999</v>
      </c>
    </row>
    <row r="5379">
      <c r="A5379" s="66" t="inlineStr">
        <is>
          <t>06/03/2026</t>
        </is>
      </c>
      <c r="B5379" s="28" t="n">
        <v>70.56</v>
      </c>
    </row>
    <row r="5380">
      <c r="A5380" s="66" t="inlineStr">
        <is>
          <t>09/03/2026</t>
        </is>
      </c>
      <c r="B5380" s="28" t="n">
        <v>70.63</v>
      </c>
    </row>
    <row r="5381">
      <c r="A5381" s="66" t="inlineStr">
        <is>
          <t>10/03/2026</t>
        </is>
      </c>
      <c r="B5381" s="28" t="n">
        <v>71.09</v>
      </c>
    </row>
    <row r="5382">
      <c r="A5382" s="66" t="inlineStr">
        <is>
          <t>11/03/2026</t>
        </is>
      </c>
      <c r="B5382" s="28" t="n">
        <v>71.31999999999999</v>
      </c>
    </row>
    <row r="5383">
      <c r="A5383" s="66" t="inlineStr">
        <is>
          <t>12/03/2026</t>
        </is>
      </c>
      <c r="B5383" s="28" t="n">
        <v>71.56</v>
      </c>
    </row>
    <row r="5384">
      <c r="A5384" s="66" t="inlineStr">
        <is>
          <t>13/03/2026</t>
        </is>
      </c>
      <c r="B5384" s="28" t="n">
        <v>71.98</v>
      </c>
    </row>
    <row r="5385">
      <c r="A5385" s="66" t="inlineStr">
        <is>
          <t>16/03/2026</t>
        </is>
      </c>
      <c r="B5385" s="28" t="n">
        <v>72.09999999999999</v>
      </c>
    </row>
    <row r="5386">
      <c r="A5386" s="66" t="inlineStr">
        <is>
          <t>17/03/2026</t>
        </is>
      </c>
      <c r="B5386" s="28" t="n">
        <v>72.02</v>
      </c>
    </row>
    <row r="5387">
      <c r="A5387" s="66" t="inlineStr">
        <is>
          <t>18/03/2026</t>
        </is>
      </c>
      <c r="B5387" s="28" t="n">
        <v>71.2</v>
      </c>
    </row>
    <row r="5388">
      <c r="A5388" s="66" t="inlineStr">
        <is>
          <t>19/03/2026</t>
        </is>
      </c>
      <c r="B5388" s="28" t="n">
        <v>71.63</v>
      </c>
    </row>
    <row r="5389">
      <c r="A5389" s="66" t="inlineStr">
        <is>
          <t>20/03/2026</t>
        </is>
      </c>
      <c r="B5389" s="28" t="n">
        <v>71.37</v>
      </c>
    </row>
    <row r="5390">
      <c r="A5390" s="66" t="inlineStr">
        <is>
          <t>23/03/2026</t>
        </is>
      </c>
      <c r="B5390" s="28" t="n">
        <v>71.25</v>
      </c>
    </row>
    <row r="5391">
      <c r="A5391" s="66" t="inlineStr">
        <is>
          <t>24/03/2026</t>
        </is>
      </c>
      <c r="B5391" s="28" t="n">
        <v>71.01000000000001</v>
      </c>
    </row>
    <row r="5392">
      <c r="A5392" s="66" t="inlineStr">
        <is>
          <t>25/03/2026</t>
        </is>
      </c>
      <c r="B5392" s="28" t="n">
        <v>70.45</v>
      </c>
    </row>
    <row r="5393">
      <c r="A5393" s="66" t="inlineStr">
        <is>
          <t>26/03/2026</t>
        </is>
      </c>
      <c r="B5393" s="28" t="n">
        <v>70.33</v>
      </c>
    </row>
    <row r="5394">
      <c r="A5394" s="66" t="inlineStr">
        <is>
          <t>27/03/2026</t>
        </is>
      </c>
      <c r="B5394" s="28" t="n">
        <v>70.34</v>
      </c>
    </row>
    <row r="5395">
      <c r="A5395" s="66" t="inlineStr">
        <is>
          <t>30/03/2026</t>
        </is>
      </c>
      <c r="B5395" s="28" t="n">
        <v>70.29000000000001</v>
      </c>
    </row>
    <row r="5396">
      <c r="A5396" s="66" t="inlineStr">
        <is>
          <t>31/03/2026</t>
        </is>
      </c>
      <c r="B5396" s="28" t="n">
        <v>70.37</v>
      </c>
    </row>
    <row r="5397">
      <c r="A5397" s="66" t="inlineStr">
        <is>
          <t>01/04/2026</t>
        </is>
      </c>
      <c r="B5397" s="28" t="n">
        <v>70.31999999999999</v>
      </c>
    </row>
    <row r="5398">
      <c r="A5398" s="66" t="inlineStr">
        <is>
          <t>02/04/2026</t>
        </is>
      </c>
      <c r="B5398" s="28" t="n">
        <v>69.95999999999999</v>
      </c>
    </row>
    <row r="5399">
      <c r="A5399" s="66" t="inlineStr">
        <is>
          <t>06/04/2026</t>
        </is>
      </c>
      <c r="B5399" s="28" t="n">
        <v>69.88</v>
      </c>
    </row>
    <row r="5400">
      <c r="A5400" s="66" t="inlineStr">
        <is>
          <t>07/04/2026</t>
        </is>
      </c>
      <c r="B5400" s="28" t="n">
        <v>69.58</v>
      </c>
    </row>
    <row r="5401">
      <c r="A5401" s="66" t="inlineStr">
        <is>
          <t>08/04/2026</t>
        </is>
      </c>
      <c r="B5401" s="28" t="n">
        <v>69.79000000000001</v>
      </c>
    </row>
    <row r="5402">
      <c r="A5402" s="66" t="inlineStr">
        <is>
          <t>09/04/2026</t>
        </is>
      </c>
      <c r="B5402" s="28" t="n">
        <v>69.59</v>
      </c>
    </row>
    <row r="5403">
      <c r="A5403" s="66" t="inlineStr">
        <is>
          <t>10/04/2026</t>
        </is>
      </c>
      <c r="B5403" s="28" t="n">
        <v>69.06999999999999</v>
      </c>
    </row>
    <row r="5404">
      <c r="A5404" s="66" t="inlineStr">
        <is>
          <t>13/04/2026</t>
        </is>
      </c>
      <c r="B5404" s="28" t="n">
        <v>68.78</v>
      </c>
    </row>
    <row r="5405">
      <c r="A5405" s="66" t="inlineStr">
        <is>
          <t>14/04/2026</t>
        </is>
      </c>
      <c r="B5405" s="28" t="n">
        <v>67.73</v>
      </c>
    </row>
    <row r="5406">
      <c r="A5406" s="66" t="inlineStr">
        <is>
          <t>15/04/2026</t>
        </is>
      </c>
      <c r="B5406" s="28" t="n">
        <v>67.48</v>
      </c>
    </row>
    <row r="5407">
      <c r="A5407" s="66" t="inlineStr">
        <is>
          <t>16/04/2026</t>
        </is>
      </c>
      <c r="B5407" s="28" t="n">
        <v>67.01000000000001</v>
      </c>
    </row>
    <row r="5408">
      <c r="A5408" s="66" t="inlineStr">
        <is>
          <t>17/04/2026</t>
        </is>
      </c>
      <c r="B5408" s="28" t="n">
        <v>66.81</v>
      </c>
    </row>
    <row r="5409">
      <c r="A5409" s="66" t="inlineStr">
        <is>
          <t>20/04/2026</t>
        </is>
      </c>
      <c r="B5409" s="28" t="n">
        <v>66.45</v>
      </c>
    </row>
    <row r="5410">
      <c r="A5410" s="66" t="inlineStr">
        <is>
          <t>22/04/2026</t>
        </is>
      </c>
      <c r="B5410" s="28" t="n">
        <v>66.34</v>
      </c>
    </row>
    <row r="5411">
      <c r="A5411" s="66" t="inlineStr">
        <is>
          <t>23/04/2026</t>
        </is>
      </c>
      <c r="B5411" s="28" t="n">
        <v>66.36</v>
      </c>
    </row>
    <row r="5412">
      <c r="A5412" s="66" t="inlineStr">
        <is>
          <t>24/04/2026</t>
        </is>
      </c>
      <c r="B5412" s="28" t="n">
        <v>66.63</v>
      </c>
    </row>
    <row r="5413">
      <c r="A5413" s="66" t="inlineStr">
        <is>
          <t>27/04/2026</t>
        </is>
      </c>
      <c r="B5413" s="28" t="n">
        <v>66.67</v>
      </c>
    </row>
    <row r="5414">
      <c r="A5414" s="66" t="inlineStr">
        <is>
          <t>28/04/2026</t>
        </is>
      </c>
      <c r="B5414" s="28" t="n">
        <v>66.67</v>
      </c>
    </row>
    <row r="5415">
      <c r="A5415" s="66" t="inlineStr">
        <is>
          <t>29/04/2026</t>
        </is>
      </c>
      <c r="B5415" s="28" t="n">
        <v>66.90000000000001</v>
      </c>
    </row>
    <row r="5416">
      <c r="A5416" s="66" t="inlineStr">
        <is>
          <t>30/04/2026</t>
        </is>
      </c>
      <c r="B5416" s="28" t="n">
        <v>66.90000000000001</v>
      </c>
    </row>
    <row r="5417">
      <c r="A5417" s="66" t="inlineStr">
        <is>
          <t>04/05/2026</t>
        </is>
      </c>
      <c r="B5417" s="28" t="n">
        <v>67.05</v>
      </c>
    </row>
    <row r="5418">
      <c r="A5418" s="66" t="inlineStr">
        <is>
          <t>05/05/2026</t>
        </is>
      </c>
      <c r="B5418" s="28" t="n">
        <v>66.73</v>
      </c>
    </row>
    <row r="5419">
      <c r="A5419" s="66" t="inlineStr">
        <is>
          <t>06/05/2026</t>
        </is>
      </c>
      <c r="B5419" s="28" t="n">
        <v>66.41</v>
      </c>
    </row>
    <row r="5420">
      <c r="A5420" s="66" t="inlineStr">
        <is>
          <t>07/05/2026</t>
        </is>
      </c>
      <c r="B5420" s="28" t="n">
        <v>66.06999999999999</v>
      </c>
    </row>
    <row r="5421">
      <c r="A5421" s="66" t="inlineStr">
        <is>
          <t>08/05/2026</t>
        </is>
      </c>
      <c r="B5421" s="28" t="n">
        <v>65.98</v>
      </c>
    </row>
    <row r="5422">
      <c r="A5422" s="66" t="inlineStr">
        <is>
          <t>11/05/2026</t>
        </is>
      </c>
      <c r="B5422" s="28" t="n">
        <v>65.92</v>
      </c>
    </row>
    <row r="5423">
      <c r="A5423" s="66" t="inlineStr">
        <is>
          <t>12/05/2026</t>
        </is>
      </c>
      <c r="B5423" s="28" t="n">
        <v>65.51000000000001</v>
      </c>
    </row>
    <row r="5424">
      <c r="A5424" s="66" t="inlineStr">
        <is>
          <t>13/05/2026</t>
        </is>
      </c>
      <c r="B5424" s="28" t="n">
        <v>65.34999999999999</v>
      </c>
    </row>
    <row r="5425">
      <c r="A5425" s="66" t="inlineStr">
        <is>
          <t>14/05/2026</t>
        </is>
      </c>
      <c r="B5425" s="28" t="n">
        <v>65.42</v>
      </c>
    </row>
    <row r="5426">
      <c r="A5426" s="66" t="inlineStr">
        <is>
          <t>15/05/2026</t>
        </is>
      </c>
      <c r="B5426" s="28" t="n">
        <v>65.36</v>
      </c>
    </row>
    <row r="5427">
      <c r="A5427" s="66" t="inlineStr">
        <is>
          <t>18/05/2026</t>
        </is>
      </c>
      <c r="B5427" s="28" t="n">
        <v>65.31999999999999</v>
      </c>
    </row>
    <row r="5428">
      <c r="A5428" s="66" t="inlineStr">
        <is>
          <t>19/05/2026</t>
        </is>
      </c>
      <c r="B5428" s="28" t="n">
        <v>65.28</v>
      </c>
    </row>
    <row r="5429">
      <c r="A5429" s="66" t="inlineStr">
        <is>
          <t>20/05/2026</t>
        </is>
      </c>
      <c r="B5429" s="28" t="n">
        <v>65.34</v>
      </c>
    </row>
    <row r="5430">
      <c r="A5430" s="66" t="inlineStr">
        <is>
          <t>21/05/2026</t>
        </is>
      </c>
      <c r="B5430" s="28" t="n">
        <v>65.41</v>
      </c>
    </row>
    <row r="5431">
      <c r="A5431" s="66" t="inlineStr">
        <is>
          <t>22/05/2026</t>
        </is>
      </c>
      <c r="B5431" s="28" t="n">
        <v>65.47</v>
      </c>
    </row>
    <row r="5432">
      <c r="A5432" s="66" t="inlineStr">
        <is>
          <t>25/05/2026</t>
        </is>
      </c>
      <c r="B5432" s="28" t="n">
        <v>65.39</v>
      </c>
    </row>
    <row r="5433">
      <c r="A5433" s="66" t="inlineStr">
        <is>
          <t>26/05/2026</t>
        </is>
      </c>
      <c r="B5433" s="28" t="n">
        <v>64.98999999999999</v>
      </c>
    </row>
    <row r="5434">
      <c r="A5434" s="66" t="inlineStr">
        <is>
          <t>27/05/2026</t>
        </is>
      </c>
      <c r="B5434" s="28" t="n">
        <v>65.13</v>
      </c>
    </row>
    <row r="5435">
      <c r="A5435" s="66" t="inlineStr">
        <is>
          <t>28/05/2026</t>
        </is>
      </c>
      <c r="B5435" s="28" t="n">
        <v>64.90000000000001</v>
      </c>
    </row>
    <row r="5436">
      <c r="A5436" s="66" t="inlineStr">
        <is>
          <t>29/05/2026</t>
        </is>
      </c>
      <c r="B5436" s="28" t="n">
        <v>64.91</v>
      </c>
    </row>
    <row r="5437">
      <c r="A5437" s="66" t="inlineStr">
        <is>
          <t>01/06/2026</t>
        </is>
      </c>
      <c r="B5437" s="28" t="n">
        <v>64.76000000000001</v>
      </c>
    </row>
    <row r="5438">
      <c r="A5438" s="66" t="inlineStr">
        <is>
          <t>02/06/2026</t>
        </is>
      </c>
      <c r="B5438" s="28" t="n">
        <v>64.54000000000001</v>
      </c>
    </row>
    <row r="5439">
      <c r="A5439" s="66" t="inlineStr">
        <is>
          <t>03/06/2026</t>
        </is>
      </c>
      <c r="B5439" s="28" t="n">
        <v>64.51000000000001</v>
      </c>
    </row>
    <row r="5440">
      <c r="A5440" s="66" t="inlineStr">
        <is>
          <t>05/06/2026</t>
        </is>
      </c>
      <c r="B5440" s="28" t="n">
        <v>64.5</v>
      </c>
    </row>
    <row r="5441">
      <c r="A5441" s="66" t="inlineStr">
        <is>
          <t>08/06/2026</t>
        </is>
      </c>
      <c r="B5441" s="28" t="n">
        <v>64.54000000000001</v>
      </c>
    </row>
    <row r="5442">
      <c r="A5442" s="66" t="inlineStr">
        <is>
          <t>09/06/2026</t>
        </is>
      </c>
      <c r="B5442" s="28" t="n">
        <v>64.26000000000001</v>
      </c>
    </row>
    <row r="5443">
      <c r="A5443" s="66" t="inlineStr">
        <is>
          <t>10/06/2026</t>
        </is>
      </c>
      <c r="B5443" s="28" t="n">
        <v>64.09</v>
      </c>
    </row>
    <row r="5444">
      <c r="A5444" s="66" t="inlineStr">
        <is>
          <t>11/06/2026</t>
        </is>
      </c>
      <c r="B5444" s="28" t="n">
        <v>64.03</v>
      </c>
    </row>
    <row r="5445">
      <c r="A5445" s="66" t="inlineStr">
        <is>
          <t>12/06/2026</t>
        </is>
      </c>
      <c r="B5445" s="28" t="n">
        <v>64.20999999999999</v>
      </c>
    </row>
    <row r="5446">
      <c r="A5446" s="66" t="inlineStr">
        <is>
          <t>15/06/2026</t>
        </is>
      </c>
      <c r="B5446" s="28" t="n">
        <v>62.97</v>
      </c>
    </row>
    <row r="5447">
      <c r="A5447" s="66" t="inlineStr">
        <is>
          <t>16/06/2026</t>
        </is>
      </c>
      <c r="B5447" s="28" t="n">
        <v>63.05</v>
      </c>
    </row>
    <row r="5448">
      <c r="A5448" s="66" t="inlineStr">
        <is>
          <t>17/06/2026</t>
        </is>
      </c>
      <c r="B5448" s="34">
        <f>IF('MILHO - CEPEA'!C113&gt;0,'MILHO - CEPEA'!C113,"")</f>
        <v/>
      </c>
    </row>
    <row r="5449">
      <c r="A5449" s="66" t="inlineStr">
        <is>
          <t>18/06/2026</t>
        </is>
      </c>
      <c r="B5449" s="34">
        <f>IF('MILHO - CEPEA'!C114&gt;0,'MILHO - CEPEA'!C114,"")</f>
        <v/>
      </c>
    </row>
    <row r="5450">
      <c r="A5450" s="66" t="inlineStr">
        <is>
          <t>19/06/2026</t>
        </is>
      </c>
      <c r="B5450" s="34">
        <f>IF('MILHO - CEPEA'!C115&gt;0,'MILHO - CEPEA'!C115,"")</f>
        <v/>
      </c>
    </row>
    <row r="5451">
      <c r="A5451" s="66" t="inlineStr">
        <is>
          <t>22/06/2026</t>
        </is>
      </c>
      <c r="B5451" s="34">
        <f>IF('MILHO - CEPEA'!C116&gt;0,'MILHO - CEPEA'!C116,"")</f>
        <v/>
      </c>
    </row>
    <row r="5452">
      <c r="A5452" s="66" t="inlineStr">
        <is>
          <t>23/06/2026</t>
        </is>
      </c>
      <c r="B5452" s="34">
        <f>IF('MILHO - CEPEA'!C117&gt;0,'MILHO - CEPEA'!C117,"")</f>
        <v/>
      </c>
    </row>
    <row r="5453">
      <c r="A5453" s="66" t="inlineStr">
        <is>
          <t>24/06/2026</t>
        </is>
      </c>
      <c r="B5453" s="34">
        <f>IF('MILHO - CEPEA'!C118&gt;0,'MILHO - CEPEA'!C118,"")</f>
        <v/>
      </c>
    </row>
    <row r="5454">
      <c r="A5454" s="66" t="inlineStr">
        <is>
          <t>25/06/2026</t>
        </is>
      </c>
      <c r="B5454" s="34">
        <f>IF('MILHO - CEPEA'!C119&gt;0,'MILHO - CEPEA'!C119,"")</f>
        <v/>
      </c>
    </row>
    <row r="5455">
      <c r="A5455" s="66" t="inlineStr">
        <is>
          <t>26/06/2026</t>
        </is>
      </c>
      <c r="B5455" s="34">
        <f>IF('MILHO - CEPEA'!C120&gt;0,'MILHO - CEPEA'!C120,"")</f>
        <v/>
      </c>
    </row>
    <row r="5456">
      <c r="A5456" s="66" t="inlineStr">
        <is>
          <t>29/06/2026</t>
        </is>
      </c>
      <c r="B5456" s="34">
        <f>IF('MILHO - CEPEA'!C121&gt;0,'MILHO - CEPEA'!C121,"")</f>
        <v/>
      </c>
    </row>
    <row r="5457">
      <c r="A5457" s="66" t="inlineStr">
        <is>
          <t>30/06/2026</t>
        </is>
      </c>
      <c r="B5457" s="34">
        <f>IF('MILHO - CEPEA'!C122&gt;0,'MILHO - CEPEA'!C122,"")</f>
        <v/>
      </c>
    </row>
    <row r="5458">
      <c r="A5458" s="66" t="inlineStr">
        <is>
          <t>01/07/2026</t>
        </is>
      </c>
      <c r="B5458" s="34">
        <f>IF('MILHO - CEPEA'!C123&gt;0,'MILHO - CEPEA'!C123,"")</f>
        <v/>
      </c>
    </row>
    <row r="5459">
      <c r="A5459" s="66" t="inlineStr">
        <is>
          <t>02/07/2026</t>
        </is>
      </c>
      <c r="B5459" s="34">
        <f>IF('MILHO - CEPEA'!C124&gt;0,'MILHO - CEPEA'!C124,"")</f>
        <v/>
      </c>
    </row>
    <row r="5460">
      <c r="A5460" s="66" t="inlineStr">
        <is>
          <t>03/07/2026</t>
        </is>
      </c>
      <c r="B5460" s="34">
        <f>IF('MILHO - CEPEA'!C125&gt;0,'MILHO - CEPEA'!C125,"")</f>
        <v/>
      </c>
    </row>
    <row r="5461">
      <c r="A5461" s="4">
        <f>IF('MILHO - CEPEA'!A126&gt;0,'MILHO - CEPEA'!A126,"")</f>
        <v/>
      </c>
      <c r="B5461" s="34">
        <f>IF('MILHO - CEPEA'!C126&gt;0,'MILHO - CEPEA'!C126,"")</f>
        <v/>
      </c>
    </row>
    <row r="5462">
      <c r="A5462" s="4">
        <f>IF('MILHO - CEPEA'!A127&gt;0,'MILHO - CEPEA'!A127,"")</f>
        <v/>
      </c>
      <c r="B5462" s="34">
        <f>IF('MILHO - CEPEA'!C127&gt;0,'MILHO - CEPEA'!C127,"")</f>
        <v/>
      </c>
    </row>
    <row r="5463">
      <c r="A5463" s="4">
        <f>IF('MILHO - CEPEA'!A128&gt;0,'MILHO - CEPEA'!A128,"")</f>
        <v/>
      </c>
      <c r="B5463" s="34">
        <f>IF('MILHO - CEPEA'!C128&gt;0,'MILHO - CEPEA'!C128,"")</f>
        <v/>
      </c>
    </row>
    <row r="5464">
      <c r="A5464" s="4">
        <f>IF('MILHO - CEPEA'!A128&gt;0,'MILHO - CEPEA'!A128,"")</f>
        <v/>
      </c>
      <c r="B5464" s="34">
        <f>IF('MILHO - CEPEA'!C128&gt;0,'MILHO - CEPEA'!C128,"")</f>
        <v/>
      </c>
    </row>
    <row r="5465">
      <c r="A5465" s="4">
        <f>IF('MILHO - CEPEA'!A129&gt;0,'MILHO - CEPEA'!A129,"")</f>
        <v/>
      </c>
      <c r="B5465" s="34">
        <f>IF('MILHO - CEPEA'!C129&gt;0,'MILHO - CEPEA'!C129,"")</f>
        <v/>
      </c>
    </row>
    <row r="5466">
      <c r="A5466" s="4">
        <f>IF('MILHO - CEPEA'!A130&gt;0,'MILHO - CEPEA'!A130,"")</f>
        <v/>
      </c>
      <c r="B5466" s="34">
        <f>IF('MILHO - CEPEA'!C130&gt;0,'MILHO - CEPEA'!C130,"")</f>
        <v/>
      </c>
    </row>
    <row r="5467">
      <c r="A5467" s="4">
        <f>IF('MILHO - CEPEA'!A131&gt;0,'MILHO - CEPEA'!A131,"")</f>
        <v/>
      </c>
      <c r="B5467" s="34">
        <f>IF('MILHO - CEPEA'!C131&gt;0,'MILHO - CEPEA'!C131,"")</f>
        <v/>
      </c>
    </row>
    <row r="5468">
      <c r="A5468" s="4">
        <f>IF('MILHO - CEPEA'!A132&gt;0,'MILHO - CEPEA'!A132,"")</f>
        <v/>
      </c>
      <c r="B5468" s="34">
        <f>IF('MILHO - CEPEA'!C132&gt;0,'MILHO - CEPEA'!C132,"")</f>
        <v/>
      </c>
    </row>
    <row r="5469">
      <c r="A5469" s="4">
        <f>IF('MILHO - CEPEA'!A133&gt;0,'MILHO - CEPEA'!A133,"")</f>
        <v/>
      </c>
      <c r="B5469" s="34">
        <f>IF('MILHO - CEPEA'!C133&gt;0,'MILHO - CEPEA'!C133,"")</f>
        <v/>
      </c>
    </row>
    <row r="5470">
      <c r="A5470" s="4">
        <f>IF('MILHO - CEPEA'!A134&gt;0,'MILHO - CEPEA'!A134,"")</f>
        <v/>
      </c>
      <c r="B5470" s="34">
        <f>IF('MILHO - CEPEA'!C134&gt;0,'MILHO - CEPEA'!C134,"")</f>
        <v/>
      </c>
    </row>
    <row r="5471">
      <c r="A5471" s="4">
        <f>IF('MILHO - CEPEA'!A135&gt;0,'MILHO - CEPEA'!A135,"")</f>
        <v/>
      </c>
      <c r="B5471" s="34">
        <f>IF('MILHO - CEPEA'!C135&gt;0,'MILHO - CEPEA'!C135,"")</f>
        <v/>
      </c>
    </row>
    <row r="5472">
      <c r="A5472" s="4">
        <f>IF('MILHO - CEPEA'!A136&gt;0,'MILHO - CEPEA'!A136,"")</f>
        <v/>
      </c>
      <c r="B5472" s="34">
        <f>IF('MILHO - CEPEA'!C136&gt;0,'MILHO - CEPEA'!C136,"")</f>
        <v/>
      </c>
    </row>
    <row r="5473">
      <c r="A5473" s="4">
        <f>IF('MILHO - CEPEA'!A137&gt;0,'MILHO - CEPEA'!A137,"")</f>
        <v/>
      </c>
      <c r="B5473" s="34">
        <f>IF('MILHO - CEPEA'!C137&gt;0,'MILHO - CEPEA'!C137,"")</f>
        <v/>
      </c>
    </row>
    <row r="5474">
      <c r="A5474" s="4">
        <f>IF('MILHO - CEPEA'!A138&gt;0,'MILHO - CEPEA'!A138,"")</f>
        <v/>
      </c>
      <c r="B5474" s="34">
        <f>IF('MILHO - CEPEA'!C138&gt;0,'MILHO - CEPEA'!C138,"")</f>
        <v/>
      </c>
    </row>
    <row r="5475">
      <c r="A5475" s="4">
        <f>IF('MILHO - CEPEA'!A139&gt;0,'MILHO - CEPEA'!A139,"")</f>
        <v/>
      </c>
      <c r="B5475" s="34">
        <f>IF('MILHO - CEPEA'!C139&gt;0,'MILHO - CEPEA'!C139,"")</f>
        <v/>
      </c>
    </row>
    <row r="5476">
      <c r="A5476" s="4">
        <f>IF('MILHO - CEPEA'!A140&gt;0,'MILHO - CEPEA'!A140,"")</f>
        <v/>
      </c>
      <c r="B5476" s="34">
        <f>IF('MILHO - CEPEA'!C140&gt;0,'MILHO - CEPEA'!C140,"")</f>
        <v/>
      </c>
    </row>
    <row r="5477">
      <c r="A5477" s="4">
        <f>IF('MILHO - CEPEA'!A141&gt;0,'MILHO - CEPEA'!A141,"")</f>
        <v/>
      </c>
      <c r="B5477" s="34">
        <f>IF('MILHO - CEPEA'!C141&gt;0,'MILHO - CEPEA'!C141,"")</f>
        <v/>
      </c>
    </row>
    <row r="5478">
      <c r="A5478" s="4">
        <f>IF('MILHO - CEPEA'!A142&gt;0,'MILHO - CEPEA'!A142,"")</f>
        <v/>
      </c>
      <c r="B5478" s="34">
        <f>IF('MILHO - CEPEA'!C142&gt;0,'MILHO - CEPEA'!C142,"")</f>
        <v/>
      </c>
    </row>
    <row r="5479">
      <c r="A5479" s="4">
        <f>IF('MILHO - CEPEA'!A143&gt;0,'MILHO - CEPEA'!A143,"")</f>
        <v/>
      </c>
      <c r="B5479" s="34">
        <f>IF('MILHO - CEPEA'!C143&gt;0,'MILHO - CEPEA'!C143,"")</f>
        <v/>
      </c>
    </row>
    <row r="5480">
      <c r="A5480" s="4">
        <f>IF('MILHO - CEPEA'!A144&gt;0,'MILHO - CEPEA'!A144,"")</f>
        <v/>
      </c>
      <c r="B5480" s="34">
        <f>IF('MILHO - CEPEA'!C144&gt;0,'MILHO - CEPEA'!C144,"")</f>
        <v/>
      </c>
    </row>
    <row r="5481">
      <c r="A5481" s="4">
        <f>IF('MILHO - CEPEA'!A145&gt;0,'MILHO - CEPEA'!A145,"")</f>
        <v/>
      </c>
      <c r="B5481" s="34">
        <f>IF('MILHO - CEPEA'!C145&gt;0,'MILHO - CEPEA'!C145,"")</f>
        <v/>
      </c>
    </row>
    <row r="5482">
      <c r="A5482" s="4">
        <f>IF('MILHO - CEPEA'!A146&gt;0,'MILHO - CEPEA'!A146,"")</f>
        <v/>
      </c>
      <c r="B5482" s="34">
        <f>IF('MILHO - CEPEA'!C146&gt;0,'MILHO - CEPEA'!C146,"")</f>
        <v/>
      </c>
    </row>
    <row r="5483">
      <c r="A5483" s="4">
        <f>IF('MILHO - CEPEA'!A147&gt;0,'MILHO - CEPEA'!A147,"")</f>
        <v/>
      </c>
      <c r="B5483" s="34">
        <f>IF('MILHO - CEPEA'!C147&gt;0,'MILHO - CEPEA'!C147,"")</f>
        <v/>
      </c>
    </row>
    <row r="5484">
      <c r="A5484" s="4">
        <f>IF('MILHO - CEPEA'!A148&gt;0,'MILHO - CEPEA'!A148,"")</f>
        <v/>
      </c>
      <c r="B5484" s="34">
        <f>IF('MILHO - CEPEA'!C148&gt;0,'MILHO - CEPEA'!C148,"")</f>
        <v/>
      </c>
    </row>
    <row r="5485">
      <c r="A5485" s="4">
        <f>IF('MILHO - CEPEA'!A149&gt;0,'MILHO - CEPEA'!A149,"")</f>
        <v/>
      </c>
      <c r="B5485" s="34">
        <f>IF('MILHO - CEPEA'!C149&gt;0,'MILHO - CEPEA'!C149,"")</f>
        <v/>
      </c>
    </row>
    <row r="5486">
      <c r="A5486" s="4">
        <f>IF('MILHO - CEPEA'!A150&gt;0,'MILHO - CEPEA'!A150,"")</f>
        <v/>
      </c>
      <c r="B5486" s="34">
        <f>IF('MILHO - CEPEA'!C150&gt;0,'MILHO - CEPEA'!C150,"")</f>
        <v/>
      </c>
    </row>
    <row r="5487">
      <c r="A5487" s="4">
        <f>IF('MILHO - CEPEA'!A151&gt;0,'MILHO - CEPEA'!A151,"")</f>
        <v/>
      </c>
      <c r="B5487" s="34">
        <f>IF('MILHO - CEPEA'!C151&gt;0,'MILHO - CEPEA'!C151,"")</f>
        <v/>
      </c>
    </row>
    <row r="5488">
      <c r="A5488" s="4">
        <f>IF('MILHO - CEPEA'!A152&gt;0,'MILHO - CEPEA'!A152,"")</f>
        <v/>
      </c>
      <c r="B5488" s="34">
        <f>IF('MILHO - CEPEA'!C152&gt;0,'MILHO - CEPEA'!C152,"")</f>
        <v/>
      </c>
    </row>
    <row r="5489">
      <c r="A5489" s="4">
        <f>IF('MILHO - CEPEA'!A153&gt;0,'MILHO - CEPEA'!A153,"")</f>
        <v/>
      </c>
      <c r="B5489" s="34">
        <f>IF('MILHO - CEPEA'!C153&gt;0,'MILHO - CEPEA'!C153,"")</f>
        <v/>
      </c>
    </row>
    <row r="5490">
      <c r="A5490" s="4">
        <f>IF('MILHO - CEPEA'!A154&gt;0,'MILHO - CEPEA'!A154,"")</f>
        <v/>
      </c>
      <c r="B5490" s="34">
        <f>IF('MILHO - CEPEA'!C154&gt;0,'MILHO - CEPEA'!C154,"")</f>
        <v/>
      </c>
    </row>
    <row r="5491">
      <c r="A5491" s="4">
        <f>IF('MILHO - CEPEA'!A155&gt;0,'MILHO - CEPEA'!A155,"")</f>
        <v/>
      </c>
      <c r="B5491" s="34">
        <f>IF('MILHO - CEPEA'!C155&gt;0,'MILHO - CEPEA'!C155,"")</f>
        <v/>
      </c>
    </row>
    <row r="5492">
      <c r="A5492" s="4">
        <f>IF('MILHO - CEPEA'!A156&gt;0,'MILHO - CEPEA'!A156,"")</f>
        <v/>
      </c>
      <c r="B5492" s="34">
        <f>IF('MILHO - CEPEA'!C156&gt;0,'MILHO - CEPEA'!C156,"")</f>
        <v/>
      </c>
    </row>
    <row r="5493">
      <c r="A5493" s="4">
        <f>IF('MILHO - CEPEA'!A157&gt;0,'MILHO - CEPEA'!A157,"")</f>
        <v/>
      </c>
      <c r="B5493" s="34">
        <f>IF('MILHO - CEPEA'!C157&gt;0,'MILHO - CEPEA'!C157,"")</f>
        <v/>
      </c>
    </row>
    <row r="5494">
      <c r="A5494" s="4">
        <f>IF('MILHO - CEPEA'!A158&gt;0,'MILHO - CEPEA'!A158,"")</f>
        <v/>
      </c>
      <c r="B5494" s="34">
        <f>IF('MILHO - CEPEA'!C158&gt;0,'MILHO - CEPEA'!C158,"")</f>
        <v/>
      </c>
    </row>
    <row r="5495">
      <c r="A5495" s="4">
        <f>IF('MILHO - CEPEA'!A159&gt;0,'MILHO - CEPEA'!A159,"")</f>
        <v/>
      </c>
      <c r="B5495" s="34">
        <f>IF('MILHO - CEPEA'!C159&gt;0,'MILHO - CEPEA'!C159,"")</f>
        <v/>
      </c>
    </row>
    <row r="5496">
      <c r="A5496" s="4">
        <f>IF('MILHO - CEPEA'!A160&gt;0,'MILHO - CEPEA'!A160,"")</f>
        <v/>
      </c>
      <c r="B5496" s="34">
        <f>IF('MILHO - CEPEA'!C160&gt;0,'MILHO - CEPEA'!C160,"")</f>
        <v/>
      </c>
    </row>
    <row r="5497">
      <c r="A5497" s="4">
        <f>IF('MILHO - CEPEA'!A161&gt;0,'MILHO - CEPEA'!A161,"")</f>
        <v/>
      </c>
      <c r="B5497" s="34">
        <f>IF('MILHO - CEPEA'!C161&gt;0,'MILHO - CEPEA'!C161,"")</f>
        <v/>
      </c>
    </row>
    <row r="5498">
      <c r="A5498" s="4">
        <f>IF('MILHO - CEPEA'!A162&gt;0,'MILHO - CEPEA'!A162,"")</f>
        <v/>
      </c>
      <c r="B5498" s="34">
        <f>IF('MILHO - CEPEA'!C162&gt;0,'MILHO - CEPEA'!C162,"")</f>
        <v/>
      </c>
    </row>
    <row r="5499">
      <c r="A5499" s="4">
        <f>IF('MILHO - CEPEA'!A163&gt;0,'MILHO - CEPEA'!A163,"")</f>
        <v/>
      </c>
      <c r="B5499" s="34">
        <f>IF('MILHO - CEPEA'!C163&gt;0,'MILHO - CEPEA'!C163,"")</f>
        <v/>
      </c>
    </row>
    <row r="5500">
      <c r="A5500" s="4">
        <f>IF('MILHO - CEPEA'!A164&gt;0,'MILHO - CEPEA'!A164,"")</f>
        <v/>
      </c>
      <c r="B5500" s="34">
        <f>IF('MILHO - CEPEA'!C164&gt;0,'MILHO - CEPEA'!C164,"")</f>
        <v/>
      </c>
    </row>
    <row r="5501">
      <c r="A5501" s="4">
        <f>IF('MILHO - CEPEA'!A165&gt;0,'MILHO - CEPEA'!A165,"")</f>
        <v/>
      </c>
      <c r="B5501" s="34">
        <f>IF('MILHO - CEPEA'!C165&gt;0,'MILHO - CEPEA'!C165,"")</f>
        <v/>
      </c>
    </row>
    <row r="5502">
      <c r="A5502" s="4">
        <f>IF('MILHO - CEPEA'!A166&gt;0,'MILHO - CEPEA'!A166,"")</f>
        <v/>
      </c>
      <c r="B5502" s="34">
        <f>IF('MILHO - CEPEA'!C166&gt;0,'MILHO - CEPEA'!C166,"")</f>
        <v/>
      </c>
    </row>
    <row r="5503">
      <c r="A5503" s="4">
        <f>IF('MILHO - CEPEA'!A167&gt;0,'MILHO - CEPEA'!A167,"")</f>
        <v/>
      </c>
      <c r="B5503" s="34">
        <f>IF('MILHO - CEPEA'!C167&gt;0,'MILHO - CEPEA'!C167,"")</f>
        <v/>
      </c>
    </row>
    <row r="5504">
      <c r="A5504" s="4">
        <f>IF('MILHO - CEPEA'!A168&gt;0,'MILHO - CEPEA'!A168,"")</f>
        <v/>
      </c>
      <c r="B5504" s="34">
        <f>IF('MILHO - CEPEA'!C168&gt;0,'MILHO - CEPEA'!C168,"")</f>
        <v/>
      </c>
    </row>
    <row r="5505">
      <c r="A5505" s="4">
        <f>IF('MILHO - CEPEA'!A169&gt;0,'MILHO - CEPEA'!A169,"")</f>
        <v/>
      </c>
      <c r="B5505" s="34">
        <f>IF('MILHO - CEPEA'!C169&gt;0,'MILHO - CEPEA'!C169,"")</f>
        <v/>
      </c>
    </row>
    <row r="5506">
      <c r="A5506" s="4">
        <f>IF('MILHO - CEPEA'!A170&gt;0,'MILHO - CEPEA'!A170,"")</f>
        <v/>
      </c>
      <c r="B5506" s="34">
        <f>IF('MILHO - CEPEA'!C170&gt;0,'MILHO - CEPEA'!C170,"")</f>
        <v/>
      </c>
    </row>
    <row r="5507">
      <c r="A5507" s="4">
        <f>IF('MILHO - CEPEA'!A171&gt;0,'MILHO - CEPEA'!A171,"")</f>
        <v/>
      </c>
      <c r="B5507" s="34">
        <f>IF('MILHO - CEPEA'!C171&gt;0,'MILHO - CEPEA'!C171,"")</f>
        <v/>
      </c>
    </row>
    <row r="5508">
      <c r="A5508" s="4">
        <f>IF('MILHO - CEPEA'!A172&gt;0,'MILHO - CEPEA'!A172,"")</f>
        <v/>
      </c>
      <c r="B5508" s="34">
        <f>IF('MILHO - CEPEA'!C172&gt;0,'MILHO - CEPEA'!C172,"")</f>
        <v/>
      </c>
    </row>
    <row r="5509">
      <c r="A5509" s="4">
        <f>IF('MILHO - CEPEA'!A173&gt;0,'MILHO - CEPEA'!A173,"")</f>
        <v/>
      </c>
      <c r="B5509" s="34">
        <f>IF('MILHO - CEPEA'!C173&gt;0,'MILHO - CEPEA'!C173,"")</f>
        <v/>
      </c>
    </row>
    <row r="5510">
      <c r="A5510" s="4">
        <f>IF('MILHO - CEPEA'!A174&gt;0,'MILHO - CEPEA'!A174,"")</f>
        <v/>
      </c>
      <c r="B5510" s="34">
        <f>IF('MILHO - CEPEA'!C174&gt;0,'MILHO - CEPEA'!C174,"")</f>
        <v/>
      </c>
    </row>
    <row r="5511">
      <c r="A5511" s="4">
        <f>IF('MILHO - CEPEA'!A175&gt;0,'MILHO - CEPEA'!A175,"")</f>
        <v/>
      </c>
      <c r="B5511" s="34">
        <f>IF('MILHO - CEPEA'!C175&gt;0,'MILHO - CEPEA'!C175,"")</f>
        <v/>
      </c>
    </row>
    <row r="5512">
      <c r="A5512" s="4">
        <f>IF('MILHO - CEPEA'!A176&gt;0,'MILHO - CEPEA'!A176,"")</f>
        <v/>
      </c>
      <c r="B5512" s="34">
        <f>IF('MILHO - CEPEA'!C176&gt;0,'MILHO - CEPEA'!C176,"")</f>
        <v/>
      </c>
    </row>
    <row r="5513">
      <c r="A5513" s="4">
        <f>IF('MILHO - CEPEA'!A177&gt;0,'MILHO - CEPEA'!A177,"")</f>
        <v/>
      </c>
      <c r="B5513" s="34">
        <f>IF('MILHO - CEPEA'!C177&gt;0,'MILHO - CEPEA'!C177,"")</f>
        <v/>
      </c>
    </row>
    <row r="5514">
      <c r="A5514" s="4">
        <f>IF('MILHO - CEPEA'!A178&gt;0,'MILHO - CEPEA'!A178,"")</f>
        <v/>
      </c>
      <c r="B5514" s="34">
        <f>IF('MILHO - CEPEA'!C178&gt;0,'MILHO - CEPEA'!C178,"")</f>
        <v/>
      </c>
    </row>
    <row r="5515">
      <c r="A5515" s="4">
        <f>IF('MILHO - CEPEA'!A179&gt;0,'MILHO - CEPEA'!A179,"")</f>
        <v/>
      </c>
      <c r="B5515" s="34">
        <f>IF('MILHO - CEPEA'!C179&gt;0,'MILHO - CEPEA'!C179,"")</f>
        <v/>
      </c>
    </row>
    <row r="5516">
      <c r="A5516" s="4">
        <f>IF('MILHO - CEPEA'!A180&gt;0,'MILHO - CEPEA'!A180,"")</f>
        <v/>
      </c>
      <c r="B5516" s="34">
        <f>IF('MILHO - CEPEA'!C180&gt;0,'MILHO - CEPEA'!C180,"")</f>
        <v/>
      </c>
    </row>
    <row r="5517">
      <c r="A5517" s="4">
        <f>IF('MILHO - CEPEA'!A181&gt;0,'MILHO - CEPEA'!A181,"")</f>
        <v/>
      </c>
      <c r="B5517" s="34">
        <f>IF('MILHO - CEPEA'!C181&gt;0,'MILHO - CEPEA'!C181,"")</f>
        <v/>
      </c>
    </row>
    <row r="5518">
      <c r="A5518" s="4">
        <f>IF('MILHO - CEPEA'!A182&gt;0,'MILHO - CEPEA'!A182,"")</f>
        <v/>
      </c>
      <c r="B5518" s="34">
        <f>IF('MILHO - CEPEA'!C182&gt;0,'MILHO - CEPEA'!C182,"")</f>
        <v/>
      </c>
    </row>
    <row r="5519">
      <c r="A5519" s="4">
        <f>IF('MILHO - CEPEA'!A183&gt;0,'MILHO - CEPEA'!A183,"")</f>
        <v/>
      </c>
      <c r="B5519" s="34">
        <f>IF('MILHO - CEPEA'!C183&gt;0,'MILHO - CEPEA'!C183,"")</f>
        <v/>
      </c>
    </row>
    <row r="5520">
      <c r="A5520" s="4">
        <f>IF('MILHO - CEPEA'!A184&gt;0,'MILHO - CEPEA'!A184,"")</f>
        <v/>
      </c>
      <c r="B5520" s="34">
        <f>IF('MILHO - CEPEA'!C184&gt;0,'MILHO - CEPEA'!C184,"")</f>
        <v/>
      </c>
    </row>
    <row r="5521">
      <c r="A5521" s="4">
        <f>IF('MILHO - CEPEA'!A185&gt;0,'MILHO - CEPEA'!A185,"")</f>
        <v/>
      </c>
      <c r="B5521" s="34">
        <f>IF('MILHO - CEPEA'!C185&gt;0,'MILHO - CEPEA'!C185,"")</f>
        <v/>
      </c>
    </row>
    <row r="5522">
      <c r="A5522" s="4">
        <f>IF('MILHO - CEPEA'!A186&gt;0,'MILHO - CEPEA'!A186,"")</f>
        <v/>
      </c>
      <c r="B5522" s="34">
        <f>IF('MILHO - CEPEA'!C186&gt;0,'MILHO - CEPEA'!C186,"")</f>
        <v/>
      </c>
    </row>
    <row r="5523">
      <c r="A5523" s="4">
        <f>IF('MILHO - CEPEA'!A187&gt;0,'MILHO - CEPEA'!A187,"")</f>
        <v/>
      </c>
      <c r="B5523" s="34">
        <f>IF('MILHO - CEPEA'!C187&gt;0,'MILHO - CEPEA'!C187,"")</f>
        <v/>
      </c>
    </row>
    <row r="5524">
      <c r="A5524" s="4">
        <f>IF('MILHO - CEPEA'!A188&gt;0,'MILHO - CEPEA'!A188,"")</f>
        <v/>
      </c>
      <c r="B5524" s="34">
        <f>IF('MILHO - CEPEA'!C188&gt;0,'MILHO - CEPEA'!C188,"")</f>
        <v/>
      </c>
    </row>
    <row r="5525">
      <c r="A5525" s="4">
        <f>IF('MILHO - CEPEA'!A189&gt;0,'MILHO - CEPEA'!A189,"")</f>
        <v/>
      </c>
      <c r="B5525" s="34">
        <f>IF('MILHO - CEPEA'!C189&gt;0,'MILHO - CEPEA'!C189,"")</f>
        <v/>
      </c>
    </row>
    <row r="5526">
      <c r="A5526" s="4">
        <f>IF('MILHO - CEPEA'!A190&gt;0,'MILHO - CEPEA'!A190,"")</f>
        <v/>
      </c>
      <c r="B5526" s="34">
        <f>IF('MILHO - CEPEA'!C190&gt;0,'MILHO - CEPEA'!C190,"")</f>
        <v/>
      </c>
    </row>
    <row r="5527">
      <c r="A5527" s="4">
        <f>IF('MILHO - CEPEA'!A191&gt;0,'MILHO - CEPEA'!A191,"")</f>
        <v/>
      </c>
      <c r="B5527" s="34">
        <f>IF('MILHO - CEPEA'!C191&gt;0,'MILHO - CEPEA'!C191,"")</f>
        <v/>
      </c>
    </row>
    <row r="5528">
      <c r="A5528" s="4">
        <f>IF('MILHO - CEPEA'!A192&gt;0,'MILHO - CEPEA'!A192,"")</f>
        <v/>
      </c>
      <c r="B5528" s="34">
        <f>IF('MILHO - CEPEA'!C192&gt;0,'MILHO - CEPEA'!C192,"")</f>
        <v/>
      </c>
    </row>
    <row r="5529">
      <c r="A5529" s="4">
        <f>IF('MILHO - CEPEA'!A193&gt;0,'MILHO - CEPEA'!A193,"")</f>
        <v/>
      </c>
      <c r="B5529" s="34">
        <f>IF('MILHO - CEPEA'!C193&gt;0,'MILHO - CEPEA'!C193,"")</f>
        <v/>
      </c>
    </row>
    <row r="5530">
      <c r="A5530" s="4">
        <f>IF('MILHO - CEPEA'!A194&gt;0,'MILHO - CEPEA'!A194,"")</f>
        <v/>
      </c>
      <c r="B5530" s="34">
        <f>IF('MILHO - CEPEA'!C194&gt;0,'MILHO - CEPEA'!C194,"")</f>
        <v/>
      </c>
    </row>
    <row r="5531">
      <c r="A5531" s="4">
        <f>IF('MILHO - CEPEA'!A195&gt;0,'MILHO - CEPEA'!A195,"")</f>
        <v/>
      </c>
      <c r="B5531" s="34">
        <f>IF('MILHO - CEPEA'!C195&gt;0,'MILHO - CEPEA'!C195,"")</f>
        <v/>
      </c>
    </row>
    <row r="5532">
      <c r="A5532" s="4">
        <f>IF('MILHO - CEPEA'!A196&gt;0,'MILHO - CEPEA'!A196,"")</f>
        <v/>
      </c>
      <c r="B5532" s="34">
        <f>IF('MILHO - CEPEA'!C196&gt;0,'MILHO - CEPEA'!C196,"")</f>
        <v/>
      </c>
    </row>
    <row r="5533">
      <c r="A5533" s="4">
        <f>IF('MILHO - CEPEA'!A197&gt;0,'MILHO - CEPEA'!A197,"")</f>
        <v/>
      </c>
      <c r="B5533" s="34">
        <f>IF('MILHO - CEPEA'!C197&gt;0,'MILHO - CEPEA'!C197,"")</f>
        <v/>
      </c>
    </row>
    <row r="5534">
      <c r="A5534" s="4">
        <f>IF('MILHO - CEPEA'!A198&gt;0,'MILHO - CEPEA'!A198,"")</f>
        <v/>
      </c>
      <c r="B5534" s="34">
        <f>IF('MILHO - CEPEA'!C198&gt;0,'MILHO - CEPEA'!C198,"")</f>
        <v/>
      </c>
    </row>
    <row r="5535">
      <c r="A5535" s="4">
        <f>IF('MILHO - CEPEA'!A199&gt;0,'MILHO - CEPEA'!A199,"")</f>
        <v/>
      </c>
      <c r="B5535" s="34">
        <f>IF('MILHO - CEPEA'!C199&gt;0,'MILHO - CEPEA'!C199,"")</f>
        <v/>
      </c>
    </row>
    <row r="5536">
      <c r="A5536" s="4">
        <f>IF('MILHO - CEPEA'!A200&gt;0,'MILHO - CEPEA'!A200,"")</f>
        <v/>
      </c>
      <c r="B5536" s="34">
        <f>IF('MILHO - CEPEA'!C200&gt;0,'MILHO - CEPEA'!C200,"")</f>
        <v/>
      </c>
    </row>
    <row r="5537">
      <c r="A5537" s="4">
        <f>IF('MILHO - CEPEA'!A201&gt;0,'MILHO - CEPEA'!A201,"")</f>
        <v/>
      </c>
      <c r="B5537" s="34">
        <f>IF('MILHO - CEPEA'!C201&gt;0,'MILHO - CEPEA'!C201,"")</f>
        <v/>
      </c>
    </row>
    <row r="5538">
      <c r="A5538" s="4">
        <f>IF('MILHO - CEPEA'!A202&gt;0,'MILHO - CEPEA'!A202,"")</f>
        <v/>
      </c>
      <c r="B5538" s="34">
        <f>IF('MILHO - CEPEA'!C202&gt;0,'MILHO - CEPEA'!C202,"")</f>
        <v/>
      </c>
    </row>
    <row r="5539">
      <c r="A5539" s="4">
        <f>IF('MILHO - CEPEA'!A203&gt;0,'MILHO - CEPEA'!A203,"")</f>
        <v/>
      </c>
      <c r="B5539" s="34">
        <f>IF('MILHO - CEPEA'!C203&gt;0,'MILHO - CEPEA'!C203,"")</f>
        <v/>
      </c>
    </row>
    <row r="5540">
      <c r="A5540" s="4">
        <f>IF('MILHO - CEPEA'!A204&gt;0,'MILHO - CEPEA'!A204,"")</f>
        <v/>
      </c>
      <c r="B5540" s="34">
        <f>IF('MILHO - CEPEA'!C204&gt;0,'MILHO - CEPEA'!C204,"")</f>
        <v/>
      </c>
    </row>
    <row r="5541">
      <c r="A5541" s="4">
        <f>IF('MILHO - CEPEA'!A205&gt;0,'MILHO - CEPEA'!A205,"")</f>
        <v/>
      </c>
      <c r="B5541" s="34">
        <f>IF('MILHO - CEPEA'!C205&gt;0,'MILHO - CEPEA'!C205,"")</f>
        <v/>
      </c>
    </row>
    <row r="5542">
      <c r="A5542" s="4">
        <f>IF('MILHO - CEPEA'!A206&gt;0,'MILHO - CEPEA'!A206,"")</f>
        <v/>
      </c>
      <c r="B5542" s="34">
        <f>IF('MILHO - CEPEA'!C206&gt;0,'MILHO - CEPEA'!C206,"")</f>
        <v/>
      </c>
    </row>
    <row r="5543">
      <c r="A5543" s="4">
        <f>IF('MILHO - CEPEA'!A207&gt;0,'MILHO - CEPEA'!A207,"")</f>
        <v/>
      </c>
      <c r="B5543" s="34">
        <f>IF('MILHO - CEPEA'!C207&gt;0,'MILHO - CEPEA'!C207,"")</f>
        <v/>
      </c>
    </row>
    <row r="5544">
      <c r="A5544" s="4">
        <f>IF('MILHO - CEPEA'!A208&gt;0,'MILHO - CEPEA'!A208,"")</f>
        <v/>
      </c>
      <c r="B5544" s="34">
        <f>IF('MILHO - CEPEA'!C208&gt;0,'MILHO - CEPEA'!C208,"")</f>
        <v/>
      </c>
    </row>
    <row r="5545">
      <c r="A5545" s="4">
        <f>IF('MILHO - CEPEA'!A209&gt;0,'MILHO - CEPEA'!A209,"")</f>
        <v/>
      </c>
      <c r="B5545" s="34">
        <f>IF('MILHO - CEPEA'!C209&gt;0,'MILHO - CEPEA'!C209,"")</f>
        <v/>
      </c>
    </row>
    <row r="5546">
      <c r="A5546" s="4">
        <f>IF('MILHO - CEPEA'!A210&gt;0,'MILHO - CEPEA'!A210,"")</f>
        <v/>
      </c>
      <c r="B5546" s="34">
        <f>IF('MILHO - CEPEA'!C210&gt;0,'MILHO - CEPEA'!C210,"")</f>
        <v/>
      </c>
    </row>
    <row r="5547">
      <c r="A5547" s="4">
        <f>IF('MILHO - CEPEA'!A211&gt;0,'MILHO - CEPEA'!A211,"")</f>
        <v/>
      </c>
      <c r="B5547" s="34">
        <f>IF('MILHO - CEPEA'!C211&gt;0,'MILHO - CEPEA'!C211,"")</f>
        <v/>
      </c>
    </row>
    <row r="5548">
      <c r="A5548" s="4">
        <f>IF('MILHO - CEPEA'!A212&gt;0,'MILHO - CEPEA'!A212,"")</f>
        <v/>
      </c>
      <c r="B5548" s="34">
        <f>IF('MILHO - CEPEA'!C212&gt;0,'MILHO - CEPEA'!C212,"")</f>
        <v/>
      </c>
    </row>
    <row r="5549">
      <c r="A5549" s="4">
        <f>IF('MILHO - CEPEA'!A213&gt;0,'MILHO - CEPEA'!A213,"")</f>
        <v/>
      </c>
      <c r="B5549" s="34">
        <f>IF('MILHO - CEPEA'!C213&gt;0,'MILHO - CEPEA'!C213,"")</f>
        <v/>
      </c>
    </row>
    <row r="5550">
      <c r="A5550" s="4">
        <f>IF('MILHO - CEPEA'!A214&gt;0,'MILHO - CEPEA'!A214,"")</f>
        <v/>
      </c>
      <c r="B5550" s="34">
        <f>IF('MILHO - CEPEA'!C214&gt;0,'MILHO - CEPEA'!C214,"")</f>
        <v/>
      </c>
    </row>
    <row r="5551">
      <c r="A5551" s="4">
        <f>IF('MILHO - CEPEA'!A215&gt;0,'MILHO - CEPEA'!A215,"")</f>
        <v/>
      </c>
      <c r="B5551" s="34">
        <f>IF('MILHO - CEPEA'!C215&gt;0,'MILHO - CEPEA'!C215,"")</f>
        <v/>
      </c>
    </row>
    <row r="5552">
      <c r="A5552" s="4">
        <f>IF('MILHO - CEPEA'!A216&gt;0,'MILHO - CEPEA'!A216,"")</f>
        <v/>
      </c>
      <c r="B5552" s="34">
        <f>IF('MILHO - CEPEA'!C216&gt;0,'MILHO - CEPEA'!C216,"")</f>
        <v/>
      </c>
    </row>
    <row r="5553">
      <c r="A5553" s="4">
        <f>IF('MILHO - CEPEA'!A217&gt;0,'MILHO - CEPEA'!A217,"")</f>
        <v/>
      </c>
      <c r="B5553" s="34">
        <f>IF('MILHO - CEPEA'!C217&gt;0,'MILHO - CEPEA'!C217,"")</f>
        <v/>
      </c>
    </row>
    <row r="5554">
      <c r="A5554" s="4">
        <f>IF('MILHO - CEPEA'!A218&gt;0,'MILHO - CEPEA'!A218,"")</f>
        <v/>
      </c>
      <c r="B5554" s="34">
        <f>IF('MILHO - CEPEA'!C218&gt;0,'MILHO - CEPEA'!C218,"")</f>
        <v/>
      </c>
    </row>
    <row r="5555">
      <c r="A5555" s="4">
        <f>IF('MILHO - CEPEA'!A219&gt;0,'MILHO - CEPEA'!A219,"")</f>
        <v/>
      </c>
      <c r="B5555" s="34">
        <f>IF('MILHO - CEPEA'!C219&gt;0,'MILHO - CEPEA'!C219,"")</f>
        <v/>
      </c>
    </row>
    <row r="5556">
      <c r="A5556" s="4">
        <f>IF('MILHO - CEPEA'!A220&gt;0,'MILHO - CEPEA'!A220,"")</f>
        <v/>
      </c>
      <c r="B5556" s="34">
        <f>IF('MILHO - CEPEA'!C220&gt;0,'MILHO - CEPEA'!C220,"")</f>
        <v/>
      </c>
    </row>
    <row r="5557">
      <c r="A5557" s="4">
        <f>IF('MILHO - CEPEA'!A221&gt;0,'MILHO - CEPEA'!A221,"")</f>
        <v/>
      </c>
      <c r="B5557" s="34">
        <f>IF('MILHO - CEPEA'!C221&gt;0,'MILHO - CEPEA'!C221,"")</f>
        <v/>
      </c>
    </row>
    <row r="5558">
      <c r="A5558" s="4">
        <f>IF('MILHO - CEPEA'!A222&gt;0,'MILHO - CEPEA'!A222,"")</f>
        <v/>
      </c>
      <c r="B5558" s="34">
        <f>IF('MILHO - CEPEA'!C222&gt;0,'MILHO - CEPEA'!C222,"")</f>
        <v/>
      </c>
    </row>
    <row r="5559">
      <c r="A5559" s="4">
        <f>IF('MILHO - CEPEA'!A223&gt;0,'MILHO - CEPEA'!A223,"")</f>
        <v/>
      </c>
      <c r="B5559" s="34">
        <f>IF('MILHO - CEPEA'!C223&gt;0,'MILHO - CEPEA'!C223,"")</f>
        <v/>
      </c>
    </row>
    <row r="5560">
      <c r="A5560" s="4">
        <f>IF('MILHO - CEPEA'!A224&gt;0,'MILHO - CEPEA'!A224,"")</f>
        <v/>
      </c>
      <c r="B5560" s="34">
        <f>IF('MILHO - CEPEA'!C224&gt;0,'MILHO - CEPEA'!C224,"")</f>
        <v/>
      </c>
    </row>
    <row r="5561">
      <c r="A5561" s="4">
        <f>IF('MILHO - CEPEA'!A225&gt;0,'MILHO - CEPEA'!A225,"")</f>
        <v/>
      </c>
      <c r="B5561" s="34">
        <f>IF('MILHO - CEPEA'!C225&gt;0,'MILHO - CEPEA'!C225,"")</f>
        <v/>
      </c>
    </row>
    <row r="5562">
      <c r="A5562" s="4">
        <f>IF('MILHO - CEPEA'!A226&gt;0,'MILHO - CEPEA'!A226,"")</f>
        <v/>
      </c>
      <c r="B5562" s="34">
        <f>IF('MILHO - CEPEA'!C226&gt;0,'MILHO - CEPEA'!C226,"")</f>
        <v/>
      </c>
    </row>
    <row r="5563">
      <c r="A5563" s="4">
        <f>IF('MILHO - CEPEA'!A227&gt;0,'MILHO - CEPEA'!A227,"")</f>
        <v/>
      </c>
      <c r="B5563" s="34">
        <f>IF('MILHO - CEPEA'!C227&gt;0,'MILHO - CEPEA'!C227,"")</f>
        <v/>
      </c>
    </row>
    <row r="5564">
      <c r="A5564" s="4">
        <f>IF('MILHO - CEPEA'!A228&gt;0,'MILHO - CEPEA'!A228,"")</f>
        <v/>
      </c>
      <c r="B5564" s="34">
        <f>IF('MILHO - CEPEA'!C228&gt;0,'MILHO - CEPEA'!C228,"")</f>
        <v/>
      </c>
    </row>
    <row r="5565">
      <c r="A5565" s="4">
        <f>IF('MILHO - CEPEA'!A229&gt;0,'MILHO - CEPEA'!A229,"")</f>
        <v/>
      </c>
      <c r="B5565" s="34">
        <f>IF('MILHO - CEPEA'!C229&gt;0,'MILHO - CEPEA'!C229,"")</f>
        <v/>
      </c>
    </row>
    <row r="5566">
      <c r="A5566" s="4">
        <f>IF('MILHO - CEPEA'!A230&gt;0,'MILHO - CEPEA'!A230,"")</f>
        <v/>
      </c>
      <c r="B5566" s="34">
        <f>IF('MILHO - CEPEA'!C230&gt;0,'MILHO - CEPEA'!C230,"")</f>
        <v/>
      </c>
    </row>
    <row r="5567">
      <c r="A5567" s="4">
        <f>IF('MILHO - CEPEA'!A231&gt;0,'MILHO - CEPEA'!A231,"")</f>
        <v/>
      </c>
      <c r="B5567" s="34">
        <f>IF('MILHO - CEPEA'!C231&gt;0,'MILHO - CEPEA'!C231,"")</f>
        <v/>
      </c>
    </row>
    <row r="5568">
      <c r="A5568" s="4">
        <f>IF('MILHO - CEPEA'!A232&gt;0,'MILHO - CEPEA'!A232,"")</f>
        <v/>
      </c>
      <c r="B5568" s="34">
        <f>IF('MILHO - CEPEA'!C232&gt;0,'MILHO - CEPEA'!C232,"")</f>
        <v/>
      </c>
    </row>
    <row r="5569">
      <c r="A5569" s="4">
        <f>IF('MILHO - CEPEA'!A233&gt;0,'MILHO - CEPEA'!A233,"")</f>
        <v/>
      </c>
      <c r="B5569" s="34">
        <f>IF('MILHO - CEPEA'!C233&gt;0,'MILHO - CEPEA'!C233,"")</f>
        <v/>
      </c>
    </row>
    <row r="5570">
      <c r="A5570" s="4">
        <f>IF('MILHO - CEPEA'!A234&gt;0,'MILHO - CEPEA'!A234,"")</f>
        <v/>
      </c>
      <c r="B5570" s="34">
        <f>IF('MILHO - CEPEA'!C234&gt;0,'MILHO - CEPEA'!C234,"")</f>
        <v/>
      </c>
    </row>
    <row r="5571">
      <c r="A5571" s="4">
        <f>IF('MILHO - CEPEA'!A235&gt;0,'MILHO - CEPEA'!A235,"")</f>
        <v/>
      </c>
      <c r="B5571" s="34">
        <f>IF('MILHO - CEPEA'!C235&gt;0,'MILHO - CEPEA'!C235,"")</f>
        <v/>
      </c>
    </row>
  </sheetData>
  <pageMargins left="0.511811024" right="0.511811024" top="0.787401575" bottom="0.787401575" header="0.31496062" footer="0.31496062"/>
</worksheet>
</file>

<file path=xl/worksheets/sheet6.xml><?xml version="1.0" encoding="utf-8"?>
<worksheet xmlns="http://schemas.openxmlformats.org/spreadsheetml/2006/main">
  <sheetPr codeName="Planilha6">
    <outlinePr summaryBelow="1" summaryRight="1"/>
    <pageSetUpPr/>
  </sheetPr>
  <dimension ref="A1:C1250"/>
  <sheetViews>
    <sheetView topLeftCell="A368" zoomScale="60" zoomScaleNormal="60" workbookViewId="0">
      <selection activeCell="B300" sqref="B300:B322"/>
    </sheetView>
  </sheetViews>
  <sheetFormatPr baseColWidth="8" defaultRowHeight="15" outlineLevelCol="0"/>
  <cols>
    <col width="12.5703125" bestFit="1" customWidth="1" style="11" min="1" max="1"/>
    <col width="9.140625" customWidth="1" style="1" min="2" max="38"/>
    <col width="9.140625" customWidth="1" style="1" min="39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Preço/@</t>
        </is>
      </c>
    </row>
    <row r="2">
      <c r="A2" s="9" t="n">
        <v>45659</v>
      </c>
      <c r="B2" s="1" t="inlineStr">
        <is>
          <t>BEZERRO</t>
        </is>
      </c>
      <c r="C2" s="1" t="n">
        <v>2643.25</v>
      </c>
    </row>
    <row r="3">
      <c r="A3" s="9" t="n">
        <v>45660</v>
      </c>
      <c r="B3" s="1" t="inlineStr">
        <is>
          <t>BEZERRO</t>
        </is>
      </c>
      <c r="C3" s="1" t="n">
        <v>2646.22</v>
      </c>
    </row>
    <row r="4">
      <c r="A4" s="9" t="n">
        <v>45663</v>
      </c>
      <c r="B4" s="1" t="inlineStr">
        <is>
          <t>BEZERRO</t>
        </is>
      </c>
      <c r="C4" s="1" t="n">
        <v>2635.72</v>
      </c>
    </row>
    <row r="5">
      <c r="A5" s="9" t="n">
        <v>45664</v>
      </c>
      <c r="B5" s="1" t="inlineStr">
        <is>
          <t>BEZERRO</t>
        </is>
      </c>
      <c r="C5" s="1" t="n">
        <v>2631.11</v>
      </c>
    </row>
    <row r="6">
      <c r="A6" s="9" t="n">
        <v>45665</v>
      </c>
      <c r="B6" s="1" t="inlineStr">
        <is>
          <t>BEZERRO</t>
        </is>
      </c>
      <c r="C6" s="1" t="n">
        <v>2631.11</v>
      </c>
    </row>
    <row r="7">
      <c r="A7" s="9" t="n">
        <v>45666</v>
      </c>
      <c r="B7" s="1" t="inlineStr">
        <is>
          <t>BEZERRO</t>
        </is>
      </c>
      <c r="C7" s="1" t="n">
        <v>2634.43</v>
      </c>
    </row>
    <row r="8">
      <c r="A8" s="9" t="n">
        <v>45667</v>
      </c>
      <c r="B8" s="1" t="inlineStr">
        <is>
          <t>BEZERRO</t>
        </is>
      </c>
      <c r="C8" s="1" t="n">
        <v>2634.43</v>
      </c>
    </row>
    <row r="9">
      <c r="A9" s="9" t="n">
        <v>45670</v>
      </c>
      <c r="B9" s="1" t="inlineStr">
        <is>
          <t>BEZERRO</t>
        </is>
      </c>
      <c r="C9" s="1" t="n">
        <v>2614.44</v>
      </c>
    </row>
    <row r="10">
      <c r="A10" s="9" t="n">
        <v>45671</v>
      </c>
      <c r="B10" s="1" t="inlineStr">
        <is>
          <t>BEZERRO</t>
        </is>
      </c>
      <c r="C10" s="1" t="n">
        <v>2623.27</v>
      </c>
    </row>
    <row r="11">
      <c r="A11" s="9" t="n">
        <v>45672</v>
      </c>
      <c r="B11" s="1" t="inlineStr">
        <is>
          <t>BEZERRO</t>
        </is>
      </c>
      <c r="C11" s="1" t="n">
        <v>2623.71</v>
      </c>
    </row>
    <row r="12">
      <c r="A12" s="9" t="n">
        <v>45673</v>
      </c>
      <c r="B12" s="1" t="inlineStr">
        <is>
          <t>BEZERRO</t>
        </is>
      </c>
      <c r="C12" s="1" t="n">
        <v>2626.01</v>
      </c>
    </row>
    <row r="13">
      <c r="A13" s="9" t="n">
        <v>45674</v>
      </c>
      <c r="B13" s="1" t="inlineStr">
        <is>
          <t>BEZERRO</t>
        </is>
      </c>
      <c r="C13" s="1" t="n">
        <v>2620.5</v>
      </c>
    </row>
    <row r="14">
      <c r="A14" s="9" t="n">
        <v>45677</v>
      </c>
      <c r="B14" s="1" t="inlineStr">
        <is>
          <t>BEZERRO</t>
        </is>
      </c>
      <c r="C14" s="1" t="n">
        <v>2627.9</v>
      </c>
    </row>
    <row r="15">
      <c r="A15" s="9" t="n">
        <v>45678</v>
      </c>
      <c r="B15" s="1" t="inlineStr">
        <is>
          <t>BEZERRO</t>
        </is>
      </c>
      <c r="C15" s="1" t="n">
        <v>2637.33</v>
      </c>
    </row>
    <row r="16">
      <c r="A16" s="9" t="n">
        <v>45679</v>
      </c>
      <c r="B16" s="1" t="inlineStr">
        <is>
          <t>BEZERRO</t>
        </is>
      </c>
      <c r="C16" s="1" t="n">
        <v>2635.23</v>
      </c>
    </row>
    <row r="17">
      <c r="A17" s="9" t="n">
        <v>45680</v>
      </c>
      <c r="B17" s="1" t="inlineStr">
        <is>
          <t>BEZERRO</t>
        </is>
      </c>
      <c r="C17" s="1" t="n">
        <v>2642.64</v>
      </c>
    </row>
    <row r="18">
      <c r="A18" s="9" t="n">
        <v>45681</v>
      </c>
      <c r="B18" s="1" t="inlineStr">
        <is>
          <t>BEZERRO</t>
        </is>
      </c>
      <c r="C18" s="1" t="n">
        <v>2640.22</v>
      </c>
    </row>
    <row r="19">
      <c r="A19" s="9" t="n">
        <v>45684</v>
      </c>
      <c r="B19" s="1" t="inlineStr">
        <is>
          <t>BEZERRO</t>
        </is>
      </c>
      <c r="C19" s="1" t="n">
        <v>2641.5</v>
      </c>
    </row>
    <row r="20">
      <c r="A20" s="9" t="n">
        <v>45685</v>
      </c>
      <c r="B20" s="1" t="inlineStr">
        <is>
          <t>BEZERRO</t>
        </is>
      </c>
      <c r="C20" s="1" t="n">
        <v>2636.45</v>
      </c>
    </row>
    <row r="21">
      <c r="A21" s="9" t="n">
        <v>45686</v>
      </c>
      <c r="B21" s="1" t="inlineStr">
        <is>
          <t>BEZERRO</t>
        </is>
      </c>
      <c r="C21" s="1" t="n">
        <v>2639.34</v>
      </c>
    </row>
    <row r="22">
      <c r="A22" s="9" t="n">
        <v>45687</v>
      </c>
      <c r="B22" s="1" t="inlineStr">
        <is>
          <t>BEZERRO</t>
        </is>
      </c>
      <c r="C22" s="1" t="n">
        <v>2639.2</v>
      </c>
    </row>
    <row r="23">
      <c r="A23" s="9" t="n">
        <v>45688</v>
      </c>
      <c r="B23" s="1" t="inlineStr">
        <is>
          <t>BEZERRO</t>
        </is>
      </c>
      <c r="C23" s="1" t="n">
        <v>2640.57</v>
      </c>
    </row>
    <row r="24">
      <c r="A24" s="9" t="n">
        <v>45691</v>
      </c>
      <c r="B24" s="1" t="inlineStr">
        <is>
          <t>BEZERRO</t>
        </is>
      </c>
      <c r="C24" s="1" t="n">
        <v>2654.41</v>
      </c>
    </row>
    <row r="25">
      <c r="A25" s="9" t="n">
        <v>45692</v>
      </c>
      <c r="B25" s="1" t="inlineStr">
        <is>
          <t>BEZERRO</t>
        </is>
      </c>
      <c r="C25" s="1" t="n">
        <v>2662.62</v>
      </c>
    </row>
    <row r="26">
      <c r="A26" s="9" t="n">
        <v>45693</v>
      </c>
      <c r="B26" s="1" t="inlineStr">
        <is>
          <t>BEZERRO</t>
        </is>
      </c>
      <c r="C26" s="1" t="n">
        <v>2658.58</v>
      </c>
    </row>
    <row r="27">
      <c r="A27" s="9" t="n">
        <v>45694</v>
      </c>
      <c r="B27" s="1" t="inlineStr">
        <is>
          <t>BEZERRO</t>
        </is>
      </c>
      <c r="C27" s="1" t="n">
        <v>2677.15</v>
      </c>
    </row>
    <row r="28">
      <c r="A28" s="9" t="n">
        <v>45695</v>
      </c>
      <c r="B28" s="1" t="inlineStr">
        <is>
          <t>BEZERRO</t>
        </is>
      </c>
      <c r="C28" s="1" t="n">
        <v>2690.13</v>
      </c>
    </row>
    <row r="29">
      <c r="A29" s="9" t="n">
        <v>45698</v>
      </c>
      <c r="B29" s="1" t="inlineStr">
        <is>
          <t>BEZERRO</t>
        </is>
      </c>
      <c r="C29" s="1" t="n">
        <v>2683.56</v>
      </c>
    </row>
    <row r="30">
      <c r="A30" s="9" t="n">
        <v>45699</v>
      </c>
      <c r="B30" s="1" t="inlineStr">
        <is>
          <t>BEZERRO</t>
        </is>
      </c>
      <c r="C30" s="1" t="n">
        <v>2678</v>
      </c>
    </row>
    <row r="31">
      <c r="A31" s="9" t="n">
        <v>45700</v>
      </c>
      <c r="B31" s="1" t="inlineStr">
        <is>
          <t>BEZERRO</t>
        </is>
      </c>
      <c r="C31" s="1" t="n">
        <v>2680.6</v>
      </c>
    </row>
    <row r="32">
      <c r="A32" s="9" t="n">
        <v>45701</v>
      </c>
      <c r="B32" s="1" t="inlineStr">
        <is>
          <t>BEZERRO</t>
        </is>
      </c>
      <c r="C32" s="1" t="n">
        <v>2679.33</v>
      </c>
    </row>
    <row r="33">
      <c r="A33" s="9" t="n">
        <v>45702</v>
      </c>
      <c r="B33" s="1" t="inlineStr">
        <is>
          <t>BEZERRO</t>
        </is>
      </c>
      <c r="C33" s="1" t="n">
        <v>2675.52</v>
      </c>
    </row>
    <row r="34">
      <c r="A34" s="9" t="n">
        <v>45705</v>
      </c>
      <c r="B34" s="1" t="inlineStr">
        <is>
          <t>BEZERRO</t>
        </is>
      </c>
      <c r="C34" s="1" t="n">
        <v>2679.29</v>
      </c>
    </row>
    <row r="35">
      <c r="A35" s="9" t="n">
        <v>45706</v>
      </c>
      <c r="B35" s="1" t="inlineStr">
        <is>
          <t>BEZERRO</t>
        </is>
      </c>
      <c r="C35" s="1" t="n">
        <v>2671.37</v>
      </c>
    </row>
    <row r="36">
      <c r="A36" s="9" t="n">
        <v>45707</v>
      </c>
      <c r="B36" s="1" t="inlineStr">
        <is>
          <t>BEZERRO</t>
        </is>
      </c>
      <c r="C36" s="1" t="n">
        <v>2670.47</v>
      </c>
    </row>
    <row r="37">
      <c r="A37" s="9" t="n">
        <v>45708</v>
      </c>
      <c r="B37" s="1" t="inlineStr">
        <is>
          <t>BEZERRO</t>
        </is>
      </c>
      <c r="C37" s="1" t="n">
        <v>2662.06</v>
      </c>
    </row>
    <row r="38">
      <c r="A38" s="9" t="n">
        <v>45709</v>
      </c>
      <c r="B38" s="1" t="inlineStr">
        <is>
          <t>BEZERRO</t>
        </is>
      </c>
      <c r="C38" s="1" t="n">
        <v>2664.22</v>
      </c>
    </row>
    <row r="39">
      <c r="A39" s="9" t="n">
        <v>45712</v>
      </c>
      <c r="B39" s="1" t="inlineStr">
        <is>
          <t>BEZERRO</t>
        </is>
      </c>
      <c r="C39" s="1" t="n">
        <v>2654.85</v>
      </c>
    </row>
    <row r="40">
      <c r="A40" s="9" t="n">
        <v>45713</v>
      </c>
      <c r="B40" s="1" t="inlineStr">
        <is>
          <t>BEZERRO</t>
        </is>
      </c>
      <c r="C40" s="1" t="n">
        <v>2653.75</v>
      </c>
    </row>
    <row r="41">
      <c r="A41" s="9" t="n">
        <v>45714</v>
      </c>
      <c r="B41" s="1" t="inlineStr">
        <is>
          <t>BEZERRO</t>
        </is>
      </c>
      <c r="C41" s="1" t="n">
        <v>2655.83</v>
      </c>
    </row>
    <row r="42">
      <c r="A42" s="9" t="n">
        <v>45715</v>
      </c>
      <c r="B42" s="1" t="inlineStr">
        <is>
          <t>BEZERRO</t>
        </is>
      </c>
      <c r="C42" s="1" t="n">
        <v>2652.15</v>
      </c>
    </row>
    <row r="43">
      <c r="A43" s="9" t="n">
        <v>45716</v>
      </c>
      <c r="B43" s="1" t="inlineStr">
        <is>
          <t>BEZERRO</t>
        </is>
      </c>
      <c r="C43" s="1" t="n">
        <v>2649.01</v>
      </c>
    </row>
    <row r="44">
      <c r="A44" s="9" t="n">
        <v>45721</v>
      </c>
      <c r="B44" s="1" t="inlineStr">
        <is>
          <t>BEZERRO</t>
        </is>
      </c>
      <c r="C44" s="1" t="n">
        <v>2634.85</v>
      </c>
    </row>
    <row r="45">
      <c r="A45" s="9" t="n">
        <v>45722</v>
      </c>
      <c r="B45" s="1" t="inlineStr">
        <is>
          <t>BEZERRO</t>
        </is>
      </c>
      <c r="C45" s="1" t="n">
        <v>2630.21</v>
      </c>
    </row>
    <row r="46">
      <c r="A46" s="9" t="n">
        <v>45723</v>
      </c>
      <c r="B46" s="1" t="inlineStr">
        <is>
          <t>BEZERRO</t>
        </is>
      </c>
      <c r="C46" s="1" t="n">
        <v>2628.16</v>
      </c>
    </row>
    <row r="47">
      <c r="A47" s="9" t="n">
        <v>45726</v>
      </c>
      <c r="B47" s="1" t="inlineStr">
        <is>
          <t>BEZERRO</t>
        </is>
      </c>
      <c r="C47" s="1" t="n">
        <v>2631.14</v>
      </c>
    </row>
    <row r="48">
      <c r="A48" s="9" t="n">
        <v>45727</v>
      </c>
      <c r="B48" s="1" t="inlineStr">
        <is>
          <t>BEZERRO</t>
        </is>
      </c>
      <c r="C48" s="1" t="n">
        <v>2656.63</v>
      </c>
    </row>
    <row r="49">
      <c r="A49" s="9" t="n">
        <v>45728</v>
      </c>
      <c r="B49" s="1" t="inlineStr">
        <is>
          <t>BEZERRO</t>
        </is>
      </c>
      <c r="C49" s="1" t="n">
        <v>2658.42</v>
      </c>
    </row>
    <row r="50">
      <c r="A50" s="9" t="n">
        <v>45729</v>
      </c>
      <c r="B50" s="1" t="inlineStr">
        <is>
          <t>BEZERRO</t>
        </is>
      </c>
      <c r="C50" s="1" t="n">
        <v>2673.94</v>
      </c>
    </row>
    <row r="51">
      <c r="A51" s="9" t="n">
        <v>45730</v>
      </c>
      <c r="B51" s="1" t="inlineStr">
        <is>
          <t>BEZERRO</t>
        </is>
      </c>
      <c r="C51" s="1" t="n">
        <v>2686.73</v>
      </c>
    </row>
    <row r="52">
      <c r="A52" s="9" t="n">
        <v>45733</v>
      </c>
      <c r="B52" s="1" t="inlineStr">
        <is>
          <t>BEZERRO</t>
        </is>
      </c>
      <c r="C52" s="1" t="n">
        <v>2704.1</v>
      </c>
    </row>
    <row r="53">
      <c r="A53" s="9" t="n">
        <v>45734</v>
      </c>
      <c r="B53" s="1" t="inlineStr">
        <is>
          <t>BEZERRO</t>
        </is>
      </c>
      <c r="C53" s="1" t="n">
        <v>2704.26</v>
      </c>
    </row>
    <row r="54">
      <c r="A54" s="9" t="n">
        <v>45735</v>
      </c>
      <c r="B54" s="1" t="inlineStr">
        <is>
          <t>BEZERRO</t>
        </is>
      </c>
      <c r="C54" s="1" t="n">
        <v>2709</v>
      </c>
    </row>
    <row r="55">
      <c r="A55" s="9" t="n">
        <v>45736</v>
      </c>
      <c r="B55" s="1" t="inlineStr">
        <is>
          <t>BEZERRO</t>
        </is>
      </c>
      <c r="C55" s="1" t="n">
        <v>2706.16</v>
      </c>
    </row>
    <row r="56">
      <c r="A56" s="9" t="n">
        <v>45737</v>
      </c>
      <c r="B56" s="1" t="inlineStr">
        <is>
          <t>BEZERRO</t>
        </is>
      </c>
      <c r="C56" s="1" t="n">
        <v>2714.65</v>
      </c>
    </row>
    <row r="57">
      <c r="A57" s="9" t="n">
        <v>45740</v>
      </c>
      <c r="B57" s="1" t="inlineStr">
        <is>
          <t>BEZERRO</t>
        </is>
      </c>
      <c r="C57" s="1" t="n">
        <v>2712.19</v>
      </c>
    </row>
    <row r="58">
      <c r="A58" s="9" t="n">
        <v>45741</v>
      </c>
      <c r="B58" s="1" t="inlineStr">
        <is>
          <t>BEZERRO</t>
        </is>
      </c>
      <c r="C58" s="1" t="n">
        <v>2705.66</v>
      </c>
    </row>
    <row r="59">
      <c r="A59" s="9" t="n">
        <v>45742</v>
      </c>
      <c r="B59" s="1" t="inlineStr">
        <is>
          <t>BEZERRO</t>
        </is>
      </c>
      <c r="C59" s="1" t="n">
        <v>2705.32</v>
      </c>
    </row>
    <row r="60">
      <c r="A60" s="9" t="n">
        <v>45743</v>
      </c>
      <c r="B60" s="1" t="inlineStr">
        <is>
          <t>BEZERRO</t>
        </is>
      </c>
      <c r="C60" s="1" t="n">
        <v>2701.17</v>
      </c>
    </row>
    <row r="61">
      <c r="A61" s="9" t="n">
        <v>45744</v>
      </c>
      <c r="B61" s="1" t="inlineStr">
        <is>
          <t>BEZERRO</t>
        </is>
      </c>
      <c r="C61" s="1" t="n">
        <v>2708.83</v>
      </c>
    </row>
    <row r="62">
      <c r="A62" s="9" t="n">
        <v>45747</v>
      </c>
      <c r="B62" s="1" t="inlineStr">
        <is>
          <t>BEZERRO</t>
        </is>
      </c>
      <c r="C62" s="1" t="n">
        <v>2705.2</v>
      </c>
    </row>
    <row r="63">
      <c r="A63" s="9" t="n">
        <v>45748</v>
      </c>
      <c r="B63" s="1" t="inlineStr">
        <is>
          <t>BEZERRO</t>
        </is>
      </c>
      <c r="C63" s="1" t="n">
        <v>2737.78</v>
      </c>
    </row>
    <row r="64">
      <c r="A64" s="9" t="n">
        <v>45749</v>
      </c>
      <c r="B64" s="1" t="inlineStr">
        <is>
          <t>BEZERRO</t>
        </is>
      </c>
      <c r="C64" s="1" t="n">
        <v>2745.34</v>
      </c>
    </row>
    <row r="65">
      <c r="A65" s="9" t="n">
        <v>45750</v>
      </c>
      <c r="B65" s="1" t="inlineStr">
        <is>
          <t>BEZERRO</t>
        </is>
      </c>
      <c r="C65" s="1" t="n">
        <v>2761.64</v>
      </c>
    </row>
    <row r="66">
      <c r="A66" s="9" t="n">
        <v>45751</v>
      </c>
      <c r="B66" s="1" t="inlineStr">
        <is>
          <t>BEZERRO</t>
        </is>
      </c>
      <c r="C66" s="1" t="n">
        <v>2765.65</v>
      </c>
    </row>
    <row r="67">
      <c r="A67" s="9" t="n">
        <v>45754</v>
      </c>
      <c r="B67" s="1" t="inlineStr">
        <is>
          <t>BEZERRO</t>
        </is>
      </c>
      <c r="C67" s="1" t="n">
        <v>2767.4</v>
      </c>
    </row>
    <row r="68">
      <c r="A68" s="9" t="n">
        <v>45755</v>
      </c>
      <c r="B68" s="1" t="inlineStr">
        <is>
          <t>BEZERRO</t>
        </is>
      </c>
      <c r="C68" s="1" t="n">
        <v>2785.98</v>
      </c>
    </row>
    <row r="69">
      <c r="A69" s="9" t="n">
        <v>45756</v>
      </c>
      <c r="B69" s="1" t="inlineStr">
        <is>
          <t>BEZERRO</t>
        </is>
      </c>
      <c r="C69" s="1" t="n">
        <v>2795.49</v>
      </c>
    </row>
    <row r="70">
      <c r="A70" s="9" t="n">
        <v>45757</v>
      </c>
      <c r="B70" s="1" t="inlineStr">
        <is>
          <t>BEZERRO</t>
        </is>
      </c>
      <c r="C70" s="1" t="n">
        <v>2808.79</v>
      </c>
    </row>
    <row r="71">
      <c r="A71" s="9" t="n">
        <v>45758</v>
      </c>
      <c r="B71" s="1" t="inlineStr">
        <is>
          <t>BEZERRO</t>
        </is>
      </c>
      <c r="C71" s="1" t="n">
        <v>2801.92</v>
      </c>
    </row>
    <row r="72">
      <c r="A72" s="9" t="n">
        <v>45761</v>
      </c>
      <c r="B72" s="1" t="inlineStr">
        <is>
          <t>BEZERRO</t>
        </is>
      </c>
      <c r="C72" s="1" t="n">
        <v>2800.37</v>
      </c>
    </row>
    <row r="73">
      <c r="A73" s="9" t="n">
        <v>45762</v>
      </c>
      <c r="B73" s="1" t="inlineStr">
        <is>
          <t>BEZERRO</t>
        </is>
      </c>
      <c r="C73" s="1" t="n">
        <v>2816.38</v>
      </c>
    </row>
    <row r="74">
      <c r="A74" s="9" t="n">
        <v>45763</v>
      </c>
      <c r="B74" s="1" t="inlineStr">
        <is>
          <t>BEZERRO</t>
        </is>
      </c>
      <c r="C74" s="1" t="n">
        <v>2824.3</v>
      </c>
    </row>
    <row r="75">
      <c r="A75" s="9" t="n">
        <v>45764</v>
      </c>
      <c r="B75" s="1" t="inlineStr">
        <is>
          <t>BEZERRO</t>
        </is>
      </c>
      <c r="C75" s="1" t="n">
        <v>2824.89</v>
      </c>
    </row>
    <row r="76">
      <c r="A76" s="9" t="n">
        <v>45769</v>
      </c>
      <c r="B76" s="1" t="inlineStr">
        <is>
          <t>BEZERRO</t>
        </is>
      </c>
      <c r="C76" s="1" t="n">
        <v>2843.99</v>
      </c>
    </row>
    <row r="77">
      <c r="A77" s="9" t="n">
        <v>45770</v>
      </c>
      <c r="B77" s="1" t="inlineStr">
        <is>
          <t>BEZERRO</t>
        </is>
      </c>
      <c r="C77" s="1" t="n">
        <v>2866.08</v>
      </c>
    </row>
    <row r="78">
      <c r="A78" s="9" t="n">
        <v>45771</v>
      </c>
      <c r="B78" s="1" t="inlineStr">
        <is>
          <t>BEZERRO</t>
        </is>
      </c>
      <c r="C78" s="1" t="n">
        <v>2869.61</v>
      </c>
    </row>
    <row r="79">
      <c r="A79" s="9" t="n">
        <v>45772</v>
      </c>
      <c r="B79" s="1" t="inlineStr">
        <is>
          <t>BEZERRO</t>
        </is>
      </c>
      <c r="C79" s="1" t="n">
        <v>2869.71</v>
      </c>
    </row>
    <row r="80">
      <c r="A80" s="9" t="n">
        <v>45775</v>
      </c>
      <c r="B80" s="1" t="inlineStr">
        <is>
          <t>BEZERRO</t>
        </is>
      </c>
      <c r="C80" s="1" t="n">
        <v>2895.64</v>
      </c>
    </row>
    <row r="81">
      <c r="A81" s="9" t="n">
        <v>45776</v>
      </c>
      <c r="B81" s="1" t="inlineStr">
        <is>
          <t>BEZERRO</t>
        </is>
      </c>
      <c r="C81" s="1" t="n">
        <v>2922.32</v>
      </c>
    </row>
    <row r="82">
      <c r="A82" s="9" t="n">
        <v>45777</v>
      </c>
      <c r="B82" s="1" t="inlineStr">
        <is>
          <t>BEZERRO</t>
        </is>
      </c>
      <c r="C82" s="1" t="n">
        <v>2931.28</v>
      </c>
    </row>
    <row r="83">
      <c r="A83" s="9" t="n">
        <v>45779</v>
      </c>
      <c r="B83" s="1" t="inlineStr">
        <is>
          <t>BEZERRO</t>
        </is>
      </c>
      <c r="C83" s="1" t="n">
        <v>2938.21</v>
      </c>
    </row>
    <row r="84">
      <c r="A84" s="9" t="n">
        <v>45782</v>
      </c>
      <c r="B84" s="1" t="inlineStr">
        <is>
          <t>BEZERRO</t>
        </is>
      </c>
      <c r="C84" s="1" t="n">
        <v>2946.99</v>
      </c>
    </row>
    <row r="85">
      <c r="A85" s="9" t="n">
        <v>45783</v>
      </c>
      <c r="B85" s="1" t="inlineStr">
        <is>
          <t>BEZERRO</t>
        </is>
      </c>
      <c r="C85" s="1" t="n">
        <v>2935.7</v>
      </c>
    </row>
    <row r="86">
      <c r="A86" s="9" t="n">
        <v>45784</v>
      </c>
      <c r="B86" s="1" t="inlineStr">
        <is>
          <t>BEZERRO</t>
        </is>
      </c>
      <c r="C86" s="1" t="n">
        <v>2956.09</v>
      </c>
    </row>
    <row r="87">
      <c r="A87" s="9" t="n">
        <v>45785</v>
      </c>
      <c r="B87" s="1" t="inlineStr">
        <is>
          <t>BEZERRO</t>
        </is>
      </c>
      <c r="C87" s="1" t="n">
        <v>2943.69</v>
      </c>
    </row>
    <row r="88">
      <c r="A88" s="9" t="n">
        <v>45786</v>
      </c>
      <c r="B88" s="1" t="inlineStr">
        <is>
          <t>BEZERRO</t>
        </is>
      </c>
      <c r="C88" s="1" t="n">
        <v>2939.5</v>
      </c>
    </row>
    <row r="89">
      <c r="A89" s="9" t="n">
        <v>45789</v>
      </c>
      <c r="B89" s="1" t="inlineStr">
        <is>
          <t>BEZERRO</t>
        </is>
      </c>
      <c r="C89" s="1" t="n">
        <v>2931.23</v>
      </c>
    </row>
    <row r="90">
      <c r="A90" s="9" t="n">
        <v>45790</v>
      </c>
      <c r="B90" s="1" t="inlineStr">
        <is>
          <t>BEZERRO</t>
        </is>
      </c>
      <c r="C90" s="1" t="n">
        <v>2933.67</v>
      </c>
    </row>
    <row r="91">
      <c r="A91" s="9" t="n">
        <v>45791</v>
      </c>
      <c r="B91" s="1" t="inlineStr">
        <is>
          <t>BEZERRO</t>
        </is>
      </c>
      <c r="C91" s="1" t="n">
        <v>2924.91</v>
      </c>
    </row>
    <row r="92">
      <c r="A92" s="9" t="n">
        <v>45792</v>
      </c>
      <c r="B92" s="1" t="inlineStr">
        <is>
          <t>BEZERRO</t>
        </is>
      </c>
      <c r="C92" s="1" t="n">
        <v>2927.94</v>
      </c>
    </row>
    <row r="93">
      <c r="A93" s="9" t="n">
        <v>45793</v>
      </c>
      <c r="B93" s="1" t="inlineStr">
        <is>
          <t>BEZERRO</t>
        </is>
      </c>
      <c r="C93" s="1" t="n">
        <v>2932.38</v>
      </c>
    </row>
    <row r="94">
      <c r="A94" s="9" t="n">
        <v>45796</v>
      </c>
      <c r="B94" s="1" t="inlineStr">
        <is>
          <t>BEZERRO</t>
        </is>
      </c>
      <c r="C94" s="1" t="n">
        <v>2925.33</v>
      </c>
    </row>
    <row r="95">
      <c r="A95" s="9" t="n">
        <v>45797</v>
      </c>
      <c r="B95" s="1" t="inlineStr">
        <is>
          <t>BEZERRO</t>
        </is>
      </c>
      <c r="C95" s="1" t="n">
        <v>2920.09</v>
      </c>
    </row>
    <row r="96">
      <c r="A96" s="9" t="n">
        <v>45798</v>
      </c>
      <c r="B96" s="1" t="inlineStr">
        <is>
          <t>BEZERRO</t>
        </is>
      </c>
      <c r="C96" s="1" t="n">
        <v>2923.88</v>
      </c>
    </row>
    <row r="97">
      <c r="A97" s="9" t="n">
        <v>45799</v>
      </c>
      <c r="B97" s="1" t="inlineStr">
        <is>
          <t>BEZERRO</t>
        </is>
      </c>
      <c r="C97" s="1" t="n">
        <v>2915.53</v>
      </c>
    </row>
    <row r="98">
      <c r="A98" s="9" t="n">
        <v>45800</v>
      </c>
      <c r="B98" s="1" t="inlineStr">
        <is>
          <t>BEZERRO</t>
        </is>
      </c>
      <c r="C98" s="1" t="n">
        <v>2922.92</v>
      </c>
    </row>
    <row r="99">
      <c r="A99" s="9" t="n">
        <v>45803</v>
      </c>
      <c r="B99" s="1" t="inlineStr">
        <is>
          <t>BEZERRO</t>
        </is>
      </c>
      <c r="C99" s="1" t="n">
        <v>2913.67</v>
      </c>
    </row>
    <row r="100">
      <c r="A100" s="9" t="n">
        <v>45804</v>
      </c>
      <c r="B100" s="1" t="inlineStr">
        <is>
          <t>BEZERRO</t>
        </is>
      </c>
      <c r="C100" s="1" t="n">
        <v>2875.55</v>
      </c>
    </row>
    <row r="101">
      <c r="A101" s="9" t="n">
        <v>45805</v>
      </c>
      <c r="B101" s="1" t="inlineStr">
        <is>
          <t>BEZERRO</t>
        </is>
      </c>
      <c r="C101" s="1" t="n">
        <v>2882.03</v>
      </c>
    </row>
    <row r="102">
      <c r="A102" s="9" t="n">
        <v>45806</v>
      </c>
      <c r="B102" s="1" t="inlineStr">
        <is>
          <t>BEZERRO</t>
        </is>
      </c>
      <c r="C102" s="1" t="n">
        <v>2881.8</v>
      </c>
    </row>
    <row r="103">
      <c r="A103" s="9" t="n">
        <v>45807</v>
      </c>
      <c r="B103" s="1" t="inlineStr">
        <is>
          <t>BEZERRO</t>
        </is>
      </c>
      <c r="C103" s="1" t="n">
        <v>2870.36</v>
      </c>
    </row>
    <row r="104">
      <c r="A104" s="9" t="n">
        <v>45810</v>
      </c>
      <c r="B104" s="1" t="inlineStr">
        <is>
          <t>BEZERRO</t>
        </is>
      </c>
      <c r="C104" s="1" t="n">
        <v>2877.24</v>
      </c>
    </row>
    <row r="105">
      <c r="A105" s="9" t="n">
        <v>45811</v>
      </c>
      <c r="B105" s="1" t="inlineStr">
        <is>
          <t>BEZERRO</t>
        </is>
      </c>
      <c r="C105" s="1" t="n">
        <v>2876.23</v>
      </c>
    </row>
    <row r="106">
      <c r="A106" s="9" t="n">
        <v>45812</v>
      </c>
      <c r="B106" s="1" t="inlineStr">
        <is>
          <t>BEZERRO</t>
        </is>
      </c>
      <c r="C106" s="1" t="n">
        <v>2898.79</v>
      </c>
    </row>
    <row r="107">
      <c r="A107" s="9" t="n">
        <v>45813</v>
      </c>
      <c r="B107" s="1" t="inlineStr">
        <is>
          <t>BEZERRO</t>
        </is>
      </c>
      <c r="C107" s="1" t="n">
        <v>2908.79</v>
      </c>
    </row>
    <row r="108">
      <c r="A108" s="9" t="n">
        <v>45814</v>
      </c>
      <c r="B108" s="1" t="inlineStr">
        <is>
          <t>BEZERRO</t>
        </is>
      </c>
      <c r="C108" s="1" t="n">
        <v>2928.03</v>
      </c>
    </row>
    <row r="109">
      <c r="A109" s="9" t="n">
        <v>45817</v>
      </c>
      <c r="B109" s="1" t="inlineStr">
        <is>
          <t>BEZERRO</t>
        </is>
      </c>
      <c r="C109" s="1" t="n">
        <v>2947.19</v>
      </c>
    </row>
    <row r="110">
      <c r="A110" s="9" t="n">
        <v>45818</v>
      </c>
      <c r="B110" s="1" t="inlineStr">
        <is>
          <t>BEZERRO</t>
        </is>
      </c>
      <c r="C110" s="1" t="n">
        <v>2959.95</v>
      </c>
    </row>
    <row r="111">
      <c r="A111" s="9" t="n">
        <v>45819</v>
      </c>
      <c r="B111" s="1" t="inlineStr">
        <is>
          <t>BEZERRO</t>
        </is>
      </c>
      <c r="C111" s="1" t="n">
        <v>2937.25</v>
      </c>
    </row>
    <row r="112">
      <c r="A112" s="9" t="n">
        <v>45820</v>
      </c>
      <c r="B112" s="1" t="inlineStr">
        <is>
          <t>BEZERRO</t>
        </is>
      </c>
      <c r="C112" s="1" t="n">
        <v>2929.32</v>
      </c>
    </row>
    <row r="113">
      <c r="A113" s="9" t="n">
        <v>45821</v>
      </c>
      <c r="B113" s="1" t="inlineStr">
        <is>
          <t>BEZERRO</t>
        </is>
      </c>
      <c r="C113" s="1" t="n">
        <v>2920.71</v>
      </c>
    </row>
    <row r="114">
      <c r="A114" s="9" t="n">
        <v>45824</v>
      </c>
      <c r="B114" s="1" t="inlineStr">
        <is>
          <t>BEZERRO</t>
        </is>
      </c>
      <c r="C114" s="1" t="n">
        <v>2914.51</v>
      </c>
    </row>
    <row r="115">
      <c r="A115" s="9" t="n">
        <v>45825</v>
      </c>
      <c r="B115" s="1" t="inlineStr">
        <is>
          <t>BEZERRO</t>
        </is>
      </c>
      <c r="C115" s="1" t="n">
        <v>2907.69</v>
      </c>
    </row>
    <row r="116">
      <c r="A116" s="9" t="n">
        <v>45826</v>
      </c>
      <c r="B116" s="1" t="inlineStr">
        <is>
          <t>BEZERRO</t>
        </is>
      </c>
      <c r="C116" s="1" t="n">
        <v>2913.68</v>
      </c>
    </row>
    <row r="117">
      <c r="A117" s="9" t="n">
        <v>45828</v>
      </c>
      <c r="B117" s="1" t="inlineStr">
        <is>
          <t>BEZERRO</t>
        </is>
      </c>
      <c r="C117" s="1" t="n">
        <v>2928.47</v>
      </c>
    </row>
    <row r="118">
      <c r="A118" s="9" t="n">
        <v>45831</v>
      </c>
      <c r="B118" s="1" t="inlineStr">
        <is>
          <t>BEZERRO</t>
        </is>
      </c>
      <c r="C118" s="1" t="n">
        <v>2930.06</v>
      </c>
    </row>
    <row r="119">
      <c r="A119" s="9" t="n">
        <v>45832</v>
      </c>
      <c r="B119" s="1" t="inlineStr">
        <is>
          <t>BEZERRO</t>
        </is>
      </c>
      <c r="C119" s="1" t="n">
        <v>2923.9</v>
      </c>
    </row>
    <row r="120">
      <c r="A120" s="9" t="n">
        <v>45833</v>
      </c>
      <c r="B120" s="1" t="inlineStr">
        <is>
          <t>BEZERRO</t>
        </is>
      </c>
      <c r="C120" s="1" t="n">
        <v>2930.53</v>
      </c>
    </row>
    <row r="121">
      <c r="A121" s="9" t="n">
        <v>45834</v>
      </c>
      <c r="B121" s="1" t="inlineStr">
        <is>
          <t>BEZERRO</t>
        </is>
      </c>
      <c r="C121" s="1" t="n">
        <v>2928.84</v>
      </c>
    </row>
    <row r="122">
      <c r="A122" s="9" t="n">
        <v>45835</v>
      </c>
      <c r="B122" s="1" t="inlineStr">
        <is>
          <t>BEZERRO</t>
        </is>
      </c>
      <c r="C122" s="1" t="n">
        <v>2922.14</v>
      </c>
    </row>
    <row r="123">
      <c r="A123" s="9" t="n">
        <v>45838</v>
      </c>
      <c r="B123" s="1" t="inlineStr">
        <is>
          <t>BEZERRO</t>
        </is>
      </c>
      <c r="C123" s="1" t="n">
        <v>2911</v>
      </c>
    </row>
    <row r="124">
      <c r="A124" s="9" t="n">
        <v>45839</v>
      </c>
      <c r="B124" s="1" t="inlineStr">
        <is>
          <t>BEZERRO</t>
        </is>
      </c>
      <c r="C124" s="1" t="n">
        <v>2913.52</v>
      </c>
    </row>
    <row r="125">
      <c r="A125" s="9" t="n">
        <v>45840</v>
      </c>
      <c r="B125" s="1" t="inlineStr">
        <is>
          <t>BEZERRO</t>
        </is>
      </c>
      <c r="C125" s="1" t="n">
        <v>2911.46</v>
      </c>
    </row>
    <row r="126">
      <c r="A126" s="9" t="n">
        <v>45841</v>
      </c>
      <c r="B126" s="1" t="inlineStr">
        <is>
          <t>BEZERRO</t>
        </is>
      </c>
      <c r="C126" s="1" t="n">
        <v>2903.05</v>
      </c>
    </row>
    <row r="127">
      <c r="A127" s="9" t="n">
        <v>45842</v>
      </c>
      <c r="B127" s="1" t="inlineStr">
        <is>
          <t>BEZERRO</t>
        </is>
      </c>
      <c r="C127" s="1" t="n">
        <v>2877.42</v>
      </c>
    </row>
    <row r="128">
      <c r="A128" s="9" t="n">
        <v>45845</v>
      </c>
      <c r="B128" s="1" t="inlineStr">
        <is>
          <t>BEZERRO</t>
        </is>
      </c>
      <c r="C128" s="1" t="n">
        <v>2869.43</v>
      </c>
    </row>
    <row r="129">
      <c r="A129" s="9" t="n">
        <v>45846</v>
      </c>
      <c r="B129" s="1" t="inlineStr">
        <is>
          <t>BEZERRO</t>
        </is>
      </c>
      <c r="C129" s="1" t="n">
        <v>2859.9</v>
      </c>
    </row>
    <row r="130">
      <c r="A130" s="9" t="n">
        <v>45847</v>
      </c>
      <c r="B130" s="1" t="inlineStr">
        <is>
          <t>BEZERRO</t>
        </is>
      </c>
      <c r="C130" s="1" t="n">
        <v>2867.75</v>
      </c>
    </row>
    <row r="131">
      <c r="A131" s="9" t="n">
        <v>45848</v>
      </c>
      <c r="B131" s="1" t="inlineStr">
        <is>
          <t>BEZERRO</t>
        </is>
      </c>
      <c r="C131" s="1" t="n">
        <v>2879.78</v>
      </c>
    </row>
    <row r="132">
      <c r="A132" s="9" t="n">
        <v>45849</v>
      </c>
      <c r="B132" s="1" t="inlineStr">
        <is>
          <t>BEZERRO</t>
        </is>
      </c>
      <c r="C132" s="1" t="n">
        <v>2871.61</v>
      </c>
    </row>
    <row r="133">
      <c r="A133" s="9" t="n">
        <v>45852</v>
      </c>
      <c r="B133" s="1" t="inlineStr">
        <is>
          <t>BEZERRO</t>
        </is>
      </c>
      <c r="C133" s="1" t="n">
        <v>2872.26</v>
      </c>
    </row>
    <row r="134">
      <c r="A134" s="9" t="n">
        <v>45853</v>
      </c>
      <c r="B134" s="1" t="inlineStr">
        <is>
          <t>BEZERRO</t>
        </is>
      </c>
      <c r="C134" s="1" t="n">
        <v>2861.38</v>
      </c>
    </row>
    <row r="135">
      <c r="A135" s="9" t="n">
        <v>45854</v>
      </c>
      <c r="B135" s="1" t="inlineStr">
        <is>
          <t>BEZERRO</t>
        </is>
      </c>
      <c r="C135" s="1" t="n">
        <v>2851.44</v>
      </c>
    </row>
    <row r="136">
      <c r="A136" s="9" t="n">
        <v>45855</v>
      </c>
      <c r="B136" s="1" t="inlineStr">
        <is>
          <t>BEZERRO</t>
        </is>
      </c>
      <c r="C136" s="1" t="n">
        <v>2841.7</v>
      </c>
    </row>
    <row r="137">
      <c r="A137" s="9" t="n">
        <v>45856</v>
      </c>
      <c r="B137" s="1" t="inlineStr">
        <is>
          <t>BEZERRO</t>
        </is>
      </c>
      <c r="C137" s="1" t="n">
        <v>2846.38</v>
      </c>
    </row>
    <row r="138">
      <c r="A138" s="9" t="n">
        <v>45859</v>
      </c>
      <c r="B138" s="1" t="inlineStr">
        <is>
          <t>BEZERRO</t>
        </is>
      </c>
      <c r="C138" s="1" t="n">
        <v>2855.65</v>
      </c>
    </row>
    <row r="139">
      <c r="A139" s="9" t="n">
        <v>45860</v>
      </c>
      <c r="B139" s="1" t="inlineStr">
        <is>
          <t>BEZERRO</t>
        </is>
      </c>
      <c r="C139" s="1" t="n">
        <v>2853.68</v>
      </c>
    </row>
    <row r="140">
      <c r="A140" s="9" t="n">
        <v>45861</v>
      </c>
      <c r="B140" s="1" t="inlineStr">
        <is>
          <t>BEZERRO</t>
        </is>
      </c>
      <c r="C140" s="1" t="n">
        <v>2849.56</v>
      </c>
    </row>
    <row r="141">
      <c r="A141" s="9" t="n">
        <v>45862</v>
      </c>
      <c r="B141" s="1" t="inlineStr">
        <is>
          <t>BEZERRO</t>
        </is>
      </c>
      <c r="C141" s="1" t="n">
        <v>2852.07</v>
      </c>
    </row>
    <row r="142">
      <c r="A142" s="9" t="n">
        <v>45863</v>
      </c>
      <c r="B142" s="1" t="inlineStr">
        <is>
          <t>BEZERRO</t>
        </is>
      </c>
      <c r="C142" s="1" t="n">
        <v>2849.93</v>
      </c>
    </row>
    <row r="143">
      <c r="A143" s="9" t="n">
        <v>45866</v>
      </c>
      <c r="B143" s="1" t="inlineStr">
        <is>
          <t>BEZERRO</t>
        </is>
      </c>
      <c r="C143" s="1" t="n">
        <v>2839.42</v>
      </c>
    </row>
    <row r="144">
      <c r="A144" s="9" t="n">
        <v>45867</v>
      </c>
      <c r="B144" s="1" t="inlineStr">
        <is>
          <t>BEZERRO</t>
        </is>
      </c>
      <c r="C144" s="1" t="n">
        <v>2819.73</v>
      </c>
    </row>
    <row r="145">
      <c r="A145" s="9" t="n">
        <v>45868</v>
      </c>
      <c r="B145" s="1" t="inlineStr">
        <is>
          <t>BEZERRO</t>
        </is>
      </c>
      <c r="C145" s="1" t="n">
        <v>2826.6</v>
      </c>
    </row>
    <row r="146">
      <c r="A146" s="9" t="n">
        <v>45869</v>
      </c>
      <c r="B146" s="1" t="inlineStr">
        <is>
          <t>BEZERRO</t>
        </is>
      </c>
      <c r="C146" s="1" t="n">
        <v>2815.24</v>
      </c>
    </row>
    <row r="147">
      <c r="A147" s="9" t="n">
        <v>45870</v>
      </c>
      <c r="B147" s="1" t="inlineStr">
        <is>
          <t>BEZERRO</t>
        </is>
      </c>
      <c r="C147" s="1" t="n">
        <v>2817.53</v>
      </c>
    </row>
    <row r="148">
      <c r="A148" s="9" t="n">
        <v>45873</v>
      </c>
      <c r="B148" s="1" t="inlineStr">
        <is>
          <t>BEZERRO</t>
        </is>
      </c>
      <c r="C148" s="1" t="n">
        <v>2808.21</v>
      </c>
    </row>
    <row r="149">
      <c r="A149" s="9" t="n">
        <v>45874</v>
      </c>
      <c r="B149" s="1" t="inlineStr">
        <is>
          <t>BEZERRO</t>
        </is>
      </c>
      <c r="C149" s="1" t="n">
        <v>2815.13</v>
      </c>
    </row>
    <row r="150">
      <c r="A150" s="9" t="n">
        <v>45875</v>
      </c>
      <c r="B150" s="1" t="inlineStr">
        <is>
          <t>BEZERRO</t>
        </is>
      </c>
      <c r="C150" s="1" t="n">
        <v>2812.4</v>
      </c>
    </row>
    <row r="151">
      <c r="A151" s="9" t="n">
        <v>45876</v>
      </c>
      <c r="B151" s="1" t="inlineStr">
        <is>
          <t>BEZERRO</t>
        </is>
      </c>
      <c r="C151" s="1" t="n">
        <v>2815.56</v>
      </c>
    </row>
    <row r="152">
      <c r="A152" s="9" t="n">
        <v>45877</v>
      </c>
      <c r="B152" s="1" t="inlineStr">
        <is>
          <t>BEZERRO</t>
        </is>
      </c>
      <c r="C152" s="1" t="n">
        <v>2808.26</v>
      </c>
    </row>
    <row r="153">
      <c r="A153" s="9" t="n">
        <v>45880</v>
      </c>
      <c r="B153" s="1" t="inlineStr">
        <is>
          <t>BEZERRO</t>
        </is>
      </c>
      <c r="C153" s="1" t="n">
        <v>2811.94</v>
      </c>
    </row>
    <row r="154">
      <c r="A154" s="9" t="n">
        <v>45881</v>
      </c>
      <c r="B154" s="1" t="inlineStr">
        <is>
          <t>BEZERRO</t>
        </is>
      </c>
      <c r="C154" s="1" t="n">
        <v>2840.61</v>
      </c>
    </row>
    <row r="155">
      <c r="A155" s="9" t="n">
        <v>45882</v>
      </c>
      <c r="B155" s="1" t="inlineStr">
        <is>
          <t>BEZERRO</t>
        </is>
      </c>
      <c r="C155" s="1" t="n">
        <v>2872.47</v>
      </c>
    </row>
    <row r="156">
      <c r="A156" s="9" t="n">
        <v>45883</v>
      </c>
      <c r="B156" s="1" t="inlineStr">
        <is>
          <t>BEZERRO</t>
        </is>
      </c>
      <c r="C156" s="1" t="n">
        <v>2878.24</v>
      </c>
    </row>
    <row r="157">
      <c r="A157" s="9" t="n">
        <v>45884</v>
      </c>
      <c r="B157" s="1" t="inlineStr">
        <is>
          <t>BEZERRO</t>
        </is>
      </c>
      <c r="C157" s="1" t="n">
        <v>2878.17</v>
      </c>
    </row>
    <row r="158">
      <c r="A158" s="9" t="n">
        <v>45887</v>
      </c>
      <c r="B158" s="1" t="inlineStr">
        <is>
          <t>BEZERRO</t>
        </is>
      </c>
      <c r="C158" s="1" t="n">
        <v>2902.84</v>
      </c>
    </row>
    <row r="159">
      <c r="A159" s="9" t="n">
        <v>45888</v>
      </c>
      <c r="B159" s="1" t="inlineStr">
        <is>
          <t>BEZERRO</t>
        </is>
      </c>
      <c r="C159" s="1" t="n">
        <v>2890.64</v>
      </c>
    </row>
    <row r="160">
      <c r="A160" s="9" t="n">
        <v>45889</v>
      </c>
      <c r="B160" s="1" t="inlineStr">
        <is>
          <t>BEZERRO</t>
        </is>
      </c>
      <c r="C160" s="1" t="n">
        <v>2874.39</v>
      </c>
    </row>
    <row r="161">
      <c r="A161" s="9" t="n">
        <v>45890</v>
      </c>
      <c r="B161" s="1" t="inlineStr">
        <is>
          <t>BEZERRO</t>
        </is>
      </c>
      <c r="C161" s="1" t="n">
        <v>2869.68</v>
      </c>
    </row>
    <row r="162">
      <c r="A162" s="9" t="n">
        <v>45891</v>
      </c>
      <c r="B162" s="1" t="inlineStr">
        <is>
          <t>BEZERRO</t>
        </is>
      </c>
      <c r="C162" s="1" t="n">
        <v>2868.11</v>
      </c>
    </row>
    <row r="163">
      <c r="A163" s="9" t="n">
        <v>45894</v>
      </c>
      <c r="B163" s="1" t="inlineStr">
        <is>
          <t>BEZERRO</t>
        </is>
      </c>
      <c r="C163" s="1" t="n">
        <v>2850.34</v>
      </c>
    </row>
    <row r="164">
      <c r="A164" s="9" t="n">
        <v>45895</v>
      </c>
      <c r="B164" s="1" t="inlineStr">
        <is>
          <t>BEZERRO</t>
        </is>
      </c>
      <c r="C164" s="1" t="n">
        <v>2853.45</v>
      </c>
    </row>
    <row r="165">
      <c r="A165" s="9" t="n">
        <v>45896</v>
      </c>
      <c r="B165" s="1" t="inlineStr">
        <is>
          <t>BEZERRO</t>
        </is>
      </c>
      <c r="C165" s="1" t="n">
        <v>2879.75</v>
      </c>
    </row>
    <row r="166">
      <c r="A166" s="9" t="n">
        <v>45897</v>
      </c>
      <c r="B166" s="1" t="inlineStr">
        <is>
          <t>BEZERRO</t>
        </is>
      </c>
      <c r="C166" s="1" t="n">
        <v>2895.34</v>
      </c>
    </row>
    <row r="167">
      <c r="A167" s="9" t="n">
        <v>45898</v>
      </c>
      <c r="B167" s="1" t="inlineStr">
        <is>
          <t>BEZERRO</t>
        </is>
      </c>
      <c r="C167" s="1" t="n">
        <v>2891.76</v>
      </c>
    </row>
    <row r="168">
      <c r="A168" s="9" t="n">
        <v>45901</v>
      </c>
      <c r="B168" s="1" t="inlineStr">
        <is>
          <t>BEZERRO</t>
        </is>
      </c>
      <c r="C168" s="1" t="n">
        <v>2896.83</v>
      </c>
    </row>
    <row r="169">
      <c r="A169" s="9" t="n">
        <v>45902</v>
      </c>
      <c r="B169" s="1" t="inlineStr">
        <is>
          <t>BEZERRO</t>
        </is>
      </c>
      <c r="C169" s="1" t="n">
        <v>2915.43</v>
      </c>
    </row>
    <row r="170">
      <c r="A170" s="9" t="n">
        <v>45903</v>
      </c>
      <c r="B170" s="1" t="inlineStr">
        <is>
          <t>BEZERRO</t>
        </is>
      </c>
      <c r="C170" s="1" t="n">
        <v>2908.59</v>
      </c>
    </row>
    <row r="171">
      <c r="A171" s="9" t="n">
        <v>45904</v>
      </c>
      <c r="B171" s="1" t="inlineStr">
        <is>
          <t>BEZERRO</t>
        </is>
      </c>
      <c r="C171" s="1" t="n">
        <v>2907.03</v>
      </c>
    </row>
    <row r="172">
      <c r="A172" s="9" t="n">
        <v>45905</v>
      </c>
      <c r="B172" s="1" t="inlineStr">
        <is>
          <t>BEZERRO</t>
        </is>
      </c>
      <c r="C172" s="1" t="n">
        <v>2915.31</v>
      </c>
    </row>
    <row r="173">
      <c r="A173" s="9" t="n">
        <v>45908</v>
      </c>
      <c r="B173" s="1" t="inlineStr">
        <is>
          <t>BEZERRO</t>
        </is>
      </c>
      <c r="C173" s="1" t="n">
        <v>2917.6</v>
      </c>
    </row>
    <row r="174">
      <c r="A174" s="9" t="n">
        <v>45909</v>
      </c>
      <c r="B174" s="1" t="inlineStr">
        <is>
          <t>BEZERRO</t>
        </is>
      </c>
      <c r="C174" s="1" t="n">
        <v>2911.87</v>
      </c>
    </row>
    <row r="175">
      <c r="A175" s="9" t="n">
        <v>45910</v>
      </c>
      <c r="B175" s="1" t="inlineStr">
        <is>
          <t>BEZERRO</t>
        </is>
      </c>
      <c r="C175" s="1" t="n">
        <v>2903.39</v>
      </c>
    </row>
    <row r="176">
      <c r="A176" s="9" t="n">
        <v>45911</v>
      </c>
      <c r="B176" s="1" t="inlineStr">
        <is>
          <t>BEZERRO</t>
        </is>
      </c>
      <c r="C176" s="1" t="n">
        <v>2894.33</v>
      </c>
    </row>
    <row r="177">
      <c r="A177" s="9" t="n">
        <v>45912</v>
      </c>
      <c r="B177" s="1" t="inlineStr">
        <is>
          <t>BEZERRO</t>
        </is>
      </c>
      <c r="C177" s="1" t="n">
        <v>2891.19</v>
      </c>
    </row>
    <row r="178">
      <c r="A178" s="9" t="n">
        <v>45915</v>
      </c>
      <c r="B178" s="1" t="inlineStr">
        <is>
          <t>BEZERRO</t>
        </is>
      </c>
      <c r="C178" s="1" t="n">
        <v>2910.44</v>
      </c>
    </row>
    <row r="179">
      <c r="A179" s="9" t="n">
        <v>45916</v>
      </c>
      <c r="B179" s="1" t="inlineStr">
        <is>
          <t>BEZERRO</t>
        </is>
      </c>
      <c r="C179" s="1" t="n">
        <v>2934.96</v>
      </c>
    </row>
    <row r="180">
      <c r="A180" s="9" t="n">
        <v>45917</v>
      </c>
      <c r="B180" s="1" t="inlineStr">
        <is>
          <t>BEZERRO</t>
        </is>
      </c>
      <c r="C180" s="1" t="n">
        <v>2943.4</v>
      </c>
    </row>
    <row r="181">
      <c r="A181" s="9" t="n">
        <v>45918</v>
      </c>
      <c r="B181" s="1" t="inlineStr">
        <is>
          <t>BEZERRO</t>
        </is>
      </c>
      <c r="C181" s="1" t="n">
        <v>2954.79</v>
      </c>
    </row>
    <row r="182">
      <c r="A182" s="9" t="n">
        <v>45919</v>
      </c>
      <c r="B182" s="1" t="inlineStr">
        <is>
          <t>BEZERRO</t>
        </is>
      </c>
      <c r="C182" s="1" t="n">
        <v>2950.21</v>
      </c>
    </row>
    <row r="183">
      <c r="A183" s="9" t="n">
        <v>45922</v>
      </c>
      <c r="B183" s="1" t="inlineStr">
        <is>
          <t>BEZERRO</t>
        </is>
      </c>
      <c r="C183" s="1" t="n">
        <v>2963.22</v>
      </c>
    </row>
    <row r="184">
      <c r="A184" s="9" t="n">
        <v>45923</v>
      </c>
      <c r="B184" s="1" t="inlineStr">
        <is>
          <t>BEZERRO</t>
        </is>
      </c>
      <c r="C184" s="1" t="n">
        <v>2970.59</v>
      </c>
    </row>
    <row r="185">
      <c r="A185" s="9" t="n">
        <v>45924</v>
      </c>
      <c r="B185" s="1" t="inlineStr">
        <is>
          <t>BEZERRO</t>
        </is>
      </c>
      <c r="C185" s="1" t="n">
        <v>2960.97</v>
      </c>
    </row>
    <row r="186">
      <c r="A186" s="9" t="n">
        <v>45925</v>
      </c>
      <c r="B186" s="1" t="inlineStr">
        <is>
          <t>BEZERRO</t>
        </is>
      </c>
      <c r="C186" s="1" t="n">
        <v>2952.19</v>
      </c>
    </row>
    <row r="187">
      <c r="A187" s="9" t="n">
        <v>45926</v>
      </c>
      <c r="B187" s="1" t="inlineStr">
        <is>
          <t>BEZERRO</t>
        </is>
      </c>
      <c r="C187" s="1" t="n">
        <v>2939.2</v>
      </c>
    </row>
    <row r="188">
      <c r="A188" s="9" t="n">
        <v>45929</v>
      </c>
      <c r="B188" s="1" t="inlineStr">
        <is>
          <t>BEZERRO</t>
        </is>
      </c>
      <c r="C188" s="1" t="n">
        <v>2924.09</v>
      </c>
    </row>
    <row r="189">
      <c r="A189" s="9" t="n">
        <v>45930</v>
      </c>
      <c r="B189" s="1" t="inlineStr">
        <is>
          <t>BEZERRO</t>
        </is>
      </c>
      <c r="C189" s="1" t="n">
        <v>2927.27</v>
      </c>
    </row>
    <row r="190">
      <c r="A190" s="9" t="n">
        <v>45931</v>
      </c>
      <c r="B190" s="1" t="inlineStr">
        <is>
          <t>BEZERRO</t>
        </is>
      </c>
      <c r="C190" s="1" t="n">
        <v>2920.04</v>
      </c>
    </row>
    <row r="191">
      <c r="A191" s="9" t="n">
        <v>45932</v>
      </c>
      <c r="B191" s="1" t="inlineStr">
        <is>
          <t>BEZERRO</t>
        </is>
      </c>
      <c r="C191" s="1" t="n">
        <v>2907.86</v>
      </c>
    </row>
    <row r="192">
      <c r="A192" s="9" t="n">
        <v>45933</v>
      </c>
      <c r="B192" s="1" t="inlineStr">
        <is>
          <t>BEZERRO</t>
        </is>
      </c>
      <c r="C192" s="1" t="n">
        <v>2912.64</v>
      </c>
    </row>
    <row r="193">
      <c r="A193" s="9" t="n">
        <v>45936</v>
      </c>
      <c r="B193" s="1" t="inlineStr">
        <is>
          <t>BEZERRO</t>
        </is>
      </c>
      <c r="C193" s="1" t="n">
        <v>2911.79</v>
      </c>
    </row>
    <row r="194">
      <c r="A194" s="9" t="n">
        <v>45937</v>
      </c>
      <c r="B194" s="1" t="inlineStr">
        <is>
          <t>BEZERRO</t>
        </is>
      </c>
      <c r="C194" s="1" t="n">
        <v>2917.64</v>
      </c>
    </row>
    <row r="195">
      <c r="A195" s="9" t="n">
        <v>45938</v>
      </c>
      <c r="B195" s="1" t="inlineStr">
        <is>
          <t>BEZERRO</t>
        </is>
      </c>
      <c r="C195" s="1" t="n">
        <v>2924.92</v>
      </c>
    </row>
    <row r="196">
      <c r="A196" s="9" t="n">
        <v>45939</v>
      </c>
      <c r="B196" s="1" t="inlineStr">
        <is>
          <t>BEZERRO</t>
        </is>
      </c>
      <c r="C196" s="1" t="n">
        <v>2946.12</v>
      </c>
    </row>
    <row r="197">
      <c r="A197" s="9" t="n">
        <v>45940</v>
      </c>
      <c r="B197" s="1" t="inlineStr">
        <is>
          <t>BEZERRO</t>
        </is>
      </c>
      <c r="C197" s="1" t="n">
        <v>2953.95</v>
      </c>
    </row>
    <row r="198">
      <c r="A198" s="9" t="n">
        <v>45943</v>
      </c>
      <c r="B198" s="1" t="inlineStr">
        <is>
          <t>BEZERRO</t>
        </is>
      </c>
      <c r="C198" s="1" t="n">
        <v>2959.91</v>
      </c>
    </row>
    <row r="199">
      <c r="A199" s="9" t="n">
        <v>45944</v>
      </c>
      <c r="B199" s="1" t="inlineStr">
        <is>
          <t>BEZERRO</t>
        </is>
      </c>
      <c r="C199" s="1" t="n">
        <v>2946.57</v>
      </c>
    </row>
    <row r="200">
      <c r="A200" s="9" t="n">
        <v>45945</v>
      </c>
      <c r="B200" s="1" t="inlineStr">
        <is>
          <t>BEZERRO</t>
        </is>
      </c>
      <c r="C200" s="1" t="n">
        <v>2937.35</v>
      </c>
    </row>
    <row r="201">
      <c r="A201" s="9" t="n">
        <v>45946</v>
      </c>
      <c r="B201" s="1" t="inlineStr">
        <is>
          <t>BEZERRO</t>
        </is>
      </c>
      <c r="C201" s="1" t="n">
        <v>2930.81</v>
      </c>
    </row>
    <row r="202">
      <c r="A202" s="9" t="n">
        <v>45947</v>
      </c>
      <c r="B202" s="1" t="inlineStr">
        <is>
          <t>BEZERRO</t>
        </is>
      </c>
      <c r="C202" s="1" t="n">
        <v>2925.47</v>
      </c>
    </row>
    <row r="203">
      <c r="A203" s="9" t="n">
        <v>45950</v>
      </c>
      <c r="B203" s="1" t="inlineStr">
        <is>
          <t>BEZERRO</t>
        </is>
      </c>
      <c r="C203" s="1" t="n">
        <v>2927.16</v>
      </c>
    </row>
    <row r="204">
      <c r="A204" s="9" t="n">
        <v>45951</v>
      </c>
      <c r="B204" s="1" t="inlineStr">
        <is>
          <t>BEZERRO</t>
        </is>
      </c>
      <c r="C204" s="1" t="n">
        <v>2936.54</v>
      </c>
    </row>
    <row r="205">
      <c r="A205" s="9" t="n">
        <v>45952</v>
      </c>
      <c r="B205" s="1" t="inlineStr">
        <is>
          <t>BEZERRO</t>
        </is>
      </c>
      <c r="C205" s="1" t="n">
        <v>2934.71</v>
      </c>
    </row>
    <row r="206">
      <c r="A206" s="9" t="n">
        <v>45953</v>
      </c>
      <c r="B206" s="1" t="inlineStr">
        <is>
          <t>BEZERRO</t>
        </is>
      </c>
      <c r="C206" s="1" t="n">
        <v>2932.58</v>
      </c>
    </row>
    <row r="207">
      <c r="A207" s="9" t="n">
        <v>45954</v>
      </c>
      <c r="B207" s="1" t="inlineStr">
        <is>
          <t>BEZERRO</t>
        </is>
      </c>
      <c r="C207" s="1" t="n">
        <v>2923.17</v>
      </c>
    </row>
    <row r="208">
      <c r="A208" s="9" t="n">
        <v>45957</v>
      </c>
      <c r="B208" s="1" t="inlineStr">
        <is>
          <t>BEZERRO</t>
        </is>
      </c>
      <c r="C208" s="1" t="n">
        <v>2932.31</v>
      </c>
    </row>
    <row r="209">
      <c r="A209" s="9" t="n">
        <v>45958</v>
      </c>
      <c r="B209" s="1" t="inlineStr">
        <is>
          <t>BEZERRO</t>
        </is>
      </c>
      <c r="C209" s="1" t="n">
        <v>2924.41</v>
      </c>
    </row>
    <row r="210">
      <c r="A210" s="9" t="n">
        <v>45959</v>
      </c>
      <c r="B210" s="1" t="inlineStr">
        <is>
          <t>BEZERRO</t>
        </is>
      </c>
      <c r="C210" s="1" t="n">
        <v>2922.64</v>
      </c>
    </row>
    <row r="211">
      <c r="A211" s="9" t="n">
        <v>45960</v>
      </c>
      <c r="B211" s="1" t="inlineStr">
        <is>
          <t>BEZERRO</t>
        </is>
      </c>
      <c r="C211" s="1" t="n">
        <v>2926.27</v>
      </c>
    </row>
    <row r="212">
      <c r="A212" s="9" t="n">
        <v>45961</v>
      </c>
      <c r="B212" s="1" t="inlineStr">
        <is>
          <t>BEZERRO</t>
        </is>
      </c>
      <c r="C212" s="1" t="n">
        <v>2934.47</v>
      </c>
    </row>
    <row r="213">
      <c r="A213" s="9" t="n">
        <v>45964</v>
      </c>
      <c r="B213" s="1" t="inlineStr">
        <is>
          <t>BEZERRO</t>
        </is>
      </c>
      <c r="C213" s="1" t="n">
        <v>2932.36</v>
      </c>
    </row>
    <row r="214">
      <c r="A214" s="9" t="n">
        <v>45965</v>
      </c>
      <c r="B214" s="1" t="inlineStr">
        <is>
          <t>BEZERRO</t>
        </is>
      </c>
      <c r="C214" s="1" t="n">
        <v>2932.79</v>
      </c>
    </row>
    <row r="215">
      <c r="A215" s="9" t="n">
        <v>45966</v>
      </c>
      <c r="B215" s="1" t="inlineStr">
        <is>
          <t>BEZERRO</t>
        </is>
      </c>
      <c r="C215" s="1" t="n">
        <v>2953.77</v>
      </c>
    </row>
    <row r="216">
      <c r="A216" s="9" t="n">
        <v>45967</v>
      </c>
      <c r="B216" s="1" t="inlineStr">
        <is>
          <t>BEZERRO</t>
        </is>
      </c>
      <c r="C216" s="1" t="n">
        <v>2959.79</v>
      </c>
    </row>
    <row r="217">
      <c r="A217" s="9" t="n">
        <v>45968</v>
      </c>
      <c r="B217" s="1" t="inlineStr">
        <is>
          <t>BEZERRO</t>
        </is>
      </c>
      <c r="C217" s="1" t="n">
        <v>2968.8</v>
      </c>
    </row>
    <row r="218">
      <c r="A218" s="9" t="n">
        <v>45971</v>
      </c>
      <c r="B218" s="1" t="inlineStr">
        <is>
          <t>BEZERRO</t>
        </is>
      </c>
      <c r="C218" s="1" t="n">
        <v>2989.23</v>
      </c>
    </row>
    <row r="219">
      <c r="A219" s="9" t="n">
        <v>45972</v>
      </c>
      <c r="B219" s="1" t="inlineStr">
        <is>
          <t>BEZERRO</t>
        </is>
      </c>
      <c r="C219" s="1" t="n">
        <v>2987.77</v>
      </c>
    </row>
    <row r="220">
      <c r="A220" s="9" t="n">
        <v>45973</v>
      </c>
      <c r="B220" s="1" t="inlineStr">
        <is>
          <t>BEZERRO</t>
        </is>
      </c>
      <c r="C220" s="1" t="n">
        <v>2980.03</v>
      </c>
    </row>
    <row r="221">
      <c r="A221" s="9" t="n">
        <v>45974</v>
      </c>
      <c r="B221" s="1" t="inlineStr">
        <is>
          <t>BEZERRO</t>
        </is>
      </c>
      <c r="C221" s="1" t="n">
        <v>2982.24</v>
      </c>
    </row>
    <row r="222">
      <c r="A222" s="9" t="n">
        <v>45975</v>
      </c>
      <c r="B222" s="1" t="inlineStr">
        <is>
          <t>BEZERRO</t>
        </is>
      </c>
      <c r="C222" s="1" t="n">
        <v>2986.72</v>
      </c>
    </row>
    <row r="223">
      <c r="A223" s="9" t="n">
        <v>45978</v>
      </c>
      <c r="B223" s="1" t="inlineStr">
        <is>
          <t>BEZERRO</t>
        </is>
      </c>
      <c r="C223" s="1" t="n">
        <v>2989.02</v>
      </c>
    </row>
    <row r="224">
      <c r="A224" s="9" t="n">
        <v>45979</v>
      </c>
      <c r="B224" s="1" t="inlineStr">
        <is>
          <t>BEZERRO</t>
        </is>
      </c>
      <c r="C224" s="1" t="n">
        <v>2997.01</v>
      </c>
    </row>
    <row r="225">
      <c r="A225" s="9" t="n">
        <v>45980</v>
      </c>
      <c r="B225" s="1" t="inlineStr">
        <is>
          <t>BEZERRO</t>
        </is>
      </c>
      <c r="C225" s="1" t="n">
        <v>2997.47</v>
      </c>
    </row>
    <row r="226">
      <c r="A226" s="9" t="n">
        <v>45982</v>
      </c>
      <c r="B226" s="1" t="inlineStr">
        <is>
          <t>BEZERRO</t>
        </is>
      </c>
      <c r="C226" s="1" t="n">
        <v>3010.99</v>
      </c>
    </row>
    <row r="227">
      <c r="A227" s="9" t="n">
        <v>45985</v>
      </c>
      <c r="B227" s="1" t="inlineStr">
        <is>
          <t>BEZERRO</t>
        </is>
      </c>
      <c r="C227" s="1" t="n">
        <v>3015.87</v>
      </c>
    </row>
    <row r="228">
      <c r="A228" s="9" t="n">
        <v>45986</v>
      </c>
      <c r="B228" s="1" t="inlineStr">
        <is>
          <t>BEZERRO</t>
        </is>
      </c>
      <c r="C228" s="1" t="n">
        <v>3021.75</v>
      </c>
    </row>
    <row r="229">
      <c r="A229" s="9" t="n">
        <v>45987</v>
      </c>
      <c r="B229" s="1" t="inlineStr">
        <is>
          <t>BEZERRO</t>
        </is>
      </c>
      <c r="C229" s="1" t="n">
        <v>3032.6</v>
      </c>
    </row>
    <row r="230">
      <c r="A230" s="9" t="n">
        <v>45988</v>
      </c>
      <c r="B230" s="1" t="inlineStr">
        <is>
          <t>BEZERRO</t>
        </is>
      </c>
      <c r="C230" s="1" t="n">
        <v>3031.13</v>
      </c>
    </row>
    <row r="231">
      <c r="A231" s="9" t="n">
        <v>45989</v>
      </c>
      <c r="B231" s="1" t="inlineStr">
        <is>
          <t>BEZERRO</t>
        </is>
      </c>
      <c r="C231" s="1" t="n">
        <v>3031.19</v>
      </c>
    </row>
    <row r="232">
      <c r="A232" s="9" t="n">
        <v>45992</v>
      </c>
      <c r="B232" s="1" t="inlineStr">
        <is>
          <t>BEZERRO</t>
        </is>
      </c>
      <c r="C232" s="1" t="n">
        <v>3043.08</v>
      </c>
    </row>
    <row r="233">
      <c r="A233" s="9" t="n">
        <v>45993</v>
      </c>
      <c r="B233" s="1" t="inlineStr">
        <is>
          <t>BEZERRO</t>
        </is>
      </c>
      <c r="C233" s="1" t="n">
        <v>3060.31</v>
      </c>
    </row>
    <row r="234">
      <c r="A234" s="9" t="n">
        <v>45994</v>
      </c>
      <c r="B234" s="1" t="inlineStr">
        <is>
          <t>BEZERRO</t>
        </is>
      </c>
      <c r="C234" s="1" t="n">
        <v>3061.06</v>
      </c>
    </row>
    <row r="235">
      <c r="A235" s="9" t="n">
        <v>45995</v>
      </c>
      <c r="B235" s="1" t="inlineStr">
        <is>
          <t>BEZERRO</t>
        </is>
      </c>
      <c r="C235" s="1" t="n">
        <v>3072.36</v>
      </c>
    </row>
    <row r="236">
      <c r="A236" s="9" t="n">
        <v>45996</v>
      </c>
      <c r="B236" s="1" t="inlineStr">
        <is>
          <t>BEZERRO</t>
        </is>
      </c>
      <c r="C236" s="1" t="n">
        <v>3070.36</v>
      </c>
    </row>
    <row r="237">
      <c r="A237" s="9" t="n">
        <v>45999</v>
      </c>
      <c r="B237" s="1" t="inlineStr">
        <is>
          <t>BEZERRO</t>
        </is>
      </c>
      <c r="C237" s="1" t="n">
        <v>3068.91</v>
      </c>
    </row>
    <row r="238">
      <c r="A238" s="9" t="n">
        <v>46000</v>
      </c>
      <c r="B238" s="1" t="inlineStr">
        <is>
          <t>BEZERRO</t>
        </is>
      </c>
      <c r="C238" s="1" t="n">
        <v>3067.68</v>
      </c>
    </row>
    <row r="239">
      <c r="A239" s="9" t="n">
        <v>46001</v>
      </c>
      <c r="B239" s="1" t="inlineStr">
        <is>
          <t>BEZERRO</t>
        </is>
      </c>
      <c r="C239" s="1" t="n">
        <v>3065.42</v>
      </c>
    </row>
    <row r="240">
      <c r="A240" s="9" t="n">
        <v>46002</v>
      </c>
      <c r="B240" s="1" t="inlineStr">
        <is>
          <t>BEZERRO</t>
        </is>
      </c>
      <c r="C240" s="1" t="n">
        <v>3072.26</v>
      </c>
    </row>
    <row r="241">
      <c r="A241" s="9" t="n">
        <v>46003</v>
      </c>
      <c r="B241" s="1" t="inlineStr">
        <is>
          <t>BEZERRO</t>
        </is>
      </c>
      <c r="C241" s="1" t="n">
        <v>3071.09</v>
      </c>
    </row>
    <row r="242">
      <c r="A242" s="9" t="n">
        <v>46006</v>
      </c>
      <c r="B242" s="1" t="inlineStr">
        <is>
          <t>BEZERRO</t>
        </is>
      </c>
      <c r="C242" s="1" t="n">
        <v>3073.58</v>
      </c>
    </row>
    <row r="243">
      <c r="A243" s="9" t="n">
        <v>46007</v>
      </c>
      <c r="B243" s="1" t="inlineStr">
        <is>
          <t>BEZERRO</t>
        </is>
      </c>
      <c r="C243" s="1" t="n">
        <v>3061.63</v>
      </c>
    </row>
    <row r="244">
      <c r="A244" s="9" t="n">
        <v>46008</v>
      </c>
      <c r="B244" s="1" t="inlineStr">
        <is>
          <t>BEZERRO</t>
        </is>
      </c>
      <c r="C244" s="1" t="n">
        <v>3047.82</v>
      </c>
    </row>
    <row r="245">
      <c r="A245" s="9" t="n">
        <v>46009</v>
      </c>
      <c r="B245" s="1" t="inlineStr">
        <is>
          <t>BEZERRO</t>
        </is>
      </c>
      <c r="C245" s="1" t="n">
        <v>3073.21</v>
      </c>
    </row>
    <row r="246">
      <c r="A246" s="9" t="n">
        <v>46010</v>
      </c>
      <c r="B246" s="1" t="inlineStr">
        <is>
          <t>BEZERRO</t>
        </is>
      </c>
      <c r="C246" s="1" t="n">
        <v>3064.07</v>
      </c>
    </row>
    <row r="247">
      <c r="A247" s="9" t="n">
        <v>46013</v>
      </c>
      <c r="B247" s="1" t="inlineStr">
        <is>
          <t>BEZERRO</t>
        </is>
      </c>
      <c r="C247" s="1" t="n">
        <v>3066.34</v>
      </c>
    </row>
    <row r="248">
      <c r="A248" s="9" t="n">
        <v>46014</v>
      </c>
      <c r="B248" s="1" t="inlineStr">
        <is>
          <t>BEZERRO</t>
        </is>
      </c>
      <c r="C248" s="1" t="n">
        <v>3067.72</v>
      </c>
    </row>
    <row r="249">
      <c r="A249" s="9" t="n">
        <v>46017</v>
      </c>
      <c r="B249" s="1" t="inlineStr">
        <is>
          <t>BEZERRO</t>
        </is>
      </c>
      <c r="C249" s="1" t="n">
        <v>3063.72</v>
      </c>
    </row>
    <row r="250">
      <c r="A250" s="9" t="n">
        <v>46020</v>
      </c>
      <c r="B250" s="1" t="inlineStr">
        <is>
          <t>BEZERRO</t>
        </is>
      </c>
      <c r="C250" s="1" t="n">
        <v>3062.69</v>
      </c>
    </row>
    <row r="251">
      <c r="A251" s="9" t="n">
        <v>46021</v>
      </c>
      <c r="B251" s="1" t="inlineStr">
        <is>
          <t>BEZERRO</t>
        </is>
      </c>
      <c r="C251" s="1" t="n">
        <v>3066.58</v>
      </c>
    </row>
    <row r="252">
      <c r="A252" s="9" t="n">
        <v>46024</v>
      </c>
      <c r="B252" s="1" t="inlineStr">
        <is>
          <t>BEZERRO</t>
        </is>
      </c>
      <c r="C252" s="1" t="n">
        <v>3070.21</v>
      </c>
    </row>
    <row r="253">
      <c r="A253" s="9" t="n">
        <v>46027</v>
      </c>
      <c r="B253" t="inlineStr">
        <is>
          <t>BEZERRO</t>
        </is>
      </c>
      <c r="C253" s="1" t="n">
        <v>3085.47</v>
      </c>
    </row>
    <row r="254">
      <c r="A254" s="9" t="n">
        <v>46028</v>
      </c>
      <c r="B254" t="inlineStr">
        <is>
          <t>BEZERRO</t>
        </is>
      </c>
      <c r="C254" s="1" t="n">
        <v>3091.64</v>
      </c>
    </row>
    <row r="255">
      <c r="A255" s="9" t="n">
        <v>46029</v>
      </c>
      <c r="B255" t="inlineStr">
        <is>
          <t>BEZERRO</t>
        </is>
      </c>
      <c r="C255" s="1" t="n">
        <v>3072.85</v>
      </c>
    </row>
    <row r="256">
      <c r="A256" s="9" t="n">
        <v>46030</v>
      </c>
      <c r="B256" t="inlineStr">
        <is>
          <t>BEZERRO</t>
        </is>
      </c>
      <c r="C256" s="1" t="n">
        <v>3072.85</v>
      </c>
    </row>
    <row r="257">
      <c r="A257" s="9" t="n">
        <v>46031</v>
      </c>
      <c r="B257" t="inlineStr">
        <is>
          <t>BEZERRO</t>
        </is>
      </c>
      <c r="C257" s="1" t="n">
        <v>3061.65</v>
      </c>
    </row>
    <row r="258">
      <c r="A258" s="9" t="n">
        <v>46034</v>
      </c>
      <c r="B258" t="inlineStr">
        <is>
          <t>BEZERRO</t>
        </is>
      </c>
      <c r="C258" s="1" t="n">
        <v>3040.03</v>
      </c>
    </row>
    <row r="259">
      <c r="A259" s="9" t="n">
        <v>46035</v>
      </c>
      <c r="B259" t="inlineStr">
        <is>
          <t>BEZERRO</t>
        </is>
      </c>
      <c r="C259" s="1" t="n">
        <v>3053.52</v>
      </c>
    </row>
    <row r="260">
      <c r="A260" s="9" t="n">
        <v>46036</v>
      </c>
      <c r="B260" t="inlineStr">
        <is>
          <t>BEZERRO</t>
        </is>
      </c>
      <c r="C260" s="1" t="n">
        <v>3063.72</v>
      </c>
    </row>
    <row r="261">
      <c r="A261" s="9" t="n">
        <v>46037</v>
      </c>
      <c r="B261" t="inlineStr">
        <is>
          <t>BEZERRO</t>
        </is>
      </c>
      <c r="C261" s="1" t="n">
        <v>3076.12</v>
      </c>
    </row>
    <row r="262">
      <c r="A262" s="9" t="n">
        <v>46038</v>
      </c>
      <c r="B262" t="inlineStr">
        <is>
          <t>BEZERRO</t>
        </is>
      </c>
      <c r="C262" s="1" t="n">
        <v>3073.01</v>
      </c>
    </row>
    <row r="263">
      <c r="A263" s="9" t="n">
        <v>46041</v>
      </c>
      <c r="B263" t="inlineStr">
        <is>
          <t>BEZERRO</t>
        </is>
      </c>
      <c r="C263" s="1" t="n">
        <v>3070.49</v>
      </c>
    </row>
    <row r="264">
      <c r="A264" s="9" t="n">
        <v>46042</v>
      </c>
      <c r="B264" t="inlineStr">
        <is>
          <t>BEZERRO</t>
        </is>
      </c>
      <c r="C264" s="1" t="n">
        <v>3076.27</v>
      </c>
    </row>
    <row r="265">
      <c r="A265" s="4" t="n">
        <v>46043</v>
      </c>
      <c r="B265" t="inlineStr">
        <is>
          <t>BEZERRO</t>
        </is>
      </c>
      <c r="C265" s="1" t="n">
        <v>3065.22</v>
      </c>
    </row>
    <row r="266">
      <c r="A266" s="4" t="n">
        <v>46044</v>
      </c>
      <c r="B266" t="inlineStr">
        <is>
          <t>BEZERRO</t>
        </is>
      </c>
      <c r="C266" s="1" t="n">
        <v>3081.36</v>
      </c>
    </row>
    <row r="267">
      <c r="A267" s="9" t="n">
        <v>46045</v>
      </c>
      <c r="B267" t="inlineStr">
        <is>
          <t>BEZERRO</t>
        </is>
      </c>
      <c r="C267" s="1" t="n">
        <v>3092.55</v>
      </c>
    </row>
    <row r="268">
      <c r="A268" s="9" t="n">
        <v>46048</v>
      </c>
      <c r="B268" t="inlineStr">
        <is>
          <t>BEZERRO</t>
        </is>
      </c>
      <c r="C268" s="1" t="n">
        <v>3100.9</v>
      </c>
    </row>
    <row r="269">
      <c r="A269" s="9" t="n">
        <v>46049</v>
      </c>
      <c r="B269" t="inlineStr">
        <is>
          <t>BEZERRO</t>
        </is>
      </c>
      <c r="C269" s="1" t="n">
        <v>3097.63</v>
      </c>
    </row>
    <row r="270">
      <c r="A270" s="9" t="n">
        <v>46050</v>
      </c>
      <c r="B270" t="inlineStr">
        <is>
          <t>BEZERRO</t>
        </is>
      </c>
      <c r="C270" s="1" t="n">
        <v>3105.95</v>
      </c>
    </row>
    <row r="271">
      <c r="A271" s="9" t="n">
        <v>46051</v>
      </c>
      <c r="B271" t="inlineStr">
        <is>
          <t>BEZERRO</t>
        </is>
      </c>
      <c r="C271" s="1" t="n">
        <v>3098.65</v>
      </c>
    </row>
    <row r="272">
      <c r="A272" s="9" t="n">
        <v>46052</v>
      </c>
      <c r="B272" t="inlineStr">
        <is>
          <t>BEZERRO</t>
        </is>
      </c>
      <c r="C272" s="1" t="n">
        <v>3091.73</v>
      </c>
    </row>
    <row r="273">
      <c r="A273" s="9" t="n">
        <v>46055</v>
      </c>
      <c r="B273" t="inlineStr">
        <is>
          <t>BEZERRO</t>
        </is>
      </c>
      <c r="C273" s="1" t="n">
        <v>3091.69</v>
      </c>
    </row>
    <row r="274">
      <c r="A274" s="9" t="n">
        <v>46056</v>
      </c>
      <c r="B274" t="inlineStr">
        <is>
          <t>BEZERRO</t>
        </is>
      </c>
      <c r="C274" s="1" t="n">
        <v>3088.37</v>
      </c>
    </row>
    <row r="275">
      <c r="A275" s="9" t="n">
        <v>46057</v>
      </c>
      <c r="B275" t="inlineStr">
        <is>
          <t>BEZERRO</t>
        </is>
      </c>
      <c r="C275" s="1" t="n">
        <v>3095.89</v>
      </c>
    </row>
    <row r="276">
      <c r="A276" s="9" t="n">
        <v>46058</v>
      </c>
      <c r="B276" t="inlineStr">
        <is>
          <t>BEZERRO</t>
        </is>
      </c>
      <c r="C276" s="1" t="n">
        <v>3117.25</v>
      </c>
    </row>
    <row r="277">
      <c r="A277" s="9" t="n">
        <v>46059</v>
      </c>
      <c r="B277" t="inlineStr">
        <is>
          <t>BEZERRO</t>
        </is>
      </c>
      <c r="C277" s="1" t="n">
        <v>3118.69</v>
      </c>
    </row>
    <row r="278">
      <c r="A278" s="9" t="n">
        <v>46062</v>
      </c>
      <c r="B278" t="inlineStr">
        <is>
          <t>BEZERRO</t>
        </is>
      </c>
      <c r="C278" s="1" t="n">
        <v>3112.21</v>
      </c>
    </row>
    <row r="279">
      <c r="A279" s="9" t="n">
        <v>46063</v>
      </c>
      <c r="B279" t="inlineStr">
        <is>
          <t>BEZERRO</t>
        </is>
      </c>
      <c r="C279" s="1" t="n">
        <v>3137.12</v>
      </c>
    </row>
    <row r="280">
      <c r="A280" s="9" t="n">
        <v>46064</v>
      </c>
      <c r="B280" t="inlineStr">
        <is>
          <t>BEZERRO</t>
        </is>
      </c>
      <c r="C280" s="1" t="n">
        <v>3159.72</v>
      </c>
    </row>
    <row r="281">
      <c r="A281" s="9" t="n">
        <v>46065</v>
      </c>
      <c r="B281" t="inlineStr">
        <is>
          <t>BEZERRO</t>
        </is>
      </c>
      <c r="C281" s="1" t="n">
        <v>3159.02</v>
      </c>
    </row>
    <row r="282">
      <c r="A282" s="9" t="n">
        <v>46066</v>
      </c>
      <c r="B282" t="inlineStr">
        <is>
          <t>BEZERRO</t>
        </is>
      </c>
      <c r="C282" s="1" t="n">
        <v>3157.23</v>
      </c>
    </row>
    <row r="283">
      <c r="A283" s="9" t="n">
        <v>46071</v>
      </c>
      <c r="B283" t="inlineStr">
        <is>
          <t>BEZERRO</t>
        </is>
      </c>
      <c r="C283" s="1" t="n">
        <v>3145.84</v>
      </c>
    </row>
    <row r="284">
      <c r="A284" s="9" t="n">
        <v>46072</v>
      </c>
      <c r="B284" t="inlineStr">
        <is>
          <t>BEZERRO</t>
        </is>
      </c>
      <c r="C284" s="1" t="n">
        <v>3180.64</v>
      </c>
    </row>
    <row r="285">
      <c r="A285" s="9" t="n">
        <v>46073</v>
      </c>
      <c r="B285" t="inlineStr">
        <is>
          <t>BEZERRO</t>
        </is>
      </c>
      <c r="C285" s="1" t="n">
        <v>3186.09</v>
      </c>
    </row>
    <row r="286">
      <c r="A286" s="9" t="n">
        <v>46076</v>
      </c>
      <c r="B286" t="inlineStr">
        <is>
          <t>BEZERRO</t>
        </is>
      </c>
      <c r="C286" s="1" t="n">
        <v>3213.2</v>
      </c>
    </row>
    <row r="287">
      <c r="A287" s="9" t="n">
        <v>46077</v>
      </c>
      <c r="B287" t="inlineStr">
        <is>
          <t>BEZERRO</t>
        </is>
      </c>
      <c r="C287" s="1" t="n">
        <v>3232.77</v>
      </c>
    </row>
    <row r="288">
      <c r="A288" s="9" t="n">
        <v>46078</v>
      </c>
      <c r="B288" t="inlineStr">
        <is>
          <t>BEZERRO</t>
        </is>
      </c>
      <c r="C288" s="1" t="n">
        <v>3218.7</v>
      </c>
    </row>
    <row r="289">
      <c r="A289" s="9" t="n">
        <v>46079</v>
      </c>
      <c r="B289" t="inlineStr">
        <is>
          <t>BEZERRO</t>
        </is>
      </c>
      <c r="C289" s="1" t="n">
        <v>3218.74</v>
      </c>
    </row>
    <row r="290">
      <c r="A290" s="9" t="n">
        <v>46080</v>
      </c>
      <c r="B290" t="inlineStr">
        <is>
          <t>BEZERRO</t>
        </is>
      </c>
      <c r="C290" s="1" t="n">
        <v>3224.18</v>
      </c>
    </row>
    <row r="291">
      <c r="A291" s="9" t="n">
        <v>46083</v>
      </c>
      <c r="B291" t="inlineStr">
        <is>
          <t>BEZERRO</t>
        </is>
      </c>
      <c r="C291" s="1" t="n">
        <v>3225.73</v>
      </c>
    </row>
    <row r="292">
      <c r="A292" s="9" t="n">
        <v>46084</v>
      </c>
      <c r="B292" t="inlineStr">
        <is>
          <t>BEZERRO</t>
        </is>
      </c>
      <c r="C292" s="1" t="n">
        <v>3246.87</v>
      </c>
    </row>
    <row r="293">
      <c r="A293" s="9" t="n">
        <v>46085</v>
      </c>
      <c r="B293" t="inlineStr">
        <is>
          <t>BEZERRO</t>
        </is>
      </c>
      <c r="C293" s="1" t="n">
        <v>3257.05</v>
      </c>
    </row>
    <row r="294">
      <c r="A294" s="9" t="n">
        <v>46086</v>
      </c>
      <c r="B294" t="inlineStr">
        <is>
          <t>BEZERRO</t>
        </is>
      </c>
      <c r="C294" s="1" t="n">
        <v>3266.23</v>
      </c>
    </row>
    <row r="295">
      <c r="A295" s="23" t="n">
        <v>46087</v>
      </c>
      <c r="B295" t="inlineStr">
        <is>
          <t>BEZERRO</t>
        </is>
      </c>
      <c r="C295" s="20" t="n">
        <v>3267.63</v>
      </c>
    </row>
    <row r="296">
      <c r="A296" s="23" t="n">
        <v>46090</v>
      </c>
      <c r="B296" t="inlineStr">
        <is>
          <t>BEZERRO</t>
        </is>
      </c>
      <c r="C296" s="20" t="n">
        <v>3263.92</v>
      </c>
    </row>
    <row r="297">
      <c r="A297" s="23" t="n">
        <v>46091</v>
      </c>
      <c r="B297" t="inlineStr">
        <is>
          <t>BEZERRO</t>
        </is>
      </c>
      <c r="C297" s="20" t="n">
        <v>3252.9</v>
      </c>
    </row>
    <row r="298">
      <c r="A298" s="23" t="n">
        <v>46092</v>
      </c>
      <c r="B298" t="inlineStr">
        <is>
          <t>BEZERRO</t>
        </is>
      </c>
      <c r="C298" s="20" t="n">
        <v>3251.73</v>
      </c>
    </row>
    <row r="299">
      <c r="A299" s="23" t="n">
        <v>46093</v>
      </c>
      <c r="B299" t="inlineStr">
        <is>
          <t>BEZERRO</t>
        </is>
      </c>
      <c r="C299" s="20" t="n">
        <v>3253.4</v>
      </c>
    </row>
    <row r="300">
      <c r="A300" s="27" t="inlineStr">
        <is>
          <t>13/03/2026</t>
        </is>
      </c>
      <c r="B300" t="inlineStr">
        <is>
          <t>BEZERRO</t>
        </is>
      </c>
      <c r="C300" s="20" t="n">
        <v>3257.48</v>
      </c>
    </row>
    <row r="301">
      <c r="A301" s="27" t="inlineStr">
        <is>
          <t>16/03/2026</t>
        </is>
      </c>
      <c r="B301" t="inlineStr">
        <is>
          <t>BEZERRO</t>
        </is>
      </c>
      <c r="C301" s="20" t="n">
        <v>3256.1</v>
      </c>
    </row>
    <row r="302">
      <c r="A302" s="27" t="inlineStr">
        <is>
          <t>17/03/2026</t>
        </is>
      </c>
      <c r="B302" t="inlineStr">
        <is>
          <t>BEZERRO</t>
        </is>
      </c>
      <c r="C302" s="20" t="n">
        <v>3253.44</v>
      </c>
    </row>
    <row r="303">
      <c r="A303" s="27" t="inlineStr">
        <is>
          <t>18/03/2026</t>
        </is>
      </c>
      <c r="B303" t="inlineStr">
        <is>
          <t>BEZERRO</t>
        </is>
      </c>
      <c r="C303" s="20" t="n">
        <v>3258.37</v>
      </c>
    </row>
    <row r="304">
      <c r="A304" s="27" t="inlineStr">
        <is>
          <t>19/03/2026</t>
        </is>
      </c>
      <c r="B304" t="inlineStr">
        <is>
          <t>BEZERRO</t>
        </is>
      </c>
      <c r="C304" s="20" t="n">
        <v>3264.36</v>
      </c>
    </row>
    <row r="305">
      <c r="A305" s="27" t="inlineStr">
        <is>
          <t>20/03/2026</t>
        </is>
      </c>
      <c r="B305" t="inlineStr">
        <is>
          <t>BEZERRO</t>
        </is>
      </c>
      <c r="C305" s="20" t="n">
        <v>3266.08</v>
      </c>
    </row>
    <row r="306">
      <c r="A306" s="27" t="inlineStr">
        <is>
          <t>23/03/2026</t>
        </is>
      </c>
      <c r="B306" t="inlineStr">
        <is>
          <t>BEZERRO</t>
        </is>
      </c>
      <c r="C306" s="20" t="n">
        <v>3273.13</v>
      </c>
    </row>
    <row r="307">
      <c r="A307" s="27" t="inlineStr">
        <is>
          <t>24/03/2026</t>
        </is>
      </c>
      <c r="B307" t="inlineStr">
        <is>
          <t>BEZERRO</t>
        </is>
      </c>
      <c r="C307" s="20" t="n">
        <v>3277.02</v>
      </c>
    </row>
    <row r="308">
      <c r="A308" s="27" t="inlineStr">
        <is>
          <t>25/03/2026</t>
        </is>
      </c>
      <c r="B308" t="inlineStr">
        <is>
          <t>BEZERRO</t>
        </is>
      </c>
      <c r="C308" s="20" t="n">
        <v>3278.85</v>
      </c>
    </row>
    <row r="309">
      <c r="A309" s="27" t="inlineStr">
        <is>
          <t>26/03/2026</t>
        </is>
      </c>
      <c r="B309" t="inlineStr">
        <is>
          <t>BEZERRO</t>
        </is>
      </c>
      <c r="C309" s="20" t="n">
        <v>3274.3</v>
      </c>
    </row>
    <row r="310">
      <c r="A310" s="27" t="inlineStr">
        <is>
          <t>27/03/2026</t>
        </is>
      </c>
      <c r="B310" t="inlineStr">
        <is>
          <t>BEZERRO</t>
        </is>
      </c>
      <c r="C310" s="20" t="n">
        <v>3285.53</v>
      </c>
    </row>
    <row r="311">
      <c r="A311" s="27" t="inlineStr">
        <is>
          <t>30/03/2026</t>
        </is>
      </c>
      <c r="B311" t="inlineStr">
        <is>
          <t>BEZERRO</t>
        </is>
      </c>
      <c r="C311" s="20" t="n">
        <v>3295.07</v>
      </c>
    </row>
    <row r="312">
      <c r="A312" s="27" t="inlineStr">
        <is>
          <t>31/03/2026</t>
        </is>
      </c>
      <c r="B312" t="inlineStr">
        <is>
          <t>BEZERRO</t>
        </is>
      </c>
      <c r="C312" s="20" t="n">
        <v>3293.86</v>
      </c>
    </row>
    <row r="313">
      <c r="A313" s="27" t="inlineStr">
        <is>
          <t>01/04/2026</t>
        </is>
      </c>
      <c r="B313" t="inlineStr">
        <is>
          <t>BEZERRO</t>
        </is>
      </c>
      <c r="C313" s="20" t="n">
        <v>3298.07</v>
      </c>
    </row>
    <row r="314">
      <c r="A314" s="27" t="inlineStr">
        <is>
          <t>02/04/2026</t>
        </is>
      </c>
      <c r="B314" t="inlineStr">
        <is>
          <t>BEZERRO</t>
        </is>
      </c>
      <c r="C314" s="20" t="n">
        <v>3297.48</v>
      </c>
    </row>
    <row r="315">
      <c r="A315" s="27" t="inlineStr">
        <is>
          <t>06/04/2026</t>
        </is>
      </c>
      <c r="B315" t="inlineStr">
        <is>
          <t>BEZERRO</t>
        </is>
      </c>
      <c r="C315" s="20" t="n">
        <v>3300.76</v>
      </c>
    </row>
    <row r="316">
      <c r="A316" s="27" t="inlineStr">
        <is>
          <t>07/04/2026</t>
        </is>
      </c>
      <c r="B316" t="inlineStr">
        <is>
          <t>BEZERRO</t>
        </is>
      </c>
      <c r="C316" s="20" t="n">
        <v>3305.87</v>
      </c>
    </row>
    <row r="317">
      <c r="A317" s="27" t="inlineStr">
        <is>
          <t>08/04/2026</t>
        </is>
      </c>
      <c r="B317" t="inlineStr">
        <is>
          <t>BEZERRO</t>
        </is>
      </c>
      <c r="C317" s="20" t="n">
        <v>3305.75</v>
      </c>
    </row>
    <row r="318">
      <c r="A318" s="27" t="inlineStr">
        <is>
          <t>09/04/2026</t>
        </is>
      </c>
      <c r="B318" t="inlineStr">
        <is>
          <t>BEZERRO</t>
        </is>
      </c>
      <c r="C318" s="20" t="n">
        <v>3310.49</v>
      </c>
    </row>
    <row r="319">
      <c r="A319" s="27" t="inlineStr">
        <is>
          <t>10/04/2026</t>
        </is>
      </c>
      <c r="B319" t="inlineStr">
        <is>
          <t>BEZERRO</t>
        </is>
      </c>
      <c r="C319" s="20" t="n">
        <v>3328.66</v>
      </c>
    </row>
    <row r="320">
      <c r="A320" s="27" t="inlineStr">
        <is>
          <t>13/04/2026</t>
        </is>
      </c>
      <c r="B320" t="inlineStr">
        <is>
          <t>BEZERRO</t>
        </is>
      </c>
      <c r="C320" s="20" t="n">
        <v>3346.72</v>
      </c>
    </row>
    <row r="321">
      <c r="A321" s="27" t="inlineStr">
        <is>
          <t>14/04/2026</t>
        </is>
      </c>
      <c r="B321" t="inlineStr">
        <is>
          <t>BEZERRO</t>
        </is>
      </c>
      <c r="C321" s="20" t="n">
        <v>3356.62</v>
      </c>
    </row>
    <row r="322">
      <c r="A322" s="27" t="inlineStr">
        <is>
          <t>15/04/2026</t>
        </is>
      </c>
      <c r="B322" t="inlineStr">
        <is>
          <t>BEZERRO</t>
        </is>
      </c>
      <c r="C322" s="20" t="n">
        <v>3366.17</v>
      </c>
    </row>
    <row r="323">
      <c r="A323" s="23" t="n">
        <v>46128</v>
      </c>
      <c r="B323" t="inlineStr">
        <is>
          <t>BEZERRO</t>
        </is>
      </c>
      <c r="C323" s="20" t="n">
        <v>3372.59</v>
      </c>
    </row>
    <row r="324">
      <c r="A324" s="23" t="n">
        <v>46132</v>
      </c>
      <c r="B324" t="inlineStr">
        <is>
          <t>BEZERRO</t>
        </is>
      </c>
      <c r="C324" s="20" t="n">
        <v>3380.72</v>
      </c>
    </row>
    <row r="325">
      <c r="A325" s="23" t="n">
        <v>46134</v>
      </c>
      <c r="B325" t="inlineStr">
        <is>
          <t>BEZERRO</t>
        </is>
      </c>
      <c r="C325" s="20" t="n">
        <v>3381.64</v>
      </c>
    </row>
    <row r="326">
      <c r="A326" s="23" t="n">
        <v>46135</v>
      </c>
      <c r="B326" t="inlineStr">
        <is>
          <t>BEZERRO</t>
        </is>
      </c>
      <c r="C326" s="20" t="n">
        <v>3384.07</v>
      </c>
    </row>
    <row r="327">
      <c r="A327" s="23" t="n">
        <v>46136</v>
      </c>
      <c r="B327" t="inlineStr">
        <is>
          <t>BEZERRO</t>
        </is>
      </c>
      <c r="C327" s="20" t="n">
        <v>3389.87</v>
      </c>
    </row>
    <row r="328">
      <c r="A328" s="23" t="n">
        <v>46139</v>
      </c>
      <c r="B328" t="inlineStr">
        <is>
          <t>BEZERRO</t>
        </is>
      </c>
      <c r="C328" s="20" t="n">
        <v>3401.32</v>
      </c>
    </row>
    <row r="329">
      <c r="A329" s="23" t="n">
        <v>46140</v>
      </c>
      <c r="B329" t="inlineStr">
        <is>
          <t>BEZERRO</t>
        </is>
      </c>
      <c r="C329" s="20" t="n">
        <v>3403.82</v>
      </c>
    </row>
    <row r="330">
      <c r="A330" s="23" t="n">
        <v>46141</v>
      </c>
      <c r="B330" t="inlineStr">
        <is>
          <t>BEZERRO</t>
        </is>
      </c>
      <c r="C330" s="20" t="n">
        <v>3405.14</v>
      </c>
    </row>
    <row r="331">
      <c r="A331" s="23" t="n">
        <v>46142</v>
      </c>
      <c r="B331" t="inlineStr">
        <is>
          <t>BEZERRO</t>
        </is>
      </c>
      <c r="C331" s="20" t="n">
        <v>3408.7</v>
      </c>
    </row>
    <row r="332">
      <c r="A332" s="23" t="n">
        <v>46146</v>
      </c>
      <c r="B332" t="inlineStr">
        <is>
          <t>BEZERRO</t>
        </is>
      </c>
      <c r="C332" s="20" t="n">
        <v>3416.74</v>
      </c>
    </row>
    <row r="333">
      <c r="A333" s="23" t="n">
        <v>46147</v>
      </c>
      <c r="B333" t="inlineStr">
        <is>
          <t>BEZERRO</t>
        </is>
      </c>
      <c r="C333" s="20" t="n">
        <v>3419.59</v>
      </c>
    </row>
    <row r="334">
      <c r="A334" s="23" t="n">
        <v>46148</v>
      </c>
      <c r="B334" t="inlineStr">
        <is>
          <t>BEZERRO</t>
        </is>
      </c>
      <c r="C334" s="20" t="n">
        <v>3420.24</v>
      </c>
    </row>
    <row r="335">
      <c r="A335" s="23" t="n">
        <v>46149</v>
      </c>
      <c r="B335" t="inlineStr">
        <is>
          <t>BEZERRO</t>
        </is>
      </c>
      <c r="C335" s="20" t="n">
        <v>3417.44</v>
      </c>
    </row>
    <row r="336">
      <c r="A336" s="23" t="n">
        <v>46150</v>
      </c>
      <c r="B336" t="inlineStr">
        <is>
          <t>BEZERRO</t>
        </is>
      </c>
      <c r="C336" s="20" t="n">
        <v>3424.97</v>
      </c>
    </row>
    <row r="337">
      <c r="A337" s="23" t="n">
        <v>46153</v>
      </c>
      <c r="B337" t="inlineStr">
        <is>
          <t>BEZERRO</t>
        </is>
      </c>
      <c r="C337" s="20" t="n">
        <v>3422.29</v>
      </c>
    </row>
    <row r="338">
      <c r="A338" s="23" t="n">
        <v>46154</v>
      </c>
      <c r="B338" t="inlineStr">
        <is>
          <t>BEZERRO</t>
        </is>
      </c>
      <c r="C338" s="20" t="n">
        <v>3431.33</v>
      </c>
    </row>
    <row r="339">
      <c r="A339" s="23" t="n">
        <v>46155</v>
      </c>
      <c r="B339" t="inlineStr">
        <is>
          <t>BEZERRO</t>
        </is>
      </c>
      <c r="C339" s="20" t="n">
        <v>3427.14</v>
      </c>
    </row>
    <row r="340">
      <c r="A340" s="23" t="n">
        <v>46156</v>
      </c>
      <c r="B340" t="inlineStr">
        <is>
          <t>BEZERRO</t>
        </is>
      </c>
      <c r="C340" s="20" t="n">
        <v>3430.49</v>
      </c>
    </row>
    <row r="341">
      <c r="A341" s="23" t="n">
        <v>46157</v>
      </c>
      <c r="B341" t="inlineStr">
        <is>
          <t>BEZERRO</t>
        </is>
      </c>
      <c r="C341" s="20" t="n">
        <v>3433.13</v>
      </c>
    </row>
    <row r="342">
      <c r="A342" s="23" t="n">
        <v>46160</v>
      </c>
      <c r="B342" t="inlineStr">
        <is>
          <t>BEZERRO</t>
        </is>
      </c>
      <c r="C342" s="20" t="n">
        <v>3433.52</v>
      </c>
    </row>
    <row r="343">
      <c r="A343" s="23" t="n">
        <v>46161</v>
      </c>
      <c r="B343" t="inlineStr">
        <is>
          <t>BEZERRO</t>
        </is>
      </c>
      <c r="C343" s="20" t="n">
        <v>3416.03</v>
      </c>
    </row>
    <row r="344">
      <c r="A344" s="23" t="n">
        <v>46162</v>
      </c>
      <c r="B344" t="inlineStr">
        <is>
          <t>BEZERRO</t>
        </is>
      </c>
      <c r="C344" s="20" t="n">
        <v>3410.92</v>
      </c>
    </row>
    <row r="345">
      <c r="A345" s="23" t="n">
        <v>46163</v>
      </c>
      <c r="B345" t="inlineStr">
        <is>
          <t>BEZERRO</t>
        </is>
      </c>
      <c r="C345" s="20" t="n">
        <v>3424.72</v>
      </c>
    </row>
    <row r="346">
      <c r="A346" s="23" t="n">
        <v>46164</v>
      </c>
      <c r="B346" t="inlineStr">
        <is>
          <t>BEZERRO</t>
        </is>
      </c>
      <c r="C346" s="20" t="n">
        <v>3428.49</v>
      </c>
    </row>
    <row r="347">
      <c r="A347" s="23" t="n">
        <v>46167</v>
      </c>
      <c r="B347" t="inlineStr">
        <is>
          <t>BEZERRO</t>
        </is>
      </c>
      <c r="C347" s="20" t="n">
        <v>3425.59</v>
      </c>
    </row>
    <row r="348">
      <c r="A348" s="23" t="n">
        <v>46168</v>
      </c>
      <c r="B348" t="inlineStr">
        <is>
          <t>BEZERRO</t>
        </is>
      </c>
      <c r="C348" s="20" t="n">
        <v>3425.26</v>
      </c>
    </row>
    <row r="349">
      <c r="A349" s="23" t="n">
        <v>46169</v>
      </c>
      <c r="B349" t="inlineStr">
        <is>
          <t>BEZERRO</t>
        </is>
      </c>
      <c r="C349" s="20" t="n">
        <v>3421.01</v>
      </c>
    </row>
    <row r="350">
      <c r="A350" s="23" t="n">
        <v>46170</v>
      </c>
      <c r="B350" t="inlineStr">
        <is>
          <t>BEZERRO</t>
        </is>
      </c>
      <c r="C350" s="20" t="n">
        <v>3411.95</v>
      </c>
    </row>
    <row r="351">
      <c r="A351" s="23" t="n">
        <v>46171</v>
      </c>
      <c r="B351" t="inlineStr">
        <is>
          <t>BEZERRO</t>
        </is>
      </c>
      <c r="C351" s="20" t="n">
        <v>3419.24</v>
      </c>
    </row>
    <row r="352">
      <c r="A352" s="23" t="n">
        <v>46174</v>
      </c>
      <c r="B352" t="inlineStr">
        <is>
          <t>BEZERRO</t>
        </is>
      </c>
      <c r="C352" s="20" t="n">
        <v>3414.84</v>
      </c>
    </row>
    <row r="353">
      <c r="A353" s="23" t="n">
        <v>46175</v>
      </c>
      <c r="B353" t="inlineStr">
        <is>
          <t>BEZERRO</t>
        </is>
      </c>
      <c r="C353" s="20" t="n">
        <v>3416.37</v>
      </c>
    </row>
    <row r="354">
      <c r="A354" s="23" t="n">
        <v>46176</v>
      </c>
      <c r="B354" t="inlineStr">
        <is>
          <t>BEZERRO</t>
        </is>
      </c>
      <c r="C354" s="20" t="n">
        <v>3412.68</v>
      </c>
    </row>
    <row r="355">
      <c r="A355" s="23" t="n">
        <v>46178</v>
      </c>
      <c r="B355" t="inlineStr">
        <is>
          <t>BEZERRO</t>
        </is>
      </c>
      <c r="C355" s="20" t="n">
        <v>3402</v>
      </c>
    </row>
    <row r="356">
      <c r="A356" s="23" t="n">
        <v>46181</v>
      </c>
      <c r="B356" t="inlineStr">
        <is>
          <t>BEZERRO</t>
        </is>
      </c>
      <c r="C356" s="20" t="n">
        <v>3403.95</v>
      </c>
    </row>
    <row r="357">
      <c r="A357" s="23" t="n">
        <v>46182</v>
      </c>
      <c r="B357" t="inlineStr">
        <is>
          <t>BEZERRO</t>
        </is>
      </c>
      <c r="C357" s="20" t="n">
        <v>3407.66</v>
      </c>
    </row>
    <row r="358">
      <c r="A358" s="23" t="n">
        <v>46183</v>
      </c>
      <c r="B358" t="inlineStr">
        <is>
          <t>BEZERRO</t>
        </is>
      </c>
      <c r="C358" s="20" t="n">
        <v>3400.94</v>
      </c>
    </row>
    <row r="359">
      <c r="A359" s="23" t="n">
        <v>46184</v>
      </c>
      <c r="B359" t="inlineStr">
        <is>
          <t>BEZERRO</t>
        </is>
      </c>
      <c r="C359" s="20" t="n">
        <v>3398.83</v>
      </c>
    </row>
    <row r="360">
      <c r="A360" s="23" t="n">
        <v>46185</v>
      </c>
      <c r="B360" t="inlineStr">
        <is>
          <t>BEZERRO</t>
        </is>
      </c>
      <c r="C360" s="20" t="n">
        <v>3396.76</v>
      </c>
    </row>
    <row r="361">
      <c r="A361" s="23" t="n">
        <v>46188</v>
      </c>
      <c r="B361" s="1" t="inlineStr">
        <is>
          <t>BEZERRO</t>
        </is>
      </c>
      <c r="C361" s="1" t="n">
        <v>3398.84</v>
      </c>
    </row>
    <row r="362">
      <c r="A362" s="23" t="n">
        <v>46189</v>
      </c>
      <c r="B362" s="1" t="inlineStr">
        <is>
          <t>BEZERRO</t>
        </is>
      </c>
      <c r="C362" s="1" t="n">
        <v>3395.7</v>
      </c>
    </row>
    <row r="363">
      <c r="A363" s="23" t="n">
        <v>46190</v>
      </c>
      <c r="B363" s="1" t="inlineStr">
        <is>
          <t>BEZERRO</t>
        </is>
      </c>
      <c r="C363" s="1" t="n">
        <v>3396.27</v>
      </c>
    </row>
    <row r="364">
      <c r="A364" s="23" t="n">
        <v>46191</v>
      </c>
      <c r="B364" s="1" t="inlineStr">
        <is>
          <t>BEZERRO</t>
        </is>
      </c>
      <c r="C364" s="1" t="n">
        <v>3402.42</v>
      </c>
    </row>
    <row r="365">
      <c r="A365" s="23" t="n">
        <v>46192</v>
      </c>
      <c r="B365" s="1" t="inlineStr">
        <is>
          <t>BEZERRO</t>
        </is>
      </c>
      <c r="C365" s="1" t="n">
        <v>3398.83</v>
      </c>
    </row>
    <row r="366">
      <c r="A366" s="23" t="n">
        <v>46195</v>
      </c>
      <c r="B366" s="20" t="inlineStr">
        <is>
          <t>BEZERRO</t>
        </is>
      </c>
      <c r="C366" s="20" t="n">
        <v>3394.11</v>
      </c>
    </row>
    <row r="367">
      <c r="A367" s="23" t="n">
        <v>46196</v>
      </c>
      <c r="B367" s="20" t="inlineStr">
        <is>
          <t>BEZERRO</t>
        </is>
      </c>
      <c r="C367" s="20" t="n">
        <v>3389.87</v>
      </c>
    </row>
    <row r="368">
      <c r="A368" s="23" t="n">
        <v>46197</v>
      </c>
      <c r="B368" s="20" t="inlineStr">
        <is>
          <t>BEZERRO</t>
        </is>
      </c>
      <c r="C368" s="20" t="n">
        <v>3394.39</v>
      </c>
    </row>
    <row r="369">
      <c r="A369" s="23" t="n">
        <v>46198</v>
      </c>
      <c r="B369" s="20" t="inlineStr">
        <is>
          <t>BEZERRO</t>
        </is>
      </c>
      <c r="C369" s="20" t="n">
        <v>3388.18</v>
      </c>
    </row>
    <row r="370">
      <c r="A370" s="23" t="n">
        <v>46199</v>
      </c>
      <c r="B370" s="20" t="inlineStr">
        <is>
          <t>BEZERRO</t>
        </is>
      </c>
      <c r="C370" s="20" t="n">
        <v>3390.78</v>
      </c>
    </row>
    <row r="371">
      <c r="A371" s="23" t="n">
        <v>46202</v>
      </c>
      <c r="B371" s="20" t="inlineStr">
        <is>
          <t>BEZERRO</t>
        </is>
      </c>
      <c r="C371" s="20" t="n">
        <v>3385.38</v>
      </c>
    </row>
    <row r="372">
      <c r="A372" s="23" t="n">
        <v>46203</v>
      </c>
      <c r="B372" s="20" t="inlineStr">
        <is>
          <t>BEZERRO</t>
        </is>
      </c>
      <c r="C372" s="20" t="n">
        <v>3387.19</v>
      </c>
    </row>
    <row r="373">
      <c r="A373" s="23" t="n">
        <v>46204</v>
      </c>
      <c r="B373" s="20" t="inlineStr">
        <is>
          <t>BEZERRO</t>
        </is>
      </c>
      <c r="C373" s="20" t="n">
        <v>3392.02</v>
      </c>
    </row>
    <row r="374">
      <c r="A374" s="23" t="n">
        <v>46205</v>
      </c>
      <c r="B374" s="20" t="inlineStr">
        <is>
          <t>BEZERRO</t>
        </is>
      </c>
      <c r="C374" s="20" t="n">
        <v>3391.88</v>
      </c>
    </row>
    <row r="375">
      <c r="A375" s="23" t="n">
        <v>46206</v>
      </c>
      <c r="B375" s="20" t="inlineStr">
        <is>
          <t>BEZERRO</t>
        </is>
      </c>
      <c r="C375" s="20" t="n">
        <v>3391.18</v>
      </c>
    </row>
    <row r="376">
      <c r="A376" s="23" t="n">
        <v>46209</v>
      </c>
      <c r="B376" s="20" t="inlineStr">
        <is>
          <t>BEZERRO</t>
        </is>
      </c>
      <c r="C376" s="20" t="n">
        <v>3387</v>
      </c>
    </row>
    <row r="377">
      <c r="A377" s="23" t="n">
        <v>46210</v>
      </c>
      <c r="B377" s="20" t="inlineStr">
        <is>
          <t>BEZERRO</t>
        </is>
      </c>
      <c r="C377" s="20" t="n">
        <v>3392.8</v>
      </c>
    </row>
    <row r="378">
      <c r="A378" s="23" t="n">
        <v>46211</v>
      </c>
      <c r="B378" s="20" t="inlineStr">
        <is>
          <t>BEZERRO</t>
        </is>
      </c>
      <c r="C378" s="20" t="n">
        <v>3381.17</v>
      </c>
    </row>
    <row r="379">
      <c r="A379" s="23" t="n">
        <v>46212</v>
      </c>
      <c r="B379" s="20" t="inlineStr">
        <is>
          <t>BEZERRO</t>
        </is>
      </c>
      <c r="C379" s="20" t="n">
        <v>3379.25</v>
      </c>
    </row>
    <row r="380">
      <c r="A380" s="23" t="n">
        <v>46213</v>
      </c>
      <c r="B380" s="20" t="inlineStr">
        <is>
          <t>BEZERRO</t>
        </is>
      </c>
      <c r="C380" s="20" t="n">
        <v>3383.71</v>
      </c>
    </row>
    <row r="381">
      <c r="A381" s="23" t="n">
        <v>46216</v>
      </c>
      <c r="B381" s="20" t="inlineStr">
        <is>
          <t>BEZERRO</t>
        </is>
      </c>
      <c r="C381" s="20" t="n">
        <v>3387.36</v>
      </c>
    </row>
    <row r="382">
      <c r="A382" s="23" t="n">
        <v>46217</v>
      </c>
      <c r="B382" s="20" t="inlineStr">
        <is>
          <t>BEZERRO</t>
        </is>
      </c>
      <c r="C382" s="20" t="n">
        <v>3381.88</v>
      </c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</sheetData>
  <pageMargins left="0.511811024" right="0.511811024" top="0.787401575" bottom="0.787401575" header="0.31496062" footer="0.31496062"/>
  <pageSetup orientation="portrait" paperSize="9"/>
</worksheet>
</file>

<file path=xl/worksheets/sheet7.xml><?xml version="1.0" encoding="utf-8"?>
<worksheet xmlns="http://schemas.openxmlformats.org/spreadsheetml/2006/main">
  <sheetPr codeName="Planilha7">
    <outlinePr summaryBelow="1" summaryRight="1"/>
    <pageSetUpPr/>
  </sheetPr>
  <dimension ref="A1:AC1251"/>
  <sheetViews>
    <sheetView topLeftCell="A118" zoomScale="80" zoomScaleNormal="80" workbookViewId="0">
      <selection activeCell="I133" sqref="I133"/>
    </sheetView>
  </sheetViews>
  <sheetFormatPr baseColWidth="8" defaultRowHeight="15" outlineLevelCol="0"/>
  <cols>
    <col width="12.5703125" bestFit="1" customWidth="1" style="11" min="1" max="1"/>
    <col width="18" bestFit="1" customWidth="1" style="1" min="2" max="2"/>
    <col width="9.140625" customWidth="1" style="1" min="3" max="3"/>
    <col width="9.42578125" customWidth="1" style="1" min="4" max="12"/>
    <col width="13.28515625" bestFit="1" customWidth="1" style="1" min="13" max="13"/>
    <col width="11.28515625" customWidth="1" style="1" min="14" max="20"/>
    <col width="9.42578125" customWidth="1" style="1" min="21" max="21"/>
    <col width="14.28515625" customWidth="1" style="1" min="22" max="22"/>
    <col width="11.28515625" customWidth="1" style="1" min="23" max="23"/>
    <col width="21.42578125" bestFit="1" customWidth="1" style="1" min="24" max="24"/>
    <col width="9.140625" customWidth="1" style="1" min="25" max="27"/>
    <col width="15.28515625" bestFit="1" customWidth="1" style="1" min="28" max="28"/>
    <col width="9.140625" customWidth="1" style="1" min="29" max="63"/>
    <col width="9.140625" customWidth="1" style="1" min="64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SOJA - PARANAGUÁ</t>
        </is>
      </c>
      <c r="C2" s="26" t="n">
        <v>142.14</v>
      </c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V2" s="3" t="n"/>
      <c r="W2" s="3" t="n"/>
      <c r="AC2" s="5" t="n"/>
    </row>
    <row r="3">
      <c r="A3" s="9" t="n">
        <v>46027</v>
      </c>
      <c r="B3" s="1" t="inlineStr">
        <is>
          <t>SOJA - PARANAGUÁ</t>
        </is>
      </c>
      <c r="C3" s="26" t="n">
        <v>137.15</v>
      </c>
      <c r="K3" s="3" t="n"/>
      <c r="M3" s="3" t="n"/>
      <c r="N3" s="3" t="n"/>
      <c r="O3" s="3" t="n"/>
      <c r="P3" s="3" t="n"/>
      <c r="Q3" s="3" t="n"/>
      <c r="R3" s="3" t="n"/>
      <c r="S3" s="3" t="n"/>
      <c r="T3" s="3" t="n"/>
      <c r="V3" s="3" t="n"/>
      <c r="W3" s="3" t="n"/>
    </row>
    <row r="4">
      <c r="A4" s="9" t="n">
        <v>46028</v>
      </c>
      <c r="B4" s="1" t="inlineStr">
        <is>
          <t>SOJA - PARANAGUÁ</t>
        </is>
      </c>
      <c r="C4" s="26" t="n">
        <v>134.71</v>
      </c>
      <c r="K4" s="3" t="n"/>
      <c r="M4" s="3" t="n"/>
      <c r="N4" s="3" t="n"/>
      <c r="O4" s="3" t="n"/>
      <c r="P4" s="3" t="n"/>
      <c r="Q4" s="3" t="n"/>
      <c r="R4" s="3" t="n"/>
      <c r="S4" s="3" t="n"/>
      <c r="T4" s="3" t="n"/>
      <c r="V4" s="3" t="n"/>
      <c r="W4" s="3" t="n"/>
    </row>
    <row r="5">
      <c r="A5" s="9" t="n">
        <v>46029</v>
      </c>
      <c r="B5" s="1" t="inlineStr">
        <is>
          <t>SOJA - PARANAGUÁ</t>
        </is>
      </c>
      <c r="C5" s="26" t="n">
        <v>134.64</v>
      </c>
      <c r="K5" s="3" t="n"/>
      <c r="M5" s="3" t="n"/>
      <c r="N5" s="3" t="n"/>
      <c r="O5" s="3" t="n"/>
      <c r="P5" s="3" t="n"/>
      <c r="Q5" s="3" t="n"/>
      <c r="R5" s="3" t="n"/>
      <c r="S5" s="3" t="n"/>
      <c r="T5" s="3" t="n"/>
      <c r="V5" s="3" t="n"/>
      <c r="W5" s="3" t="n"/>
      <c r="AC5" s="10" t="n"/>
    </row>
    <row r="6">
      <c r="A6" s="9" t="n">
        <v>46030</v>
      </c>
      <c r="B6" s="1" t="inlineStr">
        <is>
          <t>SOJA - PARANAGUÁ</t>
        </is>
      </c>
      <c r="C6" s="26" t="n">
        <v>134.61</v>
      </c>
      <c r="K6" s="3" t="n"/>
      <c r="M6" s="3" t="n"/>
      <c r="N6" s="3" t="n"/>
      <c r="O6" s="3" t="n"/>
      <c r="P6" s="3" t="n"/>
      <c r="Q6" s="3" t="n"/>
      <c r="R6" s="3" t="n"/>
      <c r="S6" s="3" t="n"/>
      <c r="T6" s="3" t="n"/>
      <c r="V6" s="3" t="n"/>
      <c r="W6" s="3" t="n"/>
    </row>
    <row r="7">
      <c r="A7" s="9" t="n">
        <v>46031</v>
      </c>
      <c r="B7" s="1" t="inlineStr">
        <is>
          <t>SOJA - PARANAGUÁ</t>
        </is>
      </c>
      <c r="C7" s="26" t="n">
        <v>133.85</v>
      </c>
      <c r="K7" s="3" t="n"/>
      <c r="M7" s="3" t="n"/>
      <c r="N7" s="3" t="n"/>
      <c r="O7" s="3" t="n"/>
      <c r="P7" s="3" t="n"/>
      <c r="Q7" s="3" t="n"/>
      <c r="R7" s="3" t="n"/>
      <c r="S7" s="3" t="n"/>
      <c r="T7" s="3" t="n"/>
      <c r="V7" s="3" t="n"/>
      <c r="W7" s="3" t="n"/>
      <c r="Y7" s="5" t="n"/>
    </row>
    <row r="8">
      <c r="A8" s="9" t="n">
        <v>46034</v>
      </c>
      <c r="B8" s="1" t="inlineStr">
        <is>
          <t>SOJA - PARANAGUÁ</t>
        </is>
      </c>
      <c r="C8" s="26" t="n">
        <v>131.06</v>
      </c>
      <c r="K8" s="3" t="n"/>
      <c r="M8" s="3" t="n"/>
      <c r="N8" s="3" t="n"/>
      <c r="O8" s="3" t="n"/>
      <c r="P8" s="3" t="n"/>
      <c r="Q8" s="3" t="n"/>
      <c r="R8" s="3" t="n"/>
      <c r="S8" s="3" t="n"/>
      <c r="T8" s="3" t="n"/>
      <c r="V8" s="3" t="n"/>
      <c r="W8" s="3" t="n"/>
    </row>
    <row r="9">
      <c r="A9" s="9" t="n">
        <v>46035</v>
      </c>
      <c r="B9" s="1" t="inlineStr">
        <is>
          <t>SOJA - PARANAGUÁ</t>
        </is>
      </c>
      <c r="C9" s="26" t="n">
        <v>130.9</v>
      </c>
      <c r="K9" s="3" t="n"/>
      <c r="M9" s="3" t="n"/>
      <c r="N9" s="3" t="n"/>
      <c r="O9" s="3" t="n"/>
      <c r="P9" s="3" t="n"/>
      <c r="Q9" s="3" t="n"/>
      <c r="R9" s="3" t="n"/>
      <c r="S9" s="3" t="n"/>
      <c r="T9" s="3" t="n"/>
      <c r="V9" s="3" t="n"/>
      <c r="W9" s="3" t="n"/>
    </row>
    <row r="10">
      <c r="A10" s="9" t="n">
        <v>46036</v>
      </c>
      <c r="B10" s="1" t="inlineStr">
        <is>
          <t>SOJA - PARANAGUÁ</t>
        </is>
      </c>
      <c r="C10" s="26" t="n">
        <v>130.59</v>
      </c>
      <c r="K10" s="3" t="n"/>
      <c r="M10" s="3" t="n"/>
      <c r="N10" s="3" t="n"/>
      <c r="O10" s="3" t="n"/>
      <c r="P10" s="3" t="n"/>
      <c r="Q10" s="3" t="n"/>
      <c r="R10" s="3" t="n"/>
      <c r="S10" s="3" t="n"/>
      <c r="T10" s="3" t="n"/>
      <c r="V10" s="3" t="n"/>
      <c r="W10" s="3" t="n"/>
    </row>
    <row r="11">
      <c r="A11" s="9" t="n">
        <v>46037</v>
      </c>
      <c r="B11" s="1" t="inlineStr">
        <is>
          <t>SOJA - PARANAGUÁ</t>
        </is>
      </c>
      <c r="C11" s="26" t="n">
        <v>131.6</v>
      </c>
      <c r="K11" s="3" t="n"/>
      <c r="M11" s="3" t="n"/>
      <c r="N11" s="3" t="n"/>
      <c r="O11" s="3" t="n"/>
      <c r="P11" s="3" t="n"/>
      <c r="Q11" s="3" t="n"/>
      <c r="R11" s="3" t="n"/>
      <c r="S11" s="3" t="n"/>
      <c r="T11" s="3" t="n"/>
      <c r="V11" s="3" t="n"/>
      <c r="W11" s="3" t="n"/>
    </row>
    <row r="12">
      <c r="A12" s="9" t="n">
        <v>46038</v>
      </c>
      <c r="B12" s="1" t="inlineStr">
        <is>
          <t>SOJA - PARANAGUÁ</t>
        </is>
      </c>
      <c r="C12" s="26" t="n">
        <v>131.45</v>
      </c>
      <c r="K12" s="3" t="n"/>
      <c r="M12" s="3" t="n"/>
      <c r="N12" s="3" t="n"/>
      <c r="O12" s="3" t="n"/>
      <c r="P12" s="3" t="n"/>
      <c r="Q12" s="3" t="n"/>
      <c r="R12" s="3" t="n"/>
      <c r="S12" s="3" t="n"/>
      <c r="T12" s="3" t="n"/>
      <c r="V12" s="3" t="n"/>
      <c r="W12" s="3" t="n"/>
    </row>
    <row r="13">
      <c r="A13" s="9" t="n">
        <v>46041</v>
      </c>
      <c r="B13" s="1" t="inlineStr">
        <is>
          <t>SOJA - PARANAGUÁ</t>
        </is>
      </c>
      <c r="C13" s="26" t="n">
        <v>131.77</v>
      </c>
      <c r="K13" s="3" t="n"/>
      <c r="M13" s="3" t="n"/>
      <c r="N13" s="3" t="n"/>
      <c r="O13" s="3" t="n"/>
      <c r="P13" s="3" t="n"/>
      <c r="Q13" s="3" t="n"/>
      <c r="R13" s="3" t="n"/>
      <c r="S13" s="3" t="n"/>
      <c r="T13" s="3" t="n"/>
      <c r="V13" s="3" t="n"/>
      <c r="W13" s="3" t="n"/>
    </row>
    <row r="14">
      <c r="A14" s="9" t="n">
        <v>46042</v>
      </c>
      <c r="B14" s="1" t="inlineStr">
        <is>
          <t>SOJA - PARANAGUÁ</t>
        </is>
      </c>
      <c r="C14" s="26" t="n">
        <v>130.95</v>
      </c>
      <c r="K14" s="3" t="n"/>
      <c r="M14" s="3" t="n"/>
      <c r="N14" s="3" t="n"/>
      <c r="O14" s="3" t="n"/>
      <c r="P14" s="3" t="n"/>
      <c r="Q14" s="3" t="n"/>
      <c r="R14" s="3" t="n"/>
      <c r="S14" s="3" t="n"/>
      <c r="T14" s="3" t="n"/>
      <c r="V14" s="3" t="n"/>
      <c r="W14" s="3" t="n"/>
    </row>
    <row r="15">
      <c r="A15" s="4" t="n">
        <v>46043</v>
      </c>
      <c r="C15" s="26" t="n">
        <v>129.71</v>
      </c>
      <c r="D15" s="3" t="n"/>
      <c r="E15" s="3" t="n"/>
      <c r="F15" s="3" t="n"/>
      <c r="G15" s="3" t="n"/>
      <c r="H15" s="3" t="n"/>
      <c r="K15" s="3" t="n"/>
      <c r="M15" s="3" t="n"/>
      <c r="N15" s="3" t="n"/>
      <c r="O15" s="3" t="n"/>
      <c r="P15" s="3" t="n"/>
      <c r="Q15" s="3" t="n"/>
      <c r="R15" s="3" t="n"/>
      <c r="S15" s="3" t="n"/>
      <c r="T15" s="3" t="n"/>
      <c r="V15" s="3" t="n"/>
      <c r="W15" s="3" t="n"/>
    </row>
    <row r="16">
      <c r="A16" s="4" t="n">
        <v>46044</v>
      </c>
      <c r="C16" s="26" t="n">
        <v>129.34</v>
      </c>
      <c r="D16" s="3" t="n"/>
      <c r="E16" s="3" t="n"/>
      <c r="F16" s="3" t="n"/>
      <c r="G16" s="3" t="n"/>
      <c r="H16" s="3" t="n"/>
      <c r="K16" s="3" t="n"/>
      <c r="M16" s="3" t="n"/>
      <c r="N16" s="3" t="n"/>
      <c r="O16" s="3" t="n"/>
      <c r="P16" s="3" t="n"/>
      <c r="Q16" s="3" t="n"/>
      <c r="R16" s="3" t="n"/>
      <c r="S16" s="3" t="n"/>
      <c r="T16" s="3" t="n"/>
      <c r="V16" s="3" t="n"/>
      <c r="W16" s="3" t="n"/>
    </row>
    <row r="17">
      <c r="A17" s="9" t="n">
        <v>46045</v>
      </c>
      <c r="C17" s="26" t="n">
        <v>128.66</v>
      </c>
      <c r="D17" s="3" t="n"/>
      <c r="E17" s="3" t="n"/>
      <c r="F17" s="3" t="n"/>
      <c r="G17" s="3" t="n"/>
      <c r="H17" s="3" t="n"/>
      <c r="K17" s="3" t="n"/>
      <c r="M17" s="3" t="n"/>
      <c r="N17" s="3" t="n"/>
      <c r="O17" s="3" t="n"/>
      <c r="P17" s="3" t="n"/>
      <c r="Q17" s="3" t="n"/>
      <c r="R17" s="3" t="n"/>
      <c r="S17" s="3" t="n"/>
      <c r="T17" s="3" t="n"/>
      <c r="V17" s="3" t="n"/>
      <c r="W17" s="3" t="n"/>
    </row>
    <row r="18">
      <c r="A18" s="9" t="n">
        <v>46048</v>
      </c>
      <c r="C18" s="26" t="n">
        <v>127.54</v>
      </c>
      <c r="D18" s="3" t="n"/>
      <c r="E18" s="3" t="n"/>
      <c r="F18" s="3" t="n"/>
      <c r="G18" s="3" t="n"/>
      <c r="H18" s="3" t="n"/>
      <c r="K18" s="3" t="n"/>
      <c r="M18" s="3" t="n"/>
      <c r="N18" s="3" t="n"/>
      <c r="O18" s="3" t="n"/>
      <c r="P18" s="3" t="n"/>
      <c r="Q18" s="3" t="n"/>
      <c r="R18" s="3" t="n"/>
      <c r="S18" s="3" t="n"/>
      <c r="T18" s="3" t="n"/>
      <c r="V18" s="3" t="n"/>
      <c r="W18" s="3" t="n"/>
    </row>
    <row r="19">
      <c r="A19" s="9" t="n">
        <v>46049</v>
      </c>
      <c r="C19" s="26" t="n">
        <v>124.76</v>
      </c>
      <c r="D19" s="3" t="n"/>
      <c r="E19" s="3" t="n"/>
      <c r="F19" s="3" t="n"/>
      <c r="G19" s="3" t="n"/>
      <c r="H19" s="3" t="n"/>
      <c r="K19" s="3" t="n"/>
      <c r="M19" s="3" t="n"/>
      <c r="N19" s="3" t="n"/>
      <c r="O19" s="3" t="n"/>
      <c r="P19" s="3" t="n"/>
      <c r="Q19" s="3" t="n"/>
      <c r="R19" s="3" t="n"/>
      <c r="S19" s="3" t="n"/>
      <c r="T19" s="3" t="n"/>
      <c r="V19" s="3" t="n"/>
      <c r="W19" s="3" t="n"/>
    </row>
    <row r="20">
      <c r="A20" s="9" t="n">
        <v>46050</v>
      </c>
      <c r="C20" s="26" t="n">
        <v>125.05</v>
      </c>
      <c r="D20" s="3" t="n"/>
      <c r="E20" s="3" t="n"/>
      <c r="F20" s="3" t="n"/>
      <c r="G20" s="3" t="n"/>
      <c r="H20" s="3" t="n"/>
      <c r="K20" s="3" t="n"/>
      <c r="M20" s="3" t="n"/>
      <c r="N20" s="3" t="n"/>
      <c r="O20" s="3" t="n"/>
      <c r="P20" s="3" t="n"/>
      <c r="Q20" s="3" t="n"/>
      <c r="R20" s="3" t="n"/>
      <c r="S20" s="3" t="n"/>
      <c r="T20" s="3" t="n"/>
      <c r="V20" s="3" t="n"/>
      <c r="W20" s="3" t="n"/>
    </row>
    <row r="21">
      <c r="A21" s="9" t="n">
        <v>46051</v>
      </c>
      <c r="C21" s="26" t="n">
        <v>125.25</v>
      </c>
      <c r="D21" s="3" t="n"/>
      <c r="E21" s="3" t="n"/>
      <c r="F21" s="3" t="n"/>
      <c r="G21" s="3" t="n"/>
      <c r="H21" s="3" t="n"/>
      <c r="K21" s="3" t="n"/>
      <c r="M21" s="3" t="n"/>
      <c r="N21" s="3" t="n"/>
      <c r="O21" s="3" t="n"/>
      <c r="P21" s="3" t="n"/>
      <c r="Q21" s="3" t="n"/>
      <c r="R21" s="3" t="n"/>
      <c r="S21" s="3" t="n"/>
      <c r="T21" s="3" t="n"/>
      <c r="V21" s="3" t="n"/>
      <c r="W21" s="3" t="n"/>
    </row>
    <row r="22">
      <c r="A22" s="9" t="n">
        <v>46052</v>
      </c>
      <c r="C22" s="26" t="n">
        <v>124.91</v>
      </c>
      <c r="D22" s="3" t="n"/>
      <c r="E22" s="3" t="n"/>
      <c r="F22" s="3" t="n"/>
      <c r="G22" s="3" t="n"/>
      <c r="H22" s="3" t="n"/>
      <c r="K22" s="3" t="n"/>
      <c r="M22" s="3" t="n"/>
      <c r="N22" s="3" t="n"/>
      <c r="O22" s="3" t="n"/>
      <c r="P22" s="3" t="n"/>
      <c r="Q22" s="3" t="n"/>
      <c r="R22" s="3" t="n"/>
      <c r="S22" s="3" t="n"/>
      <c r="T22" s="3" t="n"/>
      <c r="V22" s="3" t="n"/>
      <c r="W22" s="3" t="n"/>
    </row>
    <row r="23">
      <c r="A23" s="9" t="n">
        <v>46055</v>
      </c>
      <c r="C23" s="26" t="n">
        <v>124.88</v>
      </c>
      <c r="D23" s="3" t="n"/>
      <c r="E23" s="3" t="n"/>
      <c r="F23" s="3" t="n"/>
      <c r="G23" s="3" t="n"/>
      <c r="H23" s="3" t="n"/>
      <c r="K23" s="3" t="n"/>
      <c r="M23" s="3" t="n"/>
      <c r="N23" s="3" t="n"/>
      <c r="O23" s="3" t="n"/>
      <c r="P23" s="3" t="n"/>
      <c r="Q23" s="3" t="n"/>
      <c r="R23" s="3" t="n"/>
      <c r="S23" s="3" t="n"/>
      <c r="T23" s="3" t="n"/>
      <c r="V23" s="3" t="n"/>
      <c r="W23" s="3" t="n"/>
    </row>
    <row r="24">
      <c r="A24" s="9" t="n">
        <v>46056</v>
      </c>
      <c r="C24" s="26" t="n">
        <v>124.55</v>
      </c>
      <c r="D24" s="3" t="n"/>
      <c r="E24" s="3" t="n"/>
      <c r="F24" s="3" t="n"/>
      <c r="G24" s="3" t="n"/>
      <c r="H24" s="3" t="n"/>
      <c r="K24" s="3" t="n"/>
      <c r="M24" s="3" t="n"/>
      <c r="N24" s="3" t="n"/>
      <c r="O24" s="3" t="n"/>
      <c r="P24" s="3" t="n"/>
      <c r="Q24" s="3" t="n"/>
      <c r="R24" s="3" t="n"/>
      <c r="S24" s="3" t="n"/>
      <c r="T24" s="3" t="n"/>
      <c r="V24" s="3" t="n"/>
      <c r="W24" s="3" t="n"/>
    </row>
    <row r="25">
      <c r="A25" s="9" t="n">
        <v>46057</v>
      </c>
      <c r="C25" s="26" t="n">
        <v>124.34</v>
      </c>
      <c r="D25" s="3" t="n"/>
      <c r="E25" s="3" t="n"/>
      <c r="F25" s="3" t="n"/>
      <c r="G25" s="3" t="n"/>
      <c r="H25" s="3" t="n"/>
      <c r="K25" s="3" t="n"/>
      <c r="M25" s="3" t="n"/>
      <c r="N25" s="3" t="n"/>
      <c r="O25" s="3" t="n"/>
      <c r="P25" s="3" t="n"/>
      <c r="Q25" s="3" t="n"/>
      <c r="R25" s="3" t="n"/>
      <c r="S25" s="3" t="n"/>
      <c r="T25" s="3" t="n"/>
      <c r="V25" s="3" t="n"/>
      <c r="W25" s="3" t="n"/>
    </row>
    <row r="26">
      <c r="A26" s="9" t="n">
        <v>46058</v>
      </c>
      <c r="C26" s="26" t="n">
        <v>125.61</v>
      </c>
      <c r="D26" s="3" t="n"/>
      <c r="E26" s="3" t="n"/>
      <c r="F26" s="3" t="n"/>
      <c r="G26" s="3" t="n"/>
      <c r="H26" s="3" t="n"/>
      <c r="K26" s="3" t="n"/>
      <c r="M26" s="3" t="n"/>
      <c r="N26" s="3" t="n"/>
      <c r="O26" s="3" t="n"/>
      <c r="P26" s="3" t="n"/>
      <c r="Q26" s="3" t="n"/>
      <c r="R26" s="3" t="n"/>
      <c r="S26" s="3" t="n"/>
      <c r="T26" s="3" t="n"/>
      <c r="V26" s="3" t="n"/>
      <c r="W26" s="3" t="n"/>
    </row>
    <row r="27">
      <c r="A27" s="9" t="n">
        <v>46059</v>
      </c>
      <c r="C27" s="26" t="n">
        <v>126.43</v>
      </c>
      <c r="D27" s="3" t="n"/>
      <c r="E27" s="3" t="n"/>
      <c r="F27" s="3" t="n"/>
      <c r="G27" s="3" t="n"/>
      <c r="H27" s="3" t="n"/>
      <c r="K27" s="3" t="n"/>
      <c r="M27" s="3" t="n"/>
      <c r="N27" s="3" t="n"/>
      <c r="O27" s="3" t="n"/>
      <c r="P27" s="3" t="n"/>
      <c r="Q27" s="3" t="n"/>
      <c r="R27" s="3" t="n"/>
      <c r="S27" s="3" t="n"/>
      <c r="T27" s="3" t="n"/>
      <c r="V27" s="3" t="n"/>
      <c r="W27" s="3" t="n"/>
    </row>
    <row r="28">
      <c r="A28" s="9" t="n">
        <v>46062</v>
      </c>
      <c r="C28" s="26" t="n">
        <v>124.73</v>
      </c>
      <c r="D28" s="3" t="n"/>
      <c r="E28" s="3" t="n"/>
      <c r="F28" s="3" t="n"/>
      <c r="G28" s="3" t="n"/>
      <c r="H28" s="3" t="n"/>
      <c r="K28" s="3" t="n"/>
      <c r="M28" s="3" t="n"/>
      <c r="N28" s="3" t="n"/>
      <c r="O28" s="3" t="n"/>
      <c r="P28" s="3" t="n"/>
      <c r="Q28" s="3" t="n"/>
      <c r="R28" s="3" t="n"/>
      <c r="S28" s="3" t="n"/>
      <c r="T28" s="3" t="n"/>
      <c r="V28" s="3" t="n"/>
      <c r="W28" s="3" t="n"/>
    </row>
    <row r="29">
      <c r="A29" s="9" t="n">
        <v>46063</v>
      </c>
      <c r="C29" s="26" t="n">
        <v>125.47</v>
      </c>
      <c r="D29" s="3" t="n"/>
      <c r="E29" s="3" t="n"/>
      <c r="F29" s="3" t="n"/>
      <c r="G29" s="3" t="n"/>
      <c r="H29" s="3" t="n"/>
      <c r="K29" s="3" t="n"/>
      <c r="M29" s="3" t="n"/>
      <c r="N29" s="3" t="n"/>
      <c r="O29" s="3" t="n"/>
      <c r="P29" s="3" t="n"/>
      <c r="Q29" s="3" t="n"/>
      <c r="R29" s="3" t="n"/>
      <c r="S29" s="3" t="n"/>
      <c r="T29" s="3" t="n"/>
      <c r="V29" s="3" t="n"/>
      <c r="W29" s="3" t="n"/>
    </row>
    <row r="30">
      <c r="A30" s="9" t="n">
        <v>46064</v>
      </c>
      <c r="C30" s="26" t="n">
        <v>126.95</v>
      </c>
      <c r="D30" s="3" t="n"/>
      <c r="E30" s="3" t="n"/>
      <c r="F30" s="3" t="n"/>
      <c r="G30" s="3" t="n"/>
      <c r="H30" s="3" t="n"/>
      <c r="K30" s="3" t="n"/>
      <c r="M30" s="3" t="n"/>
      <c r="N30" s="3" t="n"/>
      <c r="O30" s="3" t="n"/>
      <c r="P30" s="3" t="n"/>
      <c r="Q30" s="3" t="n"/>
      <c r="R30" s="3" t="n"/>
      <c r="S30" s="3" t="n"/>
      <c r="T30" s="3" t="n"/>
      <c r="V30" s="3" t="n"/>
      <c r="W30" s="3" t="n"/>
    </row>
    <row r="31">
      <c r="A31" s="9" t="n">
        <v>46065</v>
      </c>
      <c r="C31" s="26" t="n">
        <v>126.2</v>
      </c>
      <c r="D31" s="3" t="n"/>
      <c r="E31" s="3" t="n"/>
      <c r="F31" s="3" t="n"/>
      <c r="G31" s="3" t="n"/>
      <c r="H31" s="3" t="n"/>
      <c r="K31" s="3" t="n"/>
      <c r="M31" s="3" t="n"/>
      <c r="N31" s="3" t="n"/>
      <c r="O31" s="3" t="n"/>
      <c r="P31" s="3" t="n"/>
      <c r="Q31" s="3" t="n"/>
      <c r="R31" s="3" t="n"/>
      <c r="S31" s="3" t="n"/>
      <c r="T31" s="3" t="n"/>
      <c r="V31" s="3" t="n"/>
      <c r="W31" s="3" t="n"/>
    </row>
    <row r="32">
      <c r="A32" s="9" t="n">
        <v>46066</v>
      </c>
      <c r="C32" s="26" t="n">
        <v>127.27</v>
      </c>
      <c r="D32" s="3" t="n"/>
      <c r="E32" s="3" t="n"/>
      <c r="F32" s="3" t="n"/>
      <c r="G32" s="3" t="n"/>
      <c r="H32" s="3" t="n"/>
      <c r="K32" s="3" t="n"/>
      <c r="M32" s="3" t="n"/>
      <c r="N32" s="3" t="n"/>
      <c r="O32" s="3" t="n"/>
      <c r="P32" s="3" t="n"/>
      <c r="Q32" s="3" t="n"/>
      <c r="R32" s="3" t="n"/>
      <c r="S32" s="3" t="n"/>
      <c r="T32" s="3" t="n"/>
      <c r="V32" s="3" t="n"/>
      <c r="W32" s="3" t="n"/>
    </row>
    <row r="33">
      <c r="A33" s="9" t="n">
        <v>46071</v>
      </c>
      <c r="C33" s="26" t="n">
        <v>127.49</v>
      </c>
      <c r="D33" s="3" t="n"/>
      <c r="E33" s="3" t="n"/>
      <c r="F33" s="3" t="n"/>
      <c r="G33" s="3" t="n"/>
      <c r="H33" s="3" t="n"/>
      <c r="K33" s="3" t="n"/>
      <c r="M33" s="3" t="n"/>
      <c r="N33" s="3" t="n"/>
      <c r="O33" s="3" t="n"/>
      <c r="P33" s="3" t="n"/>
      <c r="Q33" s="3" t="n"/>
      <c r="R33" s="3" t="n"/>
      <c r="S33" s="3" t="n"/>
      <c r="T33" s="3" t="n"/>
      <c r="V33" s="3" t="n"/>
      <c r="W33" s="3" t="n"/>
    </row>
    <row r="34">
      <c r="A34" s="9" t="n">
        <v>46072</v>
      </c>
      <c r="C34" s="26" t="n">
        <v>129.06</v>
      </c>
      <c r="D34" s="3" t="n"/>
      <c r="E34" s="3" t="n"/>
      <c r="F34" s="3" t="n"/>
      <c r="G34" s="3" t="n"/>
      <c r="H34" s="3" t="n"/>
      <c r="K34" s="3" t="n"/>
      <c r="M34" s="3" t="n"/>
      <c r="N34" s="3" t="n"/>
      <c r="O34" s="3" t="n"/>
      <c r="P34" s="3" t="n"/>
      <c r="Q34" s="3" t="n"/>
      <c r="R34" s="3" t="n"/>
      <c r="S34" s="3" t="n"/>
      <c r="T34" s="3" t="n"/>
      <c r="V34" s="3" t="n"/>
      <c r="W34" s="3" t="n"/>
    </row>
    <row r="35">
      <c r="A35" s="9" t="n">
        <v>46073</v>
      </c>
      <c r="C35" s="26" t="n">
        <v>128.49</v>
      </c>
      <c r="D35" s="3" t="n"/>
      <c r="E35" s="3" t="n"/>
      <c r="F35" s="3" t="n"/>
      <c r="G35" s="3" t="n"/>
      <c r="H35" s="3" t="n"/>
      <c r="K35" s="3" t="n"/>
      <c r="M35" s="3" t="n"/>
      <c r="N35" s="3" t="n"/>
      <c r="O35" s="3" t="n"/>
      <c r="P35" s="3" t="n"/>
      <c r="Q35" s="3" t="n"/>
      <c r="R35" s="3" t="n"/>
      <c r="S35" s="3" t="n"/>
      <c r="T35" s="3" t="n"/>
      <c r="V35" s="3" t="n"/>
      <c r="W35" s="3" t="n"/>
    </row>
    <row r="36">
      <c r="A36" s="9" t="n">
        <v>46076</v>
      </c>
      <c r="C36" s="26" t="n">
        <v>126.16</v>
      </c>
      <c r="D36" s="3" t="n"/>
      <c r="E36" s="3" t="n"/>
      <c r="F36" s="3" t="n"/>
      <c r="G36" s="3" t="n"/>
      <c r="H36" s="3" t="n"/>
      <c r="K36" s="3" t="n"/>
      <c r="M36" s="3" t="n"/>
      <c r="N36" s="3" t="n"/>
      <c r="O36" s="3" t="n"/>
      <c r="P36" s="3" t="n"/>
      <c r="Q36" s="3" t="n"/>
      <c r="R36" s="3" t="n"/>
      <c r="S36" s="3" t="n"/>
      <c r="T36" s="3" t="n"/>
      <c r="V36" s="3" t="n"/>
      <c r="W36" s="3" t="n"/>
    </row>
    <row r="37">
      <c r="A37" s="9" t="n">
        <v>46077</v>
      </c>
      <c r="C37" s="26" t="n">
        <v>126.53</v>
      </c>
      <c r="D37" s="3" t="n"/>
      <c r="E37" s="3" t="n"/>
      <c r="F37" s="3" t="n"/>
      <c r="G37" s="3" t="n"/>
      <c r="H37" s="3" t="n"/>
      <c r="K37" s="3" t="n"/>
      <c r="M37" s="3" t="n"/>
      <c r="N37" s="3" t="n"/>
      <c r="O37" s="3" t="n"/>
      <c r="P37" s="3" t="n"/>
      <c r="Q37" s="3" t="n"/>
      <c r="R37" s="3" t="n"/>
      <c r="S37" s="3" t="n"/>
      <c r="T37" s="3" t="n"/>
      <c r="V37" s="3" t="n"/>
      <c r="W37" s="3" t="n"/>
    </row>
    <row r="38">
      <c r="A38" s="9" t="n">
        <v>46078</v>
      </c>
      <c r="C38" s="26" t="n">
        <v>126.17</v>
      </c>
      <c r="D38" s="3" t="n"/>
      <c r="E38" s="3" t="n"/>
      <c r="F38" s="3" t="n"/>
      <c r="G38" s="3" t="n"/>
      <c r="H38" s="3" t="n"/>
      <c r="K38" s="3" t="n"/>
      <c r="M38" s="3" t="n"/>
      <c r="N38" s="3" t="n"/>
      <c r="O38" s="3" t="n"/>
      <c r="P38" s="3" t="n"/>
      <c r="Q38" s="3" t="n"/>
      <c r="R38" s="3" t="n"/>
      <c r="S38" s="3" t="n"/>
      <c r="T38" s="3" t="n"/>
      <c r="V38" s="3" t="n"/>
      <c r="W38" s="3" t="n"/>
    </row>
    <row r="39">
      <c r="A39" s="9" t="n">
        <v>46079</v>
      </c>
      <c r="C39" s="26" t="n">
        <v>126.77</v>
      </c>
      <c r="D39" s="3" t="n"/>
      <c r="E39" s="3" t="n"/>
      <c r="F39" s="3" t="n"/>
      <c r="G39" s="3" t="n"/>
      <c r="H39" s="3" t="n"/>
      <c r="K39" s="3" t="n"/>
      <c r="M39" s="3" t="n"/>
      <c r="N39" s="3" t="n"/>
      <c r="O39" s="3" t="n"/>
      <c r="P39" s="3" t="n"/>
      <c r="Q39" s="3" t="n"/>
      <c r="R39" s="3" t="n"/>
      <c r="S39" s="3" t="n"/>
      <c r="T39" s="3" t="n"/>
      <c r="V39" s="3" t="n"/>
      <c r="W39" s="3" t="n"/>
    </row>
    <row r="40">
      <c r="A40" s="9" t="n">
        <v>46080</v>
      </c>
      <c r="C40" s="26" t="n">
        <v>126.83</v>
      </c>
      <c r="D40" s="3" t="n"/>
      <c r="E40" s="3" t="n"/>
      <c r="F40" s="3" t="n"/>
      <c r="G40" s="3" t="n"/>
      <c r="H40" s="3" t="n"/>
      <c r="K40" s="3" t="n"/>
      <c r="M40" s="3" t="n"/>
      <c r="N40" s="3" t="n"/>
      <c r="O40" s="3" t="n"/>
      <c r="P40" s="3" t="n"/>
      <c r="Q40" s="3" t="n"/>
      <c r="R40" s="3" t="n"/>
      <c r="S40" s="3" t="n"/>
      <c r="T40" s="3" t="n"/>
      <c r="V40" s="3" t="n"/>
      <c r="W40" s="3" t="n"/>
    </row>
    <row r="41">
      <c r="A41" s="9" t="n">
        <v>46083</v>
      </c>
      <c r="C41" s="26" t="n">
        <v>127.27</v>
      </c>
      <c r="D41" s="3" t="n"/>
      <c r="E41" s="3" t="n"/>
      <c r="F41" s="3" t="n"/>
      <c r="G41" s="3" t="n"/>
      <c r="H41" s="3" t="n"/>
      <c r="K41" s="3" t="n"/>
      <c r="M41" s="3" t="n"/>
      <c r="N41" s="3" t="n"/>
      <c r="O41" s="3" t="n"/>
      <c r="P41" s="3" t="n"/>
      <c r="Q41" s="3" t="n"/>
      <c r="R41" s="3" t="n"/>
      <c r="S41" s="3" t="n"/>
      <c r="T41" s="3" t="n"/>
      <c r="V41" s="3" t="n"/>
      <c r="W41" s="3" t="n"/>
    </row>
    <row r="42">
      <c r="A42" s="9" t="n">
        <v>46084</v>
      </c>
      <c r="C42" s="26" t="n">
        <v>128.66</v>
      </c>
      <c r="D42" s="3" t="n"/>
      <c r="E42" s="3" t="n"/>
      <c r="F42" s="3" t="n"/>
      <c r="G42" s="3" t="n"/>
      <c r="H42" s="3" t="n"/>
      <c r="K42" s="3" t="n"/>
      <c r="M42" s="3" t="n"/>
      <c r="N42" s="3" t="n"/>
      <c r="O42" s="3" t="n"/>
      <c r="P42" s="3" t="n"/>
      <c r="Q42" s="3" t="n"/>
      <c r="R42" s="3" t="n"/>
      <c r="S42" s="3" t="n"/>
      <c r="T42" s="3" t="n"/>
      <c r="V42" s="3" t="n"/>
      <c r="W42" s="3" t="n"/>
    </row>
    <row r="43">
      <c r="A43" s="9" t="n">
        <v>46085</v>
      </c>
      <c r="C43" s="26" t="n">
        <v>128.21</v>
      </c>
      <c r="D43" s="3" t="n"/>
      <c r="E43" s="3" t="n"/>
      <c r="F43" s="3" t="n"/>
      <c r="G43" s="3" t="n"/>
      <c r="H43" s="3" t="n"/>
      <c r="K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</row>
    <row r="44">
      <c r="A44" s="9" t="n">
        <v>46086</v>
      </c>
      <c r="C44" s="26" t="n">
        <v>129.54</v>
      </c>
      <c r="D44" s="3" t="n"/>
      <c r="E44" s="3" t="n"/>
      <c r="F44" s="3" t="n"/>
      <c r="G44" s="3" t="n"/>
      <c r="H44" s="3" t="n"/>
      <c r="K44" s="3" t="n"/>
      <c r="M44" s="3" t="n"/>
      <c r="N44" s="3" t="n"/>
      <c r="O44" s="3" t="n"/>
      <c r="P44" s="3" t="n"/>
      <c r="Q44" s="3" t="n"/>
      <c r="R44" s="3" t="n"/>
      <c r="S44" s="3" t="n"/>
      <c r="T44" s="3" t="n"/>
      <c r="U44" s="3" t="n"/>
      <c r="V44" s="3" t="n"/>
      <c r="W44" s="3" t="n"/>
    </row>
    <row r="45">
      <c r="A45" s="23" t="n">
        <v>46087</v>
      </c>
      <c r="C45" s="26" t="n">
        <v>131.18</v>
      </c>
      <c r="D45" s="22" t="n"/>
      <c r="E45" s="22" t="n"/>
      <c r="F45" s="22" t="n"/>
      <c r="G45" s="22" t="n"/>
      <c r="H45" s="22" t="n"/>
      <c r="I45" s="20" t="n"/>
      <c r="J45" s="20" t="n"/>
      <c r="K45" s="22" t="n"/>
      <c r="L45" s="20" t="n"/>
      <c r="M45" s="22" t="n"/>
      <c r="N45" s="22" t="n"/>
      <c r="O45" s="22" t="n"/>
      <c r="P45" s="22" t="n"/>
      <c r="Q45" s="22" t="n"/>
      <c r="R45" s="22" t="n"/>
      <c r="S45" s="22" t="n"/>
      <c r="T45" s="22" t="n"/>
      <c r="U45" s="22" t="n"/>
      <c r="V45" s="22" t="n"/>
      <c r="W45" s="22" t="n"/>
    </row>
    <row r="46">
      <c r="A46" s="23" t="n">
        <v>46090</v>
      </c>
      <c r="C46" s="26" t="n">
        <v>130.02</v>
      </c>
      <c r="D46" s="22" t="n"/>
      <c r="E46" s="22" t="n"/>
      <c r="F46" s="22" t="n"/>
      <c r="G46" s="22" t="n"/>
      <c r="H46" s="22" t="n"/>
      <c r="I46" s="20" t="n"/>
      <c r="J46" s="20" t="n"/>
      <c r="K46" s="22" t="n"/>
      <c r="L46" s="20" t="n"/>
      <c r="M46" s="22" t="n"/>
      <c r="N46" s="22" t="n"/>
      <c r="O46" s="22" t="n"/>
      <c r="P46" s="22" t="n"/>
      <c r="Q46" s="22" t="n"/>
      <c r="R46" s="22" t="n"/>
      <c r="S46" s="22" t="n"/>
      <c r="T46" s="22" t="n"/>
      <c r="U46" s="22" t="n"/>
      <c r="V46" s="22" t="n"/>
      <c r="W46" s="22" t="n"/>
    </row>
    <row r="47">
      <c r="A47" s="23" t="n">
        <v>46091</v>
      </c>
      <c r="C47" s="26" t="n">
        <v>128.8</v>
      </c>
      <c r="D47" s="22" t="n"/>
      <c r="E47" s="22" t="n"/>
      <c r="F47" s="22" t="n"/>
      <c r="G47" s="22" t="n"/>
      <c r="H47" s="22" t="n"/>
      <c r="I47" s="20" t="n"/>
      <c r="J47" s="20" t="n"/>
      <c r="K47" s="22" t="n"/>
      <c r="L47" s="20" t="n"/>
      <c r="M47" s="22" t="n"/>
      <c r="N47" s="22" t="n"/>
      <c r="O47" s="22" t="n"/>
      <c r="P47" s="22" t="n"/>
      <c r="Q47" s="22" t="n"/>
      <c r="R47" s="22" t="n"/>
      <c r="S47" s="22" t="n"/>
      <c r="T47" s="22" t="n"/>
      <c r="U47" s="22" t="n"/>
      <c r="V47" s="22" t="n"/>
      <c r="W47" s="22" t="n"/>
    </row>
    <row r="48">
      <c r="A48" s="23" t="n">
        <v>46092</v>
      </c>
      <c r="C48" s="26" t="n">
        <v>129.29</v>
      </c>
      <c r="D48" s="22" t="n"/>
      <c r="E48" s="22" t="n"/>
      <c r="F48" s="22" t="n"/>
      <c r="G48" s="22" t="n"/>
      <c r="H48" s="22" t="n"/>
      <c r="I48" s="20" t="n"/>
      <c r="J48" s="20" t="n"/>
      <c r="K48" s="22" t="n"/>
      <c r="L48" s="20" t="n"/>
      <c r="M48" s="22" t="n"/>
      <c r="N48" s="22" t="n"/>
      <c r="O48" s="22" t="n"/>
      <c r="P48" s="22" t="n"/>
      <c r="Q48" s="22" t="n"/>
      <c r="R48" s="22" t="n"/>
      <c r="S48" s="22" t="n"/>
      <c r="T48" s="22" t="n"/>
      <c r="U48" s="22" t="n"/>
      <c r="V48" s="22" t="n"/>
      <c r="W48" s="22" t="n"/>
    </row>
    <row r="49">
      <c r="A49" s="23" t="n">
        <v>46093</v>
      </c>
      <c r="C49" s="26" t="n">
        <v>130.87</v>
      </c>
      <c r="D49" s="22" t="n"/>
      <c r="E49" s="22" t="n"/>
      <c r="F49" s="22" t="n"/>
      <c r="G49" s="22" t="n"/>
      <c r="H49" s="22" t="n"/>
      <c r="I49" s="20" t="n"/>
      <c r="J49" s="20" t="n"/>
      <c r="K49" s="22" t="n"/>
      <c r="L49" s="20" t="n"/>
      <c r="M49" s="22" t="n"/>
      <c r="N49" s="22" t="n"/>
      <c r="O49" s="22" t="n"/>
      <c r="P49" s="22" t="n"/>
      <c r="Q49" s="22" t="n"/>
      <c r="R49" s="22" t="n"/>
      <c r="S49" s="22" t="n"/>
      <c r="T49" s="22" t="n"/>
      <c r="U49" s="22" t="n"/>
      <c r="V49" s="22" t="n"/>
      <c r="W49" s="22" t="n"/>
    </row>
    <row r="50">
      <c r="A50" s="23" t="n">
        <v>46094</v>
      </c>
      <c r="C50" s="26" t="n">
        <v>130.2</v>
      </c>
      <c r="D50" s="22" t="n"/>
      <c r="E50" s="22" t="n"/>
      <c r="F50" s="22" t="n"/>
      <c r="G50" s="22" t="n"/>
      <c r="H50" s="22" t="n"/>
      <c r="I50" s="20" t="n"/>
      <c r="J50" s="20" t="n"/>
      <c r="K50" s="22" t="n"/>
      <c r="L50" s="20" t="n"/>
      <c r="M50" s="22" t="n"/>
      <c r="N50" s="22" t="n"/>
      <c r="O50" s="22" t="n"/>
      <c r="P50" s="22" t="n"/>
      <c r="Q50" s="22" t="n"/>
      <c r="R50" s="22" t="n"/>
      <c r="S50" s="22" t="n"/>
      <c r="T50" s="22" t="n"/>
      <c r="U50" s="22" t="n"/>
      <c r="V50" s="22" t="n"/>
      <c r="W50" s="22" t="n"/>
    </row>
    <row r="51">
      <c r="A51" s="23" t="inlineStr">
        <is>
          <t>16/03/2026</t>
        </is>
      </c>
      <c r="C51" s="26" t="n">
        <v>129.36</v>
      </c>
      <c r="D51" s="22" t="n"/>
      <c r="E51" s="22" t="n"/>
      <c r="F51" s="22" t="n"/>
      <c r="G51" s="22" t="n"/>
      <c r="H51" s="22" t="n"/>
      <c r="I51" s="20" t="n"/>
      <c r="J51" s="20" t="n"/>
      <c r="K51" s="22" t="n"/>
      <c r="L51" s="20" t="n"/>
      <c r="M51" s="22" t="n"/>
      <c r="N51" s="22" t="n"/>
      <c r="O51" s="22" t="n"/>
      <c r="P51" s="22" t="n"/>
      <c r="Q51" s="22" t="n"/>
      <c r="R51" s="22" t="n"/>
      <c r="S51" s="22" t="n"/>
      <c r="T51" s="22" t="n"/>
      <c r="U51" s="22" t="n"/>
      <c r="V51" s="22" t="n"/>
      <c r="W51" s="22" t="n"/>
    </row>
    <row r="52">
      <c r="A52" s="23" t="inlineStr">
        <is>
          <t>17/03/2026</t>
        </is>
      </c>
      <c r="C52" s="26" t="n">
        <v>127.12</v>
      </c>
      <c r="D52" s="22" t="n"/>
      <c r="E52" s="22" t="n"/>
      <c r="F52" s="22" t="n"/>
      <c r="G52" s="22" t="n"/>
      <c r="H52" s="22" t="n"/>
      <c r="I52" s="20" t="n"/>
      <c r="J52" s="20" t="n"/>
      <c r="K52" s="22" t="n"/>
      <c r="L52" s="20" t="n"/>
      <c r="M52" s="22" t="n"/>
      <c r="N52" s="22" t="n"/>
      <c r="O52" s="22" t="n"/>
      <c r="P52" s="22" t="n"/>
      <c r="Q52" s="22" t="n"/>
      <c r="R52" s="22" t="n"/>
      <c r="S52" s="22" t="n"/>
      <c r="T52" s="22" t="n"/>
      <c r="U52" s="22" t="n"/>
      <c r="V52" s="22" t="n"/>
      <c r="W52" s="22" t="n"/>
    </row>
    <row r="53">
      <c r="A53" s="23" t="inlineStr">
        <is>
          <t>18/03/2026</t>
        </is>
      </c>
      <c r="C53" s="26" t="n">
        <v>127.27</v>
      </c>
      <c r="D53" s="22" t="n"/>
      <c r="E53" s="22" t="n"/>
      <c r="F53" s="22" t="n"/>
      <c r="G53" s="22" t="n"/>
      <c r="H53" s="22" t="n"/>
      <c r="I53" s="20" t="n"/>
      <c r="J53" s="20" t="n"/>
      <c r="K53" s="22" t="n"/>
      <c r="L53" s="20" t="n"/>
      <c r="M53" s="22" t="n"/>
      <c r="N53" s="22" t="n"/>
      <c r="O53" s="22" t="n"/>
      <c r="P53" s="22" t="n"/>
      <c r="Q53" s="22" t="n"/>
      <c r="R53" s="22" t="n"/>
      <c r="S53" s="22" t="n"/>
      <c r="T53" s="22" t="n"/>
      <c r="U53" s="22" t="n"/>
      <c r="V53" s="22" t="n"/>
      <c r="W53" s="22" t="n"/>
    </row>
    <row r="54">
      <c r="A54" s="23" t="inlineStr">
        <is>
          <t>19/03/2026</t>
        </is>
      </c>
      <c r="C54" s="26" t="n">
        <v>129.38</v>
      </c>
      <c r="D54" s="22" t="n"/>
      <c r="E54" s="22" t="n"/>
      <c r="F54" s="22" t="n"/>
      <c r="G54" s="22" t="n"/>
      <c r="H54" s="22" t="n"/>
      <c r="I54" s="20" t="n"/>
      <c r="J54" s="20" t="n"/>
      <c r="K54" s="22" t="n"/>
      <c r="L54" s="20" t="n"/>
      <c r="M54" s="22" t="n"/>
      <c r="N54" s="22" t="n"/>
      <c r="O54" s="22" t="n"/>
      <c r="P54" s="22" t="n"/>
      <c r="Q54" s="22" t="n"/>
      <c r="R54" s="22" t="n"/>
      <c r="S54" s="22" t="n"/>
      <c r="T54" s="22" t="n"/>
      <c r="U54" s="22" t="n"/>
      <c r="V54" s="22" t="n"/>
      <c r="W54" s="22" t="n"/>
    </row>
    <row r="55">
      <c r="A55" s="23" t="inlineStr">
        <is>
          <t>20/03/2026</t>
        </is>
      </c>
      <c r="C55" s="26" t="n">
        <v>130.61</v>
      </c>
      <c r="D55" s="22" t="n"/>
      <c r="E55" s="22" t="n"/>
      <c r="F55" s="22" t="n"/>
      <c r="G55" s="22" t="n"/>
      <c r="H55" s="22" t="n"/>
      <c r="I55" s="20" t="n"/>
      <c r="J55" s="20" t="n"/>
      <c r="K55" s="22" t="n"/>
      <c r="L55" s="20" t="n"/>
      <c r="M55" s="22" t="n"/>
      <c r="N55" s="22" t="n"/>
      <c r="O55" s="22" t="n"/>
      <c r="P55" s="22" t="n"/>
      <c r="Q55" s="22" t="n"/>
      <c r="R55" s="22" t="n"/>
      <c r="S55" s="22" t="n"/>
      <c r="T55" s="22" t="n"/>
      <c r="U55" s="22" t="n"/>
      <c r="V55" s="22" t="n"/>
      <c r="W55" s="22" t="n"/>
    </row>
    <row r="56">
      <c r="A56" s="23" t="inlineStr">
        <is>
          <t>23/03/2026</t>
        </is>
      </c>
      <c r="C56" s="26" t="n">
        <v>129.87</v>
      </c>
      <c r="D56" s="22" t="n"/>
      <c r="E56" s="22" t="n"/>
      <c r="F56" s="22" t="n"/>
      <c r="G56" s="22" t="n"/>
      <c r="H56" s="22" t="n"/>
      <c r="I56" s="20" t="n"/>
      <c r="J56" s="20" t="n"/>
      <c r="K56" s="22" t="n"/>
      <c r="L56" s="20" t="n"/>
      <c r="M56" s="22" t="n"/>
      <c r="N56" s="22" t="n"/>
      <c r="O56" s="22" t="n"/>
      <c r="P56" s="22" t="n"/>
      <c r="Q56" s="22" t="n"/>
      <c r="R56" s="22" t="n"/>
      <c r="S56" s="22" t="n"/>
      <c r="T56" s="22" t="n"/>
      <c r="U56" s="22" t="n"/>
      <c r="V56" s="22" t="n"/>
      <c r="W56" s="22" t="n"/>
    </row>
    <row r="57">
      <c r="A57" s="23" t="inlineStr">
        <is>
          <t>24/03/2026</t>
        </is>
      </c>
      <c r="C57" s="26" t="n">
        <v>130.15</v>
      </c>
      <c r="D57" s="22" t="n"/>
      <c r="E57" s="22" t="n"/>
      <c r="F57" s="22" t="n"/>
      <c r="G57" s="22" t="n"/>
      <c r="H57" s="22" t="n"/>
      <c r="I57" s="20" t="n"/>
      <c r="J57" s="20" t="n"/>
      <c r="K57" s="22" t="n"/>
      <c r="L57" s="20" t="n"/>
      <c r="M57" s="22" t="n"/>
      <c r="N57" s="22" t="n"/>
      <c r="O57" s="22" t="n"/>
      <c r="P57" s="22" t="n"/>
      <c r="Q57" s="22" t="n"/>
      <c r="R57" s="22" t="n"/>
      <c r="S57" s="22" t="n"/>
      <c r="T57" s="22" t="n"/>
      <c r="U57" s="22" t="n"/>
      <c r="V57" s="22" t="n"/>
      <c r="W57" s="22" t="n"/>
    </row>
    <row r="58">
      <c r="A58" s="23" t="inlineStr">
        <is>
          <t>25/03/2026</t>
        </is>
      </c>
      <c r="C58" s="26" t="n">
        <v>129.25</v>
      </c>
      <c r="D58" s="22" t="n"/>
      <c r="E58" s="22" t="n"/>
      <c r="F58" s="22" t="n"/>
      <c r="G58" s="22" t="n"/>
      <c r="H58" s="22" t="n"/>
      <c r="I58" s="20" t="n"/>
      <c r="J58" s="20" t="n"/>
      <c r="K58" s="22" t="n"/>
      <c r="L58" s="20" t="n"/>
      <c r="M58" s="22" t="n"/>
      <c r="N58" s="22" t="n"/>
      <c r="O58" s="22" t="n"/>
      <c r="P58" s="22" t="n"/>
      <c r="Q58" s="22" t="n"/>
      <c r="R58" s="22" t="n"/>
      <c r="S58" s="22" t="n"/>
      <c r="T58" s="22" t="n"/>
      <c r="U58" s="22" t="n"/>
      <c r="V58" s="22" t="n"/>
      <c r="W58" s="22" t="n"/>
    </row>
    <row r="59">
      <c r="A59" s="23" t="inlineStr">
        <is>
          <t>26/03/2026</t>
        </is>
      </c>
      <c r="C59" s="26" t="n">
        <v>130.37</v>
      </c>
      <c r="D59" s="22" t="n"/>
      <c r="E59" s="22" t="n"/>
      <c r="F59" s="22" t="n"/>
      <c r="G59" s="22" t="n"/>
      <c r="H59" s="22" t="n"/>
      <c r="I59" s="20" t="n"/>
      <c r="J59" s="20" t="n"/>
      <c r="K59" s="22" t="n"/>
      <c r="L59" s="20" t="n"/>
      <c r="M59" s="22" t="n"/>
      <c r="N59" s="22" t="n"/>
      <c r="O59" s="22" t="n"/>
      <c r="P59" s="22" t="n"/>
      <c r="Q59" s="22" t="n"/>
      <c r="R59" s="22" t="n"/>
      <c r="S59" s="22" t="n"/>
      <c r="T59" s="22" t="n"/>
      <c r="U59" s="22" t="n"/>
      <c r="V59" s="22" t="n"/>
      <c r="W59" s="22" t="n"/>
    </row>
    <row r="60">
      <c r="A60" s="23" t="inlineStr">
        <is>
          <t>27/03/2026</t>
        </is>
      </c>
      <c r="C60" s="26" t="n">
        <v>130.01</v>
      </c>
      <c r="D60" s="22" t="n"/>
      <c r="E60" s="22" t="n"/>
      <c r="F60" s="22" t="n"/>
      <c r="G60" s="22" t="n"/>
      <c r="H60" s="22" t="n"/>
      <c r="I60" s="20" t="n"/>
      <c r="J60" s="20" t="n"/>
      <c r="K60" s="22" t="n"/>
      <c r="L60" s="20" t="n"/>
      <c r="M60" s="22" t="n"/>
      <c r="N60" s="22" t="n"/>
      <c r="O60" s="22" t="n"/>
      <c r="P60" s="22" t="n"/>
      <c r="Q60" s="22" t="n"/>
      <c r="R60" s="22" t="n"/>
      <c r="S60" s="22" t="n"/>
      <c r="T60" s="22" t="n"/>
      <c r="U60" s="22" t="n"/>
      <c r="V60" s="22" t="n"/>
      <c r="W60" s="22" t="n"/>
    </row>
    <row r="61">
      <c r="A61" s="23" t="inlineStr">
        <is>
          <t>30/03/2026</t>
        </is>
      </c>
      <c r="C61" s="26" t="n">
        <v>129.59</v>
      </c>
      <c r="D61" s="22" t="n"/>
      <c r="E61" s="22" t="n"/>
      <c r="F61" s="22" t="n"/>
      <c r="G61" s="22" t="n"/>
      <c r="H61" s="22" t="n"/>
      <c r="I61" s="20" t="n"/>
      <c r="J61" s="20" t="n"/>
      <c r="K61" s="22" t="n"/>
      <c r="L61" s="20" t="n"/>
      <c r="M61" s="22" t="n"/>
      <c r="N61" s="22" t="n"/>
      <c r="O61" s="22" t="n"/>
      <c r="P61" s="22" t="n"/>
      <c r="Q61" s="22" t="n"/>
      <c r="R61" s="22" t="n"/>
      <c r="S61" s="22" t="n"/>
      <c r="T61" s="22" t="n"/>
      <c r="U61" s="22" t="n"/>
      <c r="V61" s="22" t="n"/>
      <c r="W61" s="22" t="n"/>
    </row>
    <row r="62">
      <c r="A62" s="23" t="inlineStr">
        <is>
          <t>31/03/2026</t>
        </is>
      </c>
      <c r="C62" s="26" t="n">
        <v>129.24</v>
      </c>
      <c r="D62" s="22" t="n"/>
      <c r="E62" s="22" t="n"/>
      <c r="F62" s="22" t="n"/>
      <c r="G62" s="22" t="n"/>
      <c r="H62" s="22" t="n"/>
      <c r="I62" s="20" t="n"/>
      <c r="J62" s="20" t="n"/>
      <c r="K62" s="22" t="n"/>
      <c r="L62" s="20" t="n"/>
      <c r="M62" s="22" t="n"/>
      <c r="N62" s="22" t="n"/>
      <c r="O62" s="22" t="n"/>
      <c r="P62" s="22" t="n"/>
      <c r="Q62" s="22" t="n"/>
      <c r="R62" s="22" t="n"/>
      <c r="S62" s="22" t="n"/>
      <c r="T62" s="22" t="n"/>
      <c r="U62" s="22" t="n"/>
      <c r="V62" s="22" t="n"/>
      <c r="W62" s="22" t="n"/>
    </row>
    <row r="63">
      <c r="A63" s="23" t="inlineStr">
        <is>
          <t>01/04/2026</t>
        </is>
      </c>
      <c r="C63" s="26" t="n">
        <v>127.91</v>
      </c>
      <c r="D63" s="22" t="n"/>
      <c r="E63" s="22" t="n"/>
      <c r="F63" s="22" t="n"/>
      <c r="G63" s="22" t="n"/>
      <c r="H63" s="22" t="n"/>
      <c r="I63" s="20" t="n"/>
      <c r="J63" s="20" t="n"/>
      <c r="K63" s="22" t="n"/>
      <c r="L63" s="20" t="n"/>
      <c r="M63" s="22" t="n"/>
      <c r="N63" s="22" t="n"/>
      <c r="O63" s="22" t="n"/>
      <c r="P63" s="22" t="n"/>
      <c r="Q63" s="22" t="n"/>
      <c r="R63" s="22" t="n"/>
      <c r="S63" s="22" t="n"/>
      <c r="T63" s="22" t="n"/>
      <c r="U63" s="22" t="n"/>
      <c r="V63" s="22" t="n"/>
      <c r="W63" s="22" t="n"/>
    </row>
    <row r="64">
      <c r="A64" s="23" t="inlineStr">
        <is>
          <t>02/04/2026</t>
        </is>
      </c>
      <c r="C64" s="26" t="n">
        <v>128.5</v>
      </c>
      <c r="D64" s="22" t="n"/>
      <c r="E64" s="22" t="n"/>
      <c r="F64" s="22" t="n"/>
      <c r="G64" s="22" t="n"/>
      <c r="H64" s="22" t="n"/>
      <c r="I64" s="20" t="n"/>
      <c r="J64" s="20" t="n"/>
      <c r="K64" s="22" t="n"/>
      <c r="L64" s="20" t="n"/>
      <c r="M64" s="22" t="n"/>
      <c r="N64" s="22" t="n"/>
      <c r="O64" s="22" t="n"/>
      <c r="P64" s="22" t="n"/>
      <c r="Q64" s="22" t="n"/>
      <c r="R64" s="22" t="n"/>
      <c r="S64" s="22" t="n"/>
      <c r="T64" s="22" t="n"/>
      <c r="U64" s="22" t="n"/>
      <c r="V64" s="22" t="n"/>
      <c r="W64" s="22" t="n"/>
    </row>
    <row r="65">
      <c r="A65" s="23" t="inlineStr">
        <is>
          <t>06/04/2026</t>
        </is>
      </c>
      <c r="C65" s="26" t="n">
        <v>128.81</v>
      </c>
      <c r="D65" s="22" t="n"/>
      <c r="E65" s="22" t="n"/>
      <c r="F65" s="22" t="n"/>
      <c r="G65" s="22" t="n"/>
      <c r="H65" s="22" t="n"/>
      <c r="I65" s="20" t="n"/>
      <c r="J65" s="20" t="n"/>
      <c r="K65" s="22" t="n"/>
      <c r="L65" s="20" t="n"/>
      <c r="M65" s="22" t="n"/>
      <c r="N65" s="22" t="n"/>
      <c r="O65" s="22" t="n"/>
      <c r="P65" s="22" t="n"/>
      <c r="Q65" s="22" t="n"/>
      <c r="R65" s="22" t="n"/>
      <c r="S65" s="22" t="n"/>
      <c r="T65" s="22" t="n"/>
      <c r="U65" s="22" t="n"/>
      <c r="V65" s="22" t="n"/>
      <c r="W65" s="22" t="n"/>
    </row>
    <row r="66">
      <c r="A66" s="23" t="inlineStr">
        <is>
          <t>07/04/2026</t>
        </is>
      </c>
      <c r="C66" s="26" t="n">
        <v>128.31</v>
      </c>
      <c r="D66" s="22" t="n"/>
      <c r="E66" s="22" t="n"/>
      <c r="F66" s="22" t="n"/>
      <c r="G66" s="22" t="n"/>
      <c r="H66" s="22" t="n"/>
      <c r="I66" s="20" t="n"/>
      <c r="J66" s="20" t="n"/>
      <c r="K66" s="22" t="n"/>
      <c r="L66" s="20" t="n"/>
      <c r="M66" s="22" t="n"/>
      <c r="N66" s="22" t="n"/>
      <c r="O66" s="22" t="n"/>
      <c r="P66" s="22" t="n"/>
      <c r="Q66" s="22" t="n"/>
      <c r="R66" s="22" t="n"/>
      <c r="S66" s="22" t="n"/>
      <c r="T66" s="22" t="n"/>
      <c r="U66" s="22" t="n"/>
      <c r="V66" s="22" t="n"/>
      <c r="W66" s="22" t="n"/>
    </row>
    <row r="67">
      <c r="A67" s="23" t="inlineStr">
        <is>
          <t>08/04/2026</t>
        </is>
      </c>
      <c r="C67" s="26" t="n">
        <v>128.12</v>
      </c>
      <c r="D67" s="22" t="n"/>
      <c r="E67" s="22" t="n"/>
      <c r="F67" s="22" t="n"/>
      <c r="G67" s="22" t="n"/>
      <c r="H67" s="22" t="n"/>
      <c r="I67" s="20" t="n"/>
      <c r="J67" s="20" t="n"/>
      <c r="K67" s="22" t="n"/>
      <c r="L67" s="20" t="n"/>
      <c r="M67" s="22" t="n"/>
      <c r="N67" s="22" t="n"/>
      <c r="O67" s="22" t="n"/>
      <c r="P67" s="22" t="n"/>
      <c r="Q67" s="22" t="n"/>
      <c r="R67" s="22" t="n"/>
      <c r="S67" s="22" t="n"/>
      <c r="T67" s="22" t="n"/>
      <c r="U67" s="22" t="n"/>
      <c r="V67" s="22" t="n"/>
      <c r="W67" s="22" t="n"/>
    </row>
    <row r="68">
      <c r="A68" s="23" t="inlineStr">
        <is>
          <t>09/04/2026</t>
        </is>
      </c>
      <c r="C68" s="26" t="n">
        <v>127.84</v>
      </c>
      <c r="D68" s="22" t="n"/>
      <c r="E68" s="22" t="n"/>
      <c r="F68" s="22" t="n"/>
      <c r="G68" s="22" t="n"/>
      <c r="H68" s="22" t="n"/>
      <c r="I68" s="20" t="n"/>
      <c r="J68" s="20" t="n"/>
      <c r="K68" s="22" t="n"/>
      <c r="L68" s="20" t="n"/>
      <c r="M68" s="22" t="n"/>
      <c r="N68" s="22" t="n"/>
      <c r="O68" s="22" t="n"/>
      <c r="P68" s="22" t="n"/>
      <c r="Q68" s="22" t="n"/>
      <c r="R68" s="22" t="n"/>
      <c r="S68" s="22" t="n"/>
      <c r="T68" s="22" t="n"/>
      <c r="U68" s="22" t="n"/>
      <c r="V68" s="22" t="n"/>
      <c r="W68" s="22" t="n"/>
    </row>
    <row r="69">
      <c r="A69" s="23" t="n">
        <v>46122</v>
      </c>
      <c r="C69" s="26" t="n">
        <v>126.58</v>
      </c>
      <c r="D69" s="22" t="n"/>
      <c r="E69" s="22" t="n"/>
      <c r="F69" s="22" t="n"/>
      <c r="G69" s="22" t="n"/>
      <c r="H69" s="22" t="n"/>
      <c r="I69" s="20" t="n"/>
      <c r="J69" s="20" t="n"/>
      <c r="K69" s="22" t="n"/>
      <c r="L69" s="20" t="n"/>
      <c r="M69" s="22" t="n"/>
      <c r="N69" s="22" t="n"/>
      <c r="O69" s="22" t="n"/>
      <c r="P69" s="22" t="n"/>
      <c r="Q69" s="22" t="n"/>
      <c r="R69" s="22" t="n"/>
      <c r="S69" s="22" t="n"/>
      <c r="T69" s="22" t="n"/>
      <c r="U69" s="22" t="n"/>
      <c r="V69" s="22" t="n"/>
      <c r="W69" s="22" t="n"/>
    </row>
    <row r="70">
      <c r="A70" s="23" t="n">
        <v>46125</v>
      </c>
      <c r="C70" s="26" t="n">
        <v>126.7</v>
      </c>
      <c r="D70" s="22" t="n"/>
      <c r="E70" s="22" t="n"/>
      <c r="F70" s="22" t="n"/>
      <c r="G70" s="22" t="n"/>
      <c r="H70" s="22" t="n"/>
      <c r="I70" s="20" t="n"/>
      <c r="J70" s="20" t="n"/>
      <c r="K70" s="22" t="n"/>
      <c r="L70" s="20" t="n"/>
      <c r="M70" s="22" t="n"/>
      <c r="N70" s="22" t="n"/>
      <c r="O70" s="22" t="n"/>
      <c r="P70" s="22" t="n"/>
      <c r="Q70" s="22" t="n"/>
      <c r="R70" s="22" t="n"/>
      <c r="S70" s="22" t="n"/>
      <c r="T70" s="22" t="n"/>
      <c r="U70" s="22" t="n"/>
      <c r="V70" s="22" t="n"/>
      <c r="W70" s="22" t="n"/>
    </row>
    <row r="71">
      <c r="A71" s="23" t="n">
        <v>46126</v>
      </c>
      <c r="C71" s="26" t="n">
        <v>126.21</v>
      </c>
      <c r="D71" s="22" t="n"/>
      <c r="E71" s="22" t="n"/>
      <c r="F71" s="22" t="n"/>
      <c r="G71" s="22" t="n"/>
      <c r="H71" s="22" t="n"/>
      <c r="I71" s="20" t="n"/>
      <c r="J71" s="20" t="n"/>
      <c r="K71" s="22" t="n"/>
      <c r="L71" s="20" t="n"/>
      <c r="M71" s="22" t="n"/>
      <c r="N71" s="22" t="n"/>
      <c r="O71" s="22" t="n"/>
      <c r="P71" s="22" t="n"/>
      <c r="Q71" s="22" t="n"/>
      <c r="R71" s="22" t="n"/>
      <c r="S71" s="22" t="n"/>
      <c r="T71" s="22" t="n"/>
      <c r="U71" s="22" t="n"/>
      <c r="V71" s="22" t="n"/>
      <c r="W71" s="22" t="n"/>
    </row>
    <row r="72">
      <c r="A72" s="23" t="n">
        <v>46127</v>
      </c>
      <c r="C72" s="6" t="n">
        <v>126.85</v>
      </c>
      <c r="D72" s="22" t="n"/>
      <c r="E72" s="22" t="n"/>
      <c r="F72" s="22" t="n"/>
      <c r="G72" s="22" t="n"/>
      <c r="H72" s="22" t="n"/>
      <c r="I72" s="20" t="n"/>
      <c r="J72" s="20" t="n"/>
      <c r="K72" s="22" t="n"/>
      <c r="L72" s="20" t="n"/>
      <c r="M72" s="22" t="n"/>
      <c r="N72" s="22" t="n"/>
      <c r="O72" s="22" t="n"/>
      <c r="P72" s="22" t="n"/>
      <c r="Q72" s="22" t="n"/>
      <c r="R72" s="22" t="n"/>
      <c r="S72" s="22" t="n"/>
      <c r="T72" s="22" t="n"/>
      <c r="U72" s="22" t="n"/>
      <c r="V72" s="22" t="n"/>
      <c r="W72" s="22" t="n"/>
    </row>
    <row r="73">
      <c r="A73" s="23" t="n">
        <v>46128</v>
      </c>
      <c r="C73" s="6" t="n">
        <v>126.67</v>
      </c>
      <c r="D73" s="22" t="n"/>
      <c r="E73" s="22" t="n"/>
      <c r="F73" s="22" t="n"/>
      <c r="G73" s="22" t="n"/>
      <c r="H73" s="22" t="n"/>
      <c r="I73" s="20" t="n"/>
      <c r="J73" s="20" t="n"/>
      <c r="K73" s="22" t="n"/>
      <c r="L73" s="20" t="n"/>
      <c r="M73" s="22" t="n"/>
      <c r="N73" s="22" t="n"/>
      <c r="O73" s="22" t="n"/>
      <c r="P73" s="22" t="n"/>
      <c r="Q73" s="22" t="n"/>
      <c r="R73" s="22" t="n"/>
      <c r="S73" s="22" t="n"/>
      <c r="T73" s="22" t="n"/>
      <c r="U73" s="22" t="n"/>
      <c r="V73" s="22" t="n"/>
      <c r="W73" s="22" t="n"/>
    </row>
    <row r="74">
      <c r="A74" s="23" t="n">
        <v>46129</v>
      </c>
      <c r="C74" s="6" t="n">
        <v>126.45</v>
      </c>
      <c r="D74" s="22" t="n"/>
      <c r="E74" s="22" t="n"/>
      <c r="F74" s="22" t="n"/>
      <c r="G74" s="22" t="n"/>
      <c r="H74" s="22" t="n"/>
      <c r="I74" s="20" t="n"/>
      <c r="J74" s="20" t="n"/>
      <c r="K74" s="22" t="n"/>
      <c r="L74" s="20" t="n"/>
      <c r="M74" s="22" t="n"/>
      <c r="N74" s="22" t="n"/>
      <c r="O74" s="22" t="n"/>
      <c r="P74" s="22" t="n"/>
      <c r="Q74" s="22" t="n"/>
      <c r="R74" s="22" t="n"/>
      <c r="S74" s="22" t="n"/>
      <c r="T74" s="22" t="n"/>
      <c r="U74" s="22" t="n"/>
      <c r="V74" s="22" t="n"/>
      <c r="W74" s="22" t="n"/>
    </row>
    <row r="75">
      <c r="A75" s="23" t="n">
        <v>46132</v>
      </c>
      <c r="C75" s="6" t="n">
        <v>125.93</v>
      </c>
      <c r="D75" s="22" t="n"/>
      <c r="E75" s="22" t="n"/>
      <c r="F75" s="22" t="n"/>
      <c r="G75" s="22" t="n"/>
      <c r="H75" s="22" t="n"/>
      <c r="I75" s="20" t="n"/>
      <c r="J75" s="20" t="n"/>
      <c r="K75" s="22" t="n"/>
      <c r="L75" s="20" t="n"/>
      <c r="M75" s="22" t="n"/>
      <c r="N75" s="22" t="n"/>
      <c r="O75" s="22" t="n"/>
      <c r="P75" s="22" t="n"/>
      <c r="Q75" s="22" t="n"/>
      <c r="R75" s="22" t="n"/>
      <c r="S75" s="22" t="n"/>
      <c r="T75" s="22" t="n"/>
      <c r="U75" s="22" t="n"/>
      <c r="V75" s="22" t="n"/>
      <c r="W75" s="22" t="n"/>
    </row>
    <row r="76">
      <c r="A76" s="23" t="n">
        <v>46134</v>
      </c>
      <c r="C76" s="6" t="n">
        <v>127.43</v>
      </c>
      <c r="D76" s="22" t="n"/>
      <c r="E76" s="22" t="n"/>
      <c r="F76" s="22" t="n"/>
      <c r="G76" s="22" t="n"/>
      <c r="H76" s="22" t="n"/>
      <c r="I76" s="20" t="n"/>
      <c r="J76" s="20" t="n"/>
      <c r="K76" s="22" t="n"/>
      <c r="L76" s="20" t="n"/>
      <c r="M76" s="22" t="n"/>
      <c r="N76" s="22" t="n"/>
      <c r="O76" s="22" t="n"/>
      <c r="P76" s="22" t="n"/>
      <c r="Q76" s="22" t="n"/>
      <c r="R76" s="22" t="n"/>
      <c r="S76" s="22" t="n"/>
      <c r="T76" s="22" t="n"/>
      <c r="U76" s="22" t="n"/>
      <c r="V76" s="22" t="n"/>
      <c r="W76" s="22" t="n"/>
    </row>
    <row r="77">
      <c r="A77" s="23" t="n">
        <v>46135</v>
      </c>
      <c r="C77" s="6" t="n">
        <v>126.9</v>
      </c>
      <c r="D77" s="22" t="n"/>
      <c r="E77" s="22" t="n"/>
      <c r="F77" s="22" t="n"/>
      <c r="G77" s="22" t="n"/>
      <c r="H77" s="22" t="n"/>
      <c r="I77" s="20" t="n"/>
      <c r="J77" s="20" t="n"/>
      <c r="K77" s="22" t="n"/>
      <c r="L77" s="20" t="n"/>
      <c r="M77" s="22" t="n"/>
      <c r="N77" s="22" t="n"/>
      <c r="O77" s="22" t="n"/>
      <c r="P77" s="22" t="n"/>
      <c r="Q77" s="22" t="n"/>
      <c r="R77" s="22" t="n"/>
      <c r="S77" s="22" t="n"/>
      <c r="T77" s="22" t="n"/>
      <c r="U77" s="22" t="n"/>
      <c r="V77" s="22" t="n"/>
      <c r="W77" s="22" t="n"/>
    </row>
    <row r="78">
      <c r="A78" s="23" t="n">
        <v>46136</v>
      </c>
      <c r="C78" s="6" t="n">
        <v>127.74</v>
      </c>
      <c r="D78" s="22" t="n"/>
      <c r="E78" s="22" t="n"/>
      <c r="F78" s="22" t="n"/>
      <c r="G78" s="22" t="n"/>
      <c r="H78" s="22" t="n"/>
      <c r="I78" s="20" t="n"/>
      <c r="J78" s="20" t="n"/>
      <c r="K78" s="22" t="n"/>
      <c r="L78" s="20" t="n"/>
      <c r="M78" s="22" t="n"/>
      <c r="N78" s="22" t="n"/>
      <c r="O78" s="22" t="n"/>
      <c r="P78" s="22" t="n"/>
      <c r="Q78" s="22" t="n"/>
      <c r="R78" s="22" t="n"/>
      <c r="S78" s="22" t="n"/>
      <c r="T78" s="22" t="n"/>
      <c r="U78" s="22" t="n"/>
      <c r="V78" s="22" t="n"/>
      <c r="W78" s="22" t="n"/>
    </row>
    <row r="79">
      <c r="A79" s="23" t="n">
        <v>46139</v>
      </c>
      <c r="C79" s="6" t="n">
        <v>127.66</v>
      </c>
      <c r="D79" s="22" t="n"/>
      <c r="E79" s="22" t="n"/>
      <c r="F79" s="22" t="n"/>
      <c r="G79" s="22" t="n"/>
      <c r="H79" s="22" t="n"/>
      <c r="I79" s="20" t="n"/>
      <c r="J79" s="20" t="n"/>
      <c r="K79" s="22" t="n"/>
      <c r="L79" s="20" t="n"/>
      <c r="M79" s="22" t="n"/>
      <c r="N79" s="22" t="n"/>
      <c r="O79" s="22" t="n"/>
      <c r="P79" s="22" t="n"/>
      <c r="Q79" s="22" t="n"/>
      <c r="R79" s="22" t="n"/>
      <c r="S79" s="22" t="n"/>
      <c r="T79" s="22" t="n"/>
      <c r="U79" s="22" t="n"/>
      <c r="V79" s="22" t="n"/>
      <c r="W79" s="22" t="n"/>
    </row>
    <row r="80">
      <c r="A80" s="23" t="n">
        <v>46140</v>
      </c>
      <c r="C80" s="6" t="n">
        <v>128.47</v>
      </c>
      <c r="D80" s="22" t="n"/>
      <c r="E80" s="22" t="n"/>
      <c r="F80" s="22" t="n"/>
      <c r="G80" s="22" t="n"/>
      <c r="H80" s="22" t="n"/>
      <c r="I80" s="20" t="n"/>
      <c r="J80" s="20" t="n"/>
      <c r="K80" s="22" t="n"/>
      <c r="L80" s="20" t="n"/>
      <c r="M80" s="22" t="n"/>
      <c r="N80" s="22" t="n"/>
      <c r="O80" s="22" t="n"/>
      <c r="P80" s="22" t="n"/>
      <c r="Q80" s="22" t="n"/>
      <c r="R80" s="22" t="n"/>
      <c r="S80" s="22" t="n"/>
      <c r="T80" s="22" t="n"/>
      <c r="U80" s="22" t="n"/>
      <c r="V80" s="22" t="n"/>
      <c r="W80" s="22" t="n"/>
    </row>
    <row r="81">
      <c r="A81" s="23" t="n">
        <v>46141</v>
      </c>
      <c r="C81" s="6" t="n">
        <v>129.1</v>
      </c>
      <c r="D81" s="22" t="n"/>
      <c r="E81" s="22" t="n"/>
      <c r="F81" s="22" t="n"/>
      <c r="G81" s="22" t="n"/>
      <c r="H81" s="22" t="n"/>
      <c r="I81" s="20" t="n"/>
      <c r="J81" s="20" t="n"/>
      <c r="K81" s="22" t="n"/>
      <c r="L81" s="20" t="n"/>
      <c r="M81" s="22" t="n"/>
      <c r="N81" s="22" t="n"/>
      <c r="O81" s="22" t="n"/>
      <c r="P81" s="22" t="n"/>
      <c r="Q81" s="22" t="n"/>
      <c r="R81" s="22" t="n"/>
      <c r="S81" s="22" t="n"/>
      <c r="T81" s="22" t="n"/>
      <c r="U81" s="22" t="n"/>
      <c r="V81" s="22" t="n"/>
      <c r="W81" s="22" t="n"/>
    </row>
    <row r="82">
      <c r="A82" s="23" t="n">
        <v>46142</v>
      </c>
      <c r="C82" s="6" t="n">
        <v>128.88</v>
      </c>
      <c r="D82" s="22" t="n"/>
      <c r="E82" s="22" t="n"/>
      <c r="F82" s="22" t="n"/>
      <c r="G82" s="22" t="n"/>
      <c r="H82" s="22" t="n"/>
      <c r="I82" s="20" t="n"/>
      <c r="J82" s="20" t="n"/>
      <c r="K82" s="22" t="n"/>
      <c r="L82" s="20" t="n"/>
      <c r="M82" s="22" t="n"/>
      <c r="N82" s="22" t="n"/>
      <c r="O82" s="22" t="n"/>
      <c r="P82" s="22" t="n"/>
      <c r="Q82" s="22" t="n"/>
      <c r="R82" s="22" t="n"/>
      <c r="S82" s="22" t="n"/>
      <c r="T82" s="22" t="n"/>
      <c r="U82" s="22" t="n"/>
      <c r="V82" s="22" t="n"/>
      <c r="W82" s="22" t="n"/>
    </row>
    <row r="83">
      <c r="A83" s="23" t="n">
        <v>46146</v>
      </c>
      <c r="C83" s="6" t="n">
        <v>129.14</v>
      </c>
      <c r="D83" s="22" t="n"/>
      <c r="E83" s="22" t="n"/>
      <c r="F83" s="22" t="n"/>
      <c r="G83" s="22" t="n"/>
      <c r="H83" s="22" t="n"/>
      <c r="I83" s="20" t="n"/>
      <c r="J83" s="20" t="n"/>
      <c r="K83" s="22" t="n"/>
      <c r="L83" s="20" t="n"/>
      <c r="M83" s="22" t="n"/>
      <c r="N83" s="22" t="n"/>
      <c r="O83" s="22" t="n"/>
      <c r="P83" s="22" t="n"/>
      <c r="Q83" s="22" t="n"/>
      <c r="R83" s="22" t="n"/>
      <c r="S83" s="22" t="n"/>
      <c r="T83" s="22" t="n"/>
      <c r="U83" s="22" t="n"/>
      <c r="V83" s="22" t="n"/>
      <c r="W83" s="22" t="n"/>
    </row>
    <row r="84">
      <c r="A84" s="23" t="n">
        <v>46147</v>
      </c>
      <c r="C84" s="6" t="n">
        <v>128.91</v>
      </c>
      <c r="D84" s="22" t="n"/>
      <c r="E84" s="22" t="n"/>
      <c r="F84" s="22" t="n"/>
      <c r="G84" s="22" t="n"/>
      <c r="H84" s="22" t="n"/>
      <c r="I84" s="20" t="n"/>
      <c r="J84" s="20" t="n"/>
      <c r="K84" s="22" t="n"/>
      <c r="L84" s="20" t="n"/>
      <c r="M84" s="22" t="n"/>
      <c r="N84" s="22" t="n"/>
      <c r="O84" s="22" t="n"/>
      <c r="P84" s="22" t="n"/>
      <c r="Q84" s="22" t="n"/>
      <c r="R84" s="22" t="n"/>
      <c r="S84" s="22" t="n"/>
      <c r="T84" s="22" t="n"/>
      <c r="U84" s="22" t="n"/>
      <c r="V84" s="22" t="n"/>
      <c r="W84" s="22" t="n"/>
    </row>
    <row r="85">
      <c r="A85" s="23" t="n">
        <v>46148</v>
      </c>
      <c r="C85" s="6" t="n">
        <v>128.62</v>
      </c>
      <c r="D85" s="22" t="n"/>
      <c r="E85" s="22" t="n"/>
      <c r="F85" s="22" t="n"/>
      <c r="G85" s="22" t="n"/>
      <c r="H85" s="22" t="n"/>
      <c r="I85" s="20" t="n"/>
      <c r="J85" s="20" t="n"/>
      <c r="K85" s="22" t="n"/>
      <c r="L85" s="20" t="n"/>
      <c r="M85" s="22" t="n"/>
      <c r="N85" s="22" t="n"/>
      <c r="O85" s="22" t="n"/>
      <c r="P85" s="22" t="n"/>
      <c r="Q85" s="22" t="n"/>
      <c r="R85" s="22" t="n"/>
      <c r="S85" s="22" t="n"/>
      <c r="T85" s="22" t="n"/>
      <c r="U85" s="22" t="n"/>
      <c r="V85" s="22" t="n"/>
      <c r="W85" s="22" t="n"/>
    </row>
    <row r="86">
      <c r="A86" s="23" t="n">
        <v>46149</v>
      </c>
      <c r="C86" s="6" t="n">
        <v>127.38</v>
      </c>
      <c r="D86" s="22" t="n"/>
      <c r="E86" s="22" t="n"/>
      <c r="F86" s="22" t="n"/>
      <c r="G86" s="22" t="n"/>
      <c r="H86" s="22" t="n"/>
      <c r="I86" s="20" t="n"/>
      <c r="J86" s="20" t="n"/>
      <c r="K86" s="22" t="n"/>
      <c r="L86" s="20" t="n"/>
      <c r="M86" s="22" t="n"/>
      <c r="N86" s="22" t="n"/>
      <c r="O86" s="22" t="n"/>
      <c r="P86" s="22" t="n"/>
      <c r="Q86" s="22" t="n"/>
      <c r="R86" s="22" t="n"/>
      <c r="S86" s="22" t="n"/>
      <c r="T86" s="22" t="n"/>
      <c r="U86" s="22" t="n"/>
      <c r="V86" s="22" t="n"/>
      <c r="W86" s="22" t="n"/>
    </row>
    <row r="87">
      <c r="A87" s="23" t="n">
        <v>46150</v>
      </c>
      <c r="C87" s="6" t="n">
        <v>127.7</v>
      </c>
      <c r="D87" s="22" t="n"/>
      <c r="E87" s="22" t="n"/>
      <c r="F87" s="22" t="n"/>
      <c r="G87" s="22" t="n"/>
      <c r="H87" s="22" t="n"/>
      <c r="I87" s="20" t="n"/>
      <c r="J87" s="20" t="n"/>
      <c r="K87" s="22" t="n"/>
      <c r="L87" s="20" t="n"/>
      <c r="M87" s="22" t="n"/>
      <c r="N87" s="22" t="n"/>
      <c r="O87" s="22" t="n"/>
      <c r="P87" s="22" t="n"/>
      <c r="Q87" s="22" t="n"/>
      <c r="R87" s="22" t="n"/>
      <c r="S87" s="22" t="n"/>
      <c r="T87" s="22" t="n"/>
      <c r="U87" s="22" t="n"/>
      <c r="V87" s="22" t="n"/>
      <c r="W87" s="22" t="n"/>
    </row>
    <row r="88">
      <c r="A88" s="23" t="n">
        <v>46153</v>
      </c>
      <c r="C88" s="6" t="n">
        <v>128.85</v>
      </c>
      <c r="D88" s="22" t="n"/>
      <c r="E88" s="22" t="n"/>
      <c r="F88" s="22" t="n"/>
      <c r="G88" s="22" t="n"/>
      <c r="H88" s="22" t="n"/>
      <c r="I88" s="20" t="n"/>
      <c r="J88" s="20" t="n"/>
      <c r="K88" s="22" t="n"/>
      <c r="L88" s="20" t="n"/>
      <c r="M88" s="22" t="n"/>
      <c r="N88" s="22" t="n"/>
      <c r="O88" s="22" t="n"/>
      <c r="P88" s="22" t="n"/>
      <c r="Q88" s="22" t="n"/>
      <c r="R88" s="22" t="n"/>
      <c r="S88" s="22" t="n"/>
      <c r="T88" s="22" t="n"/>
      <c r="U88" s="22" t="n"/>
      <c r="V88" s="22" t="n"/>
      <c r="W88" s="22" t="n"/>
    </row>
    <row r="89">
      <c r="A89" s="23" t="n">
        <v>46154</v>
      </c>
      <c r="C89" s="6" t="n">
        <v>129.53</v>
      </c>
      <c r="D89" s="22" t="n"/>
      <c r="E89" s="22" t="n"/>
      <c r="F89" s="22" t="n"/>
      <c r="G89" s="22" t="n"/>
      <c r="H89" s="22" t="n"/>
      <c r="I89" s="20" t="n"/>
      <c r="J89" s="20" t="n"/>
      <c r="K89" s="22" t="n"/>
      <c r="L89" s="20" t="n"/>
      <c r="M89" s="22" t="n"/>
      <c r="N89" s="22" t="n"/>
      <c r="O89" s="22" t="n"/>
      <c r="P89" s="22" t="n"/>
      <c r="Q89" s="22" t="n"/>
      <c r="R89" s="22" t="n"/>
      <c r="S89" s="22" t="n"/>
      <c r="T89" s="22" t="n"/>
      <c r="U89" s="22" t="n"/>
      <c r="V89" s="22" t="n"/>
      <c r="W89" s="22" t="n"/>
    </row>
    <row r="90">
      <c r="A90" s="23" t="n">
        <v>46155</v>
      </c>
      <c r="C90" s="6" t="n">
        <v>130.55</v>
      </c>
      <c r="D90" s="22" t="n"/>
      <c r="E90" s="22" t="n"/>
      <c r="F90" s="22" t="n"/>
      <c r="G90" s="22" t="n"/>
      <c r="H90" s="22" t="n"/>
      <c r="I90" s="20" t="n"/>
      <c r="J90" s="20" t="n"/>
      <c r="K90" s="22" t="n"/>
      <c r="L90" s="20" t="n"/>
      <c r="M90" s="22" t="n"/>
      <c r="N90" s="22" t="n"/>
      <c r="O90" s="22" t="n"/>
      <c r="P90" s="22" t="n"/>
      <c r="Q90" s="22" t="n"/>
      <c r="R90" s="22" t="n"/>
      <c r="S90" s="22" t="n"/>
      <c r="T90" s="22" t="n"/>
      <c r="U90" s="22" t="n"/>
      <c r="V90" s="22" t="n"/>
      <c r="W90" s="22" t="n"/>
    </row>
    <row r="91">
      <c r="A91" s="23" t="n">
        <v>46156</v>
      </c>
      <c r="C91" s="6" t="n">
        <v>128.33</v>
      </c>
      <c r="D91" s="22" t="n"/>
      <c r="E91" s="22" t="n"/>
      <c r="F91" s="22" t="n"/>
      <c r="G91" s="22" t="n"/>
      <c r="H91" s="22" t="n"/>
      <c r="I91" s="20" t="n"/>
      <c r="J91" s="20" t="n"/>
      <c r="K91" s="22" t="n"/>
      <c r="L91" s="20" t="n"/>
      <c r="M91" s="22" t="n"/>
      <c r="N91" s="22" t="n"/>
      <c r="O91" s="22" t="n"/>
      <c r="P91" s="22" t="n"/>
      <c r="Q91" s="22" t="n"/>
      <c r="R91" s="22" t="n"/>
      <c r="S91" s="22" t="n"/>
      <c r="T91" s="22" t="n"/>
      <c r="U91" s="22" t="n"/>
      <c r="V91" s="22" t="n"/>
      <c r="W91" s="22" t="n"/>
    </row>
    <row r="92">
      <c r="A92" s="23" t="n">
        <v>46157</v>
      </c>
      <c r="C92" s="21" t="n">
        <v>129.14</v>
      </c>
      <c r="D92" s="22" t="n"/>
      <c r="E92" s="22" t="n"/>
      <c r="F92" s="22" t="n"/>
      <c r="G92" s="22" t="n"/>
      <c r="H92" s="22" t="n"/>
      <c r="I92" s="20" t="n"/>
      <c r="J92" s="20" t="n"/>
      <c r="K92" s="22" t="n"/>
      <c r="L92" s="20" t="n"/>
      <c r="M92" s="22" t="n"/>
      <c r="N92" s="22" t="n"/>
      <c r="O92" s="22" t="n"/>
      <c r="P92" s="22" t="n"/>
      <c r="Q92" s="22" t="n"/>
      <c r="R92" s="22" t="n"/>
      <c r="S92" s="22" t="n"/>
      <c r="T92" s="22" t="n"/>
      <c r="U92" s="22" t="n"/>
      <c r="V92" s="22" t="n"/>
      <c r="W92" s="22" t="n"/>
    </row>
    <row r="93">
      <c r="A93" s="23" t="n">
        <v>46160</v>
      </c>
      <c r="C93" s="21" t="n">
        <v>129.71</v>
      </c>
      <c r="D93" s="22" t="n"/>
      <c r="E93" s="22" t="n"/>
      <c r="F93" s="22" t="n"/>
      <c r="G93" s="22" t="n"/>
      <c r="H93" s="22" t="n"/>
      <c r="I93" s="20" t="n"/>
      <c r="J93" s="20" t="n"/>
      <c r="K93" s="22" t="n"/>
      <c r="L93" s="20" t="n"/>
      <c r="M93" s="22" t="n"/>
      <c r="N93" s="22" t="n"/>
      <c r="O93" s="22" t="n"/>
      <c r="P93" s="22" t="n"/>
      <c r="Q93" s="22" t="n"/>
      <c r="R93" s="22" t="n"/>
      <c r="S93" s="22" t="n"/>
      <c r="T93" s="22" t="n"/>
      <c r="U93" s="22" t="n"/>
      <c r="V93" s="22" t="n"/>
      <c r="W93" s="22" t="n"/>
    </row>
    <row r="94">
      <c r="A94" s="23" t="n">
        <v>46161</v>
      </c>
      <c r="C94" s="21" t="n">
        <v>130.57</v>
      </c>
      <c r="D94" s="22" t="n"/>
      <c r="E94" s="22" t="n"/>
      <c r="F94" s="22" t="n"/>
      <c r="G94" s="22" t="n"/>
      <c r="H94" s="22" t="n"/>
      <c r="I94" s="20" t="n"/>
      <c r="J94" s="20" t="n"/>
      <c r="K94" s="22" t="n"/>
      <c r="L94" s="20" t="n"/>
      <c r="M94" s="22" t="n"/>
      <c r="N94" s="22" t="n"/>
      <c r="O94" s="22" t="n"/>
      <c r="P94" s="22" t="n"/>
      <c r="Q94" s="22" t="n"/>
      <c r="R94" s="22" t="n"/>
      <c r="S94" s="22" t="n"/>
      <c r="T94" s="22" t="n"/>
      <c r="U94" s="22" t="n"/>
      <c r="V94" s="22" t="n"/>
      <c r="W94" s="22" t="n"/>
    </row>
    <row r="95">
      <c r="A95" s="23" t="n">
        <v>46162</v>
      </c>
      <c r="C95" s="21" t="n">
        <v>129.25</v>
      </c>
      <c r="D95" s="22" t="n"/>
      <c r="E95" s="22" t="n"/>
      <c r="F95" s="22" t="n"/>
      <c r="G95" s="22" t="n"/>
      <c r="H95" s="22" t="n"/>
      <c r="I95" s="20" t="n"/>
      <c r="J95" s="20" t="n"/>
      <c r="K95" s="22" t="n"/>
      <c r="L95" s="20" t="n"/>
      <c r="M95" s="22" t="n"/>
      <c r="N95" s="22" t="n"/>
      <c r="O95" s="22" t="n"/>
      <c r="P95" s="22" t="n"/>
      <c r="Q95" s="22" t="n"/>
      <c r="R95" s="22" t="n"/>
      <c r="S95" s="22" t="n"/>
      <c r="T95" s="22" t="n"/>
      <c r="U95" s="22" t="n"/>
      <c r="V95" s="22" t="n"/>
      <c r="W95" s="22" t="n"/>
    </row>
    <row r="96">
      <c r="A96" s="23" t="n">
        <v>46163</v>
      </c>
      <c r="C96" s="21" t="n">
        <v>129.64</v>
      </c>
      <c r="D96" s="22" t="n"/>
      <c r="E96" s="22" t="n"/>
      <c r="F96" s="22" t="n"/>
      <c r="G96" s="22" t="n"/>
      <c r="H96" s="22" t="n"/>
      <c r="I96" s="20" t="n"/>
      <c r="J96" s="20" t="n"/>
      <c r="K96" s="22" t="n"/>
      <c r="L96" s="20" t="n"/>
      <c r="M96" s="22" t="n"/>
      <c r="N96" s="22" t="n"/>
      <c r="O96" s="22" t="n"/>
      <c r="P96" s="22" t="n"/>
      <c r="Q96" s="22" t="n"/>
      <c r="R96" s="22" t="n"/>
      <c r="S96" s="22" t="n"/>
      <c r="T96" s="22" t="n"/>
      <c r="U96" s="22" t="n"/>
      <c r="V96" s="22" t="n"/>
      <c r="W96" s="22" t="n"/>
    </row>
    <row r="97">
      <c r="A97" s="23" t="n">
        <v>46164</v>
      </c>
      <c r="C97" s="21" t="n">
        <v>129.62</v>
      </c>
      <c r="D97" s="22" t="n"/>
      <c r="E97" s="22" t="n"/>
      <c r="F97" s="22" t="n"/>
      <c r="G97" s="22" t="n"/>
      <c r="H97" s="22" t="n"/>
      <c r="I97" s="20" t="n"/>
      <c r="J97" s="20" t="n"/>
      <c r="K97" s="22" t="n"/>
      <c r="L97" s="20" t="n"/>
      <c r="M97" s="22" t="n"/>
      <c r="N97" s="22" t="n"/>
      <c r="O97" s="22" t="n"/>
      <c r="P97" s="22" t="n"/>
      <c r="Q97" s="22" t="n"/>
      <c r="R97" s="22" t="n"/>
      <c r="S97" s="22" t="n"/>
      <c r="T97" s="22" t="n"/>
      <c r="U97" s="22" t="n"/>
      <c r="V97" s="22" t="n"/>
      <c r="W97" s="22" t="n"/>
    </row>
    <row r="98">
      <c r="A98" s="23" t="n">
        <v>46167</v>
      </c>
      <c r="C98" s="21" t="n">
        <v>129.91</v>
      </c>
      <c r="D98" s="22" t="n"/>
      <c r="E98" s="22" t="n"/>
      <c r="F98" s="22" t="n"/>
      <c r="G98" s="22" t="n"/>
      <c r="H98" s="22" t="n"/>
      <c r="I98" s="20" t="n"/>
      <c r="J98" s="20" t="n"/>
      <c r="K98" s="22" t="n"/>
      <c r="L98" s="20" t="n"/>
      <c r="M98" s="22" t="n"/>
      <c r="N98" s="22" t="n"/>
      <c r="O98" s="22" t="n"/>
      <c r="P98" s="22" t="n"/>
      <c r="Q98" s="22" t="n"/>
      <c r="R98" s="22" t="n"/>
      <c r="S98" s="22" t="n"/>
      <c r="T98" s="22" t="n"/>
      <c r="U98" s="22" t="n"/>
      <c r="V98" s="22" t="n"/>
      <c r="W98" s="22" t="n"/>
    </row>
    <row r="99">
      <c r="A99" s="23" t="n">
        <v>46168</v>
      </c>
      <c r="C99" s="21" t="n">
        <v>129.47</v>
      </c>
      <c r="D99" s="22" t="n"/>
      <c r="E99" s="22" t="n"/>
      <c r="F99" s="22" t="n"/>
      <c r="G99" s="22" t="n"/>
      <c r="H99" s="22" t="n"/>
      <c r="I99" s="20" t="n"/>
      <c r="J99" s="20" t="n"/>
      <c r="K99" s="22" t="n"/>
      <c r="L99" s="20" t="n"/>
      <c r="M99" s="22" t="n"/>
      <c r="N99" s="22" t="n"/>
      <c r="O99" s="22" t="n"/>
      <c r="P99" s="22" t="n"/>
      <c r="Q99" s="22" t="n"/>
      <c r="R99" s="22" t="n"/>
      <c r="S99" s="22" t="n"/>
      <c r="T99" s="22" t="n"/>
      <c r="U99" s="22" t="n"/>
      <c r="V99" s="22" t="n"/>
      <c r="W99" s="22" t="n"/>
    </row>
    <row r="100">
      <c r="A100" s="23" t="n">
        <v>46169</v>
      </c>
      <c r="C100" s="21" t="n">
        <v>129.89</v>
      </c>
      <c r="D100" s="22" t="n"/>
      <c r="E100" s="22" t="n"/>
      <c r="F100" s="22" t="n"/>
      <c r="G100" s="22" t="n"/>
      <c r="H100" s="22" t="n"/>
      <c r="I100" s="20" t="n"/>
      <c r="J100" s="20" t="n"/>
      <c r="K100" s="22" t="n"/>
      <c r="L100" s="20" t="n"/>
      <c r="M100" s="22" t="n"/>
      <c r="N100" s="22" t="n"/>
      <c r="O100" s="22" t="n"/>
      <c r="P100" s="22" t="n"/>
      <c r="Q100" s="22" t="n"/>
      <c r="R100" s="22" t="n"/>
      <c r="S100" s="22" t="n"/>
      <c r="T100" s="22" t="n"/>
      <c r="U100" s="22" t="n"/>
      <c r="V100" s="22" t="n"/>
      <c r="W100" s="22" t="n"/>
    </row>
    <row r="101">
      <c r="A101" s="23" t="n">
        <v>46170</v>
      </c>
      <c r="C101" s="21" t="n">
        <v>130.9</v>
      </c>
      <c r="D101" s="22" t="n"/>
      <c r="E101" s="22" t="n"/>
      <c r="F101" s="22" t="n"/>
      <c r="G101" s="22" t="n"/>
      <c r="H101" s="22" t="n"/>
      <c r="I101" s="20" t="n"/>
      <c r="J101" s="20" t="n"/>
      <c r="K101" s="22" t="n"/>
      <c r="L101" s="20" t="n"/>
      <c r="M101" s="22" t="n"/>
      <c r="N101" s="22" t="n"/>
      <c r="O101" s="22" t="n"/>
      <c r="P101" s="22" t="n"/>
      <c r="Q101" s="22" t="n"/>
      <c r="R101" s="22" t="n"/>
      <c r="S101" s="22" t="n"/>
      <c r="T101" s="22" t="n"/>
      <c r="U101" s="22" t="n"/>
      <c r="V101" s="22" t="n"/>
      <c r="W101" s="22" t="n"/>
    </row>
    <row r="102">
      <c r="A102" s="23" t="n">
        <v>46171</v>
      </c>
      <c r="C102" s="21" t="n">
        <v>130.12</v>
      </c>
      <c r="D102" s="22" t="n"/>
      <c r="E102" s="22" t="n"/>
      <c r="F102" s="22" t="n"/>
      <c r="G102" s="22" t="n"/>
      <c r="H102" s="22" t="n"/>
      <c r="I102" s="20" t="n"/>
      <c r="J102" s="20" t="n"/>
      <c r="K102" s="22" t="n"/>
      <c r="L102" s="20" t="n"/>
      <c r="M102" s="22" t="n"/>
      <c r="N102" s="22" t="n"/>
      <c r="O102" s="22" t="n"/>
      <c r="P102" s="22" t="n"/>
      <c r="Q102" s="22" t="n"/>
      <c r="R102" s="22" t="n"/>
      <c r="S102" s="22" t="n"/>
      <c r="T102" s="22" t="n"/>
      <c r="U102" s="22" t="n"/>
      <c r="V102" s="22" t="n"/>
      <c r="W102" s="22" t="n"/>
    </row>
    <row r="103">
      <c r="A103" s="23" t="n">
        <v>46174</v>
      </c>
      <c r="C103" s="21" t="n">
        <v>130.25</v>
      </c>
      <c r="D103" s="22" t="n"/>
      <c r="E103" s="22" t="n"/>
      <c r="F103" s="22" t="n"/>
      <c r="G103" s="22" t="n"/>
      <c r="H103" s="22" t="n"/>
      <c r="I103" s="20" t="n"/>
      <c r="J103" s="20" t="n"/>
      <c r="K103" s="22" t="n"/>
      <c r="L103" s="20" t="n"/>
      <c r="M103" s="22" t="n"/>
      <c r="N103" s="22" t="n"/>
      <c r="O103" s="22" t="n"/>
      <c r="P103" s="22" t="n"/>
      <c r="Q103" s="22" t="n"/>
      <c r="R103" s="22" t="n"/>
      <c r="S103" s="22" t="n"/>
      <c r="T103" s="22" t="n"/>
      <c r="U103" s="22" t="n"/>
      <c r="V103" s="22" t="n"/>
      <c r="W103" s="22" t="n"/>
    </row>
    <row r="104">
      <c r="A104" s="23" t="n">
        <v>46175</v>
      </c>
      <c r="C104" s="21" t="n">
        <v>128.74</v>
      </c>
      <c r="D104" s="22" t="n"/>
      <c r="E104" s="22" t="n"/>
      <c r="F104" s="22" t="n"/>
      <c r="G104" s="22" t="n"/>
      <c r="H104" s="22" t="n"/>
      <c r="I104" s="20" t="n"/>
      <c r="J104" s="20" t="n"/>
      <c r="K104" s="22" t="n"/>
      <c r="L104" s="20" t="n"/>
      <c r="M104" s="22" t="n"/>
      <c r="N104" s="22" t="n"/>
      <c r="O104" s="22" t="n"/>
      <c r="P104" s="22" t="n"/>
      <c r="Q104" s="22" t="n"/>
      <c r="R104" s="22" t="n"/>
      <c r="S104" s="22" t="n"/>
      <c r="T104" s="22" t="n"/>
      <c r="U104" s="22" t="n"/>
      <c r="V104" s="22" t="n"/>
      <c r="W104" s="22" t="n"/>
    </row>
    <row r="105">
      <c r="A105" s="23" t="n">
        <v>46176</v>
      </c>
      <c r="C105" s="21" t="n">
        <v>130.02</v>
      </c>
      <c r="D105" s="22" t="n"/>
      <c r="E105" s="22" t="n"/>
      <c r="F105" s="22" t="n"/>
      <c r="G105" s="22" t="n"/>
      <c r="H105" s="22" t="n"/>
      <c r="I105" s="20" t="n"/>
      <c r="J105" s="20" t="n"/>
      <c r="K105" s="22" t="n"/>
      <c r="L105" s="20" t="n"/>
      <c r="M105" s="22" t="n"/>
      <c r="N105" s="22" t="n"/>
      <c r="O105" s="22" t="n"/>
      <c r="P105" s="22" t="n"/>
      <c r="Q105" s="22" t="n"/>
      <c r="R105" s="22" t="n"/>
      <c r="S105" s="22" t="n"/>
      <c r="T105" s="22" t="n"/>
      <c r="U105" s="22" t="n"/>
      <c r="V105" s="22" t="n"/>
      <c r="W105" s="22" t="n"/>
    </row>
    <row r="106">
      <c r="A106" s="23" t="n">
        <v>46178</v>
      </c>
      <c r="C106" s="21" t="n">
        <v>129.16</v>
      </c>
      <c r="D106" s="22" t="n"/>
      <c r="E106" s="22" t="n"/>
      <c r="F106" s="22" t="n"/>
      <c r="G106" s="22" t="n"/>
      <c r="H106" s="22" t="n"/>
      <c r="I106" s="20" t="n"/>
      <c r="J106" s="20" t="n"/>
      <c r="K106" s="22" t="n"/>
      <c r="L106" s="20" t="n"/>
      <c r="M106" s="22" t="n"/>
      <c r="N106" s="22" t="n"/>
      <c r="O106" s="22" t="n"/>
      <c r="P106" s="22" t="n"/>
      <c r="Q106" s="22" t="n"/>
      <c r="R106" s="22" t="n"/>
      <c r="S106" s="22" t="n"/>
      <c r="T106" s="22" t="n"/>
      <c r="U106" s="22" t="n"/>
      <c r="V106" s="22" t="n"/>
      <c r="W106" s="22" t="n"/>
    </row>
    <row r="107">
      <c r="A107" s="23" t="n">
        <v>46181</v>
      </c>
      <c r="C107" s="21" t="n">
        <v>130.08</v>
      </c>
      <c r="D107" s="22" t="n"/>
      <c r="E107" s="22" t="n"/>
      <c r="F107" s="22" t="n"/>
      <c r="G107" s="22" t="n"/>
      <c r="H107" s="22" t="n"/>
      <c r="I107" s="20" t="n"/>
      <c r="J107" s="20" t="n"/>
      <c r="K107" s="22" t="n"/>
      <c r="L107" s="20" t="n"/>
      <c r="M107" s="22" t="n"/>
      <c r="N107" s="22" t="n"/>
      <c r="O107" s="22" t="n"/>
      <c r="P107" s="22" t="n"/>
      <c r="Q107" s="22" t="n"/>
      <c r="R107" s="22" t="n"/>
      <c r="S107" s="22" t="n"/>
      <c r="T107" s="22" t="n"/>
      <c r="U107" s="22" t="n"/>
      <c r="V107" s="22" t="n"/>
      <c r="W107" s="22" t="n"/>
    </row>
    <row r="108">
      <c r="A108" s="23" t="n">
        <v>46182</v>
      </c>
      <c r="C108" s="21" t="n">
        <v>130.85</v>
      </c>
      <c r="D108" s="22" t="n"/>
      <c r="E108" s="22" t="n"/>
      <c r="F108" s="22" t="n"/>
      <c r="G108" s="22" t="n"/>
      <c r="H108" s="22" t="n"/>
      <c r="I108" s="20" t="n"/>
      <c r="J108" s="20" t="n"/>
      <c r="K108" s="22" t="n"/>
      <c r="L108" s="20" t="n"/>
      <c r="M108" s="22" t="n"/>
      <c r="N108" s="22" t="n"/>
      <c r="O108" s="22" t="n"/>
      <c r="P108" s="22" t="n"/>
      <c r="Q108" s="22" t="n"/>
      <c r="R108" s="22" t="n"/>
      <c r="S108" s="22" t="n"/>
      <c r="T108" s="22" t="n"/>
      <c r="U108" s="22" t="n"/>
      <c r="V108" s="22" t="n"/>
      <c r="W108" s="22" t="n"/>
    </row>
    <row r="109">
      <c r="A109" s="23" t="n">
        <v>46183</v>
      </c>
      <c r="C109" s="21" t="n">
        <v>132.23</v>
      </c>
      <c r="D109" s="22" t="n"/>
      <c r="E109" s="22" t="n"/>
      <c r="F109" s="22" t="n"/>
      <c r="G109" s="22" t="n"/>
      <c r="H109" s="22" t="n"/>
      <c r="I109" s="20" t="n"/>
      <c r="J109" s="20" t="n"/>
      <c r="K109" s="22" t="n"/>
      <c r="L109" s="20" t="n"/>
      <c r="M109" s="22" t="n"/>
      <c r="N109" s="22" t="n"/>
      <c r="O109" s="22" t="n"/>
      <c r="P109" s="22" t="n"/>
      <c r="Q109" s="22" t="n"/>
      <c r="R109" s="22" t="n"/>
      <c r="S109" s="22" t="n"/>
      <c r="T109" s="22" t="n"/>
      <c r="U109" s="22" t="n"/>
      <c r="V109" s="22" t="n"/>
      <c r="W109" s="22" t="n"/>
    </row>
    <row r="110">
      <c r="A110" s="23" t="n">
        <v>46184</v>
      </c>
      <c r="C110" s="21" t="n">
        <v>131.78</v>
      </c>
      <c r="D110" s="22" t="n"/>
      <c r="E110" s="22" t="n"/>
      <c r="F110" s="22" t="n"/>
      <c r="G110" s="22" t="n"/>
      <c r="H110" s="22" t="n"/>
      <c r="I110" s="20" t="n"/>
      <c r="J110" s="20" t="n"/>
      <c r="K110" s="22" t="n"/>
      <c r="L110" s="20" t="n"/>
      <c r="M110" s="22" t="n"/>
      <c r="N110" s="22" t="n"/>
      <c r="O110" s="22" t="n"/>
      <c r="P110" s="22" t="n"/>
      <c r="Q110" s="22" t="n"/>
      <c r="R110" s="22" t="n"/>
      <c r="S110" s="22" t="n"/>
      <c r="T110" s="22" t="n"/>
      <c r="U110" s="22" t="n"/>
      <c r="V110" s="22" t="n"/>
      <c r="W110" s="22" t="n"/>
    </row>
    <row r="111">
      <c r="A111" s="23" t="n">
        <v>46185</v>
      </c>
      <c r="C111" s="21" t="n">
        <v>129.85</v>
      </c>
      <c r="D111" s="22" t="n"/>
      <c r="E111" s="22" t="n"/>
      <c r="F111" s="22" t="n"/>
      <c r="G111" s="22" t="n"/>
      <c r="H111" s="22" t="n"/>
      <c r="I111" s="20" t="n"/>
      <c r="J111" s="20" t="n"/>
      <c r="K111" s="22" t="n"/>
      <c r="L111" s="20" t="n"/>
      <c r="M111" s="22" t="n"/>
      <c r="N111" s="22" t="n"/>
      <c r="O111" s="22" t="n"/>
      <c r="P111" s="22" t="n"/>
      <c r="Q111" s="22" t="n"/>
      <c r="R111" s="22" t="n"/>
      <c r="S111" s="22" t="n"/>
      <c r="T111" s="22" t="n"/>
      <c r="U111" s="22" t="n"/>
      <c r="V111" s="22" t="n"/>
      <c r="W111" s="22" t="n"/>
    </row>
    <row r="112">
      <c r="A112" s="23" t="n">
        <v>46188</v>
      </c>
      <c r="C112" s="22" t="n">
        <v>129.24</v>
      </c>
      <c r="D112" s="22" t="n"/>
      <c r="E112" s="22" t="n"/>
      <c r="F112" s="22" t="n"/>
      <c r="G112" s="22" t="n"/>
      <c r="H112" s="22" t="n"/>
      <c r="I112" s="20" t="n"/>
      <c r="J112" s="20" t="n"/>
      <c r="K112" s="22" t="n"/>
      <c r="L112" s="20" t="n"/>
      <c r="M112" s="22" t="n"/>
      <c r="N112" s="22" t="n"/>
      <c r="O112" s="22" t="n"/>
      <c r="P112" s="22" t="n"/>
      <c r="Q112" s="22" t="n"/>
      <c r="R112" s="22" t="n"/>
      <c r="S112" s="22" t="n"/>
      <c r="T112" s="22" t="n"/>
      <c r="U112" s="22" t="n"/>
      <c r="V112" s="22" t="n"/>
      <c r="W112" s="22" t="n"/>
    </row>
    <row r="113">
      <c r="A113" s="23" t="n">
        <v>46189</v>
      </c>
      <c r="C113" s="22" t="n">
        <v>132.26</v>
      </c>
      <c r="D113" s="22" t="n"/>
      <c r="E113" s="22" t="n"/>
      <c r="F113" s="22" t="n"/>
      <c r="G113" s="22" t="n"/>
      <c r="H113" s="22" t="n"/>
      <c r="I113" s="20" t="n"/>
      <c r="J113" s="20" t="n"/>
      <c r="K113" s="22" t="n"/>
      <c r="L113" s="20" t="n"/>
      <c r="M113" s="22" t="n"/>
      <c r="N113" s="22" t="n"/>
      <c r="O113" s="22" t="n"/>
      <c r="P113" s="22" t="n"/>
      <c r="Q113" s="22" t="n"/>
      <c r="R113" s="22" t="n"/>
      <c r="S113" s="22" t="n"/>
      <c r="T113" s="22" t="n"/>
      <c r="U113" s="22" t="n"/>
      <c r="V113" s="22" t="n"/>
      <c r="W113" s="22" t="n"/>
    </row>
    <row r="114">
      <c r="A114" s="23" t="n">
        <v>46190</v>
      </c>
      <c r="C114" s="22" t="n">
        <v>131.07</v>
      </c>
      <c r="D114" s="22" t="n"/>
      <c r="E114" s="22" t="n"/>
      <c r="F114" s="22" t="n"/>
      <c r="G114" s="22" t="n"/>
      <c r="H114" s="22" t="n"/>
      <c r="I114" s="20" t="n"/>
      <c r="J114" s="20" t="n"/>
      <c r="K114" s="22" t="n"/>
      <c r="L114" s="20" t="n"/>
      <c r="M114" s="22" t="n"/>
      <c r="N114" s="22" t="n"/>
      <c r="O114" s="22" t="n"/>
      <c r="P114" s="22" t="n"/>
      <c r="Q114" s="22" t="n"/>
      <c r="R114" s="22" t="n"/>
      <c r="S114" s="22" t="n"/>
      <c r="T114" s="22" t="n"/>
      <c r="U114" s="22" t="n"/>
      <c r="V114" s="22" t="n"/>
      <c r="W114" s="22" t="n"/>
    </row>
    <row r="115">
      <c r="A115" s="23" t="n">
        <v>46191</v>
      </c>
      <c r="C115" s="22" t="n">
        <v>133.39</v>
      </c>
      <c r="D115" s="22" t="n"/>
      <c r="E115" s="22" t="n"/>
      <c r="F115" s="22" t="n"/>
      <c r="G115" s="22" t="n"/>
      <c r="H115" s="22" t="n"/>
      <c r="I115" s="20" t="n"/>
      <c r="J115" s="20" t="n"/>
      <c r="K115" s="22" t="n"/>
      <c r="L115" s="20" t="n"/>
      <c r="M115" s="22" t="n"/>
      <c r="N115" s="22" t="n"/>
      <c r="O115" s="22" t="n"/>
      <c r="P115" s="22" t="n"/>
      <c r="Q115" s="22" t="n"/>
      <c r="R115" s="22" t="n"/>
      <c r="S115" s="22" t="n"/>
      <c r="T115" s="22" t="n"/>
      <c r="U115" s="22" t="n"/>
      <c r="V115" s="22" t="n"/>
      <c r="W115" s="22" t="n"/>
    </row>
    <row r="116">
      <c r="A116" s="23" t="n">
        <v>46192</v>
      </c>
      <c r="C116" s="22" t="n">
        <v>132.84</v>
      </c>
      <c r="D116" s="22" t="n"/>
      <c r="E116" s="22" t="n"/>
      <c r="F116" s="22" t="n"/>
      <c r="G116" s="22" t="n"/>
      <c r="H116" s="22" t="n"/>
      <c r="I116" s="20" t="n"/>
      <c r="J116" s="20" t="n"/>
      <c r="K116" s="22" t="n"/>
      <c r="L116" s="20" t="n"/>
      <c r="M116" s="22" t="n"/>
      <c r="N116" s="22" t="n"/>
      <c r="O116" s="22" t="n"/>
      <c r="P116" s="22" t="n"/>
      <c r="Q116" s="22" t="n"/>
      <c r="R116" s="22" t="n"/>
      <c r="S116" s="22" t="n"/>
      <c r="T116" s="22" t="n"/>
      <c r="U116" s="22" t="n"/>
      <c r="V116" s="22" t="n"/>
      <c r="W116" s="22" t="n"/>
    </row>
    <row r="117">
      <c r="A117" s="23" t="n">
        <v>46195</v>
      </c>
      <c r="C117" s="22" t="n">
        <v>132.81</v>
      </c>
      <c r="D117" s="22" t="n"/>
      <c r="E117" s="22" t="n"/>
      <c r="F117" s="22" t="n"/>
      <c r="G117" s="22" t="n"/>
      <c r="H117" s="22" t="n"/>
      <c r="I117" s="20" t="n"/>
      <c r="J117" s="20" t="n"/>
      <c r="K117" s="22" t="n"/>
      <c r="L117" s="20" t="n"/>
      <c r="M117" s="22" t="n"/>
      <c r="N117" s="22" t="n"/>
      <c r="O117" s="22" t="n"/>
      <c r="P117" s="22" t="n"/>
      <c r="Q117" s="22" t="n"/>
      <c r="R117" s="22" t="n"/>
      <c r="S117" s="22" t="n"/>
      <c r="T117" s="22" t="n"/>
      <c r="U117" s="22" t="n"/>
      <c r="V117" s="22" t="n"/>
      <c r="W117" s="22" t="n"/>
    </row>
    <row r="118">
      <c r="A118" s="23" t="n">
        <v>46196</v>
      </c>
      <c r="B118" t="inlineStr">
        <is>
          <t>SOJA - PARANAGUÁ</t>
        </is>
      </c>
      <c r="C118" s="22" t="n">
        <v>133.5</v>
      </c>
      <c r="D118" s="22" t="n"/>
      <c r="E118" s="22" t="n"/>
      <c r="F118" s="22" t="n"/>
      <c r="G118" s="22" t="n"/>
      <c r="H118" s="22" t="n"/>
      <c r="I118" s="20" t="n"/>
      <c r="J118" s="20" t="n"/>
      <c r="K118" s="22" t="n"/>
      <c r="L118" s="20" t="n"/>
      <c r="M118" s="22" t="n"/>
      <c r="N118" s="22" t="n"/>
      <c r="O118" s="22" t="n"/>
      <c r="P118" s="22" t="n"/>
      <c r="Q118" s="22" t="n"/>
      <c r="R118" s="22" t="n"/>
      <c r="S118" s="22" t="n"/>
      <c r="T118" s="22" t="n"/>
      <c r="U118" s="22" t="n"/>
      <c r="V118" s="22" t="n"/>
      <c r="W118" s="22" t="n"/>
    </row>
    <row r="119">
      <c r="A119" s="23" t="n">
        <v>46197</v>
      </c>
      <c r="B119" t="inlineStr">
        <is>
          <t>SOJA - PARANAGUÁ</t>
        </is>
      </c>
      <c r="C119" s="22" t="n">
        <v>134.35</v>
      </c>
      <c r="D119" s="22" t="n"/>
      <c r="E119" s="22" t="n"/>
      <c r="F119" s="22" t="n"/>
      <c r="G119" s="22" t="n"/>
      <c r="H119" s="22" t="n"/>
      <c r="I119" s="20" t="n"/>
      <c r="J119" s="20" t="n"/>
      <c r="K119" s="22" t="n"/>
      <c r="L119" s="20" t="n"/>
      <c r="M119" s="22" t="n"/>
      <c r="N119" s="22" t="n"/>
      <c r="O119" s="22" t="n"/>
      <c r="P119" s="22" t="n"/>
      <c r="Q119" s="22" t="n"/>
      <c r="R119" s="22" t="n"/>
      <c r="S119" s="22" t="n"/>
      <c r="T119" s="22" t="n"/>
      <c r="U119" s="22" t="n"/>
      <c r="V119" s="22" t="n"/>
      <c r="W119" s="22" t="n"/>
    </row>
    <row r="120">
      <c r="A120" s="23" t="n">
        <v>46198</v>
      </c>
      <c r="B120" t="inlineStr">
        <is>
          <t>SOJA - PARANAGUÁ</t>
        </is>
      </c>
      <c r="C120" s="22" t="n">
        <v>134.15</v>
      </c>
      <c r="D120" s="22" t="n"/>
      <c r="E120" s="22" t="n"/>
      <c r="F120" s="22" t="n"/>
      <c r="G120" s="22" t="n"/>
      <c r="H120" s="22" t="n"/>
      <c r="I120" s="20" t="n"/>
      <c r="J120" s="20" t="n"/>
      <c r="K120" s="22" t="n"/>
      <c r="L120" s="20" t="n"/>
      <c r="M120" s="22" t="n"/>
      <c r="N120" s="22" t="n"/>
      <c r="O120" s="22" t="n"/>
      <c r="P120" s="22" t="n"/>
      <c r="Q120" s="22" t="n"/>
      <c r="R120" s="22" t="n"/>
      <c r="S120" s="22" t="n"/>
      <c r="T120" s="22" t="n"/>
      <c r="U120" s="22" t="n"/>
      <c r="V120" s="22" t="n"/>
      <c r="W120" s="22" t="n"/>
    </row>
    <row r="121">
      <c r="A121" s="23" t="n">
        <v>46199</v>
      </c>
      <c r="B121" t="inlineStr">
        <is>
          <t>SOJA - PARANAGUÁ</t>
        </is>
      </c>
      <c r="C121" s="22" t="n">
        <v>133.87</v>
      </c>
      <c r="D121" s="22" t="n"/>
      <c r="E121" s="22" t="n"/>
      <c r="F121" s="22" t="n"/>
      <c r="G121" s="22" t="n"/>
      <c r="H121" s="22" t="n"/>
      <c r="I121" s="20" t="n"/>
      <c r="J121" s="20" t="n"/>
      <c r="K121" s="22" t="n"/>
      <c r="L121" s="20" t="n"/>
      <c r="M121" s="22" t="n"/>
      <c r="N121" s="22" t="n"/>
      <c r="O121" s="22" t="n"/>
      <c r="P121" s="22" t="n"/>
      <c r="Q121" s="22" t="n"/>
      <c r="R121" s="22" t="n"/>
      <c r="S121" s="22" t="n"/>
      <c r="T121" s="22" t="n"/>
      <c r="U121" s="22" t="n"/>
      <c r="V121" s="22" t="n"/>
      <c r="W121" s="22" t="n"/>
    </row>
    <row r="122">
      <c r="A122" s="23" t="n">
        <v>46202</v>
      </c>
      <c r="B122" t="inlineStr">
        <is>
          <t>SOJA - PARANAGUÁ</t>
        </is>
      </c>
      <c r="C122" s="22" t="n">
        <v>133.9</v>
      </c>
      <c r="D122" s="22" t="n"/>
      <c r="E122" s="22" t="n"/>
      <c r="F122" s="22" t="n"/>
      <c r="G122" s="22" t="n"/>
      <c r="H122" s="22" t="n"/>
      <c r="I122" s="20" t="n"/>
      <c r="J122" s="20" t="n"/>
      <c r="K122" s="22" t="n"/>
      <c r="L122" s="20" t="n"/>
      <c r="M122" s="22" t="n"/>
      <c r="N122" s="22" t="n"/>
      <c r="O122" s="22" t="n"/>
      <c r="P122" s="22" t="n"/>
      <c r="Q122" s="22" t="n"/>
      <c r="R122" s="22" t="n"/>
      <c r="S122" s="22" t="n"/>
      <c r="T122" s="22" t="n"/>
      <c r="U122" s="22" t="n"/>
      <c r="V122" s="22" t="n"/>
      <c r="W122" s="22" t="n"/>
    </row>
    <row r="123">
      <c r="A123" s="23" t="n">
        <v>46203</v>
      </c>
      <c r="B123" t="inlineStr">
        <is>
          <t>SOJA - PARANAGUÁ</t>
        </is>
      </c>
      <c r="C123" s="22" t="n">
        <v>133.58</v>
      </c>
      <c r="D123" s="22" t="n"/>
      <c r="E123" s="22" t="n"/>
      <c r="F123" s="22" t="n"/>
      <c r="G123" s="22" t="n"/>
      <c r="H123" s="22" t="n"/>
      <c r="I123" s="20" t="n"/>
      <c r="J123" s="20" t="n"/>
      <c r="K123" s="22" t="n"/>
      <c r="L123" s="20" t="n"/>
      <c r="M123" s="22" t="n"/>
      <c r="N123" s="22" t="n"/>
      <c r="O123" s="22" t="n"/>
      <c r="P123" s="22" t="n"/>
      <c r="Q123" s="22" t="n"/>
      <c r="R123" s="22" t="n"/>
      <c r="S123" s="22" t="n"/>
      <c r="T123" s="22" t="n"/>
      <c r="U123" s="22" t="n"/>
      <c r="V123" s="22" t="n"/>
      <c r="W123" s="22" t="n"/>
    </row>
    <row r="124">
      <c r="A124" s="23" t="n">
        <v>46204</v>
      </c>
      <c r="B124" t="inlineStr">
        <is>
          <t>SOJA - PARANAGUÁ</t>
        </is>
      </c>
      <c r="C124" s="22" t="n">
        <v>134.32</v>
      </c>
      <c r="D124" s="22" t="n"/>
      <c r="E124" s="22" t="n"/>
      <c r="F124" s="22" t="n"/>
      <c r="G124" s="22" t="n"/>
      <c r="H124" s="22" t="n"/>
      <c r="I124" s="20" t="n"/>
      <c r="J124" s="20" t="n"/>
      <c r="K124" s="22" t="n"/>
      <c r="L124" s="20" t="n"/>
      <c r="M124" s="22" t="n"/>
      <c r="N124" s="22" t="n"/>
      <c r="O124" s="22" t="n"/>
      <c r="P124" s="22" t="n"/>
      <c r="Q124" s="22" t="n"/>
      <c r="R124" s="22" t="n"/>
      <c r="S124" s="22" t="n"/>
      <c r="T124" s="22" t="n"/>
      <c r="U124" s="22" t="n"/>
      <c r="V124" s="22" t="n"/>
      <c r="W124" s="22" t="n"/>
    </row>
    <row r="125">
      <c r="A125" s="23" t="n">
        <v>46205</v>
      </c>
      <c r="B125" t="inlineStr">
        <is>
          <t>SOJA - PARANAGUÁ</t>
        </is>
      </c>
      <c r="C125" s="22" t="n">
        <v>135.08</v>
      </c>
      <c r="D125" s="22" t="n"/>
      <c r="E125" s="22" t="n"/>
      <c r="F125" s="22" t="n"/>
      <c r="G125" s="22" t="n"/>
      <c r="H125" s="22" t="n"/>
      <c r="I125" s="20" t="n"/>
      <c r="J125" s="20" t="n"/>
      <c r="K125" s="22" t="n"/>
      <c r="L125" s="20" t="n"/>
      <c r="M125" s="22" t="n"/>
      <c r="N125" s="22" t="n"/>
      <c r="O125" s="22" t="n"/>
      <c r="P125" s="22" t="n"/>
      <c r="Q125" s="22" t="n"/>
      <c r="R125" s="22" t="n"/>
      <c r="S125" s="22" t="n"/>
      <c r="T125" s="22" t="n"/>
      <c r="U125" s="22" t="n"/>
      <c r="V125" s="22" t="n"/>
      <c r="W125" s="22" t="n"/>
    </row>
    <row r="126">
      <c r="A126" s="23" t="n">
        <v>46206</v>
      </c>
      <c r="B126" t="inlineStr">
        <is>
          <t>SOJA - PARANAGUÁ</t>
        </is>
      </c>
      <c r="C126" s="22" t="n">
        <v>135.45</v>
      </c>
      <c r="D126" s="22" t="n"/>
      <c r="E126" s="22" t="n"/>
      <c r="F126" s="22" t="n"/>
      <c r="G126" s="22" t="n"/>
      <c r="H126" s="22" t="n"/>
      <c r="I126" s="20" t="n"/>
      <c r="J126" s="20" t="n"/>
      <c r="K126" s="22" t="n"/>
      <c r="L126" s="20" t="n"/>
      <c r="M126" s="22" t="n"/>
      <c r="N126" s="22" t="n"/>
      <c r="O126" s="22" t="n"/>
      <c r="P126" s="22" t="n"/>
      <c r="Q126" s="22" t="n"/>
      <c r="R126" s="22" t="n"/>
      <c r="S126" s="22" t="n"/>
      <c r="T126" s="22" t="n"/>
      <c r="U126" s="22" t="n"/>
      <c r="V126" s="22" t="n"/>
      <c r="W126" s="22" t="n"/>
    </row>
    <row r="127">
      <c r="A127" s="23" t="n">
        <v>46209</v>
      </c>
      <c r="B127" t="inlineStr">
        <is>
          <t>SOJA - PARANAGUÁ</t>
        </is>
      </c>
      <c r="C127" s="22" t="n">
        <v>139.01</v>
      </c>
      <c r="D127" s="22" t="n"/>
      <c r="E127" s="22" t="n"/>
      <c r="F127" s="22" t="n"/>
      <c r="G127" s="22" t="n"/>
      <c r="H127" s="22" t="n"/>
      <c r="I127" s="20" t="n"/>
      <c r="J127" s="20" t="n"/>
      <c r="K127" s="22" t="n"/>
      <c r="L127" s="20" t="n"/>
      <c r="M127" s="22" t="n"/>
      <c r="N127" s="22" t="n"/>
      <c r="O127" s="22" t="n"/>
      <c r="P127" s="22" t="n"/>
      <c r="Q127" s="22" t="n"/>
      <c r="R127" s="22" t="n"/>
      <c r="S127" s="22" t="n"/>
      <c r="T127" s="22" t="n"/>
      <c r="U127" s="22" t="n"/>
      <c r="V127" s="22" t="n"/>
      <c r="W127" s="22" t="n"/>
    </row>
    <row r="128">
      <c r="A128" s="23" t="n">
        <v>46210</v>
      </c>
      <c r="B128" t="inlineStr">
        <is>
          <t>SOJA - PARANAGUÁ</t>
        </is>
      </c>
      <c r="C128" s="22" t="n">
        <v>139.71</v>
      </c>
      <c r="D128" s="22" t="n"/>
      <c r="E128" s="22" t="n"/>
      <c r="F128" s="22" t="n"/>
      <c r="G128" s="22" t="n"/>
      <c r="H128" s="22" t="n"/>
      <c r="I128" s="20" t="n"/>
      <c r="J128" s="20" t="n"/>
      <c r="K128" s="22" t="n"/>
      <c r="L128" s="20" t="n"/>
      <c r="M128" s="22" t="n"/>
      <c r="N128" s="22" t="n"/>
      <c r="O128" s="22" t="n"/>
      <c r="P128" s="22" t="n"/>
      <c r="Q128" s="22" t="n"/>
      <c r="R128" s="22" t="n"/>
      <c r="S128" s="22" t="n"/>
      <c r="T128" s="22" t="n"/>
      <c r="U128" s="22" t="n"/>
      <c r="V128" s="22" t="n"/>
      <c r="W128" s="22" t="n"/>
    </row>
    <row r="129">
      <c r="A129" s="23" t="n">
        <v>46211</v>
      </c>
      <c r="B129" t="inlineStr">
        <is>
          <t>SOJA - PARANAGUÁ</t>
        </is>
      </c>
      <c r="C129" s="22" t="n">
        <v>140.4</v>
      </c>
      <c r="D129" s="22" t="n"/>
      <c r="E129" s="22" t="n"/>
      <c r="F129" s="22" t="n"/>
      <c r="G129" s="22" t="n"/>
      <c r="H129" s="22" t="n"/>
      <c r="I129" s="20" t="n"/>
      <c r="J129" s="20" t="n"/>
      <c r="K129" s="22" t="n"/>
      <c r="L129" s="20" t="n"/>
      <c r="M129" s="22" t="n"/>
      <c r="N129" s="22" t="n"/>
      <c r="O129" s="22" t="n"/>
      <c r="P129" s="22" t="n"/>
      <c r="Q129" s="22" t="n"/>
      <c r="R129" s="22" t="n"/>
      <c r="S129" s="22" t="n"/>
      <c r="T129" s="22" t="n"/>
      <c r="U129" s="22" t="n"/>
      <c r="V129" s="22" t="n"/>
      <c r="W129" s="22" t="n"/>
    </row>
    <row r="130">
      <c r="A130" s="23" t="n">
        <v>46212</v>
      </c>
      <c r="B130" t="inlineStr">
        <is>
          <t>SOJA - PARANAGUÁ</t>
        </is>
      </c>
      <c r="C130" s="22" t="n">
        <v>140.25</v>
      </c>
      <c r="D130" s="22" t="n"/>
      <c r="E130" s="22" t="n"/>
      <c r="F130" s="22" t="n"/>
      <c r="G130" s="22" t="n"/>
      <c r="H130" s="22" t="n"/>
      <c r="I130" s="20" t="n"/>
      <c r="J130" s="20" t="n"/>
      <c r="K130" s="22" t="n"/>
      <c r="L130" s="20" t="n"/>
      <c r="M130" s="22" t="n"/>
      <c r="N130" s="22" t="n"/>
      <c r="O130" s="22" t="n"/>
      <c r="P130" s="22" t="n"/>
      <c r="Q130" s="22" t="n"/>
      <c r="R130" s="22" t="n"/>
      <c r="S130" s="22" t="n"/>
      <c r="T130" s="22" t="n"/>
      <c r="U130" s="22" t="n"/>
      <c r="V130" s="22" t="n"/>
      <c r="W130" s="22" t="n"/>
    </row>
    <row r="131">
      <c r="A131" s="23" t="n">
        <v>46213</v>
      </c>
      <c r="B131" t="inlineStr">
        <is>
          <t>SOJA - PARANAGUÁ</t>
        </is>
      </c>
      <c r="C131" s="22" t="n">
        <v>140.44</v>
      </c>
      <c r="D131" s="22" t="n"/>
      <c r="E131" s="22" t="n"/>
      <c r="F131" s="22" t="n"/>
      <c r="G131" s="22" t="n"/>
      <c r="H131" s="22" t="n"/>
      <c r="I131" s="20" t="n"/>
      <c r="J131" s="20" t="n"/>
      <c r="K131" s="22" t="n"/>
      <c r="L131" s="20" t="n"/>
      <c r="M131" s="22" t="n"/>
      <c r="N131" s="22" t="n"/>
      <c r="O131" s="22" t="n"/>
      <c r="P131" s="22" t="n"/>
      <c r="Q131" s="22" t="n"/>
      <c r="R131" s="22" t="n"/>
      <c r="S131" s="22" t="n"/>
      <c r="T131" s="22" t="n"/>
      <c r="U131" s="22" t="n"/>
      <c r="V131" s="22" t="n"/>
      <c r="W131" s="22" t="n"/>
    </row>
    <row r="132">
      <c r="A132" s="23" t="n">
        <v>46216</v>
      </c>
      <c r="B132" t="inlineStr">
        <is>
          <t>SOJA - PARANAGUÁ</t>
        </is>
      </c>
      <c r="C132" s="22" t="n">
        <v>140.86</v>
      </c>
      <c r="D132" s="22" t="n"/>
      <c r="E132" s="22" t="n"/>
      <c r="F132" s="22" t="n"/>
      <c r="G132" s="22" t="n"/>
      <c r="H132" s="22" t="n"/>
      <c r="I132" s="20" t="n"/>
      <c r="J132" s="20" t="n"/>
      <c r="K132" s="22" t="n"/>
      <c r="L132" s="20" t="n"/>
      <c r="M132" s="22" t="n"/>
      <c r="N132" s="22" t="n"/>
      <c r="O132" s="22" t="n"/>
      <c r="P132" s="22" t="n"/>
      <c r="Q132" s="22" t="n"/>
      <c r="R132" s="22" t="n"/>
      <c r="S132" s="22" t="n"/>
      <c r="T132" s="22" t="n"/>
      <c r="U132" s="22" t="n"/>
      <c r="V132" s="22" t="n"/>
      <c r="W132" s="22" t="n"/>
    </row>
    <row r="133">
      <c r="A133" s="23" t="n">
        <v>46217</v>
      </c>
      <c r="B133" t="inlineStr">
        <is>
          <t>SOJA - PARANAGUÁ</t>
        </is>
      </c>
      <c r="C133" s="22" t="n">
        <v>140.63</v>
      </c>
      <c r="D133" s="22" t="n"/>
      <c r="E133" s="22" t="n"/>
      <c r="F133" s="22" t="n"/>
      <c r="G133" s="22" t="n"/>
      <c r="H133" s="22" t="n"/>
      <c r="I133" s="20" t="n"/>
      <c r="J133" s="20" t="n"/>
      <c r="K133" s="22" t="n"/>
      <c r="L133" s="20" t="n"/>
      <c r="M133" s="22" t="n"/>
      <c r="N133" s="22" t="n"/>
      <c r="O133" s="22" t="n"/>
      <c r="P133" s="22" t="n"/>
      <c r="Q133" s="22" t="n"/>
      <c r="R133" s="22" t="n"/>
      <c r="S133" s="22" t="n"/>
      <c r="T133" s="22" t="n"/>
      <c r="U133" s="22" t="n"/>
      <c r="V133" s="22" t="n"/>
      <c r="W133" s="22" t="n"/>
    </row>
    <row r="134">
      <c r="A134" s="9" t="n"/>
      <c r="C134" s="3" t="n"/>
      <c r="D134" s="3" t="n"/>
      <c r="E134" s="3" t="n"/>
      <c r="F134" s="3" t="n"/>
      <c r="G134" s="3" t="n"/>
      <c r="H134" s="3" t="n"/>
      <c r="K134" s="3" t="n"/>
      <c r="M134" s="3" t="n"/>
      <c r="N134" s="3" t="n"/>
      <c r="O134" s="3" t="n"/>
      <c r="P134" s="3" t="n"/>
      <c r="Q134" s="3" t="n"/>
      <c r="R134" s="3" t="n"/>
      <c r="S134" s="3" t="n"/>
      <c r="T134" s="3" t="n"/>
      <c r="U134" s="3" t="n"/>
      <c r="V134" s="3" t="n"/>
      <c r="W134" s="3" t="n"/>
    </row>
    <row r="135">
      <c r="A135" s="9" t="n"/>
      <c r="C135" s="3" t="n"/>
      <c r="D135" s="3" t="n"/>
      <c r="E135" s="3" t="n"/>
      <c r="F135" s="3" t="n"/>
      <c r="G135" s="3" t="n"/>
      <c r="H135" s="3" t="n"/>
      <c r="K135" s="3" t="n"/>
      <c r="M135" s="3" t="n"/>
      <c r="N135" s="3" t="n"/>
      <c r="O135" s="3" t="n"/>
      <c r="P135" s="3" t="n"/>
      <c r="Q135" s="3" t="n"/>
      <c r="R135" s="3" t="n"/>
      <c r="S135" s="3" t="n"/>
      <c r="T135" s="3" t="n"/>
      <c r="U135" s="3" t="n"/>
      <c r="V135" s="3" t="n"/>
      <c r="W135" s="3" t="n"/>
    </row>
    <row r="136">
      <c r="A136" s="9" t="n"/>
      <c r="C136" s="3" t="n"/>
      <c r="D136" s="3" t="n"/>
      <c r="E136" s="3" t="n"/>
      <c r="F136" s="3" t="n"/>
      <c r="G136" s="3" t="n"/>
      <c r="H136" s="3" t="n"/>
      <c r="K136" s="3" t="n"/>
      <c r="M136" s="3" t="n"/>
      <c r="N136" s="3" t="n"/>
      <c r="O136" s="3" t="n"/>
      <c r="P136" s="3" t="n"/>
      <c r="Q136" s="3" t="n"/>
      <c r="R136" s="3" t="n"/>
      <c r="S136" s="3" t="n"/>
      <c r="T136" s="3" t="n"/>
      <c r="U136" s="3" t="n"/>
      <c r="V136" s="3" t="n"/>
      <c r="W136" s="3" t="n"/>
    </row>
    <row r="137">
      <c r="A137" s="9" t="n"/>
      <c r="C137" s="3" t="n"/>
      <c r="D137" s="3" t="n"/>
      <c r="E137" s="3" t="n"/>
      <c r="F137" s="3" t="n"/>
      <c r="G137" s="3" t="n"/>
      <c r="H137" s="3" t="n"/>
      <c r="K137" s="3" t="n"/>
      <c r="M137" s="3" t="n"/>
      <c r="N137" s="3" t="n"/>
      <c r="O137" s="3" t="n"/>
      <c r="P137" s="3" t="n"/>
      <c r="Q137" s="3" t="n"/>
      <c r="R137" s="3" t="n"/>
      <c r="S137" s="3" t="n"/>
      <c r="T137" s="3" t="n"/>
      <c r="U137" s="3" t="n"/>
      <c r="V137" s="3" t="n"/>
      <c r="W137" s="3" t="n"/>
    </row>
    <row r="138">
      <c r="A138" s="9" t="n"/>
      <c r="C138" s="3" t="n"/>
      <c r="D138" s="3" t="n"/>
      <c r="E138" s="3" t="n"/>
      <c r="F138" s="3" t="n"/>
      <c r="G138" s="3" t="n"/>
      <c r="H138" s="3" t="n"/>
      <c r="K138" s="3" t="n"/>
      <c r="M138" s="3" t="n"/>
      <c r="N138" s="3" t="n"/>
      <c r="O138" s="3" t="n"/>
      <c r="P138" s="3" t="n"/>
      <c r="Q138" s="3" t="n"/>
      <c r="R138" s="3" t="n"/>
      <c r="S138" s="3" t="n"/>
      <c r="T138" s="3" t="n"/>
      <c r="U138" s="3" t="n"/>
      <c r="V138" s="3" t="n"/>
      <c r="W138" s="3" t="n"/>
    </row>
    <row r="139">
      <c r="A139" s="9" t="n"/>
      <c r="C139" s="3" t="n"/>
      <c r="D139" s="3" t="n"/>
      <c r="E139" s="3" t="n"/>
      <c r="F139" s="3" t="n"/>
      <c r="G139" s="3" t="n"/>
      <c r="H139" s="3" t="n"/>
      <c r="K139" s="3" t="n"/>
      <c r="M139" s="3" t="n"/>
      <c r="N139" s="3" t="n"/>
      <c r="O139" s="3" t="n"/>
      <c r="P139" s="3" t="n"/>
      <c r="Q139" s="3" t="n"/>
      <c r="R139" s="3" t="n"/>
      <c r="S139" s="3" t="n"/>
      <c r="T139" s="3" t="n"/>
      <c r="U139" s="3" t="n"/>
      <c r="V139" s="3" t="n"/>
      <c r="W139" s="3" t="n"/>
    </row>
    <row r="140">
      <c r="A140" s="9" t="n"/>
      <c r="C140" s="3" t="n"/>
      <c r="D140" s="3" t="n"/>
      <c r="E140" s="3" t="n"/>
      <c r="F140" s="3" t="n"/>
      <c r="G140" s="3" t="n"/>
      <c r="H140" s="3" t="n"/>
      <c r="K140" s="3" t="n"/>
      <c r="M140" s="3" t="n"/>
      <c r="N140" s="3" t="n"/>
      <c r="O140" s="3" t="n"/>
      <c r="P140" s="3" t="n"/>
      <c r="Q140" s="3" t="n"/>
      <c r="R140" s="3" t="n"/>
      <c r="S140" s="3" t="n"/>
      <c r="T140" s="3" t="n"/>
      <c r="U140" s="3" t="n"/>
      <c r="V140" s="3" t="n"/>
      <c r="W140" s="3" t="n"/>
    </row>
    <row r="141">
      <c r="A141" s="9" t="n"/>
      <c r="C141" s="3" t="n"/>
      <c r="D141" s="3" t="n"/>
      <c r="E141" s="3" t="n"/>
      <c r="F141" s="3" t="n"/>
      <c r="G141" s="3" t="n"/>
      <c r="H141" s="3" t="n"/>
      <c r="K141" s="3" t="n"/>
      <c r="M141" s="3" t="n"/>
      <c r="N141" s="3" t="n"/>
      <c r="O141" s="3" t="n"/>
      <c r="P141" s="3" t="n"/>
      <c r="Q141" s="3" t="n"/>
      <c r="R141" s="3" t="n"/>
      <c r="S141" s="3" t="n"/>
      <c r="T141" s="3" t="n"/>
      <c r="U141" s="3" t="n"/>
      <c r="V141" s="3" t="n"/>
      <c r="W141" s="3" t="n"/>
    </row>
    <row r="142">
      <c r="A142" s="9" t="n"/>
      <c r="C142" s="3" t="n"/>
      <c r="D142" s="3" t="n"/>
      <c r="E142" s="3" t="n"/>
      <c r="F142" s="3" t="n"/>
      <c r="G142" s="3" t="n"/>
      <c r="H142" s="3" t="n"/>
      <c r="K142" s="3" t="n"/>
      <c r="M142" s="3" t="n"/>
      <c r="N142" s="3" t="n"/>
      <c r="O142" s="3" t="n"/>
      <c r="P142" s="3" t="n"/>
      <c r="Q142" s="3" t="n"/>
      <c r="R142" s="3" t="n"/>
      <c r="S142" s="3" t="n"/>
      <c r="T142" s="3" t="n"/>
      <c r="U142" s="3" t="n"/>
      <c r="V142" s="3" t="n"/>
      <c r="W142" s="3" t="n"/>
    </row>
    <row r="143">
      <c r="A143" s="9" t="n"/>
      <c r="C143" s="3" t="n"/>
      <c r="D143" s="3" t="n"/>
      <c r="E143" s="3" t="n"/>
      <c r="F143" s="3" t="n"/>
      <c r="G143" s="3" t="n"/>
      <c r="H143" s="3" t="n"/>
      <c r="K143" s="3" t="n"/>
      <c r="M143" s="3" t="n"/>
      <c r="N143" s="3" t="n"/>
      <c r="O143" s="3" t="n"/>
      <c r="P143" s="3" t="n"/>
      <c r="Q143" s="3" t="n"/>
      <c r="R143" s="3" t="n"/>
      <c r="S143" s="3" t="n"/>
      <c r="T143" s="3" t="n"/>
      <c r="U143" s="3" t="n"/>
      <c r="V143" s="3" t="n"/>
      <c r="W143" s="3" t="n"/>
    </row>
    <row r="144">
      <c r="A144" s="9" t="n"/>
      <c r="C144" s="3" t="n"/>
      <c r="D144" s="3" t="n"/>
      <c r="E144" s="3" t="n"/>
      <c r="F144" s="3" t="n"/>
      <c r="G144" s="3" t="n"/>
      <c r="H144" s="3" t="n"/>
      <c r="K144" s="3" t="n"/>
      <c r="M144" s="3" t="n"/>
      <c r="N144" s="3" t="n"/>
      <c r="O144" s="3" t="n"/>
      <c r="P144" s="3" t="n"/>
      <c r="Q144" s="3" t="n"/>
      <c r="R144" s="3" t="n"/>
      <c r="S144" s="3" t="n"/>
      <c r="T144" s="3" t="n"/>
      <c r="U144" s="3" t="n"/>
      <c r="V144" s="3" t="n"/>
      <c r="W144" s="3" t="n"/>
    </row>
    <row r="145">
      <c r="A145" s="9" t="n"/>
      <c r="C145" s="3" t="n"/>
      <c r="D145" s="3" t="n"/>
      <c r="E145" s="3" t="n"/>
      <c r="F145" s="3" t="n"/>
      <c r="G145" s="3" t="n"/>
      <c r="H145" s="3" t="n"/>
      <c r="K145" s="3" t="n"/>
      <c r="M145" s="3" t="n"/>
      <c r="N145" s="3" t="n"/>
      <c r="O145" s="3" t="n"/>
      <c r="P145" s="3" t="n"/>
      <c r="Q145" s="3" t="n"/>
      <c r="R145" s="3" t="n"/>
      <c r="S145" s="3" t="n"/>
      <c r="T145" s="3" t="n"/>
      <c r="U145" s="3" t="n"/>
      <c r="V145" s="3" t="n"/>
      <c r="W145" s="3" t="n"/>
    </row>
    <row r="146">
      <c r="A146" s="9" t="n"/>
      <c r="C146" s="3" t="n"/>
      <c r="D146" s="3" t="n"/>
      <c r="E146" s="3" t="n"/>
      <c r="F146" s="3" t="n"/>
      <c r="G146" s="3" t="n"/>
      <c r="H146" s="3" t="n"/>
      <c r="K146" s="3" t="n"/>
      <c r="M146" s="3" t="n"/>
      <c r="N146" s="3" t="n"/>
      <c r="O146" s="3" t="n"/>
      <c r="P146" s="3" t="n"/>
      <c r="Q146" s="3" t="n"/>
      <c r="R146" s="3" t="n"/>
      <c r="S146" s="3" t="n"/>
      <c r="T146" s="3" t="n"/>
      <c r="U146" s="3" t="n"/>
      <c r="V146" s="3" t="n"/>
      <c r="W146" s="3" t="n"/>
    </row>
    <row r="147">
      <c r="A147" s="9">
        <f>IF('S.H BOI GORDO'!A7180=""," ",'S.H BOI GORDO'!A7180)</f>
        <v/>
      </c>
      <c r="C147" s="3" t="n"/>
      <c r="D147" s="3" t="n"/>
      <c r="E147" s="3" t="n"/>
      <c r="F147" s="3" t="n"/>
      <c r="G147" s="3" t="n"/>
      <c r="H147" s="3" t="n"/>
      <c r="K147" s="3" t="n"/>
      <c r="M147" s="3" t="n"/>
      <c r="N147" s="3" t="n"/>
      <c r="O147" s="3" t="n"/>
      <c r="P147" s="3" t="n"/>
      <c r="Q147" s="3" t="n"/>
      <c r="R147" s="3" t="n"/>
      <c r="S147" s="3" t="n"/>
      <c r="T147" s="3" t="n"/>
      <c r="U147" s="3" t="n"/>
      <c r="V147" s="3" t="n"/>
      <c r="W147" s="3" t="n"/>
    </row>
    <row r="148">
      <c r="A148" s="9">
        <f>IF('S.H BOI GORDO'!A7181=""," ",'S.H BOI GORDO'!A7181)</f>
        <v/>
      </c>
      <c r="C148" s="3" t="n"/>
      <c r="D148" s="3" t="n"/>
      <c r="E148" s="3" t="n"/>
      <c r="F148" s="3" t="n"/>
      <c r="G148" s="3" t="n"/>
      <c r="H148" s="3" t="n"/>
      <c r="K148" s="3" t="n"/>
      <c r="M148" s="3" t="n"/>
      <c r="N148" s="3" t="n"/>
      <c r="O148" s="3" t="n"/>
      <c r="P148" s="3" t="n"/>
      <c r="Q148" s="3" t="n"/>
      <c r="R148" s="3" t="n"/>
      <c r="S148" s="3" t="n"/>
      <c r="T148" s="3" t="n"/>
      <c r="U148" s="3" t="n"/>
      <c r="V148" s="3" t="n"/>
      <c r="W148" s="3" t="n"/>
    </row>
    <row r="149">
      <c r="A149" s="9">
        <f>IF('S.H BOI GORDO'!A7182=""," ",'S.H BOI GORDO'!A7182)</f>
        <v/>
      </c>
      <c r="C149" s="3" t="n"/>
      <c r="D149" s="3" t="n"/>
      <c r="E149" s="3" t="n"/>
      <c r="F149" s="3" t="n"/>
      <c r="G149" s="3" t="n"/>
      <c r="H149" s="3" t="n"/>
      <c r="K149" s="3" t="n"/>
      <c r="M149" s="3" t="n"/>
      <c r="N149" s="3" t="n"/>
      <c r="O149" s="3" t="n"/>
      <c r="P149" s="3" t="n"/>
      <c r="Q149" s="3" t="n"/>
      <c r="R149" s="3" t="n"/>
      <c r="S149" s="3" t="n"/>
      <c r="T149" s="3" t="n"/>
      <c r="U149" s="3" t="n"/>
      <c r="V149" s="3" t="n"/>
      <c r="W149" s="3" t="n"/>
    </row>
    <row r="150">
      <c r="A150" s="9">
        <f>IF('S.H BOI GORDO'!A7183=""," ",'S.H BOI GORDO'!A7183)</f>
        <v/>
      </c>
      <c r="C150" s="3" t="n"/>
      <c r="D150" s="3" t="n"/>
      <c r="E150" s="3" t="n"/>
      <c r="F150" s="3" t="n"/>
      <c r="G150" s="3" t="n"/>
      <c r="H150" s="3" t="n"/>
      <c r="K150" s="3" t="n"/>
      <c r="M150" s="3" t="n"/>
      <c r="N150" s="3" t="n"/>
      <c r="O150" s="3" t="n"/>
      <c r="P150" s="3" t="n"/>
      <c r="Q150" s="3" t="n"/>
      <c r="R150" s="3" t="n"/>
      <c r="S150" s="3" t="n"/>
      <c r="T150" s="3" t="n"/>
      <c r="U150" s="3" t="n"/>
      <c r="V150" s="3" t="n"/>
      <c r="W150" s="3" t="n"/>
    </row>
    <row r="151">
      <c r="A151" s="9">
        <f>IF('S.H BOI GORDO'!A7184=""," ",'S.H BOI GORDO'!A7184)</f>
        <v/>
      </c>
      <c r="C151" s="3" t="n"/>
      <c r="D151" s="3" t="n"/>
      <c r="E151" s="3" t="n"/>
      <c r="F151" s="3" t="n"/>
      <c r="G151" s="3" t="n"/>
      <c r="H151" s="3" t="n"/>
      <c r="K151" s="3" t="n"/>
      <c r="M151" s="3" t="n"/>
      <c r="N151" s="3" t="n"/>
      <c r="O151" s="3" t="n"/>
      <c r="P151" s="3" t="n"/>
      <c r="Q151" s="3" t="n"/>
      <c r="R151" s="3" t="n"/>
      <c r="S151" s="3" t="n"/>
      <c r="T151" s="3" t="n"/>
      <c r="U151" s="3" t="n"/>
      <c r="V151" s="3" t="n"/>
      <c r="W151" s="3" t="n"/>
    </row>
    <row r="152">
      <c r="A152" s="9">
        <f>IF('S.H BOI GORDO'!A7185=""," ",'S.H BOI GORDO'!A7185)</f>
        <v/>
      </c>
      <c r="C152" s="3" t="n"/>
      <c r="D152" s="3" t="n"/>
      <c r="E152" s="3" t="n"/>
      <c r="F152" s="3" t="n"/>
      <c r="G152" s="3" t="n"/>
      <c r="H152" s="3" t="n"/>
      <c r="K152" s="3" t="n"/>
      <c r="M152" s="3" t="n"/>
      <c r="N152" s="3" t="n"/>
      <c r="O152" s="3" t="n"/>
      <c r="P152" s="3" t="n"/>
      <c r="Q152" s="3" t="n"/>
      <c r="R152" s="3" t="n"/>
      <c r="S152" s="3" t="n"/>
      <c r="T152" s="3" t="n"/>
      <c r="U152" s="3" t="n"/>
      <c r="V152" s="3" t="n"/>
      <c r="W152" s="3" t="n"/>
    </row>
    <row r="153">
      <c r="A153" s="9">
        <f>IF('S.H BOI GORDO'!A7186=""," ",'S.H BOI GORDO'!A7186)</f>
        <v/>
      </c>
      <c r="C153" s="3" t="n"/>
      <c r="D153" s="3" t="n"/>
      <c r="E153" s="3" t="n"/>
      <c r="F153" s="3" t="n"/>
      <c r="G153" s="3" t="n"/>
      <c r="H153" s="3" t="n"/>
      <c r="K153" s="3" t="n"/>
      <c r="M153" s="3" t="n"/>
      <c r="N153" s="3" t="n"/>
      <c r="O153" s="3" t="n"/>
      <c r="P153" s="3" t="n"/>
      <c r="Q153" s="3" t="n"/>
      <c r="R153" s="3" t="n"/>
      <c r="S153" s="3" t="n"/>
      <c r="T153" s="3" t="n"/>
      <c r="U153" s="3" t="n"/>
      <c r="V153" s="3" t="n"/>
      <c r="W153" s="3" t="n"/>
    </row>
    <row r="154">
      <c r="A154" s="9">
        <f>IF('S.H BOI GORDO'!A7187=""," ",'S.H BOI GORDO'!A7187)</f>
        <v/>
      </c>
      <c r="C154" s="3" t="n"/>
      <c r="D154" s="3" t="n"/>
      <c r="E154" s="3" t="n"/>
      <c r="F154" s="3" t="n"/>
      <c r="G154" s="3" t="n"/>
      <c r="H154" s="3" t="n"/>
      <c r="K154" s="3" t="n"/>
      <c r="M154" s="3" t="n"/>
      <c r="N154" s="3" t="n"/>
      <c r="O154" s="3" t="n"/>
      <c r="P154" s="3" t="n"/>
      <c r="Q154" s="3" t="n"/>
      <c r="R154" s="3" t="n"/>
      <c r="S154" s="3" t="n"/>
      <c r="T154" s="3" t="n"/>
      <c r="U154" s="3" t="n"/>
      <c r="V154" s="3" t="n"/>
      <c r="W154" s="3" t="n"/>
    </row>
    <row r="155">
      <c r="A155" s="9">
        <f>IF('S.H BOI GORDO'!A7188=""," ",'S.H BOI GORDO'!A7188)</f>
        <v/>
      </c>
      <c r="C155" s="3" t="n"/>
      <c r="D155" s="3" t="n"/>
      <c r="E155" s="3" t="n"/>
      <c r="F155" s="3" t="n"/>
      <c r="G155" s="3" t="n"/>
      <c r="H155" s="3" t="n"/>
      <c r="K155" s="3" t="n"/>
      <c r="M155" s="3" t="n"/>
      <c r="N155" s="3" t="n"/>
      <c r="O155" s="3" t="n"/>
      <c r="P155" s="3" t="n"/>
      <c r="Q155" s="3" t="n"/>
      <c r="R155" s="3" t="n"/>
      <c r="S155" s="3" t="n"/>
      <c r="T155" s="3" t="n"/>
      <c r="U155" s="3" t="n"/>
      <c r="V155" s="3" t="n"/>
      <c r="W155" s="3" t="n"/>
    </row>
    <row r="156">
      <c r="A156" s="9">
        <f>IF('S.H BOI GORDO'!A7189=""," ",'S.H BOI GORDO'!A7189)</f>
        <v/>
      </c>
      <c r="C156" s="3" t="n"/>
      <c r="D156" s="3" t="n"/>
      <c r="E156" s="3" t="n"/>
      <c r="F156" s="3" t="n"/>
      <c r="G156" s="3" t="n"/>
      <c r="H156" s="3" t="n"/>
      <c r="K156" s="3" t="n"/>
      <c r="M156" s="3" t="n"/>
      <c r="N156" s="3" t="n"/>
      <c r="O156" s="3" t="n"/>
      <c r="P156" s="3" t="n"/>
      <c r="Q156" s="3" t="n"/>
      <c r="R156" s="3" t="n"/>
      <c r="S156" s="3" t="n"/>
      <c r="T156" s="3" t="n"/>
      <c r="U156" s="3" t="n"/>
      <c r="V156" s="3" t="n"/>
      <c r="W156" s="3" t="n"/>
    </row>
    <row r="157">
      <c r="A157" s="9">
        <f>IF('S.H BOI GORDO'!A7190=""," ",'S.H BOI GORDO'!A7190)</f>
        <v/>
      </c>
      <c r="C157" s="3" t="n"/>
      <c r="D157" s="3" t="n"/>
      <c r="E157" s="3" t="n"/>
      <c r="F157" s="3" t="n"/>
      <c r="G157" s="3" t="n"/>
      <c r="H157" s="3" t="n"/>
      <c r="K157" s="3" t="n"/>
      <c r="M157" s="3" t="n"/>
      <c r="N157" s="3" t="n"/>
      <c r="O157" s="3" t="n"/>
      <c r="P157" s="3" t="n"/>
      <c r="Q157" s="3" t="n"/>
      <c r="R157" s="3" t="n"/>
      <c r="S157" s="3" t="n"/>
      <c r="T157" s="3" t="n"/>
      <c r="U157" s="3" t="n"/>
      <c r="V157" s="3" t="n"/>
      <c r="W157" s="3" t="n"/>
    </row>
    <row r="158">
      <c r="A158" s="9">
        <f>IF('S.H BOI GORDO'!A7191=""," ",'S.H BOI GORDO'!A7191)</f>
        <v/>
      </c>
      <c r="C158" s="3" t="n"/>
      <c r="D158" s="3" t="n"/>
      <c r="E158" s="3" t="n"/>
      <c r="F158" s="3" t="n"/>
      <c r="G158" s="3" t="n"/>
      <c r="H158" s="3" t="n"/>
      <c r="K158" s="3" t="n"/>
      <c r="M158" s="3" t="n"/>
      <c r="N158" s="3" t="n"/>
      <c r="O158" s="3" t="n"/>
      <c r="P158" s="3" t="n"/>
      <c r="Q158" s="3" t="n"/>
      <c r="R158" s="3" t="n"/>
      <c r="S158" s="3" t="n"/>
      <c r="T158" s="3" t="n"/>
      <c r="U158" s="3" t="n"/>
      <c r="V158" s="3" t="n"/>
      <c r="W158" s="3" t="n"/>
    </row>
    <row r="159">
      <c r="A159" s="9">
        <f>IF('S.H BOI GORDO'!A7192=""," ",'S.H BOI GORDO'!A7192)</f>
        <v/>
      </c>
      <c r="C159" s="3" t="n"/>
      <c r="D159" s="3" t="n"/>
      <c r="E159" s="3" t="n"/>
      <c r="F159" s="3" t="n"/>
      <c r="G159" s="3" t="n"/>
      <c r="H159" s="3" t="n"/>
      <c r="K159" s="3" t="n"/>
      <c r="M159" s="3" t="n"/>
      <c r="N159" s="3" t="n"/>
      <c r="O159" s="3" t="n"/>
      <c r="P159" s="3" t="n"/>
      <c r="Q159" s="3" t="n"/>
      <c r="R159" s="3" t="n"/>
      <c r="S159" s="3" t="n"/>
      <c r="T159" s="3" t="n"/>
      <c r="U159" s="3" t="n"/>
      <c r="V159" s="3" t="n"/>
      <c r="W159" s="3" t="n"/>
    </row>
    <row r="160">
      <c r="A160" s="9">
        <f>IF('S.H BOI GORDO'!A7193=""," ",'S.H BOI GORDO'!A7193)</f>
        <v/>
      </c>
      <c r="C160" s="3" t="n"/>
      <c r="D160" s="3" t="n"/>
      <c r="E160" s="3" t="n"/>
      <c r="F160" s="3" t="n"/>
      <c r="G160" s="3" t="n"/>
      <c r="H160" s="3" t="n"/>
      <c r="K160" s="3" t="n"/>
      <c r="M160" s="3" t="n"/>
      <c r="N160" s="3" t="n"/>
      <c r="O160" s="3" t="n"/>
      <c r="P160" s="3" t="n"/>
      <c r="Q160" s="3" t="n"/>
      <c r="R160" s="3" t="n"/>
      <c r="S160" s="3" t="n"/>
      <c r="T160" s="3" t="n"/>
      <c r="U160" s="3" t="n"/>
      <c r="V160" s="3" t="n"/>
      <c r="W160" s="3" t="n"/>
    </row>
    <row r="161">
      <c r="A161" s="9">
        <f>IF('S.H BOI GORDO'!A7194=""," ",'S.H BOI GORDO'!A7194)</f>
        <v/>
      </c>
      <c r="C161" s="3" t="n"/>
      <c r="D161" s="3" t="n"/>
      <c r="E161" s="3" t="n"/>
      <c r="F161" s="3" t="n"/>
      <c r="G161" s="3" t="n"/>
      <c r="H161" s="3" t="n"/>
      <c r="K161" s="3" t="n"/>
      <c r="M161" s="3" t="n"/>
      <c r="N161" s="3" t="n"/>
      <c r="O161" s="3" t="n"/>
      <c r="P161" s="3" t="n"/>
      <c r="Q161" s="3" t="n"/>
      <c r="R161" s="3" t="n"/>
      <c r="S161" s="3" t="n"/>
      <c r="T161" s="3" t="n"/>
      <c r="U161" s="3" t="n"/>
      <c r="V161" s="3" t="n"/>
      <c r="W161" s="3" t="n"/>
    </row>
    <row r="162">
      <c r="A162" s="9">
        <f>IF('S.H BOI GORDO'!A7195=""," ",'S.H BOI GORDO'!A7195)</f>
        <v/>
      </c>
      <c r="C162" s="3" t="n"/>
      <c r="D162" s="3" t="n"/>
      <c r="E162" s="3" t="n"/>
      <c r="F162" s="3" t="n"/>
      <c r="G162" s="3" t="n"/>
      <c r="H162" s="3" t="n"/>
      <c r="K162" s="3" t="n"/>
      <c r="M162" s="3" t="n"/>
      <c r="N162" s="3" t="n"/>
      <c r="O162" s="3" t="n"/>
      <c r="P162" s="3" t="n"/>
      <c r="Q162" s="3" t="n"/>
      <c r="R162" s="3" t="n"/>
      <c r="S162" s="3" t="n"/>
      <c r="T162" s="3" t="n"/>
      <c r="U162" s="3" t="n"/>
      <c r="V162" s="3" t="n"/>
      <c r="W162" s="3" t="n"/>
    </row>
    <row r="163">
      <c r="A163" s="9">
        <f>IF('S.H BOI GORDO'!A7196=""," ",'S.H BOI GORDO'!A7196)</f>
        <v/>
      </c>
      <c r="C163" s="3" t="n"/>
      <c r="D163" s="3" t="n"/>
      <c r="E163" s="3" t="n"/>
      <c r="F163" s="3" t="n"/>
      <c r="G163" s="3" t="n"/>
      <c r="H163" s="3" t="n"/>
      <c r="K163" s="3" t="n"/>
      <c r="M163" s="3" t="n"/>
      <c r="N163" s="3" t="n"/>
      <c r="O163" s="3" t="n"/>
      <c r="P163" s="3" t="n"/>
      <c r="Q163" s="3" t="n"/>
      <c r="R163" s="3" t="n"/>
      <c r="S163" s="3" t="n"/>
      <c r="T163" s="3" t="n"/>
      <c r="U163" s="3" t="n"/>
      <c r="V163" s="3" t="n"/>
      <c r="W163" s="3" t="n"/>
    </row>
    <row r="164">
      <c r="A164" s="9">
        <f>IF('S.H BOI GORDO'!A7197=""," ",'S.H BOI GORDO'!A7197)</f>
        <v/>
      </c>
      <c r="C164" s="3" t="n"/>
      <c r="D164" s="3" t="n"/>
      <c r="E164" s="3" t="n"/>
      <c r="F164" s="3" t="n"/>
      <c r="G164" s="3" t="n"/>
      <c r="H164" s="3" t="n"/>
      <c r="K164" s="3" t="n"/>
      <c r="M164" s="3" t="n"/>
      <c r="N164" s="3" t="n"/>
      <c r="O164" s="3" t="n"/>
      <c r="P164" s="3" t="n"/>
      <c r="Q164" s="3" t="n"/>
      <c r="R164" s="3" t="n"/>
      <c r="S164" s="3" t="n"/>
      <c r="T164" s="3" t="n"/>
      <c r="U164" s="3" t="n"/>
      <c r="V164" s="3" t="n"/>
      <c r="W164" s="3" t="n"/>
    </row>
    <row r="165">
      <c r="A165" s="9">
        <f>IF('S.H BOI GORDO'!A7198=""," ",'S.H BOI GORDO'!A7198)</f>
        <v/>
      </c>
      <c r="C165" s="3" t="n"/>
      <c r="D165" s="3" t="n"/>
      <c r="E165" s="3" t="n"/>
      <c r="F165" s="3" t="n"/>
      <c r="G165" s="3" t="n"/>
      <c r="H165" s="3" t="n"/>
      <c r="K165" s="3" t="n"/>
      <c r="M165" s="3" t="n"/>
      <c r="N165" s="3" t="n"/>
      <c r="O165" s="3" t="n"/>
      <c r="P165" s="3" t="n"/>
      <c r="Q165" s="3" t="n"/>
      <c r="R165" s="3" t="n"/>
      <c r="S165" s="3" t="n"/>
      <c r="T165" s="3" t="n"/>
      <c r="U165" s="3" t="n"/>
      <c r="V165" s="3" t="n"/>
      <c r="W165" s="3" t="n"/>
    </row>
    <row r="166">
      <c r="A166" s="9">
        <f>IF('S.H BOI GORDO'!A7199=""," ",'S.H BOI GORDO'!A7199)</f>
        <v/>
      </c>
      <c r="C166" s="3" t="n"/>
      <c r="D166" s="3" t="n"/>
      <c r="E166" s="3" t="n"/>
      <c r="F166" s="3" t="n"/>
      <c r="G166" s="3" t="n"/>
      <c r="H166" s="3" t="n"/>
      <c r="K166" s="3" t="n"/>
      <c r="M166" s="3" t="n"/>
      <c r="N166" s="3" t="n"/>
      <c r="O166" s="3" t="n"/>
      <c r="P166" s="3" t="n"/>
      <c r="Q166" s="3" t="n"/>
      <c r="R166" s="3" t="n"/>
      <c r="S166" s="3" t="n"/>
      <c r="T166" s="3" t="n"/>
      <c r="U166" s="3" t="n"/>
      <c r="V166" s="3" t="n"/>
      <c r="W166" s="3" t="n"/>
    </row>
    <row r="167">
      <c r="A167" s="9">
        <f>IF('S.H BOI GORDO'!A7200=""," ",'S.H BOI GORDO'!A7200)</f>
        <v/>
      </c>
      <c r="C167" s="3" t="n"/>
      <c r="D167" s="3" t="n"/>
      <c r="E167" s="3" t="n"/>
      <c r="F167" s="3" t="n"/>
      <c r="G167" s="3" t="n"/>
      <c r="H167" s="3" t="n"/>
      <c r="K167" s="3" t="n"/>
      <c r="M167" s="3" t="n"/>
      <c r="N167" s="3" t="n"/>
      <c r="O167" s="3" t="n"/>
      <c r="P167" s="3" t="n"/>
      <c r="Q167" s="3" t="n"/>
      <c r="R167" s="3" t="n"/>
      <c r="S167" s="3" t="n"/>
      <c r="T167" s="3" t="n"/>
      <c r="U167" s="3" t="n"/>
      <c r="V167" s="3" t="n"/>
      <c r="W167" s="3" t="n"/>
    </row>
    <row r="168">
      <c r="A168" s="9">
        <f>IF('S.H BOI GORDO'!A7201=""," ",'S.H BOI GORDO'!A7201)</f>
        <v/>
      </c>
      <c r="C168" s="3" t="n"/>
      <c r="D168" s="3" t="n"/>
      <c r="E168" s="3" t="n"/>
      <c r="F168" s="3" t="n"/>
      <c r="G168" s="3" t="n"/>
      <c r="H168" s="3" t="n"/>
      <c r="K168" s="3" t="n"/>
      <c r="M168" s="3" t="n"/>
      <c r="N168" s="3" t="n"/>
      <c r="O168" s="3" t="n"/>
      <c r="P168" s="3" t="n"/>
      <c r="Q168" s="3" t="n"/>
      <c r="R168" s="3" t="n"/>
      <c r="S168" s="3" t="n"/>
      <c r="T168" s="3" t="n"/>
      <c r="U168" s="3" t="n"/>
      <c r="V168" s="3" t="n"/>
      <c r="W168" s="3" t="n"/>
    </row>
    <row r="169">
      <c r="A169" s="9">
        <f>IF('S.H BOI GORDO'!A7202=""," ",'S.H BOI GORDO'!A7202)</f>
        <v/>
      </c>
      <c r="C169" s="3" t="n"/>
      <c r="D169" s="3" t="n"/>
      <c r="E169" s="3" t="n"/>
      <c r="F169" s="3" t="n"/>
      <c r="G169" s="3" t="n"/>
      <c r="H169" s="3" t="n"/>
      <c r="K169" s="3" t="n"/>
      <c r="M169" s="3" t="n"/>
      <c r="N169" s="3" t="n"/>
      <c r="O169" s="3" t="n"/>
      <c r="P169" s="3" t="n"/>
      <c r="Q169" s="3" t="n"/>
      <c r="R169" s="3" t="n"/>
      <c r="S169" s="3" t="n"/>
      <c r="T169" s="3" t="n"/>
      <c r="U169" s="3" t="n"/>
      <c r="V169" s="3" t="n"/>
      <c r="W169" s="3" t="n"/>
    </row>
    <row r="170">
      <c r="A170" s="9">
        <f>IF('S.H BOI GORDO'!A7203=""," ",'S.H BOI GORDO'!A7203)</f>
        <v/>
      </c>
      <c r="C170" s="3" t="n"/>
      <c r="D170" s="3" t="n"/>
      <c r="E170" s="3" t="n"/>
      <c r="F170" s="3" t="n"/>
      <c r="G170" s="3" t="n"/>
      <c r="H170" s="3" t="n"/>
      <c r="K170" s="3" t="n"/>
      <c r="M170" s="3" t="n"/>
      <c r="N170" s="3" t="n"/>
      <c r="O170" s="3" t="n"/>
      <c r="P170" s="3" t="n"/>
      <c r="Q170" s="3" t="n"/>
      <c r="R170" s="3" t="n"/>
      <c r="S170" s="3" t="n"/>
      <c r="T170" s="3" t="n"/>
      <c r="U170" s="3" t="n"/>
      <c r="V170" s="3" t="n"/>
      <c r="W170" s="3" t="n"/>
    </row>
    <row r="171">
      <c r="A171" s="9">
        <f>IF('S.H BOI GORDO'!A7204=""," ",'S.H BOI GORDO'!A7204)</f>
        <v/>
      </c>
      <c r="C171" s="3" t="n"/>
      <c r="D171" s="3" t="n"/>
      <c r="E171" s="3" t="n"/>
      <c r="F171" s="3" t="n"/>
      <c r="G171" s="3" t="n"/>
      <c r="H171" s="3" t="n"/>
      <c r="K171" s="3" t="n"/>
      <c r="M171" s="3" t="n"/>
      <c r="N171" s="3" t="n"/>
      <c r="O171" s="3" t="n"/>
      <c r="P171" s="3" t="n"/>
      <c r="Q171" s="3" t="n"/>
      <c r="R171" s="3" t="n"/>
      <c r="S171" s="3" t="n"/>
      <c r="T171" s="3" t="n"/>
      <c r="U171" s="3" t="n"/>
      <c r="V171" s="3" t="n"/>
      <c r="W171" s="3" t="n"/>
    </row>
    <row r="172">
      <c r="A172" s="9">
        <f>IF('S.H BOI GORDO'!A7205=""," ",'S.H BOI GORDO'!A7205)</f>
        <v/>
      </c>
      <c r="C172" s="3" t="n"/>
      <c r="D172" s="3" t="n"/>
      <c r="E172" s="3" t="n"/>
      <c r="F172" s="3" t="n"/>
      <c r="G172" s="3" t="n"/>
      <c r="H172" s="3" t="n"/>
      <c r="K172" s="3" t="n"/>
      <c r="M172" s="3" t="n"/>
      <c r="N172" s="3" t="n"/>
      <c r="O172" s="3" t="n"/>
      <c r="P172" s="3" t="n"/>
      <c r="Q172" s="3" t="n"/>
      <c r="R172" s="3" t="n"/>
      <c r="S172" s="3" t="n"/>
      <c r="T172" s="3" t="n"/>
      <c r="U172" s="3" t="n"/>
      <c r="V172" s="3" t="n"/>
      <c r="W172" s="3" t="n"/>
    </row>
    <row r="173">
      <c r="A173" s="9">
        <f>IF('S.H BOI GORDO'!A7206=""," ",'S.H BOI GORDO'!A7206)</f>
        <v/>
      </c>
      <c r="C173" s="3" t="n"/>
      <c r="D173" s="3" t="n"/>
      <c r="E173" s="3" t="n"/>
      <c r="F173" s="3" t="n"/>
      <c r="G173" s="3" t="n"/>
      <c r="H173" s="3" t="n"/>
      <c r="K173" s="3" t="n"/>
      <c r="M173" s="3" t="n"/>
      <c r="N173" s="3" t="n"/>
      <c r="O173" s="3" t="n"/>
      <c r="P173" s="3" t="n"/>
      <c r="Q173" s="3" t="n"/>
      <c r="R173" s="3" t="n"/>
      <c r="S173" s="3" t="n"/>
      <c r="T173" s="3" t="n"/>
      <c r="U173" s="3" t="n"/>
      <c r="V173" s="3" t="n"/>
      <c r="W173" s="3" t="n"/>
    </row>
    <row r="174">
      <c r="A174" s="9">
        <f>IF('S.H BOI GORDO'!A7207=""," ",'S.H BOI GORDO'!A7207)</f>
        <v/>
      </c>
      <c r="C174" s="3" t="n"/>
      <c r="D174" s="3" t="n"/>
      <c r="E174" s="3" t="n"/>
      <c r="F174" s="3" t="n"/>
      <c r="G174" s="3" t="n"/>
      <c r="H174" s="3" t="n"/>
      <c r="K174" s="3" t="n"/>
      <c r="M174" s="3" t="n"/>
      <c r="N174" s="3" t="n"/>
      <c r="O174" s="3" t="n"/>
      <c r="P174" s="3" t="n"/>
      <c r="Q174" s="3" t="n"/>
      <c r="R174" s="3" t="n"/>
      <c r="S174" s="3" t="n"/>
      <c r="T174" s="3" t="n"/>
      <c r="U174" s="3" t="n"/>
      <c r="V174" s="3" t="n"/>
      <c r="W174" s="3" t="n"/>
    </row>
    <row r="175">
      <c r="A175" s="9">
        <f>IF('S.H BOI GORDO'!A7208=""," ",'S.H BOI GORDO'!A7208)</f>
        <v/>
      </c>
      <c r="C175" s="3" t="n"/>
      <c r="D175" s="3" t="n"/>
      <c r="E175" s="3" t="n"/>
      <c r="F175" s="3" t="n"/>
      <c r="G175" s="3" t="n"/>
      <c r="H175" s="3" t="n"/>
      <c r="K175" s="3" t="n"/>
      <c r="M175" s="3" t="n"/>
      <c r="N175" s="3" t="n"/>
      <c r="O175" s="3" t="n"/>
      <c r="P175" s="3" t="n"/>
      <c r="Q175" s="3" t="n"/>
      <c r="R175" s="3" t="n"/>
      <c r="S175" s="3" t="n"/>
      <c r="T175" s="3" t="n"/>
      <c r="U175" s="3" t="n"/>
      <c r="V175" s="3" t="n"/>
      <c r="W175" s="3" t="n"/>
    </row>
    <row r="176">
      <c r="A176" s="9">
        <f>IF('S.H BOI GORDO'!A7209=""," ",'S.H BOI GORDO'!A7209)</f>
        <v/>
      </c>
      <c r="C176" s="3" t="n"/>
      <c r="D176" s="3" t="n"/>
      <c r="E176" s="3" t="n"/>
      <c r="F176" s="3" t="n"/>
      <c r="G176" s="3" t="n"/>
      <c r="H176" s="3" t="n"/>
      <c r="K176" s="3" t="n"/>
      <c r="M176" s="3" t="n"/>
      <c r="N176" s="3" t="n"/>
      <c r="O176" s="3" t="n"/>
      <c r="P176" s="3" t="n"/>
      <c r="Q176" s="3" t="n"/>
      <c r="R176" s="3" t="n"/>
      <c r="S176" s="3" t="n"/>
      <c r="T176" s="3" t="n"/>
      <c r="U176" s="3" t="n"/>
      <c r="V176" s="3" t="n"/>
      <c r="W176" s="3" t="n"/>
    </row>
    <row r="177">
      <c r="A177" s="9">
        <f>IF('S.H BOI GORDO'!A7210=""," ",'S.H BOI GORDO'!A7210)</f>
        <v/>
      </c>
      <c r="C177" s="3" t="n"/>
      <c r="D177" s="3" t="n"/>
      <c r="E177" s="3" t="n"/>
      <c r="F177" s="3" t="n"/>
      <c r="G177" s="3" t="n"/>
      <c r="H177" s="3" t="n"/>
      <c r="K177" s="3" t="n"/>
      <c r="M177" s="3" t="n"/>
      <c r="N177" s="3" t="n"/>
      <c r="O177" s="3" t="n"/>
      <c r="P177" s="3" t="n"/>
      <c r="Q177" s="3" t="n"/>
      <c r="R177" s="3" t="n"/>
      <c r="S177" s="3" t="n"/>
      <c r="T177" s="3" t="n"/>
      <c r="U177" s="3" t="n"/>
      <c r="V177" s="3" t="n"/>
      <c r="W177" s="3" t="n"/>
    </row>
    <row r="178">
      <c r="A178" s="9">
        <f>IF('S.H BOI GORDO'!A7211=""," ",'S.H BOI GORDO'!A7211)</f>
        <v/>
      </c>
      <c r="C178" s="3" t="n"/>
      <c r="D178" s="3" t="n"/>
      <c r="E178" s="3" t="n"/>
      <c r="F178" s="3" t="n"/>
      <c r="G178" s="3" t="n"/>
      <c r="H178" s="3" t="n"/>
      <c r="K178" s="3" t="n"/>
      <c r="M178" s="3" t="n"/>
      <c r="N178" s="3" t="n"/>
      <c r="O178" s="3" t="n"/>
      <c r="P178" s="3" t="n"/>
      <c r="Q178" s="3" t="n"/>
      <c r="R178" s="3" t="n"/>
      <c r="S178" s="3" t="n"/>
      <c r="T178" s="3" t="n"/>
      <c r="U178" s="3" t="n"/>
      <c r="V178" s="3" t="n"/>
      <c r="W178" s="3" t="n"/>
    </row>
    <row r="179">
      <c r="A179" s="9">
        <f>IF('S.H BOI GORDO'!A7212=""," ",'S.H BOI GORDO'!A7212)</f>
        <v/>
      </c>
      <c r="C179" s="3" t="n"/>
      <c r="D179" s="3" t="n"/>
      <c r="E179" s="3" t="n"/>
      <c r="F179" s="3" t="n"/>
      <c r="G179" s="3" t="n"/>
      <c r="H179" s="3" t="n"/>
      <c r="K179" s="3" t="n"/>
      <c r="M179" s="3" t="n"/>
      <c r="N179" s="3" t="n"/>
      <c r="O179" s="3" t="n"/>
      <c r="P179" s="3" t="n"/>
      <c r="Q179" s="3" t="n"/>
      <c r="R179" s="3" t="n"/>
      <c r="S179" s="3" t="n"/>
      <c r="T179" s="3" t="n"/>
      <c r="U179" s="3" t="n"/>
      <c r="V179" s="3" t="n"/>
      <c r="W179" s="3" t="n"/>
    </row>
    <row r="180">
      <c r="A180" s="9">
        <f>IF('S.H BOI GORDO'!A7213=""," ",'S.H BOI GORDO'!A7213)</f>
        <v/>
      </c>
      <c r="C180" s="3" t="n"/>
      <c r="D180" s="3" t="n"/>
      <c r="E180" s="3" t="n"/>
      <c r="F180" s="3" t="n"/>
      <c r="G180" s="3" t="n"/>
      <c r="H180" s="3" t="n"/>
      <c r="K180" s="3" t="n"/>
      <c r="M180" s="3" t="n"/>
      <c r="N180" s="3" t="n"/>
      <c r="O180" s="3" t="n"/>
      <c r="P180" s="3" t="n"/>
      <c r="Q180" s="3" t="n"/>
      <c r="R180" s="3" t="n"/>
      <c r="S180" s="3" t="n"/>
      <c r="T180" s="3" t="n"/>
      <c r="U180" s="3" t="n"/>
      <c r="V180" s="3" t="n"/>
      <c r="W180" s="3" t="n"/>
    </row>
    <row r="181">
      <c r="A181" s="9">
        <f>IF('S.H BOI GORDO'!A7214=""," ",'S.H BOI GORDO'!A7214)</f>
        <v/>
      </c>
      <c r="C181" s="3" t="n"/>
      <c r="D181" s="3" t="n"/>
      <c r="E181" s="3" t="n"/>
      <c r="F181" s="3" t="n"/>
      <c r="G181" s="3" t="n"/>
      <c r="H181" s="3" t="n"/>
      <c r="K181" s="3" t="n"/>
      <c r="M181" s="3" t="n"/>
      <c r="N181" s="3" t="n"/>
      <c r="O181" s="3" t="n"/>
      <c r="P181" s="3" t="n"/>
      <c r="Q181" s="3" t="n"/>
      <c r="R181" s="3" t="n"/>
      <c r="S181" s="3" t="n"/>
      <c r="T181" s="3" t="n"/>
      <c r="U181" s="3" t="n"/>
      <c r="V181" s="3" t="n"/>
      <c r="W181" s="3" t="n"/>
    </row>
    <row r="182">
      <c r="A182" s="9">
        <f>IF('S.H BOI GORDO'!A7215=""," ",'S.H BOI GORDO'!A7215)</f>
        <v/>
      </c>
      <c r="C182" s="3" t="n"/>
      <c r="D182" s="3" t="n"/>
      <c r="E182" s="3" t="n"/>
      <c r="F182" s="3" t="n"/>
      <c r="G182" s="3" t="n"/>
      <c r="H182" s="3" t="n"/>
      <c r="K182" s="3" t="n"/>
      <c r="M182" s="3" t="n"/>
      <c r="N182" s="3" t="n"/>
      <c r="O182" s="3" t="n"/>
      <c r="P182" s="3" t="n"/>
      <c r="Q182" s="3" t="n"/>
      <c r="R182" s="3" t="n"/>
      <c r="S182" s="3" t="n"/>
      <c r="T182" s="3" t="n"/>
      <c r="U182" s="3" t="n"/>
      <c r="V182" s="3" t="n"/>
      <c r="W182" s="3" t="n"/>
    </row>
    <row r="183">
      <c r="A183" s="9">
        <f>IF('S.H BOI GORDO'!A7216=""," ",'S.H BOI GORDO'!A7216)</f>
        <v/>
      </c>
      <c r="C183" s="3" t="n"/>
      <c r="D183" s="3" t="n"/>
      <c r="E183" s="3" t="n"/>
      <c r="F183" s="3" t="n"/>
      <c r="G183" s="3" t="n"/>
      <c r="H183" s="3" t="n"/>
      <c r="K183" s="3" t="n"/>
      <c r="M183" s="3" t="n"/>
      <c r="N183" s="3" t="n"/>
      <c r="O183" s="3" t="n"/>
      <c r="P183" s="3" t="n"/>
      <c r="Q183" s="3" t="n"/>
      <c r="R183" s="3" t="n"/>
      <c r="S183" s="3" t="n"/>
      <c r="T183" s="3" t="n"/>
      <c r="U183" s="3" t="n"/>
      <c r="V183" s="3" t="n"/>
      <c r="W183" s="3" t="n"/>
    </row>
    <row r="184">
      <c r="A184" s="9">
        <f>IF('S.H BOI GORDO'!A7217=""," ",'S.H BOI GORDO'!A7217)</f>
        <v/>
      </c>
      <c r="C184" s="3" t="n"/>
      <c r="D184" s="3" t="n"/>
      <c r="E184" s="3" t="n"/>
      <c r="F184" s="3" t="n"/>
      <c r="G184" s="3" t="n"/>
      <c r="H184" s="3" t="n"/>
      <c r="K184" s="3" t="n"/>
      <c r="M184" s="3" t="n"/>
      <c r="N184" s="3" t="n"/>
      <c r="O184" s="3" t="n"/>
      <c r="P184" s="3" t="n"/>
      <c r="Q184" s="3" t="n"/>
      <c r="R184" s="3" t="n"/>
      <c r="S184" s="3" t="n"/>
      <c r="T184" s="3" t="n"/>
      <c r="U184" s="3" t="n"/>
      <c r="V184" s="3" t="n"/>
      <c r="W184" s="3" t="n"/>
    </row>
    <row r="185">
      <c r="A185" s="9">
        <f>IF('S.H BOI GORDO'!A7218=""," ",'S.H BOI GORDO'!A7218)</f>
        <v/>
      </c>
      <c r="C185" s="3" t="n"/>
      <c r="D185" s="3" t="n"/>
      <c r="E185" s="3" t="n"/>
      <c r="F185" s="3" t="n"/>
      <c r="G185" s="3" t="n"/>
      <c r="H185" s="3" t="n"/>
      <c r="K185" s="3" t="n"/>
      <c r="M185" s="3" t="n"/>
      <c r="N185" s="3" t="n"/>
      <c r="O185" s="3" t="n"/>
      <c r="P185" s="3" t="n"/>
      <c r="Q185" s="3" t="n"/>
      <c r="R185" s="3" t="n"/>
      <c r="S185" s="3" t="n"/>
      <c r="T185" s="3" t="n"/>
      <c r="U185" s="3" t="n"/>
      <c r="V185" s="3" t="n"/>
      <c r="W185" s="3" t="n"/>
    </row>
    <row r="186">
      <c r="A186" s="9">
        <f>IF('S.H BOI GORDO'!A7219=""," ",'S.H BOI GORDO'!A7219)</f>
        <v/>
      </c>
      <c r="C186" s="3" t="n"/>
      <c r="D186" s="3" t="n"/>
      <c r="E186" s="3" t="n"/>
      <c r="F186" s="3" t="n"/>
      <c r="G186" s="3" t="n"/>
      <c r="H186" s="3" t="n"/>
      <c r="K186" s="3" t="n"/>
      <c r="M186" s="3" t="n"/>
      <c r="N186" s="3" t="n"/>
      <c r="O186" s="3" t="n"/>
      <c r="P186" s="3" t="n"/>
      <c r="Q186" s="3" t="n"/>
      <c r="R186" s="3" t="n"/>
      <c r="S186" s="3" t="n"/>
      <c r="T186" s="3" t="n"/>
      <c r="U186" s="3" t="n"/>
      <c r="V186" s="3" t="n"/>
      <c r="W186" s="3" t="n"/>
    </row>
    <row r="187">
      <c r="A187" s="9">
        <f>IF('S.H BOI GORDO'!A7220=""," ",'S.H BOI GORDO'!A7220)</f>
        <v/>
      </c>
      <c r="C187" s="3" t="n"/>
      <c r="D187" s="3" t="n"/>
      <c r="E187" s="3" t="n"/>
      <c r="F187" s="3" t="n"/>
      <c r="G187" s="3" t="n"/>
      <c r="H187" s="3" t="n"/>
      <c r="K187" s="3" t="n"/>
      <c r="M187" s="3" t="n"/>
      <c r="N187" s="3" t="n"/>
      <c r="O187" s="3" t="n"/>
      <c r="P187" s="3" t="n"/>
      <c r="Q187" s="3" t="n"/>
      <c r="R187" s="3" t="n"/>
      <c r="S187" s="3" t="n"/>
      <c r="T187" s="3" t="n"/>
      <c r="U187" s="3" t="n"/>
      <c r="V187" s="3" t="n"/>
      <c r="W187" s="3" t="n"/>
    </row>
    <row r="188">
      <c r="A188" s="9">
        <f>IF('S.H BOI GORDO'!A7221=""," ",'S.H BOI GORDO'!A7221)</f>
        <v/>
      </c>
      <c r="C188" s="3" t="n"/>
      <c r="D188" s="3" t="n"/>
      <c r="E188" s="3" t="n"/>
      <c r="F188" s="3" t="n"/>
      <c r="G188" s="3" t="n"/>
      <c r="H188" s="3" t="n"/>
      <c r="K188" s="3" t="n"/>
      <c r="M188" s="3" t="n"/>
      <c r="N188" s="3" t="n"/>
      <c r="O188" s="3" t="n"/>
      <c r="P188" s="3" t="n"/>
      <c r="Q188" s="3" t="n"/>
      <c r="R188" s="3" t="n"/>
      <c r="S188" s="3" t="n"/>
      <c r="T188" s="3" t="n"/>
      <c r="U188" s="3" t="n"/>
      <c r="V188" s="3" t="n"/>
      <c r="W188" s="3" t="n"/>
    </row>
    <row r="189">
      <c r="A189" s="9">
        <f>IF('S.H BOI GORDO'!A7222=""," ",'S.H BOI GORDO'!A7222)</f>
        <v/>
      </c>
      <c r="C189" s="3" t="n"/>
      <c r="D189" s="3" t="n"/>
      <c r="E189" s="3" t="n"/>
      <c r="F189" s="3" t="n"/>
      <c r="G189" s="3" t="n"/>
      <c r="H189" s="3" t="n"/>
      <c r="K189" s="3" t="n"/>
      <c r="M189" s="3" t="n"/>
      <c r="N189" s="3" t="n"/>
      <c r="O189" s="3" t="n"/>
      <c r="P189" s="3" t="n"/>
      <c r="Q189" s="3" t="n"/>
      <c r="R189" s="3" t="n"/>
      <c r="S189" s="3" t="n"/>
      <c r="T189" s="3" t="n"/>
      <c r="U189" s="3" t="n"/>
      <c r="V189" s="3" t="n"/>
      <c r="W189" s="3" t="n"/>
    </row>
    <row r="190">
      <c r="A190" s="9">
        <f>IF('S.H BOI GORDO'!A7223=""," ",'S.H BOI GORDO'!A7223)</f>
        <v/>
      </c>
      <c r="C190" s="3" t="n"/>
      <c r="D190" s="3" t="n"/>
      <c r="E190" s="3" t="n"/>
      <c r="F190" s="3" t="n"/>
      <c r="G190" s="3" t="n"/>
      <c r="H190" s="3" t="n"/>
      <c r="K190" s="3" t="n"/>
      <c r="M190" s="3" t="n"/>
      <c r="N190" s="3" t="n"/>
      <c r="O190" s="3" t="n"/>
      <c r="P190" s="3" t="n"/>
      <c r="Q190" s="3" t="n"/>
      <c r="R190" s="3" t="n"/>
      <c r="S190" s="3" t="n"/>
      <c r="T190" s="3" t="n"/>
      <c r="U190" s="3" t="n"/>
      <c r="V190" s="3" t="n"/>
      <c r="W190" s="3" t="n"/>
    </row>
    <row r="191">
      <c r="A191" s="9">
        <f>IF('S.H BOI GORDO'!A7224=""," ",'S.H BOI GORDO'!A7224)</f>
        <v/>
      </c>
      <c r="C191" s="3" t="n"/>
      <c r="D191" s="3" t="n"/>
      <c r="E191" s="3" t="n"/>
      <c r="F191" s="3" t="n"/>
      <c r="G191" s="3" t="n"/>
      <c r="H191" s="3" t="n"/>
      <c r="K191" s="3" t="n"/>
      <c r="M191" s="3" t="n"/>
      <c r="N191" s="3" t="n"/>
      <c r="O191" s="3" t="n"/>
      <c r="P191" s="3" t="n"/>
      <c r="Q191" s="3" t="n"/>
      <c r="R191" s="3" t="n"/>
      <c r="S191" s="3" t="n"/>
      <c r="T191" s="3" t="n"/>
      <c r="U191" s="3" t="n"/>
      <c r="V191" s="3" t="n"/>
      <c r="W191" s="3" t="n"/>
    </row>
    <row r="192">
      <c r="A192" s="9">
        <f>IF('S.H BOI GORDO'!A7225=""," ",'S.H BOI GORDO'!A7225)</f>
        <v/>
      </c>
      <c r="C192" s="3" t="n"/>
      <c r="D192" s="3" t="n"/>
      <c r="E192" s="3" t="n"/>
      <c r="F192" s="3" t="n"/>
      <c r="G192" s="3" t="n"/>
      <c r="H192" s="3" t="n"/>
      <c r="K192" s="3" t="n"/>
      <c r="M192" s="3" t="n"/>
      <c r="N192" s="3" t="n"/>
      <c r="O192" s="3" t="n"/>
      <c r="P192" s="3" t="n"/>
      <c r="Q192" s="3" t="n"/>
      <c r="R192" s="3" t="n"/>
      <c r="S192" s="3" t="n"/>
      <c r="T192" s="3" t="n"/>
      <c r="U192" s="3" t="n"/>
      <c r="V192" s="3" t="n"/>
      <c r="W192" s="3" t="n"/>
    </row>
    <row r="193">
      <c r="A193" s="9">
        <f>IF('S.H BOI GORDO'!A7226=""," ",'S.H BOI GORDO'!A7226)</f>
        <v/>
      </c>
      <c r="C193" s="3" t="n"/>
      <c r="D193" s="3" t="n"/>
      <c r="E193" s="3" t="n"/>
      <c r="F193" s="3" t="n"/>
      <c r="G193" s="3" t="n"/>
      <c r="H193" s="3" t="n"/>
      <c r="K193" s="3" t="n"/>
      <c r="M193" s="3" t="n"/>
      <c r="N193" s="3" t="n"/>
      <c r="O193" s="3" t="n"/>
      <c r="P193" s="3" t="n"/>
      <c r="Q193" s="3" t="n"/>
      <c r="R193" s="3" t="n"/>
      <c r="S193" s="3" t="n"/>
      <c r="T193" s="3" t="n"/>
      <c r="U193" s="3" t="n"/>
      <c r="V193" s="3" t="n"/>
      <c r="W193" s="3" t="n"/>
    </row>
    <row r="194">
      <c r="A194" s="9">
        <f>IF('S.H BOI GORDO'!A7227=""," ",'S.H BOI GORDO'!A7227)</f>
        <v/>
      </c>
      <c r="C194" s="3" t="n"/>
      <c r="D194" s="3" t="n"/>
      <c r="E194" s="3" t="n"/>
      <c r="F194" s="3" t="n"/>
      <c r="G194" s="3" t="n"/>
      <c r="H194" s="3" t="n"/>
      <c r="K194" s="3" t="n"/>
      <c r="M194" s="3" t="n"/>
      <c r="N194" s="3" t="n"/>
      <c r="O194" s="3" t="n"/>
      <c r="P194" s="3" t="n"/>
      <c r="Q194" s="3" t="n"/>
      <c r="R194" s="3" t="n"/>
      <c r="S194" s="3" t="n"/>
      <c r="T194" s="3" t="n"/>
      <c r="U194" s="3" t="n"/>
      <c r="V194" s="3" t="n"/>
      <c r="W194" s="3" t="n"/>
    </row>
    <row r="195">
      <c r="A195" s="9">
        <f>IF('S.H BOI GORDO'!A7228=""," ",'S.H BOI GORDO'!A7228)</f>
        <v/>
      </c>
      <c r="C195" s="3" t="n"/>
      <c r="D195" s="3" t="n"/>
      <c r="E195" s="3" t="n"/>
      <c r="F195" s="3" t="n"/>
      <c r="G195" s="3" t="n"/>
      <c r="H195" s="3" t="n"/>
      <c r="K195" s="3" t="n"/>
      <c r="M195" s="3" t="n"/>
      <c r="N195" s="3" t="n"/>
      <c r="O195" s="3" t="n"/>
      <c r="P195" s="3" t="n"/>
      <c r="Q195" s="3" t="n"/>
      <c r="R195" s="3" t="n"/>
      <c r="S195" s="3" t="n"/>
      <c r="T195" s="3" t="n"/>
      <c r="U195" s="3" t="n"/>
      <c r="V195" s="3" t="n"/>
      <c r="W195" s="3" t="n"/>
    </row>
    <row r="196">
      <c r="A196" s="9">
        <f>IF('S.H BOI GORDO'!A7229=""," ",'S.H BOI GORDO'!A7229)</f>
        <v/>
      </c>
      <c r="C196" s="3" t="n"/>
      <c r="D196" s="3" t="n"/>
      <c r="E196" s="3" t="n"/>
      <c r="F196" s="3" t="n"/>
      <c r="G196" s="3" t="n"/>
      <c r="H196" s="3" t="n"/>
      <c r="K196" s="3" t="n"/>
      <c r="M196" s="3" t="n"/>
      <c r="N196" s="3" t="n"/>
      <c r="O196" s="3" t="n"/>
      <c r="P196" s="3" t="n"/>
      <c r="Q196" s="3" t="n"/>
      <c r="R196" s="3" t="n"/>
      <c r="S196" s="3" t="n"/>
      <c r="T196" s="3" t="n"/>
      <c r="U196" s="3" t="n"/>
      <c r="V196" s="3" t="n"/>
      <c r="W196" s="3" t="n"/>
    </row>
    <row r="197">
      <c r="A197" s="9">
        <f>IF('S.H BOI GORDO'!A7230=""," ",'S.H BOI GORDO'!A7230)</f>
        <v/>
      </c>
      <c r="C197" s="3" t="n"/>
      <c r="D197" s="3" t="n"/>
      <c r="E197" s="3" t="n"/>
      <c r="F197" s="3" t="n"/>
      <c r="G197" s="3" t="n"/>
      <c r="H197" s="3" t="n"/>
      <c r="K197" s="3" t="n"/>
      <c r="M197" s="3" t="n"/>
      <c r="N197" s="3" t="n"/>
      <c r="O197" s="3" t="n"/>
      <c r="P197" s="3" t="n"/>
      <c r="Q197" s="3" t="n"/>
      <c r="R197" s="3" t="n"/>
      <c r="S197" s="3" t="n"/>
      <c r="T197" s="3" t="n"/>
      <c r="V197" s="3" t="n"/>
      <c r="W197" s="3" t="n"/>
    </row>
    <row r="198">
      <c r="A198" s="9">
        <f>IF('S.H BOI GORDO'!A7231=""," ",'S.H BOI GORDO'!A7231)</f>
        <v/>
      </c>
      <c r="C198" s="3" t="n"/>
      <c r="D198" s="3" t="n"/>
      <c r="E198" s="3" t="n"/>
      <c r="F198" s="3" t="n"/>
      <c r="G198" s="3" t="n"/>
      <c r="H198" s="3" t="n"/>
      <c r="K198" s="3" t="n"/>
      <c r="M198" s="3" t="n"/>
      <c r="N198" s="3" t="n"/>
      <c r="O198" s="3" t="n"/>
      <c r="P198" s="3" t="n"/>
      <c r="Q198" s="3" t="n"/>
      <c r="R198" s="3" t="n"/>
      <c r="S198" s="3" t="n"/>
      <c r="T198" s="3" t="n"/>
      <c r="V198" s="3" t="n"/>
      <c r="W198" s="3" t="n"/>
    </row>
    <row r="199">
      <c r="A199" s="9">
        <f>IF('S.H BOI GORDO'!A7232=""," ",'S.H BOI GORDO'!A7232)</f>
        <v/>
      </c>
      <c r="C199" s="3" t="n"/>
      <c r="D199" s="3" t="n"/>
      <c r="E199" s="3" t="n"/>
      <c r="F199" s="3" t="n"/>
      <c r="G199" s="3" t="n"/>
      <c r="H199" s="3" t="n"/>
      <c r="K199" s="3" t="n"/>
      <c r="M199" s="3" t="n"/>
      <c r="N199" s="3" t="n"/>
      <c r="O199" s="3" t="n"/>
      <c r="P199" s="3" t="n"/>
      <c r="Q199" s="3" t="n"/>
      <c r="R199" s="3" t="n"/>
      <c r="S199" s="3" t="n"/>
      <c r="T199" s="3" t="n"/>
      <c r="V199" s="3" t="n"/>
      <c r="W199" s="3" t="n"/>
    </row>
    <row r="200">
      <c r="A200" s="9">
        <f>IF('S.H BOI GORDO'!A7233=""," ",'S.H BOI GORDO'!A7233)</f>
        <v/>
      </c>
      <c r="C200" s="3" t="n"/>
      <c r="D200" s="3" t="n"/>
      <c r="E200" s="3" t="n"/>
      <c r="F200" s="3" t="n"/>
      <c r="G200" s="3" t="n"/>
      <c r="H200" s="3" t="n"/>
      <c r="K200" s="3" t="n"/>
      <c r="M200" s="3" t="n"/>
      <c r="N200" s="3" t="n"/>
      <c r="O200" s="3" t="n"/>
      <c r="P200" s="3" t="n"/>
      <c r="Q200" s="3" t="n"/>
      <c r="R200" s="3" t="n"/>
      <c r="S200" s="3" t="n"/>
      <c r="T200" s="3" t="n"/>
      <c r="V200" s="3" t="n"/>
      <c r="W200" s="3" t="n"/>
    </row>
    <row r="201">
      <c r="A201" s="9">
        <f>IF('S.H BOI GORDO'!A7234=""," ",'S.H BOI GORDO'!A7234)</f>
        <v/>
      </c>
      <c r="C201" s="3" t="n"/>
      <c r="D201" s="3" t="n"/>
      <c r="E201" s="3" t="n"/>
      <c r="F201" s="3" t="n"/>
      <c r="G201" s="3" t="n"/>
      <c r="H201" s="3" t="n"/>
      <c r="K201" s="3" t="n"/>
      <c r="M201" s="3" t="n"/>
      <c r="N201" s="3" t="n"/>
      <c r="O201" s="3" t="n"/>
      <c r="P201" s="3" t="n"/>
      <c r="Q201" s="3" t="n"/>
      <c r="R201" s="3" t="n"/>
      <c r="S201" s="3" t="n"/>
      <c r="T201" s="3" t="n"/>
      <c r="V201" s="3" t="n"/>
      <c r="W201" s="3" t="n"/>
    </row>
    <row r="202">
      <c r="A202" s="9">
        <f>IF('S.H BOI GORDO'!A7235=""," ",'S.H BOI GORDO'!A7235)</f>
        <v/>
      </c>
      <c r="C202" s="3" t="n"/>
      <c r="D202" s="3" t="n"/>
      <c r="E202" s="3" t="n"/>
      <c r="F202" s="3" t="n"/>
      <c r="G202" s="3" t="n"/>
      <c r="H202" s="3" t="n"/>
      <c r="K202" s="3" t="n"/>
      <c r="M202" s="3" t="n"/>
      <c r="N202" s="3" t="n"/>
      <c r="O202" s="3" t="n"/>
      <c r="P202" s="3" t="n"/>
      <c r="Q202" s="3" t="n"/>
      <c r="R202" s="3" t="n"/>
      <c r="S202" s="3" t="n"/>
      <c r="T202" s="3" t="n"/>
      <c r="V202" s="3" t="n"/>
      <c r="W202" s="3" t="n"/>
    </row>
    <row r="203">
      <c r="A203" s="9">
        <f>IF('S.H BOI GORDO'!A7236=""," ",'S.H BOI GORDO'!A7236)</f>
        <v/>
      </c>
      <c r="C203" s="3" t="n"/>
      <c r="D203" s="3" t="n"/>
      <c r="E203" s="3" t="n"/>
      <c r="F203" s="3" t="n"/>
      <c r="G203" s="3" t="n"/>
      <c r="H203" s="3" t="n"/>
      <c r="K203" s="3" t="n"/>
      <c r="M203" s="3" t="n"/>
      <c r="N203" s="3" t="n"/>
      <c r="O203" s="3" t="n"/>
      <c r="P203" s="3" t="n"/>
      <c r="Q203" s="3" t="n"/>
      <c r="R203" s="3" t="n"/>
      <c r="S203" s="3" t="n"/>
      <c r="T203" s="3" t="n"/>
      <c r="V203" s="3" t="n"/>
      <c r="W203" s="3" t="n"/>
    </row>
    <row r="204">
      <c r="A204" s="9">
        <f>IF('S.H BOI GORDO'!A7237=""," ",'S.H BOI GORDO'!A7237)</f>
        <v/>
      </c>
      <c r="C204" s="3" t="n"/>
      <c r="D204" s="3" t="n"/>
      <c r="E204" s="3" t="n"/>
      <c r="F204" s="3" t="n"/>
      <c r="G204" s="3" t="n"/>
      <c r="H204" s="3" t="n"/>
      <c r="K204" s="3" t="n"/>
      <c r="M204" s="3" t="n"/>
      <c r="N204" s="3" t="n"/>
      <c r="O204" s="3" t="n"/>
      <c r="P204" s="3" t="n"/>
      <c r="Q204" s="3" t="n"/>
      <c r="R204" s="3" t="n"/>
      <c r="S204" s="3" t="n"/>
      <c r="T204" s="3" t="n"/>
      <c r="V204" s="3" t="n"/>
      <c r="W204" s="3" t="n"/>
    </row>
    <row r="205">
      <c r="A205" s="9">
        <f>IF('S.H BOI GORDO'!A7238=""," ",'S.H BOI GORDO'!A7238)</f>
        <v/>
      </c>
      <c r="C205" s="3" t="n"/>
      <c r="D205" s="3" t="n"/>
      <c r="E205" s="3" t="n"/>
      <c r="F205" s="3" t="n"/>
      <c r="G205" s="3" t="n"/>
      <c r="H205" s="3" t="n"/>
      <c r="K205" s="3" t="n"/>
      <c r="M205" s="3" t="n"/>
      <c r="N205" s="3" t="n"/>
      <c r="O205" s="3" t="n"/>
      <c r="P205" s="3" t="n"/>
      <c r="Q205" s="3" t="n"/>
      <c r="R205" s="3" t="n"/>
      <c r="S205" s="3" t="n"/>
      <c r="T205" s="3" t="n"/>
      <c r="V205" s="3" t="n"/>
      <c r="W205" s="3" t="n"/>
    </row>
    <row r="206">
      <c r="A206" s="9">
        <f>IF('S.H BOI GORDO'!A7239=""," ",'S.H BOI GORDO'!A7239)</f>
        <v/>
      </c>
      <c r="C206" s="3" t="n"/>
      <c r="D206" s="3" t="n"/>
      <c r="E206" s="3" t="n"/>
      <c r="F206" s="3" t="n"/>
      <c r="G206" s="3" t="n"/>
      <c r="H206" s="3" t="n"/>
      <c r="K206" s="3" t="n"/>
      <c r="M206" s="3" t="n"/>
      <c r="N206" s="3" t="n"/>
      <c r="O206" s="3" t="n"/>
      <c r="P206" s="3" t="n"/>
      <c r="Q206" s="3" t="n"/>
      <c r="R206" s="3" t="n"/>
      <c r="S206" s="3" t="n"/>
      <c r="T206" s="3" t="n"/>
      <c r="V206" s="3" t="n"/>
      <c r="W206" s="3" t="n"/>
    </row>
    <row r="207">
      <c r="A207" s="9">
        <f>IF('S.H BOI GORDO'!A7240=""," ",'S.H BOI GORDO'!A7240)</f>
        <v/>
      </c>
      <c r="C207" s="3" t="n"/>
      <c r="D207" s="3" t="n"/>
      <c r="E207" s="3" t="n"/>
      <c r="F207" s="3" t="n"/>
      <c r="G207" s="3" t="n"/>
      <c r="H207" s="3" t="n"/>
      <c r="K207" s="3" t="n"/>
      <c r="M207" s="3" t="n"/>
      <c r="N207" s="3" t="n"/>
      <c r="O207" s="3" t="n"/>
      <c r="P207" s="3" t="n"/>
      <c r="Q207" s="3" t="n"/>
      <c r="R207" s="3" t="n"/>
      <c r="S207" s="3" t="n"/>
      <c r="T207" s="3" t="n"/>
      <c r="V207" s="3" t="n"/>
      <c r="W207" s="3" t="n"/>
    </row>
    <row r="208">
      <c r="A208" s="9">
        <f>IF('S.H BOI GORDO'!A7241=""," ",'S.H BOI GORDO'!A7241)</f>
        <v/>
      </c>
      <c r="C208" s="3" t="n"/>
      <c r="D208" s="3" t="n"/>
      <c r="E208" s="3" t="n"/>
      <c r="F208" s="3" t="n"/>
      <c r="G208" s="3" t="n"/>
      <c r="H208" s="3" t="n"/>
      <c r="K208" s="3" t="n"/>
      <c r="M208" s="3" t="n"/>
      <c r="N208" s="3" t="n"/>
      <c r="O208" s="3" t="n"/>
      <c r="P208" s="3" t="n"/>
      <c r="Q208" s="3" t="n"/>
      <c r="R208" s="3" t="n"/>
      <c r="S208" s="3" t="n"/>
      <c r="T208" s="3" t="n"/>
      <c r="V208" s="3" t="n"/>
      <c r="W208" s="3" t="n"/>
    </row>
    <row r="209">
      <c r="A209" s="9">
        <f>IF('S.H BOI GORDO'!A7242=""," ",'S.H BOI GORDO'!A7242)</f>
        <v/>
      </c>
      <c r="C209" s="3" t="n"/>
      <c r="D209" s="3" t="n"/>
      <c r="E209" s="3" t="n"/>
      <c r="F209" s="3" t="n"/>
      <c r="G209" s="3" t="n"/>
      <c r="H209" s="3" t="n"/>
      <c r="K209" s="3" t="n"/>
      <c r="M209" s="3" t="n"/>
      <c r="N209" s="3" t="n"/>
      <c r="O209" s="3" t="n"/>
      <c r="P209" s="3" t="n"/>
      <c r="Q209" s="3" t="n"/>
      <c r="R209" s="3" t="n"/>
      <c r="S209" s="3" t="n"/>
      <c r="T209" s="3" t="n"/>
      <c r="V209" s="3" t="n"/>
      <c r="W209" s="3" t="n"/>
    </row>
    <row r="210">
      <c r="A210" s="9">
        <f>IF('S.H BOI GORDO'!A7243=""," ",'S.H BOI GORDO'!A7243)</f>
        <v/>
      </c>
      <c r="C210" s="3" t="n"/>
      <c r="D210" s="3" t="n"/>
      <c r="E210" s="3" t="n"/>
      <c r="F210" s="3" t="n"/>
      <c r="G210" s="3" t="n"/>
      <c r="H210" s="3" t="n"/>
      <c r="K210" s="3" t="n"/>
      <c r="M210" s="3" t="n"/>
      <c r="N210" s="3" t="n"/>
      <c r="O210" s="3" t="n"/>
      <c r="P210" s="3" t="n"/>
      <c r="Q210" s="3" t="n"/>
      <c r="R210" s="3" t="n"/>
      <c r="S210" s="3" t="n"/>
      <c r="T210" s="3" t="n"/>
      <c r="V210" s="3" t="n"/>
      <c r="W210" s="3" t="n"/>
    </row>
    <row r="211">
      <c r="A211" s="9">
        <f>IF('S.H BOI GORDO'!A7244=""," ",'S.H BOI GORDO'!A7244)</f>
        <v/>
      </c>
      <c r="C211" s="3" t="n"/>
      <c r="D211" s="3" t="n"/>
      <c r="E211" s="3" t="n"/>
      <c r="F211" s="3" t="n"/>
      <c r="G211" s="3" t="n"/>
      <c r="H211" s="3" t="n"/>
      <c r="K211" s="3" t="n"/>
      <c r="M211" s="3" t="n"/>
      <c r="N211" s="3" t="n"/>
      <c r="O211" s="3" t="n"/>
      <c r="P211" s="3" t="n"/>
      <c r="Q211" s="3" t="n"/>
      <c r="R211" s="3" t="n"/>
      <c r="S211" s="3" t="n"/>
      <c r="T211" s="3" t="n"/>
      <c r="V211" s="3" t="n"/>
      <c r="W211" s="3" t="n"/>
    </row>
    <row r="212">
      <c r="A212" s="9">
        <f>IF('S.H BOI GORDO'!A7245=""," ",'S.H BOI GORDO'!A7245)</f>
        <v/>
      </c>
      <c r="C212" s="3" t="n"/>
      <c r="D212" s="3" t="n"/>
      <c r="E212" s="3" t="n"/>
      <c r="F212" s="3" t="n"/>
      <c r="G212" s="3" t="n"/>
      <c r="H212" s="3" t="n"/>
      <c r="K212" s="3" t="n"/>
      <c r="M212" s="3" t="n"/>
      <c r="N212" s="3" t="n"/>
      <c r="O212" s="3" t="n"/>
      <c r="P212" s="3" t="n"/>
      <c r="Q212" s="3" t="n"/>
      <c r="R212" s="3" t="n"/>
      <c r="S212" s="3" t="n"/>
      <c r="T212" s="3" t="n"/>
      <c r="V212" s="3" t="n"/>
      <c r="W212" s="3" t="n"/>
    </row>
    <row r="213">
      <c r="A213" s="9">
        <f>IF('S.H BOI GORDO'!A7246=""," ",'S.H BOI GORDO'!A7246)</f>
        <v/>
      </c>
      <c r="C213" s="3" t="n"/>
      <c r="D213" s="3" t="n"/>
      <c r="E213" s="3" t="n"/>
      <c r="F213" s="3" t="n"/>
      <c r="G213" s="3" t="n"/>
      <c r="H213" s="3" t="n"/>
      <c r="K213" s="3" t="n"/>
      <c r="M213" s="3" t="n"/>
      <c r="N213" s="3" t="n"/>
      <c r="O213" s="3" t="n"/>
      <c r="P213" s="3" t="n"/>
      <c r="Q213" s="3" t="n"/>
      <c r="R213" s="3" t="n"/>
      <c r="S213" s="3" t="n"/>
      <c r="T213" s="3" t="n"/>
      <c r="V213" s="3" t="n"/>
      <c r="W213" s="3" t="n"/>
    </row>
    <row r="214">
      <c r="A214" s="9">
        <f>IF('S.H BOI GORDO'!A7247=""," ",'S.H BOI GORDO'!A7247)</f>
        <v/>
      </c>
      <c r="C214" s="3" t="n"/>
      <c r="D214" s="3" t="n"/>
      <c r="E214" s="3" t="n"/>
      <c r="F214" s="3" t="n"/>
      <c r="G214" s="3" t="n"/>
      <c r="H214" s="3" t="n"/>
      <c r="K214" s="3" t="n"/>
      <c r="M214" s="3" t="n"/>
      <c r="N214" s="3" t="n"/>
      <c r="O214" s="3" t="n"/>
      <c r="P214" s="3" t="n"/>
      <c r="Q214" s="3" t="n"/>
      <c r="R214" s="3" t="n"/>
      <c r="S214" s="3" t="n"/>
      <c r="T214" s="3" t="n"/>
      <c r="V214" s="3" t="n"/>
      <c r="W214" s="3" t="n"/>
    </row>
    <row r="215">
      <c r="A215" s="9">
        <f>IF('S.H BOI GORDO'!A7248=""," ",'S.H BOI GORDO'!A7248)</f>
        <v/>
      </c>
      <c r="C215" s="3" t="n"/>
      <c r="D215" s="3" t="n"/>
      <c r="E215" s="3" t="n"/>
      <c r="F215" s="3" t="n"/>
      <c r="G215" s="3" t="n"/>
      <c r="H215" s="3" t="n"/>
      <c r="K215" s="3" t="n"/>
      <c r="M215" s="3" t="n"/>
      <c r="N215" s="3" t="n"/>
      <c r="O215" s="3" t="n"/>
      <c r="P215" s="3" t="n"/>
      <c r="Q215" s="3" t="n"/>
      <c r="R215" s="3" t="n"/>
      <c r="S215" s="3" t="n"/>
      <c r="T215" s="3" t="n"/>
      <c r="V215" s="3" t="n"/>
      <c r="W215" s="3" t="n"/>
    </row>
    <row r="216">
      <c r="A216" s="9">
        <f>IF('S.H BOI GORDO'!A7249=""," ",'S.H BOI GORDO'!A7249)</f>
        <v/>
      </c>
      <c r="C216" s="3" t="n"/>
      <c r="D216" s="3" t="n"/>
      <c r="E216" s="3" t="n"/>
      <c r="F216" s="3" t="n"/>
      <c r="G216" s="3" t="n"/>
      <c r="H216" s="3" t="n"/>
      <c r="K216" s="3" t="n"/>
      <c r="M216" s="3" t="n"/>
      <c r="N216" s="3" t="n"/>
      <c r="O216" s="3" t="n"/>
      <c r="P216" s="3" t="n"/>
      <c r="Q216" s="3" t="n"/>
      <c r="R216" s="3" t="n"/>
      <c r="S216" s="3" t="n"/>
      <c r="T216" s="3" t="n"/>
      <c r="V216" s="3" t="n"/>
      <c r="W216" s="3" t="n"/>
    </row>
    <row r="217">
      <c r="A217" s="9">
        <f>IF('S.H BOI GORDO'!A7250=""," ",'S.H BOI GORDO'!A7250)</f>
        <v/>
      </c>
      <c r="C217" s="3" t="n"/>
      <c r="D217" s="3" t="n"/>
      <c r="E217" s="3" t="n"/>
      <c r="F217" s="3" t="n"/>
      <c r="G217" s="3" t="n"/>
      <c r="H217" s="3" t="n"/>
      <c r="K217" s="3" t="n"/>
      <c r="M217" s="3" t="n"/>
      <c r="N217" s="3" t="n"/>
      <c r="O217" s="3" t="n"/>
      <c r="P217" s="3" t="n"/>
      <c r="Q217" s="3" t="n"/>
      <c r="R217" s="3" t="n"/>
      <c r="S217" s="3" t="n"/>
      <c r="T217" s="3" t="n"/>
      <c r="V217" s="3" t="n"/>
      <c r="W217" s="3" t="n"/>
    </row>
    <row r="218">
      <c r="A218" s="9">
        <f>IF('S.H BOI GORDO'!A7251=""," ",'S.H BOI GORDO'!A7251)</f>
        <v/>
      </c>
      <c r="C218" s="3" t="n"/>
      <c r="D218" s="3" t="n"/>
      <c r="E218" s="3" t="n"/>
      <c r="F218" s="3" t="n"/>
      <c r="G218" s="3" t="n"/>
      <c r="H218" s="3" t="n"/>
      <c r="K218" s="3" t="n"/>
      <c r="M218" s="3" t="n"/>
      <c r="N218" s="3" t="n"/>
      <c r="O218" s="3" t="n"/>
      <c r="P218" s="3" t="n"/>
      <c r="Q218" s="3" t="n"/>
      <c r="R218" s="3" t="n"/>
      <c r="S218" s="3" t="n"/>
      <c r="T218" s="3" t="n"/>
      <c r="V218" s="3" t="n"/>
      <c r="W218" s="3" t="n"/>
    </row>
    <row r="219">
      <c r="A219" s="9">
        <f>IF('S.H BOI GORDO'!A7252=""," ",'S.H BOI GORDO'!A7252)</f>
        <v/>
      </c>
      <c r="C219" s="3" t="n"/>
      <c r="D219" s="3" t="n"/>
      <c r="E219" s="3" t="n"/>
      <c r="F219" s="3" t="n"/>
      <c r="G219" s="3" t="n"/>
      <c r="H219" s="3" t="n"/>
      <c r="K219" s="3" t="n"/>
      <c r="M219" s="3" t="n"/>
      <c r="N219" s="3" t="n"/>
      <c r="O219" s="3" t="n"/>
      <c r="P219" s="3" t="n"/>
      <c r="Q219" s="3" t="n"/>
      <c r="R219" s="3" t="n"/>
      <c r="S219" s="3" t="n"/>
      <c r="T219" s="3" t="n"/>
      <c r="V219" s="3" t="n"/>
      <c r="W219" s="3" t="n"/>
    </row>
    <row r="220">
      <c r="A220" s="9">
        <f>IF('S.H BOI GORDO'!A7253=""," ",'S.H BOI GORDO'!A7253)</f>
        <v/>
      </c>
      <c r="C220" s="3" t="n"/>
      <c r="D220" s="3" t="n"/>
      <c r="E220" s="3" t="n"/>
      <c r="F220" s="3" t="n"/>
      <c r="G220" s="3" t="n"/>
      <c r="H220" s="3" t="n"/>
      <c r="K220" s="3" t="n"/>
      <c r="M220" s="3" t="n"/>
      <c r="N220" s="3" t="n"/>
      <c r="O220" s="3" t="n"/>
      <c r="P220" s="3" t="n"/>
      <c r="Q220" s="3" t="n"/>
      <c r="R220" s="3" t="n"/>
      <c r="S220" s="3" t="n"/>
      <c r="T220" s="3" t="n"/>
      <c r="V220" s="3" t="n"/>
      <c r="W220" s="3" t="n"/>
    </row>
    <row r="221">
      <c r="A221" s="9">
        <f>IF('S.H BOI GORDO'!A7254=""," ",'S.H BOI GORDO'!A7254)</f>
        <v/>
      </c>
      <c r="C221" s="3" t="n"/>
      <c r="D221" s="3" t="n"/>
      <c r="E221" s="3" t="n"/>
      <c r="F221" s="3" t="n"/>
      <c r="G221" s="3" t="n"/>
      <c r="H221" s="3" t="n"/>
      <c r="K221" s="3" t="n"/>
      <c r="M221" s="3" t="n"/>
      <c r="N221" s="3" t="n"/>
      <c r="O221" s="3" t="n"/>
      <c r="P221" s="3" t="n"/>
      <c r="Q221" s="3" t="n"/>
      <c r="R221" s="3" t="n"/>
      <c r="S221" s="3" t="n"/>
      <c r="T221" s="3" t="n"/>
      <c r="V221" s="3" t="n"/>
      <c r="W221" s="3" t="n"/>
    </row>
    <row r="222">
      <c r="A222" s="9">
        <f>IF('S.H BOI GORDO'!A7255=""," ",'S.H BOI GORDO'!A7255)</f>
        <v/>
      </c>
      <c r="C222" s="3" t="n"/>
      <c r="D222" s="3" t="n"/>
      <c r="E222" s="3" t="n"/>
      <c r="F222" s="3" t="n"/>
      <c r="G222" s="3" t="n"/>
      <c r="H222" s="3" t="n"/>
      <c r="K222" s="3" t="n"/>
      <c r="M222" s="3" t="n"/>
      <c r="N222" s="3" t="n"/>
      <c r="O222" s="3" t="n"/>
      <c r="P222" s="3" t="n"/>
      <c r="Q222" s="3" t="n"/>
      <c r="R222" s="3" t="n"/>
      <c r="S222" s="3" t="n"/>
      <c r="T222" s="3" t="n"/>
      <c r="V222" s="3" t="n"/>
      <c r="W222" s="3" t="n"/>
    </row>
    <row r="223">
      <c r="A223" s="9">
        <f>IF('S.H BOI GORDO'!A7256=""," ",'S.H BOI GORDO'!A7256)</f>
        <v/>
      </c>
      <c r="C223" s="3" t="n"/>
      <c r="D223" s="3" t="n"/>
      <c r="E223" s="3" t="n"/>
      <c r="F223" s="3" t="n"/>
      <c r="G223" s="3" t="n"/>
      <c r="H223" s="3" t="n"/>
      <c r="K223" s="3" t="n"/>
      <c r="M223" s="3" t="n"/>
      <c r="N223" s="3" t="n"/>
      <c r="O223" s="3" t="n"/>
      <c r="P223" s="3" t="n"/>
      <c r="Q223" s="3" t="n"/>
      <c r="R223" s="3" t="n"/>
      <c r="S223" s="3" t="n"/>
      <c r="T223" s="3" t="n"/>
      <c r="V223" s="3" t="n"/>
      <c r="W223" s="3" t="n"/>
    </row>
    <row r="224">
      <c r="A224" s="9">
        <f>IF('S.H BOI GORDO'!A7257=""," ",'S.H BOI GORDO'!A7257)</f>
        <v/>
      </c>
      <c r="C224" s="3" t="n"/>
      <c r="D224" s="3" t="n"/>
      <c r="E224" s="3" t="n"/>
      <c r="F224" s="3" t="n"/>
      <c r="G224" s="3" t="n"/>
      <c r="H224" s="3" t="n"/>
      <c r="K224" s="3" t="n"/>
      <c r="M224" s="3" t="n"/>
      <c r="N224" s="3" t="n"/>
      <c r="O224" s="3" t="n"/>
      <c r="P224" s="3" t="n"/>
      <c r="Q224" s="3" t="n"/>
      <c r="R224" s="3" t="n"/>
      <c r="S224" s="3" t="n"/>
      <c r="T224" s="3" t="n"/>
      <c r="V224" s="3" t="n"/>
      <c r="W224" s="3" t="n"/>
    </row>
    <row r="225">
      <c r="A225" s="9">
        <f>IF('S.H BOI GORDO'!A7258=""," ",'S.H BOI GORDO'!A7258)</f>
        <v/>
      </c>
      <c r="C225" s="3" t="n"/>
      <c r="D225" s="3" t="n"/>
      <c r="E225" s="3" t="n"/>
      <c r="F225" s="3" t="n"/>
      <c r="G225" s="3" t="n"/>
      <c r="H225" s="3" t="n"/>
      <c r="K225" s="3" t="n"/>
      <c r="M225" s="3" t="n"/>
      <c r="N225" s="3" t="n"/>
      <c r="O225" s="3" t="n"/>
      <c r="P225" s="3" t="n"/>
      <c r="Q225" s="3" t="n"/>
      <c r="R225" s="3" t="n"/>
      <c r="S225" s="3" t="n"/>
      <c r="T225" s="3" t="n"/>
      <c r="V225" s="3" t="n"/>
      <c r="W225" s="3" t="n"/>
    </row>
    <row r="226">
      <c r="A226" s="9">
        <f>IF('S.H BOI GORDO'!A7259=""," ",'S.H BOI GORDO'!A7259)</f>
        <v/>
      </c>
      <c r="C226" s="3" t="n"/>
      <c r="D226" s="3" t="n"/>
      <c r="E226" s="3" t="n"/>
      <c r="F226" s="3" t="n"/>
      <c r="G226" s="3" t="n"/>
      <c r="H226" s="3" t="n"/>
      <c r="K226" s="3" t="n"/>
      <c r="M226" s="3" t="n"/>
      <c r="N226" s="3" t="n"/>
      <c r="O226" s="3" t="n"/>
      <c r="P226" s="3" t="n"/>
      <c r="Q226" s="3" t="n"/>
      <c r="R226" s="3" t="n"/>
      <c r="S226" s="3" t="n"/>
      <c r="T226" s="3" t="n"/>
      <c r="V226" s="3" t="n"/>
      <c r="W226" s="3" t="n"/>
    </row>
    <row r="227">
      <c r="A227" s="9">
        <f>IF('S.H BOI GORDO'!A7260=""," ",'S.H BOI GORDO'!A7260)</f>
        <v/>
      </c>
      <c r="C227" s="3" t="n"/>
      <c r="D227" s="3" t="n"/>
      <c r="E227" s="3" t="n"/>
      <c r="F227" s="3" t="n"/>
      <c r="G227" s="3" t="n"/>
      <c r="H227" s="3" t="n"/>
      <c r="K227" s="3" t="n"/>
      <c r="M227" s="3" t="n"/>
      <c r="N227" s="3" t="n"/>
      <c r="O227" s="3" t="n"/>
      <c r="P227" s="3" t="n"/>
      <c r="Q227" s="3" t="n"/>
      <c r="R227" s="3" t="n"/>
      <c r="S227" s="3" t="n"/>
      <c r="T227" s="3" t="n"/>
      <c r="V227" s="3" t="n"/>
      <c r="W227" s="3" t="n"/>
    </row>
    <row r="228">
      <c r="A228" s="9">
        <f>IF('S.H BOI GORDO'!A7261=""," ",'S.H BOI GORDO'!A7261)</f>
        <v/>
      </c>
      <c r="C228" s="3" t="n"/>
      <c r="D228" s="3" t="n"/>
      <c r="E228" s="3" t="n"/>
      <c r="F228" s="3" t="n"/>
      <c r="G228" s="3" t="n"/>
      <c r="H228" s="3" t="n"/>
      <c r="K228" s="3" t="n"/>
      <c r="M228" s="3" t="n"/>
      <c r="N228" s="3" t="n"/>
      <c r="O228" s="3" t="n"/>
      <c r="P228" s="3" t="n"/>
      <c r="Q228" s="3" t="n"/>
      <c r="R228" s="3" t="n"/>
      <c r="S228" s="3" t="n"/>
      <c r="T228" s="3" t="n"/>
      <c r="V228" s="3" t="n"/>
      <c r="W228" s="3" t="n"/>
    </row>
    <row r="229">
      <c r="A229" s="9">
        <f>IF('S.H BOI GORDO'!A7262=""," ",'S.H BOI GORDO'!A7262)</f>
        <v/>
      </c>
      <c r="C229" s="3" t="n"/>
      <c r="D229" s="3" t="n"/>
      <c r="E229" s="3" t="n"/>
      <c r="F229" s="3" t="n"/>
      <c r="G229" s="3" t="n"/>
      <c r="H229" s="3" t="n"/>
      <c r="K229" s="3" t="n"/>
      <c r="M229" s="3" t="n"/>
      <c r="N229" s="3" t="n"/>
      <c r="O229" s="3" t="n"/>
      <c r="P229" s="3" t="n"/>
      <c r="Q229" s="3" t="n"/>
      <c r="R229" s="3" t="n"/>
      <c r="S229" s="3" t="n"/>
      <c r="T229" s="3" t="n"/>
      <c r="V229" s="3" t="n"/>
      <c r="W229" s="3" t="n"/>
    </row>
    <row r="230">
      <c r="A230" s="9">
        <f>IF('S.H BOI GORDO'!A7263=""," ",'S.H BOI GORDO'!A7263)</f>
        <v/>
      </c>
      <c r="C230" s="3" t="n"/>
      <c r="D230" s="3" t="n"/>
      <c r="E230" s="3" t="n"/>
      <c r="F230" s="3" t="n"/>
      <c r="G230" s="3" t="n"/>
      <c r="H230" s="3" t="n"/>
      <c r="K230" s="3" t="n"/>
      <c r="M230" s="3" t="n"/>
      <c r="N230" s="3" t="n"/>
      <c r="O230" s="3" t="n"/>
      <c r="P230" s="3" t="n"/>
      <c r="Q230" s="3" t="n"/>
      <c r="R230" s="3" t="n"/>
      <c r="S230" s="3" t="n"/>
      <c r="T230" s="3" t="n"/>
      <c r="V230" s="3" t="n"/>
      <c r="W230" s="3" t="n"/>
    </row>
    <row r="231">
      <c r="A231" s="9">
        <f>IF('S.H BOI GORDO'!A7264=""," ",'S.H BOI GORDO'!A7264)</f>
        <v/>
      </c>
      <c r="C231" s="3" t="n"/>
      <c r="D231" s="3" t="n"/>
      <c r="E231" s="3" t="n"/>
      <c r="F231" s="3" t="n"/>
      <c r="G231" s="3" t="n"/>
      <c r="H231" s="3" t="n"/>
      <c r="K231" s="3" t="n"/>
      <c r="M231" s="3" t="n"/>
      <c r="N231" s="3" t="n"/>
      <c r="O231" s="3" t="n"/>
      <c r="P231" s="3" t="n"/>
      <c r="Q231" s="3" t="n"/>
      <c r="R231" s="3" t="n"/>
      <c r="S231" s="3" t="n"/>
      <c r="T231" s="3" t="n"/>
      <c r="V231" s="3" t="n"/>
      <c r="W231" s="3" t="n"/>
    </row>
    <row r="232">
      <c r="A232" s="9">
        <f>IF('S.H BOI GORDO'!A7265=""," ",'S.H BOI GORDO'!A7265)</f>
        <v/>
      </c>
      <c r="C232" s="3" t="n"/>
      <c r="D232" s="3" t="n"/>
      <c r="E232" s="3" t="n"/>
      <c r="F232" s="3" t="n"/>
      <c r="G232" s="3" t="n"/>
      <c r="H232" s="3" t="n"/>
      <c r="K232" s="3" t="n"/>
      <c r="M232" s="3" t="n"/>
      <c r="N232" s="3" t="n"/>
      <c r="O232" s="3" t="n"/>
      <c r="P232" s="3" t="n"/>
      <c r="Q232" s="3" t="n"/>
      <c r="R232" s="3" t="n"/>
      <c r="S232" s="3" t="n"/>
      <c r="T232" s="3" t="n"/>
      <c r="V232" s="3" t="n"/>
      <c r="W232" s="3" t="n"/>
    </row>
    <row r="233">
      <c r="A233" s="9">
        <f>IF('S.H BOI GORDO'!A7266=""," ",'S.H BOI GORDO'!A7266)</f>
        <v/>
      </c>
      <c r="C233" s="3" t="n"/>
      <c r="D233" s="3" t="n"/>
      <c r="E233" s="3" t="n"/>
      <c r="F233" s="3" t="n"/>
      <c r="G233" s="3" t="n"/>
      <c r="H233" s="3" t="n"/>
      <c r="K233" s="3" t="n"/>
      <c r="M233" s="3" t="n"/>
      <c r="N233" s="3" t="n"/>
      <c r="O233" s="3" t="n"/>
      <c r="P233" s="3" t="n"/>
      <c r="Q233" s="3" t="n"/>
      <c r="R233" s="3" t="n"/>
      <c r="S233" s="3" t="n"/>
      <c r="T233" s="3" t="n"/>
      <c r="V233" s="3" t="n"/>
      <c r="W233" s="3" t="n"/>
    </row>
    <row r="234">
      <c r="A234" s="9">
        <f>IF('S.H BOI GORDO'!A7267=""," ",'S.H BOI GORDO'!A7267)</f>
        <v/>
      </c>
      <c r="C234" s="3" t="n"/>
      <c r="D234" s="3" t="n"/>
      <c r="E234" s="3" t="n"/>
      <c r="F234" s="3" t="n"/>
      <c r="G234" s="3" t="n"/>
      <c r="H234" s="3" t="n"/>
      <c r="K234" s="3" t="n"/>
      <c r="M234" s="3" t="n"/>
      <c r="N234" s="3" t="n"/>
      <c r="O234" s="3" t="n"/>
      <c r="P234" s="3" t="n"/>
      <c r="Q234" s="3" t="n"/>
      <c r="R234" s="3" t="n"/>
      <c r="S234" s="3" t="n"/>
      <c r="T234" s="3" t="n"/>
      <c r="V234" s="3" t="n"/>
      <c r="W234" s="3" t="n"/>
    </row>
    <row r="235">
      <c r="A235" s="9">
        <f>IF('S.H BOI GORDO'!A7268=""," ",'S.H BOI GORDO'!A7268)</f>
        <v/>
      </c>
      <c r="C235" s="3" t="n"/>
      <c r="D235" s="3" t="n"/>
      <c r="E235" s="3" t="n"/>
      <c r="F235" s="3" t="n"/>
      <c r="G235" s="3" t="n"/>
      <c r="H235" s="3" t="n"/>
      <c r="K235" s="3" t="n"/>
      <c r="M235" s="3" t="n"/>
      <c r="N235" s="3" t="n"/>
      <c r="O235" s="3" t="n"/>
      <c r="P235" s="3" t="n"/>
      <c r="Q235" s="3" t="n"/>
      <c r="R235" s="3" t="n"/>
      <c r="S235" s="3" t="n"/>
      <c r="T235" s="3" t="n"/>
      <c r="V235" s="3" t="n"/>
      <c r="W235" s="3" t="n"/>
    </row>
    <row r="236">
      <c r="A236" s="9">
        <f>IF('S.H BOI GORDO'!A7269=""," ",'S.H BOI GORDO'!A7269)</f>
        <v/>
      </c>
      <c r="C236" s="3" t="n"/>
      <c r="D236" s="3" t="n"/>
      <c r="E236" s="3" t="n"/>
      <c r="F236" s="3" t="n"/>
      <c r="G236" s="3" t="n"/>
      <c r="H236" s="3" t="n"/>
      <c r="K236" s="3" t="n"/>
      <c r="M236" s="3" t="n"/>
      <c r="N236" s="3" t="n"/>
      <c r="O236" s="3" t="n"/>
      <c r="P236" s="3" t="n"/>
      <c r="Q236" s="3" t="n"/>
      <c r="R236" s="3" t="n"/>
      <c r="S236" s="3" t="n"/>
      <c r="T236" s="3" t="n"/>
      <c r="V236" s="3" t="n"/>
      <c r="W236" s="3" t="n"/>
    </row>
    <row r="237">
      <c r="A237" s="9">
        <f>IF('S.H BOI GORDO'!A7270=""," ",'S.H BOI GORDO'!A7270)</f>
        <v/>
      </c>
      <c r="C237" s="3" t="n"/>
      <c r="D237" s="3" t="n"/>
      <c r="E237" s="3" t="n"/>
      <c r="F237" s="3" t="n"/>
      <c r="G237" s="3" t="n"/>
      <c r="H237" s="3" t="n"/>
      <c r="K237" s="3" t="n"/>
      <c r="M237" s="3" t="n"/>
      <c r="N237" s="3" t="n"/>
      <c r="O237" s="3" t="n"/>
      <c r="P237" s="3" t="n"/>
      <c r="Q237" s="3" t="n"/>
      <c r="R237" s="3" t="n"/>
      <c r="S237" s="3" t="n"/>
      <c r="T237" s="3" t="n"/>
      <c r="V237" s="3" t="n"/>
      <c r="W237" s="3" t="n"/>
    </row>
    <row r="238">
      <c r="A238" s="9">
        <f>IF('S.H BOI GORDO'!A7271=""," ",'S.H BOI GORDO'!A7271)</f>
        <v/>
      </c>
      <c r="C238" s="3" t="n"/>
      <c r="D238" s="3" t="n"/>
      <c r="E238" s="3" t="n"/>
      <c r="F238" s="3" t="n"/>
      <c r="G238" s="3" t="n"/>
      <c r="H238" s="3" t="n"/>
      <c r="K238" s="3" t="n"/>
      <c r="M238" s="3" t="n"/>
      <c r="N238" s="3" t="n"/>
      <c r="O238" s="3" t="n"/>
      <c r="P238" s="3" t="n"/>
      <c r="Q238" s="3" t="n"/>
      <c r="R238" s="3" t="n"/>
      <c r="S238" s="3" t="n"/>
      <c r="T238" s="3" t="n"/>
      <c r="V238" s="3" t="n"/>
      <c r="W238" s="3" t="n"/>
    </row>
    <row r="239">
      <c r="A239" s="9">
        <f>IF('S.H BOI GORDO'!A7272=""," ",'S.H BOI GORDO'!A7272)</f>
        <v/>
      </c>
      <c r="C239" s="3" t="n"/>
      <c r="D239" s="3" t="n"/>
      <c r="E239" s="3" t="n"/>
      <c r="F239" s="3" t="n"/>
      <c r="G239" s="3" t="n"/>
      <c r="H239" s="3" t="n"/>
      <c r="K239" s="3" t="n"/>
      <c r="M239" s="3" t="n"/>
      <c r="N239" s="3" t="n"/>
      <c r="O239" s="3" t="n"/>
      <c r="P239" s="3" t="n"/>
      <c r="Q239" s="3" t="n"/>
      <c r="R239" s="3" t="n"/>
      <c r="S239" s="3" t="n"/>
      <c r="T239" s="3" t="n"/>
      <c r="V239" s="3" t="n"/>
      <c r="W239" s="3" t="n"/>
    </row>
    <row r="240">
      <c r="A240" s="9">
        <f>IF('S.H BOI GORDO'!A7273=""," ",'S.H BOI GORDO'!A7273)</f>
        <v/>
      </c>
      <c r="C240" s="3" t="n"/>
      <c r="D240" s="3" t="n"/>
      <c r="E240" s="3" t="n"/>
      <c r="F240" s="3" t="n"/>
      <c r="G240" s="3" t="n"/>
      <c r="H240" s="3" t="n"/>
      <c r="K240" s="3" t="n"/>
      <c r="M240" s="3" t="n"/>
      <c r="N240" s="3" t="n"/>
      <c r="O240" s="3" t="n"/>
      <c r="P240" s="3" t="n"/>
      <c r="Q240" s="3" t="n"/>
      <c r="R240" s="3" t="n"/>
      <c r="S240" s="3" t="n"/>
      <c r="T240" s="3" t="n"/>
      <c r="V240" s="3" t="n"/>
      <c r="W240" s="3" t="n"/>
    </row>
    <row r="241">
      <c r="A241" s="9">
        <f>IF('S.H BOI GORDO'!A7274=""," ",'S.H BOI GORDO'!A7274)</f>
        <v/>
      </c>
      <c r="C241" s="3" t="n"/>
      <c r="D241" s="3" t="n"/>
      <c r="E241" s="3" t="n"/>
      <c r="F241" s="3" t="n"/>
      <c r="G241" s="3" t="n"/>
      <c r="H241" s="3" t="n"/>
      <c r="K241" s="3" t="n"/>
      <c r="M241" s="3" t="n"/>
      <c r="N241" s="3" t="n"/>
      <c r="O241" s="3" t="n"/>
      <c r="P241" s="3" t="n"/>
      <c r="Q241" s="3" t="n"/>
      <c r="R241" s="3" t="n"/>
      <c r="S241" s="3" t="n"/>
      <c r="T241" s="3" t="n"/>
      <c r="V241" s="3" t="n"/>
      <c r="W241" s="3" t="n"/>
    </row>
    <row r="242">
      <c r="A242" s="9">
        <f>IF('S.H BOI GORDO'!A7275=""," ",'S.H BOI GORDO'!A7275)</f>
        <v/>
      </c>
      <c r="C242" s="3" t="n"/>
      <c r="D242" s="3" t="n"/>
      <c r="E242" s="3" t="n"/>
      <c r="F242" s="3" t="n"/>
      <c r="G242" s="3" t="n"/>
      <c r="H242" s="3" t="n"/>
      <c r="K242" s="3" t="n"/>
      <c r="M242" s="3" t="n"/>
      <c r="N242" s="3" t="n"/>
      <c r="O242" s="3" t="n"/>
      <c r="P242" s="3" t="n"/>
      <c r="Q242" s="3" t="n"/>
      <c r="R242" s="3" t="n"/>
      <c r="S242" s="3" t="n"/>
      <c r="T242" s="3" t="n"/>
      <c r="V242" s="3" t="n"/>
      <c r="W242" s="3" t="n"/>
    </row>
    <row r="243">
      <c r="A243" s="9">
        <f>IF('S.H BOI GORDO'!A7276=""," ",'S.H BOI GORDO'!A7276)</f>
        <v/>
      </c>
      <c r="C243" s="3" t="n"/>
      <c r="D243" s="3" t="n"/>
      <c r="E243" s="3" t="n"/>
      <c r="F243" s="3" t="n"/>
      <c r="G243" s="3" t="n"/>
      <c r="H243" s="3" t="n"/>
      <c r="K243" s="3" t="n"/>
      <c r="M243" s="3" t="n"/>
      <c r="N243" s="3" t="n"/>
      <c r="O243" s="3" t="n"/>
      <c r="P243" s="3" t="n"/>
      <c r="Q243" s="3" t="n"/>
      <c r="R243" s="3" t="n"/>
      <c r="S243" s="3" t="n"/>
      <c r="T243" s="3" t="n"/>
      <c r="V243" s="3" t="n"/>
      <c r="W243" s="3" t="n"/>
    </row>
    <row r="244">
      <c r="A244" s="9">
        <f>IF('S.H BOI GORDO'!A7277=""," ",'S.H BOI GORDO'!A7277)</f>
        <v/>
      </c>
      <c r="C244" s="3" t="n"/>
      <c r="D244" s="3" t="n"/>
      <c r="E244" s="3" t="n"/>
      <c r="F244" s="3" t="n"/>
      <c r="G244" s="3" t="n"/>
      <c r="H244" s="3" t="n"/>
      <c r="K244" s="3" t="n"/>
      <c r="M244" s="3" t="n"/>
      <c r="N244" s="3" t="n"/>
      <c r="O244" s="3" t="n"/>
      <c r="P244" s="3" t="n"/>
      <c r="Q244" s="3" t="n"/>
      <c r="R244" s="3" t="n"/>
      <c r="S244" s="3" t="n"/>
      <c r="T244" s="3" t="n"/>
      <c r="V244" s="3" t="n"/>
      <c r="W244" s="3" t="n"/>
    </row>
    <row r="245">
      <c r="A245" s="9">
        <f>IF('S.H BOI GORDO'!A7278=""," ",'S.H BOI GORDO'!A7278)</f>
        <v/>
      </c>
      <c r="C245" s="3" t="n"/>
      <c r="D245" s="3" t="n"/>
      <c r="E245" s="3" t="n"/>
      <c r="F245" s="3" t="n"/>
      <c r="G245" s="3" t="n"/>
      <c r="H245" s="3" t="n"/>
      <c r="K245" s="3" t="n"/>
      <c r="M245" s="3" t="n"/>
      <c r="N245" s="3" t="n"/>
      <c r="O245" s="3" t="n"/>
      <c r="P245" s="3" t="n"/>
      <c r="Q245" s="3" t="n"/>
      <c r="R245" s="3" t="n"/>
      <c r="S245" s="3" t="n"/>
      <c r="T245" s="3" t="n"/>
      <c r="V245" s="3" t="n"/>
      <c r="W245" s="3" t="n"/>
    </row>
    <row r="246">
      <c r="A246" s="9">
        <f>IF('S.H BOI GORDO'!A7279=""," ",'S.H BOI GORDO'!A7279)</f>
        <v/>
      </c>
      <c r="C246" s="3" t="n"/>
      <c r="D246" s="3" t="n"/>
      <c r="E246" s="3" t="n"/>
      <c r="F246" s="3" t="n"/>
      <c r="G246" s="3" t="n"/>
      <c r="H246" s="3" t="n"/>
      <c r="K246" s="3" t="n"/>
      <c r="M246" s="3" t="n"/>
      <c r="N246" s="3" t="n"/>
      <c r="O246" s="3" t="n"/>
      <c r="P246" s="3" t="n"/>
      <c r="Q246" s="3" t="n"/>
      <c r="R246" s="3" t="n"/>
      <c r="S246" s="3" t="n"/>
      <c r="T246" s="3" t="n"/>
      <c r="V246" s="3" t="n"/>
      <c r="W246" s="3" t="n"/>
    </row>
    <row r="247">
      <c r="A247" s="9">
        <f>IF('S.H BOI GORDO'!A7280=""," ",'S.H BOI GORDO'!A7280)</f>
        <v/>
      </c>
      <c r="C247" s="3" t="n"/>
      <c r="D247" s="3" t="n"/>
      <c r="E247" s="3" t="n"/>
      <c r="F247" s="3" t="n"/>
      <c r="G247" s="3" t="n"/>
      <c r="H247" s="3" t="n"/>
      <c r="K247" s="3" t="n"/>
      <c r="M247" s="3" t="n"/>
      <c r="N247" s="3" t="n"/>
      <c r="O247" s="3" t="n"/>
      <c r="P247" s="3" t="n"/>
      <c r="Q247" s="3" t="n"/>
      <c r="R247" s="3" t="n"/>
      <c r="S247" s="3" t="n"/>
      <c r="T247" s="3" t="n"/>
      <c r="V247" s="3" t="n"/>
      <c r="W247" s="3" t="n"/>
    </row>
    <row r="248">
      <c r="A248" s="9">
        <f>IF('S.H BOI GORDO'!A7281=""," ",'S.H BOI GORDO'!A7281)</f>
        <v/>
      </c>
      <c r="C248" s="3" t="n"/>
      <c r="D248" s="3" t="n"/>
      <c r="E248" s="3" t="n"/>
      <c r="F248" s="3" t="n"/>
      <c r="G248" s="3" t="n"/>
      <c r="H248" s="3" t="n"/>
      <c r="K248" s="3" t="n"/>
      <c r="M248" s="3" t="n"/>
      <c r="N248" s="3" t="n"/>
      <c r="O248" s="3" t="n"/>
      <c r="P248" s="3" t="n"/>
      <c r="Q248" s="3" t="n"/>
      <c r="R248" s="3" t="n"/>
      <c r="S248" s="3" t="n"/>
      <c r="T248" s="3" t="n"/>
      <c r="V248" s="3" t="n"/>
      <c r="W248" s="3" t="n"/>
    </row>
    <row r="249">
      <c r="A249" s="9">
        <f>IF('S.H BOI GORDO'!A7282=""," ",'S.H BOI GORDO'!A7282)</f>
        <v/>
      </c>
      <c r="C249" s="3" t="n"/>
      <c r="D249" s="3" t="n"/>
      <c r="E249" s="3" t="n"/>
      <c r="F249" s="3" t="n"/>
      <c r="G249" s="3" t="n"/>
      <c r="H249" s="3" t="n"/>
      <c r="K249" s="3" t="n"/>
      <c r="M249" s="3" t="n"/>
      <c r="N249" s="3" t="n"/>
      <c r="O249" s="3" t="n"/>
      <c r="P249" s="3" t="n"/>
      <c r="Q249" s="3" t="n"/>
      <c r="R249" s="3" t="n"/>
      <c r="S249" s="3" t="n"/>
      <c r="T249" s="3" t="n"/>
      <c r="V249" s="3" t="n"/>
      <c r="W249" s="3" t="n"/>
    </row>
    <row r="250">
      <c r="A250" s="9">
        <f>IF('S.H BOI GORDO'!A7283=""," ",'S.H BOI GORDO'!A7283)</f>
        <v/>
      </c>
      <c r="C250" s="3" t="n"/>
      <c r="D250" s="3" t="n"/>
      <c r="E250" s="3" t="n"/>
      <c r="F250" s="3" t="n"/>
      <c r="G250" s="3" t="n"/>
      <c r="H250" s="3" t="n"/>
      <c r="K250" s="3" t="n"/>
      <c r="M250" s="3" t="n"/>
      <c r="N250" s="3" t="n"/>
      <c r="O250" s="3" t="n"/>
      <c r="P250" s="3" t="n"/>
      <c r="Q250" s="3" t="n"/>
      <c r="R250" s="3" t="n"/>
      <c r="S250" s="3" t="n"/>
      <c r="T250" s="3" t="n"/>
      <c r="V250" s="3" t="n"/>
      <c r="W250" s="3" t="n"/>
    </row>
    <row r="251">
      <c r="A251" s="9">
        <f>IF('S.H BOI GORDO'!A7284=""," ",'S.H BOI GORDO'!A7284)</f>
        <v/>
      </c>
      <c r="C251" s="3" t="n"/>
      <c r="D251" s="3" t="n"/>
      <c r="E251" s="3" t="n"/>
      <c r="F251" s="3" t="n"/>
      <c r="G251" s="3" t="n"/>
      <c r="H251" s="3" t="n"/>
      <c r="K251" s="3" t="n"/>
      <c r="M251" s="3" t="n"/>
      <c r="N251" s="3" t="n"/>
      <c r="O251" s="3" t="n"/>
      <c r="P251" s="3" t="n"/>
      <c r="Q251" s="3" t="n"/>
      <c r="R251" s="3" t="n"/>
      <c r="S251" s="3" t="n"/>
      <c r="T251" s="3" t="n"/>
      <c r="V251" s="3" t="n"/>
      <c r="W251" s="3" t="n"/>
    </row>
    <row r="252">
      <c r="A252" s="9">
        <f>IF('S.H BOI GORDO'!A7285=""," ",'S.H BOI GORDO'!A7285)</f>
        <v/>
      </c>
      <c r="C252" s="3" t="n"/>
      <c r="D252" s="3" t="n"/>
      <c r="E252" s="3" t="n"/>
      <c r="F252" s="3" t="n"/>
      <c r="G252" s="3" t="n"/>
      <c r="H252" s="3" t="n"/>
      <c r="K252" s="3" t="n"/>
      <c r="M252" s="3" t="n"/>
      <c r="N252" s="3" t="n"/>
      <c r="O252" s="3" t="n"/>
      <c r="P252" s="3" t="n"/>
      <c r="Q252" s="3" t="n"/>
      <c r="R252" s="3" t="n"/>
      <c r="S252" s="3" t="n"/>
      <c r="T252" s="3" t="n"/>
      <c r="V252" s="3" t="n"/>
      <c r="W252" s="3" t="n"/>
    </row>
    <row r="253">
      <c r="A253" s="9">
        <f>IF('S.H BOI GORDO'!A7286=""," ",'S.H BOI GORDO'!A7286)</f>
        <v/>
      </c>
      <c r="C253" s="3" t="n"/>
      <c r="D253" s="3" t="n"/>
      <c r="E253" s="3" t="n"/>
      <c r="F253" s="3" t="n"/>
      <c r="G253" s="3" t="n"/>
      <c r="H253" s="3" t="n"/>
      <c r="K253" s="3" t="n"/>
      <c r="M253" s="3" t="n"/>
      <c r="N253" s="3" t="n"/>
      <c r="O253" s="3" t="n"/>
      <c r="P253" s="3" t="n"/>
      <c r="Q253" s="3" t="n"/>
      <c r="R253" s="3" t="n"/>
      <c r="S253" s="3" t="n"/>
      <c r="T253" s="3" t="n"/>
      <c r="V253" s="3" t="n"/>
      <c r="W253" s="3" t="n"/>
    </row>
    <row r="254">
      <c r="A254" s="9">
        <f>IF('S.H BOI GORDO'!A7287=""," ",'S.H BOI GORDO'!A7287)</f>
        <v/>
      </c>
      <c r="C254" s="3" t="n"/>
      <c r="D254" s="3" t="n"/>
      <c r="E254" s="3" t="n"/>
      <c r="F254" s="3" t="n"/>
      <c r="G254" s="3" t="n"/>
      <c r="H254" s="3" t="n"/>
      <c r="K254" s="3" t="n"/>
      <c r="M254" s="3" t="n"/>
      <c r="N254" s="3" t="n"/>
      <c r="O254" s="3" t="n"/>
      <c r="P254" s="3" t="n"/>
      <c r="Q254" s="3" t="n"/>
      <c r="R254" s="3" t="n"/>
      <c r="S254" s="3" t="n"/>
      <c r="T254" s="3" t="n"/>
      <c r="V254" s="3" t="n"/>
      <c r="W254" s="3" t="n"/>
    </row>
    <row r="255">
      <c r="A255" s="9">
        <f>IF('S.H BOI GORDO'!A7288=""," ",'S.H BOI GORDO'!A7288)</f>
        <v/>
      </c>
      <c r="C255" s="3" t="n"/>
      <c r="D255" s="3" t="n"/>
      <c r="E255" s="3" t="n"/>
      <c r="F255" s="3" t="n"/>
      <c r="G255" s="3" t="n"/>
      <c r="H255" s="3" t="n"/>
      <c r="K255" s="3" t="n"/>
      <c r="M255" s="3" t="n"/>
      <c r="N255" s="3" t="n"/>
      <c r="O255" s="3" t="n"/>
      <c r="P255" s="3" t="n"/>
      <c r="Q255" s="3" t="n"/>
      <c r="R255" s="3" t="n"/>
      <c r="S255" s="3" t="n"/>
      <c r="T255" s="3" t="n"/>
      <c r="V255" s="3" t="n"/>
      <c r="W255" s="3" t="n"/>
    </row>
    <row r="256">
      <c r="A256" s="9">
        <f>IF('S.H BOI GORDO'!A7289=""," ",'S.H BOI GORDO'!A7289)</f>
        <v/>
      </c>
      <c r="C256" s="3" t="n"/>
      <c r="D256" s="3" t="n"/>
      <c r="E256" s="3" t="n"/>
      <c r="F256" s="3" t="n"/>
      <c r="G256" s="3" t="n"/>
      <c r="H256" s="3" t="n"/>
      <c r="K256" s="3" t="n"/>
      <c r="M256" s="3" t="n"/>
      <c r="N256" s="3" t="n"/>
      <c r="O256" s="3" t="n"/>
      <c r="P256" s="3" t="n"/>
      <c r="Q256" s="3" t="n"/>
      <c r="R256" s="3" t="n"/>
      <c r="S256" s="3" t="n"/>
      <c r="T256" s="3" t="n"/>
      <c r="V256" s="3" t="n"/>
      <c r="W256" s="3" t="n"/>
    </row>
    <row r="257">
      <c r="A257" s="9">
        <f>IF('S.H BOI GORDO'!A7290=""," ",'S.H BOI GORDO'!A7290)</f>
        <v/>
      </c>
      <c r="C257" s="3" t="n"/>
      <c r="D257" s="3" t="n"/>
      <c r="E257" s="3" t="n"/>
      <c r="F257" s="3" t="n"/>
      <c r="G257" s="3" t="n"/>
      <c r="H257" s="3" t="n"/>
      <c r="K257" s="3" t="n"/>
      <c r="M257" s="3" t="n"/>
      <c r="N257" s="3" t="n"/>
      <c r="O257" s="3" t="n"/>
      <c r="P257" s="3" t="n"/>
      <c r="Q257" s="3" t="n"/>
      <c r="R257" s="3" t="n"/>
      <c r="S257" s="3" t="n"/>
      <c r="T257" s="3" t="n"/>
      <c r="V257" s="3" t="n"/>
      <c r="W257" s="3" t="n"/>
    </row>
    <row r="258">
      <c r="A258" s="9">
        <f>IF('S.H BOI GORDO'!A7291=""," ",'S.H BOI GORDO'!A7291)</f>
        <v/>
      </c>
      <c r="C258" s="3" t="n"/>
      <c r="D258" s="3" t="n"/>
      <c r="E258" s="3" t="n"/>
      <c r="F258" s="3" t="n"/>
      <c r="G258" s="3" t="n"/>
      <c r="H258" s="3" t="n"/>
      <c r="K258" s="3" t="n"/>
      <c r="M258" s="3" t="n"/>
      <c r="N258" s="3" t="n"/>
      <c r="O258" s="3" t="n"/>
      <c r="P258" s="3" t="n"/>
      <c r="Q258" s="3" t="n"/>
      <c r="R258" s="3" t="n"/>
      <c r="S258" s="3" t="n"/>
      <c r="T258" s="3" t="n"/>
      <c r="V258" s="3" t="n"/>
      <c r="W258" s="3" t="n"/>
    </row>
    <row r="259">
      <c r="A259" s="9">
        <f>IF('S.H BOI GORDO'!A7292=""," ",'S.H BOI GORDO'!A7292)</f>
        <v/>
      </c>
      <c r="C259" s="3" t="n"/>
      <c r="D259" s="3" t="n"/>
      <c r="E259" s="3" t="n"/>
      <c r="F259" s="3" t="n"/>
      <c r="G259" s="3" t="n"/>
      <c r="H259" s="3" t="n"/>
      <c r="K259" s="3" t="n"/>
      <c r="M259" s="3" t="n"/>
      <c r="N259" s="3" t="n"/>
      <c r="O259" s="3" t="n"/>
      <c r="P259" s="3" t="n"/>
      <c r="Q259" s="3" t="n"/>
      <c r="R259" s="3" t="n"/>
      <c r="S259" s="3" t="n"/>
      <c r="T259" s="3" t="n"/>
      <c r="V259" s="3" t="n"/>
      <c r="W259" s="3" t="n"/>
    </row>
    <row r="260">
      <c r="A260" s="9">
        <f>IF('S.H BOI GORDO'!A7293=""," ",'S.H BOI GORDO'!A7293)</f>
        <v/>
      </c>
      <c r="C260" s="3" t="n"/>
      <c r="D260" s="3" t="n"/>
      <c r="E260" s="3" t="n"/>
      <c r="F260" s="3" t="n"/>
      <c r="G260" s="3" t="n"/>
      <c r="H260" s="3" t="n"/>
      <c r="K260" s="3" t="n"/>
      <c r="M260" s="3" t="n"/>
      <c r="N260" s="3" t="n"/>
      <c r="O260" s="3" t="n"/>
      <c r="P260" s="3" t="n"/>
      <c r="Q260" s="3" t="n"/>
      <c r="R260" s="3" t="n"/>
      <c r="S260" s="3" t="n"/>
      <c r="T260" s="3" t="n"/>
      <c r="V260" s="3" t="n"/>
      <c r="W260" s="3" t="n"/>
    </row>
    <row r="261">
      <c r="A261" s="9">
        <f>IF('S.H BOI GORDO'!A7294=""," ",'S.H BOI GORDO'!A7294)</f>
        <v/>
      </c>
      <c r="C261" s="3" t="n"/>
      <c r="D261" s="3" t="n"/>
      <c r="E261" s="3" t="n"/>
      <c r="F261" s="3" t="n"/>
      <c r="G261" s="3" t="n"/>
      <c r="H261" s="3" t="n"/>
      <c r="K261" s="3" t="n"/>
      <c r="M261" s="3" t="n"/>
      <c r="N261" s="3" t="n"/>
      <c r="O261" s="3" t="n"/>
      <c r="P261" s="3" t="n"/>
      <c r="Q261" s="3" t="n"/>
      <c r="R261" s="3" t="n"/>
      <c r="S261" s="3" t="n"/>
      <c r="T261" s="3" t="n"/>
      <c r="V261" s="3" t="n"/>
      <c r="W261" s="3" t="n"/>
    </row>
    <row r="262">
      <c r="A262" s="9">
        <f>IF('S.H BOI GORDO'!A7295=""," ",'S.H BOI GORDO'!A7295)</f>
        <v/>
      </c>
      <c r="C262" s="3" t="n"/>
      <c r="D262" s="3" t="n"/>
      <c r="E262" s="3" t="n"/>
      <c r="F262" s="3" t="n"/>
      <c r="G262" s="3" t="n"/>
      <c r="H262" s="3" t="n"/>
      <c r="K262" s="3" t="n"/>
      <c r="M262" s="3" t="n"/>
      <c r="N262" s="3" t="n"/>
      <c r="O262" s="3" t="n"/>
      <c r="P262" s="3" t="n"/>
      <c r="Q262" s="3" t="n"/>
      <c r="R262" s="3" t="n"/>
      <c r="S262" s="3" t="n"/>
      <c r="T262" s="3" t="n"/>
      <c r="V262" s="3" t="n"/>
      <c r="W262" s="3" t="n"/>
    </row>
    <row r="263">
      <c r="A263" s="9">
        <f>IF('S.H BOI GORDO'!A7296=""," ",'S.H BOI GORDO'!A7296)</f>
        <v/>
      </c>
      <c r="C263" s="3" t="n"/>
      <c r="D263" s="3" t="n"/>
      <c r="E263" s="3" t="n"/>
      <c r="F263" s="3" t="n"/>
      <c r="G263" s="3" t="n"/>
      <c r="H263" s="3" t="n"/>
      <c r="K263" s="3" t="n"/>
      <c r="M263" s="3" t="n"/>
      <c r="N263" s="3" t="n"/>
      <c r="O263" s="3" t="n"/>
      <c r="P263" s="3" t="n"/>
      <c r="Q263" s="3" t="n"/>
      <c r="R263" s="3" t="n"/>
      <c r="S263" s="3" t="n"/>
      <c r="T263" s="3" t="n"/>
      <c r="V263" s="3" t="n"/>
      <c r="W263" s="3" t="n"/>
    </row>
    <row r="264">
      <c r="A264" s="9">
        <f>IF('S.H BOI GORDO'!A7297=""," ",'S.H BOI GORDO'!A7297)</f>
        <v/>
      </c>
      <c r="D264" s="3" t="n"/>
      <c r="E264" s="3" t="n"/>
      <c r="F264" s="3" t="n"/>
      <c r="G264" s="3" t="n"/>
      <c r="H264" s="3" t="n"/>
      <c r="K264" s="3" t="n"/>
      <c r="M264" s="3" t="n"/>
      <c r="N264" s="3" t="n"/>
      <c r="O264" s="3" t="n"/>
      <c r="P264" s="3" t="n"/>
      <c r="Q264" s="3" t="n"/>
      <c r="R264" s="3" t="n"/>
      <c r="S264" s="3" t="n"/>
      <c r="T264" s="3" t="n"/>
      <c r="V264" s="3" t="n"/>
      <c r="W264" s="3" t="n"/>
    </row>
    <row r="265">
      <c r="A265" s="9">
        <f>IF('S.H BOI GORDO'!A7298=""," ",'S.H BOI GORDO'!A7298)</f>
        <v/>
      </c>
      <c r="D265" s="3" t="n"/>
      <c r="E265" s="3" t="n"/>
      <c r="F265" s="3" t="n"/>
      <c r="G265" s="3" t="n"/>
      <c r="H265" s="3" t="n"/>
      <c r="K265" s="3" t="n"/>
      <c r="M265" s="3" t="n"/>
      <c r="N265" s="3" t="n"/>
      <c r="O265" s="3" t="n"/>
      <c r="P265" s="3" t="n"/>
      <c r="Q265" s="3" t="n"/>
      <c r="R265" s="3" t="n"/>
      <c r="S265" s="3" t="n"/>
      <c r="T265" s="3" t="n"/>
      <c r="V265" s="3" t="n"/>
      <c r="W265" s="3" t="n"/>
    </row>
    <row r="266">
      <c r="A266" s="9">
        <f>IF('S.H BOI GORDO'!A7299=""," ",'S.H BOI GORDO'!A7299)</f>
        <v/>
      </c>
      <c r="D266" s="3" t="n"/>
      <c r="E266" s="3" t="n"/>
      <c r="F266" s="3" t="n"/>
      <c r="G266" s="3" t="n"/>
      <c r="H266" s="3" t="n"/>
      <c r="K266" s="3" t="n"/>
      <c r="M266" s="3" t="n"/>
      <c r="N266" s="3" t="n"/>
      <c r="O266" s="3" t="n"/>
      <c r="P266" s="3" t="n"/>
      <c r="Q266" s="3" t="n"/>
      <c r="R266" s="3" t="n"/>
      <c r="S266" s="3" t="n"/>
      <c r="T266" s="3" t="n"/>
      <c r="V266" s="3" t="n"/>
      <c r="W266" s="3" t="n"/>
    </row>
    <row r="267">
      <c r="A267" s="9">
        <f>IF('S.H BOI GORDO'!A7300=""," ",'S.H BOI GORDO'!A7300)</f>
        <v/>
      </c>
      <c r="D267" s="3" t="n"/>
      <c r="E267" s="3" t="n"/>
      <c r="F267" s="3" t="n"/>
      <c r="G267" s="3" t="n"/>
      <c r="H267" s="3" t="n"/>
      <c r="K267" s="3" t="n"/>
      <c r="M267" s="3" t="n"/>
      <c r="N267" s="3" t="n"/>
      <c r="O267" s="3" t="n"/>
      <c r="P267" s="3" t="n"/>
      <c r="Q267" s="3" t="n"/>
      <c r="R267" s="3" t="n"/>
      <c r="S267" s="3" t="n"/>
      <c r="T267" s="3" t="n"/>
      <c r="V267" s="3" t="n"/>
      <c r="W267" s="3" t="n"/>
    </row>
    <row r="268">
      <c r="A268" s="9">
        <f>IF('S.H BOI GORDO'!A7301=""," ",'S.H BOI GORDO'!A7301)</f>
        <v/>
      </c>
      <c r="D268" s="3" t="n"/>
      <c r="E268" s="3" t="n"/>
      <c r="F268" s="3" t="n"/>
      <c r="G268" s="3" t="n"/>
      <c r="H268" s="3" t="n"/>
      <c r="K268" s="3" t="n"/>
      <c r="M268" s="3" t="n"/>
      <c r="N268" s="3" t="n"/>
      <c r="O268" s="3" t="n"/>
      <c r="P268" s="3" t="n"/>
      <c r="Q268" s="3" t="n"/>
      <c r="R268" s="3" t="n"/>
      <c r="S268" s="3" t="n"/>
      <c r="T268" s="3" t="n"/>
      <c r="V268" s="3" t="n"/>
      <c r="W268" s="3" t="n"/>
    </row>
    <row r="269">
      <c r="A269" s="9">
        <f>IF('S.H BOI GORDO'!A7302=""," ",'S.H BOI GORDO'!A7302)</f>
        <v/>
      </c>
      <c r="D269" s="3" t="n"/>
      <c r="E269" s="3" t="n"/>
      <c r="F269" s="3" t="n"/>
      <c r="G269" s="3" t="n"/>
      <c r="H269" s="3" t="n"/>
      <c r="K269" s="3" t="n"/>
      <c r="M269" s="3" t="n"/>
      <c r="N269" s="3" t="n"/>
      <c r="O269" s="3" t="n"/>
      <c r="P269" s="3" t="n"/>
      <c r="Q269" s="3" t="n"/>
      <c r="R269" s="3" t="n"/>
      <c r="S269" s="3" t="n"/>
      <c r="T269" s="3" t="n"/>
      <c r="V269" s="3" t="n"/>
      <c r="W269" s="3" t="n"/>
    </row>
    <row r="270">
      <c r="A270" s="9">
        <f>IF('S.H BOI GORDO'!A7303=""," ",'S.H BOI GORDO'!A7303)</f>
        <v/>
      </c>
      <c r="D270" s="3" t="n"/>
      <c r="E270" s="3" t="n"/>
      <c r="F270" s="3" t="n"/>
      <c r="G270" s="3" t="n"/>
      <c r="H270" s="3" t="n"/>
      <c r="K270" s="3" t="n"/>
      <c r="M270" s="3" t="n"/>
      <c r="N270" s="3" t="n"/>
      <c r="O270" s="3" t="n"/>
      <c r="P270" s="3" t="n"/>
      <c r="Q270" s="3" t="n"/>
      <c r="R270" s="3" t="n"/>
      <c r="S270" s="3" t="n"/>
      <c r="T270" s="3" t="n"/>
      <c r="V270" s="3" t="n"/>
      <c r="W270" s="3" t="n"/>
    </row>
    <row r="271">
      <c r="A271" s="9">
        <f>IF('S.H BOI GORDO'!A7304=""," ",'S.H BOI GORDO'!A7304)</f>
        <v/>
      </c>
      <c r="D271" s="3" t="n"/>
      <c r="E271" s="3" t="n"/>
      <c r="F271" s="3" t="n"/>
      <c r="G271" s="3" t="n"/>
      <c r="H271" s="3" t="n"/>
      <c r="K271" s="3" t="n"/>
      <c r="M271" s="3" t="n"/>
      <c r="N271" s="3" t="n"/>
      <c r="O271" s="3" t="n"/>
      <c r="P271" s="3" t="n"/>
      <c r="Q271" s="3" t="n"/>
      <c r="R271" s="3" t="n"/>
      <c r="S271" s="3" t="n"/>
      <c r="T271" s="3" t="n"/>
      <c r="V271" s="3" t="n"/>
      <c r="W271" s="3" t="n"/>
    </row>
    <row r="272">
      <c r="A272" s="9">
        <f>IF('S.H BOI GORDO'!A7305=""," ",'S.H BOI GORDO'!A7305)</f>
        <v/>
      </c>
      <c r="D272" s="3" t="n"/>
      <c r="E272" s="3" t="n"/>
      <c r="F272" s="3" t="n"/>
      <c r="G272" s="3" t="n"/>
      <c r="H272" s="3" t="n"/>
      <c r="K272" s="3" t="n"/>
      <c r="M272" s="3" t="n"/>
      <c r="N272" s="3" t="n"/>
      <c r="O272" s="3" t="n"/>
      <c r="P272" s="3" t="n"/>
      <c r="Q272" s="3" t="n"/>
      <c r="R272" s="3" t="n"/>
      <c r="S272" s="3" t="n"/>
      <c r="T272" s="3" t="n"/>
      <c r="V272" s="3" t="n"/>
      <c r="W272" s="3" t="n"/>
    </row>
    <row r="273">
      <c r="A273" s="9">
        <f>IF('S.H BOI GORDO'!A7306=""," ",'S.H BOI GORDO'!A7306)</f>
        <v/>
      </c>
      <c r="D273" s="3" t="n"/>
      <c r="E273" s="3" t="n"/>
      <c r="F273" s="3" t="n"/>
      <c r="G273" s="3" t="n"/>
      <c r="H273" s="3" t="n"/>
      <c r="K273" s="3" t="n"/>
      <c r="M273" s="3" t="n"/>
      <c r="N273" s="3" t="n"/>
      <c r="O273" s="3" t="n"/>
      <c r="P273" s="3" t="n"/>
      <c r="Q273" s="3" t="n"/>
      <c r="R273" s="3" t="n"/>
      <c r="S273" s="3" t="n"/>
      <c r="T273" s="3" t="n"/>
      <c r="V273" s="3" t="n"/>
      <c r="W273" s="3" t="n"/>
    </row>
    <row r="274">
      <c r="A274" s="9">
        <f>IF('S.H BOI GORDO'!A7307=""," ",'S.H BOI GORDO'!A7307)</f>
        <v/>
      </c>
      <c r="D274" s="3" t="n"/>
      <c r="E274" s="3" t="n"/>
      <c r="F274" s="3" t="n"/>
      <c r="G274" s="3" t="n"/>
      <c r="H274" s="3" t="n"/>
      <c r="K274" s="3" t="n"/>
      <c r="M274" s="3" t="n"/>
      <c r="N274" s="3" t="n"/>
      <c r="O274" s="3" t="n"/>
      <c r="P274" s="3" t="n"/>
      <c r="Q274" s="3" t="n"/>
      <c r="R274" s="3" t="n"/>
      <c r="S274" s="3" t="n"/>
      <c r="T274" s="3" t="n"/>
      <c r="V274" s="3" t="n"/>
      <c r="W274" s="3" t="n"/>
    </row>
    <row r="275">
      <c r="A275" s="9">
        <f>IF('S.H BOI GORDO'!A7308=""," ",'S.H BOI GORDO'!A7308)</f>
        <v/>
      </c>
      <c r="D275" s="3" t="n"/>
      <c r="E275" s="3" t="n"/>
      <c r="F275" s="3" t="n"/>
      <c r="G275" s="3" t="n"/>
      <c r="H275" s="3" t="n"/>
      <c r="K275" s="3" t="n"/>
      <c r="M275" s="3" t="n"/>
      <c r="N275" s="3" t="n"/>
      <c r="O275" s="3" t="n"/>
      <c r="P275" s="3" t="n"/>
      <c r="Q275" s="3" t="n"/>
      <c r="R275" s="3" t="n"/>
      <c r="S275" s="3" t="n"/>
      <c r="T275" s="3" t="n"/>
      <c r="V275" s="3" t="n"/>
      <c r="W275" s="3" t="n"/>
    </row>
    <row r="276">
      <c r="A276" s="9">
        <f>IF('S.H BOI GORDO'!A7309=""," ",'S.H BOI GORDO'!A7309)</f>
        <v/>
      </c>
      <c r="D276" s="3" t="n"/>
      <c r="E276" s="3" t="n"/>
      <c r="F276" s="3" t="n"/>
      <c r="G276" s="3" t="n"/>
      <c r="H276" s="3" t="n"/>
      <c r="K276" s="3" t="n"/>
      <c r="M276" s="3" t="n"/>
      <c r="N276" s="3" t="n"/>
      <c r="O276" s="3" t="n"/>
      <c r="P276" s="3" t="n"/>
      <c r="Q276" s="3" t="n"/>
      <c r="R276" s="3" t="n"/>
      <c r="S276" s="3" t="n"/>
      <c r="T276" s="3" t="n"/>
      <c r="V276" s="3" t="n"/>
      <c r="W276" s="3" t="n"/>
    </row>
    <row r="277">
      <c r="A277" s="9">
        <f>IF('S.H BOI GORDO'!A7310=""," ",'S.H BOI GORDO'!A7310)</f>
        <v/>
      </c>
      <c r="D277" s="3" t="n"/>
      <c r="E277" s="3" t="n"/>
      <c r="F277" s="3" t="n"/>
      <c r="G277" s="3" t="n"/>
      <c r="H277" s="3" t="n"/>
      <c r="K277" s="3" t="n"/>
      <c r="M277" s="3" t="n"/>
      <c r="N277" s="3" t="n"/>
      <c r="O277" s="3" t="n"/>
      <c r="P277" s="3" t="n"/>
      <c r="Q277" s="3" t="n"/>
      <c r="R277" s="3" t="n"/>
      <c r="S277" s="3" t="n"/>
      <c r="T277" s="3" t="n"/>
      <c r="V277" s="3" t="n"/>
      <c r="W277" s="3" t="n"/>
    </row>
    <row r="278">
      <c r="A278" s="9">
        <f>IF('S.H BOI GORDO'!A7311=""," ",'S.H BOI GORDO'!A7311)</f>
        <v/>
      </c>
      <c r="D278" s="3" t="n"/>
      <c r="E278" s="3" t="n"/>
      <c r="F278" s="3" t="n"/>
      <c r="G278" s="3" t="n"/>
      <c r="H278" s="3" t="n"/>
      <c r="K278" s="3" t="n"/>
      <c r="M278" s="3" t="n"/>
      <c r="N278" s="3" t="n"/>
      <c r="O278" s="3" t="n"/>
      <c r="P278" s="3" t="n"/>
      <c r="Q278" s="3" t="n"/>
      <c r="R278" s="3" t="n"/>
      <c r="S278" s="3" t="n"/>
      <c r="T278" s="3" t="n"/>
      <c r="V278" s="3" t="n"/>
      <c r="W278" s="3" t="n"/>
    </row>
    <row r="279">
      <c r="A279" s="9">
        <f>IF('S.H BOI GORDO'!A7312=""," ",'S.H BOI GORDO'!A7312)</f>
        <v/>
      </c>
      <c r="D279" s="3" t="n"/>
      <c r="E279" s="3" t="n"/>
      <c r="F279" s="3" t="n"/>
      <c r="G279" s="3" t="n"/>
      <c r="H279" s="3" t="n"/>
      <c r="K279" s="3" t="n"/>
      <c r="M279" s="3" t="n"/>
      <c r="N279" s="3" t="n"/>
      <c r="O279" s="3" t="n"/>
      <c r="P279" s="3" t="n"/>
      <c r="Q279" s="3" t="n"/>
      <c r="R279" s="3" t="n"/>
      <c r="S279" s="3" t="n"/>
      <c r="T279" s="3" t="n"/>
      <c r="V279" s="3" t="n"/>
      <c r="W279" s="3" t="n"/>
    </row>
    <row r="280">
      <c r="A280" s="9">
        <f>IF('S.H BOI GORDO'!A7313=""," ",'S.H BOI GORDO'!A7313)</f>
        <v/>
      </c>
      <c r="D280" s="3" t="n"/>
      <c r="E280" s="3" t="n"/>
      <c r="F280" s="3" t="n"/>
      <c r="G280" s="3" t="n"/>
      <c r="H280" s="3" t="n"/>
      <c r="K280" s="3" t="n"/>
      <c r="M280" s="3" t="n"/>
      <c r="N280" s="3" t="n"/>
      <c r="O280" s="3" t="n"/>
      <c r="P280" s="3" t="n"/>
      <c r="Q280" s="3" t="n"/>
      <c r="R280" s="3" t="n"/>
      <c r="S280" s="3" t="n"/>
      <c r="T280" s="3" t="n"/>
      <c r="V280" s="3" t="n"/>
      <c r="W280" s="3" t="n"/>
    </row>
    <row r="281">
      <c r="A281" s="9">
        <f>IF('S.H BOI GORDO'!A7314=""," ",'S.H BOI GORDO'!A7314)</f>
        <v/>
      </c>
      <c r="D281" s="3" t="n"/>
      <c r="E281" s="3" t="n"/>
      <c r="F281" s="3" t="n"/>
      <c r="G281" s="3" t="n"/>
      <c r="H281" s="3" t="n"/>
      <c r="K281" s="3" t="n"/>
      <c r="M281" s="3" t="n"/>
      <c r="N281" s="3" t="n"/>
      <c r="O281" s="3" t="n"/>
      <c r="P281" s="3" t="n"/>
      <c r="Q281" s="3" t="n"/>
      <c r="R281" s="3" t="n"/>
      <c r="S281" s="3" t="n"/>
      <c r="T281" s="3" t="n"/>
      <c r="V281" s="3" t="n"/>
      <c r="W281" s="3" t="n"/>
    </row>
    <row r="282">
      <c r="A282" s="9">
        <f>IF('S.H BOI GORDO'!A7315=""," ",'S.H BOI GORDO'!A7315)</f>
        <v/>
      </c>
      <c r="D282" s="3" t="n"/>
      <c r="E282" s="3" t="n"/>
      <c r="F282" s="3" t="n"/>
      <c r="G282" s="3" t="n"/>
      <c r="H282" s="3" t="n"/>
      <c r="K282" s="3" t="n"/>
      <c r="M282" s="3" t="n"/>
      <c r="N282" s="3" t="n"/>
      <c r="O282" s="3" t="n"/>
      <c r="P282" s="3" t="n"/>
      <c r="Q282" s="3" t="n"/>
      <c r="R282" s="3" t="n"/>
      <c r="S282" s="3" t="n"/>
      <c r="T282" s="3" t="n"/>
      <c r="V282" s="3" t="n"/>
      <c r="W282" s="3" t="n"/>
    </row>
    <row r="283">
      <c r="A283" s="9">
        <f>IF('S.H BOI GORDO'!A7316=""," ",'S.H BOI GORDO'!A7316)</f>
        <v/>
      </c>
      <c r="D283" s="3" t="n"/>
      <c r="E283" s="3" t="n"/>
      <c r="F283" s="3" t="n"/>
      <c r="G283" s="3" t="n"/>
      <c r="H283" s="3" t="n"/>
      <c r="K283" s="3" t="n"/>
      <c r="M283" s="3" t="n"/>
      <c r="N283" s="3" t="n"/>
      <c r="O283" s="3" t="n"/>
      <c r="P283" s="3" t="n"/>
      <c r="Q283" s="3" t="n"/>
      <c r="R283" s="3" t="n"/>
      <c r="S283" s="3" t="n"/>
      <c r="T283" s="3" t="n"/>
      <c r="V283" s="3" t="n"/>
      <c r="W283" s="3" t="n"/>
    </row>
    <row r="284">
      <c r="A284" s="9">
        <f>IF('S.H BOI GORDO'!A7317=""," ",'S.H BOI GORDO'!A7317)</f>
        <v/>
      </c>
      <c r="D284" s="3" t="n"/>
      <c r="E284" s="3" t="n"/>
      <c r="F284" s="3" t="n"/>
      <c r="G284" s="3" t="n"/>
      <c r="H284" s="3" t="n"/>
      <c r="K284" s="3" t="n"/>
      <c r="M284" s="3" t="n"/>
      <c r="N284" s="3" t="n"/>
      <c r="O284" s="3" t="n"/>
      <c r="P284" s="3" t="n"/>
      <c r="Q284" s="3" t="n"/>
      <c r="R284" s="3" t="n"/>
      <c r="S284" s="3" t="n"/>
      <c r="T284" s="3" t="n"/>
      <c r="V284" s="3" t="n"/>
      <c r="W284" s="3" t="n"/>
    </row>
    <row r="285">
      <c r="A285" s="9">
        <f>IF('S.H BOI GORDO'!A7318=""," ",'S.H BOI GORDO'!A7318)</f>
        <v/>
      </c>
      <c r="D285" s="3" t="n"/>
      <c r="E285" s="3" t="n"/>
      <c r="F285" s="3" t="n"/>
      <c r="G285" s="3" t="n"/>
      <c r="H285" s="3" t="n"/>
      <c r="K285" s="3" t="n"/>
      <c r="M285" s="3" t="n"/>
      <c r="N285" s="3" t="n"/>
      <c r="O285" s="3" t="n"/>
      <c r="P285" s="3" t="n"/>
      <c r="Q285" s="3" t="n"/>
      <c r="R285" s="3" t="n"/>
      <c r="S285" s="3" t="n"/>
      <c r="T285" s="3" t="n"/>
      <c r="V285" s="3" t="n"/>
      <c r="W285" s="3" t="n"/>
    </row>
    <row r="286">
      <c r="A286" s="9">
        <f>IF('S.H BOI GORDO'!A7319=""," ",'S.H BOI GORDO'!A7319)</f>
        <v/>
      </c>
      <c r="D286" s="3" t="n"/>
      <c r="E286" s="3" t="n"/>
      <c r="F286" s="3" t="n"/>
      <c r="G286" s="3" t="n"/>
      <c r="H286" s="3" t="n"/>
      <c r="K286" s="3" t="n"/>
      <c r="M286" s="3" t="n"/>
      <c r="N286" s="3" t="n"/>
      <c r="O286" s="3" t="n"/>
      <c r="P286" s="3" t="n"/>
      <c r="Q286" s="3" t="n"/>
      <c r="R286" s="3" t="n"/>
      <c r="S286" s="3" t="n"/>
      <c r="T286" s="3" t="n"/>
      <c r="V286" s="3" t="n"/>
      <c r="W286" s="3" t="n"/>
    </row>
    <row r="287">
      <c r="A287" s="9">
        <f>IF('S.H BOI GORDO'!A7320=""," ",'S.H BOI GORDO'!A7320)</f>
        <v/>
      </c>
      <c r="D287" s="3" t="n"/>
      <c r="E287" s="3" t="n"/>
      <c r="F287" s="3" t="n"/>
      <c r="G287" s="3" t="n"/>
      <c r="H287" s="3" t="n"/>
      <c r="K287" s="3" t="n"/>
      <c r="M287" s="3" t="n"/>
      <c r="N287" s="3" t="n"/>
      <c r="O287" s="3" t="n"/>
      <c r="P287" s="3" t="n"/>
      <c r="Q287" s="3" t="n"/>
      <c r="R287" s="3" t="n"/>
      <c r="S287" s="3" t="n"/>
      <c r="T287" s="3" t="n"/>
      <c r="V287" s="3" t="n"/>
      <c r="W287" s="3" t="n"/>
    </row>
    <row r="288">
      <c r="A288" s="9">
        <f>IF('S.H BOI GORDO'!A7321=""," ",'S.H BOI GORDO'!A7321)</f>
        <v/>
      </c>
      <c r="D288" s="3" t="n"/>
      <c r="E288" s="3" t="n"/>
      <c r="F288" s="3" t="n"/>
      <c r="G288" s="3" t="n"/>
      <c r="H288" s="3" t="n"/>
      <c r="K288" s="3" t="n"/>
      <c r="M288" s="3" t="n"/>
      <c r="N288" s="3" t="n"/>
      <c r="O288" s="3" t="n"/>
      <c r="P288" s="3" t="n"/>
      <c r="Q288" s="3" t="n"/>
      <c r="R288" s="3" t="n"/>
      <c r="S288" s="3" t="n"/>
      <c r="T288" s="3" t="n"/>
      <c r="V288" s="3" t="n"/>
      <c r="W288" s="3" t="n"/>
    </row>
    <row r="289">
      <c r="A289" s="9">
        <f>IF('S.H BOI GORDO'!A7322=""," ",'S.H BOI GORDO'!A7322)</f>
        <v/>
      </c>
      <c r="D289" s="3" t="n"/>
      <c r="E289" s="3" t="n"/>
      <c r="F289" s="3" t="n"/>
      <c r="G289" s="3" t="n"/>
      <c r="H289" s="3" t="n"/>
      <c r="K289" s="3" t="n"/>
      <c r="M289" s="3" t="n"/>
      <c r="N289" s="3" t="n"/>
      <c r="O289" s="3" t="n"/>
      <c r="P289" s="3" t="n"/>
      <c r="Q289" s="3" t="n"/>
      <c r="R289" s="3" t="n"/>
      <c r="S289" s="3" t="n"/>
      <c r="T289" s="3" t="n"/>
      <c r="V289" s="3" t="n"/>
      <c r="W289" s="3" t="n"/>
    </row>
    <row r="290">
      <c r="A290" s="9">
        <f>IF('S.H BOI GORDO'!A7323=""," ",'S.H BOI GORDO'!A7323)</f>
        <v/>
      </c>
      <c r="D290" s="3" t="n"/>
      <c r="E290" s="3" t="n"/>
      <c r="F290" s="3" t="n"/>
      <c r="G290" s="3" t="n"/>
      <c r="H290" s="3" t="n"/>
      <c r="K290" s="3" t="n"/>
      <c r="M290" s="3" t="n"/>
      <c r="N290" s="3" t="n"/>
      <c r="O290" s="3" t="n"/>
      <c r="P290" s="3" t="n"/>
      <c r="Q290" s="3" t="n"/>
      <c r="R290" s="3" t="n"/>
      <c r="S290" s="3" t="n"/>
      <c r="T290" s="3" t="n"/>
      <c r="V290" s="3" t="n"/>
      <c r="W290" s="3" t="n"/>
    </row>
    <row r="291">
      <c r="A291" s="9">
        <f>IF('S.H BOI GORDO'!A7324=""," ",'S.H BOI GORDO'!A7324)</f>
        <v/>
      </c>
      <c r="D291" s="3" t="n"/>
      <c r="E291" s="3" t="n"/>
      <c r="F291" s="3" t="n"/>
      <c r="G291" s="3" t="n"/>
      <c r="H291" s="3" t="n"/>
      <c r="K291" s="3" t="n"/>
      <c r="M291" s="3" t="n"/>
      <c r="N291" s="3" t="n"/>
      <c r="O291" s="3" t="n"/>
      <c r="P291" s="3" t="n"/>
      <c r="Q291" s="3" t="n"/>
      <c r="R291" s="3" t="n"/>
      <c r="S291" s="3" t="n"/>
      <c r="T291" s="3" t="n"/>
      <c r="V291" s="3" t="n"/>
      <c r="W291" s="3" t="n"/>
    </row>
    <row r="292">
      <c r="A292" s="9">
        <f>IF('S.H BOI GORDO'!A7325=""," ",'S.H BOI GORDO'!A7325)</f>
        <v/>
      </c>
      <c r="D292" s="3" t="n"/>
      <c r="E292" s="3" t="n"/>
      <c r="F292" s="3" t="n"/>
      <c r="G292" s="3" t="n"/>
      <c r="H292" s="3" t="n"/>
      <c r="K292" s="3" t="n"/>
      <c r="M292" s="3" t="n"/>
      <c r="N292" s="3" t="n"/>
      <c r="O292" s="3" t="n"/>
      <c r="P292" s="3" t="n"/>
      <c r="Q292" s="3" t="n"/>
      <c r="R292" s="3" t="n"/>
      <c r="S292" s="3" t="n"/>
      <c r="T292" s="3" t="n"/>
      <c r="V292" s="3" t="n"/>
      <c r="W292" s="3" t="n"/>
    </row>
    <row r="293">
      <c r="A293" s="9">
        <f>IF('S.H BOI GORDO'!A7326=""," ",'S.H BOI GORDO'!A7326)</f>
        <v/>
      </c>
      <c r="D293" s="3" t="n"/>
      <c r="E293" s="3" t="n"/>
      <c r="F293" s="3" t="n"/>
      <c r="G293" s="3" t="n"/>
      <c r="H293" s="3" t="n"/>
      <c r="K293" s="3" t="n"/>
      <c r="M293" s="3" t="n"/>
      <c r="N293" s="3" t="n"/>
      <c r="O293" s="3" t="n"/>
      <c r="P293" s="3" t="n"/>
      <c r="Q293" s="3" t="n"/>
      <c r="R293" s="3" t="n"/>
      <c r="S293" s="3" t="n"/>
      <c r="T293" s="3" t="n"/>
      <c r="V293" s="3" t="n"/>
      <c r="W293" s="3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</sheetData>
  <conditionalFormatting sqref="W2:W226">
    <cfRule type="containsText" priority="1" operator="containsText" dxfId="0" text="OUTLIER">
      <formula>NOT(ISERROR(SEARCH("OUTLIER",W2)))</formula>
    </cfRule>
    <cfRule type="containsText" priority="2" operator="containsText" dxfId="2" text="OK">
      <formula>NOT(ISERROR(SEARCH("OK",W2)))</formula>
    </cfRule>
  </conditionalFormatting>
  <conditionalFormatting sqref="AC5">
    <cfRule type="cellIs" priority="3" operator="greaterThan" dxfId="0">
      <formula>0.049999</formula>
    </cfRule>
    <cfRule type="cellIs" priority="4" operator="greaterThan" dxfId="0">
      <formula>0.05</formula>
    </cfRule>
  </conditionalFormatting>
  <pageMargins left="0.25" right="0.25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Planilha8">
    <outlinePr summaryBelow="1" summaryRight="1"/>
    <pageSetUpPr/>
  </sheetPr>
  <dimension ref="A1:C1251"/>
  <sheetViews>
    <sheetView topLeftCell="A113" zoomScale="80" zoomScaleNormal="80" workbookViewId="0">
      <selection activeCell="F133" sqref="F133"/>
    </sheetView>
  </sheetViews>
  <sheetFormatPr baseColWidth="8" defaultRowHeight="15" outlineLevelCol="0"/>
  <cols>
    <col width="12.5703125" bestFit="1" customWidth="1" style="11" min="1" max="1"/>
    <col width="13.140625" bestFit="1" customWidth="1" style="1" min="2" max="2"/>
    <col width="9.140625" customWidth="1" style="1" min="3" max="36"/>
    <col width="9.140625" customWidth="1" style="1" min="37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Milho - Cepea</t>
        </is>
      </c>
      <c r="C2" s="3" t="n">
        <v>69.45</v>
      </c>
    </row>
    <row r="3">
      <c r="A3" s="9" t="n">
        <v>46027</v>
      </c>
      <c r="B3" s="1" t="inlineStr">
        <is>
          <t>Milho - Cepea</t>
        </is>
      </c>
      <c r="C3" s="3" t="n">
        <v>69.38</v>
      </c>
    </row>
    <row r="4">
      <c r="A4" s="9" t="n">
        <v>46028</v>
      </c>
      <c r="B4" s="1" t="inlineStr">
        <is>
          <t>Milho - Cepea</t>
        </is>
      </c>
      <c r="C4" s="3" t="n">
        <v>69.13</v>
      </c>
    </row>
    <row r="5">
      <c r="A5" s="9" t="n">
        <v>46029</v>
      </c>
      <c r="B5" s="1" t="inlineStr">
        <is>
          <t>Milho - Cepea</t>
        </is>
      </c>
      <c r="C5" s="3" t="n">
        <v>69</v>
      </c>
    </row>
    <row r="6">
      <c r="A6" s="9" t="n">
        <v>46030</v>
      </c>
      <c r="B6" s="1" t="inlineStr">
        <is>
          <t>Milho - Cepea</t>
        </is>
      </c>
      <c r="C6" s="3" t="n">
        <v>68.94</v>
      </c>
    </row>
    <row r="7">
      <c r="A7" s="9" t="n">
        <v>46031</v>
      </c>
      <c r="B7" s="1" t="inlineStr">
        <is>
          <t>Milho - Cepea</t>
        </is>
      </c>
      <c r="C7" s="3" t="n">
        <v>69.02</v>
      </c>
    </row>
    <row r="8">
      <c r="A8" s="9" t="n">
        <v>46034</v>
      </c>
      <c r="B8" s="1" t="inlineStr">
        <is>
          <t>Milho - Cepea</t>
        </is>
      </c>
      <c r="C8" s="3" t="n">
        <v>68.84</v>
      </c>
    </row>
    <row r="9">
      <c r="A9" s="9" t="n">
        <v>46035</v>
      </c>
      <c r="B9" s="1" t="inlineStr">
        <is>
          <t>Milho - Cepea</t>
        </is>
      </c>
      <c r="C9" s="3" t="n">
        <v>68.79000000000001</v>
      </c>
    </row>
    <row r="10">
      <c r="A10" s="9" t="n">
        <v>46036</v>
      </c>
      <c r="B10" s="1" t="inlineStr">
        <is>
          <t>Milho - Cepea</t>
        </is>
      </c>
      <c r="C10" s="3" t="n">
        <v>68.43000000000001</v>
      </c>
    </row>
    <row r="11">
      <c r="A11" s="9" t="n">
        <v>46037</v>
      </c>
      <c r="B11" s="1" t="inlineStr">
        <is>
          <t>Milho - Cepea</t>
        </is>
      </c>
      <c r="C11" s="3" t="n">
        <v>68.37</v>
      </c>
    </row>
    <row r="12">
      <c r="A12" s="9" t="n">
        <v>46038</v>
      </c>
      <c r="C12" s="3" t="n">
        <v>68.41</v>
      </c>
    </row>
    <row r="13">
      <c r="A13" s="9" t="n">
        <v>46041</v>
      </c>
      <c r="C13" s="3" t="n">
        <v>68.12</v>
      </c>
    </row>
    <row r="14">
      <c r="A14" s="9" t="n">
        <v>46042</v>
      </c>
      <c r="C14" s="3" t="n">
        <v>67.45999999999999</v>
      </c>
    </row>
    <row r="15">
      <c r="A15" s="4" t="n">
        <v>46043</v>
      </c>
      <c r="C15" s="3" t="n">
        <v>67.04000000000001</v>
      </c>
    </row>
    <row r="16">
      <c r="A16" s="4" t="n">
        <v>46044</v>
      </c>
      <c r="C16" s="3" t="n">
        <v>66.72</v>
      </c>
    </row>
    <row r="17">
      <c r="A17" s="9" t="n">
        <v>46045</v>
      </c>
      <c r="C17" s="3" t="n">
        <v>66.63</v>
      </c>
    </row>
    <row r="18">
      <c r="A18" s="9" t="n">
        <v>46048</v>
      </c>
      <c r="C18" s="3" t="n">
        <v>66.69</v>
      </c>
    </row>
    <row r="19">
      <c r="A19" s="9" t="n">
        <v>46049</v>
      </c>
      <c r="C19" s="3" t="n">
        <v>66.22</v>
      </c>
    </row>
    <row r="20">
      <c r="A20" s="9" t="n">
        <v>46050</v>
      </c>
      <c r="C20" s="3" t="n">
        <v>65.87</v>
      </c>
    </row>
    <row r="21">
      <c r="A21" s="9" t="n">
        <v>46051</v>
      </c>
      <c r="C21" s="3" t="n">
        <v>65.95999999999999</v>
      </c>
    </row>
    <row r="22">
      <c r="A22" s="9" t="n">
        <v>46052</v>
      </c>
      <c r="C22" s="3" t="n">
        <v>66.09999999999999</v>
      </c>
    </row>
    <row r="23">
      <c r="A23" s="9" t="n">
        <v>46055</v>
      </c>
      <c r="C23" s="3" t="n">
        <v>66.17</v>
      </c>
    </row>
    <row r="24">
      <c r="A24" s="9" t="n">
        <v>46056</v>
      </c>
      <c r="C24" s="3" t="n">
        <v>66.28</v>
      </c>
    </row>
    <row r="25">
      <c r="A25" s="9" t="n">
        <v>46057</v>
      </c>
      <c r="C25" s="3" t="n">
        <v>66.44</v>
      </c>
    </row>
    <row r="26">
      <c r="A26" s="9" t="n">
        <v>46058</v>
      </c>
      <c r="C26" s="3" t="n">
        <v>66.48999999999999</v>
      </c>
    </row>
    <row r="27">
      <c r="A27" s="9" t="n">
        <v>46059</v>
      </c>
      <c r="C27" s="3" t="n">
        <v>66.78</v>
      </c>
    </row>
    <row r="28">
      <c r="A28" s="9" t="n">
        <v>46062</v>
      </c>
      <c r="C28" s="3" t="n">
        <v>67.09</v>
      </c>
    </row>
    <row r="29">
      <c r="A29" s="9" t="n">
        <v>46063</v>
      </c>
      <c r="C29" s="3" t="n">
        <v>67.06</v>
      </c>
    </row>
    <row r="30">
      <c r="A30" s="9" t="n">
        <v>46064</v>
      </c>
      <c r="C30" s="3" t="n">
        <v>67.20999999999999</v>
      </c>
    </row>
    <row r="31">
      <c r="A31" s="9" t="n">
        <v>46065</v>
      </c>
      <c r="C31" s="3" t="n">
        <v>67.67</v>
      </c>
    </row>
    <row r="32">
      <c r="A32" s="9" t="n">
        <v>46066</v>
      </c>
      <c r="C32" s="3" t="n">
        <v>68.14</v>
      </c>
    </row>
    <row r="33">
      <c r="A33" s="9" t="n">
        <v>46071</v>
      </c>
      <c r="C33" s="3" t="n">
        <v>68.39</v>
      </c>
    </row>
    <row r="34">
      <c r="A34" s="9" t="n">
        <v>46072</v>
      </c>
      <c r="C34" s="3" t="n">
        <v>68.8</v>
      </c>
    </row>
    <row r="35">
      <c r="A35" s="9" t="n">
        <v>46073</v>
      </c>
      <c r="C35" s="3" t="n">
        <v>68.73999999999999</v>
      </c>
    </row>
    <row r="36">
      <c r="A36" s="9" t="n">
        <v>46076</v>
      </c>
      <c r="C36" s="3" t="n">
        <v>69.02</v>
      </c>
    </row>
    <row r="37">
      <c r="A37" s="9" t="n">
        <v>46077</v>
      </c>
      <c r="C37" s="3" t="n">
        <v>69.14</v>
      </c>
    </row>
    <row r="38">
      <c r="A38" s="9" t="n">
        <v>46078</v>
      </c>
      <c r="C38" s="3" t="n">
        <v>69.28</v>
      </c>
    </row>
    <row r="39">
      <c r="A39" s="9" t="n">
        <v>46079</v>
      </c>
      <c r="C39" s="3" t="n">
        <v>69.28</v>
      </c>
    </row>
    <row r="40">
      <c r="A40" s="9" t="n">
        <v>46080</v>
      </c>
      <c r="C40" s="3" t="n">
        <v>69.53</v>
      </c>
    </row>
    <row r="41">
      <c r="A41" s="9" t="n">
        <v>46083</v>
      </c>
      <c r="C41" s="3" t="n">
        <v>69.75</v>
      </c>
    </row>
    <row r="42">
      <c r="A42" s="9" t="n">
        <v>46084</v>
      </c>
      <c r="C42" s="3" t="n">
        <v>69.98</v>
      </c>
    </row>
    <row r="43">
      <c r="A43" s="9" t="n">
        <v>46085</v>
      </c>
      <c r="C43" s="3" t="n">
        <v>70.23</v>
      </c>
    </row>
    <row r="44">
      <c r="A44" s="9" t="n">
        <v>46086</v>
      </c>
      <c r="C44" s="3" t="n">
        <v>70.23999999999999</v>
      </c>
    </row>
    <row r="45">
      <c r="A45" s="23" t="n">
        <v>46087</v>
      </c>
      <c r="C45" s="22" t="n">
        <v>70.56</v>
      </c>
    </row>
    <row r="46">
      <c r="A46" s="23" t="n">
        <v>46090</v>
      </c>
      <c r="C46" s="22" t="n">
        <v>70.63</v>
      </c>
    </row>
    <row r="47">
      <c r="A47" s="23" t="n">
        <v>46091</v>
      </c>
      <c r="C47" s="22" t="n">
        <v>71.09</v>
      </c>
    </row>
    <row r="48">
      <c r="A48" s="23" t="n">
        <v>46092</v>
      </c>
      <c r="C48" s="22" t="n">
        <v>71.31999999999999</v>
      </c>
    </row>
    <row r="49">
      <c r="A49" s="23" t="n">
        <v>46093</v>
      </c>
      <c r="C49" s="22" t="n">
        <v>71.56</v>
      </c>
    </row>
    <row r="50">
      <c r="A50" s="23" t="n">
        <v>46094</v>
      </c>
      <c r="C50" s="22" t="n">
        <v>71.98</v>
      </c>
    </row>
    <row r="51">
      <c r="A51" s="23" t="inlineStr">
        <is>
          <t>16/03/2026</t>
        </is>
      </c>
      <c r="C51" s="22" t="n">
        <v>72.09999999999999</v>
      </c>
    </row>
    <row r="52">
      <c r="A52" s="23" t="inlineStr">
        <is>
          <t>17/03/2026</t>
        </is>
      </c>
      <c r="C52" s="22" t="n">
        <v>72.02</v>
      </c>
    </row>
    <row r="53">
      <c r="A53" s="23" t="inlineStr">
        <is>
          <t>18/03/2026</t>
        </is>
      </c>
      <c r="C53" s="22" t="n">
        <v>71.2</v>
      </c>
    </row>
    <row r="54">
      <c r="A54" s="23" t="inlineStr">
        <is>
          <t>19/03/2026</t>
        </is>
      </c>
      <c r="C54" s="22" t="n">
        <v>71.63</v>
      </c>
    </row>
    <row r="55">
      <c r="A55" s="23" t="inlineStr">
        <is>
          <t>20/03/2026</t>
        </is>
      </c>
      <c r="C55" s="22" t="n">
        <v>71.37</v>
      </c>
    </row>
    <row r="56">
      <c r="A56" s="23" t="inlineStr">
        <is>
          <t>23/03/2026</t>
        </is>
      </c>
      <c r="C56" s="22" t="n">
        <v>71.25</v>
      </c>
    </row>
    <row r="57">
      <c r="A57" s="23" t="inlineStr">
        <is>
          <t>24/03/2026</t>
        </is>
      </c>
      <c r="C57" s="22" t="n">
        <v>71.01000000000001</v>
      </c>
    </row>
    <row r="58">
      <c r="A58" s="23" t="inlineStr">
        <is>
          <t>25/03/2026</t>
        </is>
      </c>
      <c r="C58" s="22" t="n">
        <v>70.45</v>
      </c>
    </row>
    <row r="59">
      <c r="A59" s="23" t="inlineStr">
        <is>
          <t>26/03/2026</t>
        </is>
      </c>
      <c r="C59" s="22" t="n">
        <v>70.33</v>
      </c>
    </row>
    <row r="60">
      <c r="A60" s="23" t="inlineStr">
        <is>
          <t>27/03/2026</t>
        </is>
      </c>
      <c r="C60" s="22" t="n">
        <v>70.34</v>
      </c>
    </row>
    <row r="61">
      <c r="A61" s="23" t="inlineStr">
        <is>
          <t>30/03/2026</t>
        </is>
      </c>
      <c r="C61" s="22" t="n">
        <v>70.29000000000001</v>
      </c>
    </row>
    <row r="62">
      <c r="A62" s="23" t="inlineStr">
        <is>
          <t>31/03/2026</t>
        </is>
      </c>
      <c r="C62" s="22" t="n">
        <v>70.37</v>
      </c>
    </row>
    <row r="63">
      <c r="A63" s="23" t="inlineStr">
        <is>
          <t>01/04/2026</t>
        </is>
      </c>
      <c r="C63" s="22" t="n">
        <v>70.31999999999999</v>
      </c>
    </row>
    <row r="64">
      <c r="A64" s="23" t="inlineStr">
        <is>
          <t>02/04/2026</t>
        </is>
      </c>
      <c r="C64" s="22" t="n">
        <v>69.95999999999999</v>
      </c>
    </row>
    <row r="65">
      <c r="A65" s="23" t="inlineStr">
        <is>
          <t>06/04/2026</t>
        </is>
      </c>
      <c r="C65" s="22" t="n">
        <v>69.88</v>
      </c>
    </row>
    <row r="66">
      <c r="A66" s="23" t="inlineStr">
        <is>
          <t>07/04/2026</t>
        </is>
      </c>
      <c r="C66" s="22" t="n">
        <v>69.58</v>
      </c>
    </row>
    <row r="67">
      <c r="A67" s="23" t="inlineStr">
        <is>
          <t>08/04/2026</t>
        </is>
      </c>
      <c r="C67" s="22" t="n">
        <v>69.79000000000001</v>
      </c>
    </row>
    <row r="68">
      <c r="A68" s="23" t="inlineStr">
        <is>
          <t>09/04/2026</t>
        </is>
      </c>
      <c r="C68" s="22" t="n">
        <v>69.59</v>
      </c>
    </row>
    <row r="69">
      <c r="A69" s="23" t="n">
        <v>46122</v>
      </c>
      <c r="C69" s="22" t="n">
        <v>69.06999999999999</v>
      </c>
    </row>
    <row r="70">
      <c r="A70" s="23" t="n">
        <v>46125</v>
      </c>
      <c r="C70" s="22" t="n">
        <v>68.78</v>
      </c>
    </row>
    <row r="71">
      <c r="A71" s="23" t="n">
        <v>46126</v>
      </c>
      <c r="C71" s="22" t="n">
        <v>67.73</v>
      </c>
    </row>
    <row r="72">
      <c r="A72" s="23" t="n">
        <v>46128</v>
      </c>
      <c r="C72" s="22" t="n">
        <v>67.01000000000001</v>
      </c>
    </row>
    <row r="73">
      <c r="A73" s="23" t="n">
        <v>46129</v>
      </c>
      <c r="C73" s="22" t="n">
        <v>66.81</v>
      </c>
    </row>
    <row r="74">
      <c r="A74" s="23" t="n">
        <v>46132</v>
      </c>
      <c r="C74" s="22" t="n">
        <v>66.45</v>
      </c>
    </row>
    <row r="75">
      <c r="A75" s="23" t="n">
        <v>46134</v>
      </c>
      <c r="C75" s="22" t="n">
        <v>66.34</v>
      </c>
    </row>
    <row r="76">
      <c r="A76" s="23" t="n">
        <v>46135</v>
      </c>
      <c r="C76" s="22" t="n">
        <v>66.36</v>
      </c>
    </row>
    <row r="77">
      <c r="A77" s="23" t="n">
        <v>46136</v>
      </c>
      <c r="C77" s="22" t="n">
        <v>66.63</v>
      </c>
    </row>
    <row r="78">
      <c r="A78" s="23" t="n">
        <v>46139</v>
      </c>
      <c r="C78" s="22" t="n">
        <v>66.67</v>
      </c>
    </row>
    <row r="79">
      <c r="A79" s="23" t="n">
        <v>46140</v>
      </c>
      <c r="C79" s="22" t="n">
        <v>66.67</v>
      </c>
    </row>
    <row r="80">
      <c r="A80" s="23" t="n">
        <v>46141</v>
      </c>
      <c r="C80" s="22" t="n">
        <v>66.91</v>
      </c>
    </row>
    <row r="81">
      <c r="A81" s="23" t="n">
        <v>46142</v>
      </c>
      <c r="C81" s="22" t="n">
        <v>66.91</v>
      </c>
    </row>
    <row r="82">
      <c r="A82" s="23" t="n">
        <v>46146</v>
      </c>
      <c r="C82" s="22" t="n">
        <v>67.05</v>
      </c>
    </row>
    <row r="83">
      <c r="A83" s="23" t="n">
        <v>46147</v>
      </c>
      <c r="C83" s="22" t="n">
        <v>66.73</v>
      </c>
    </row>
    <row r="84">
      <c r="A84" s="23" t="n">
        <v>46148</v>
      </c>
      <c r="C84" s="22" t="n">
        <v>66.41</v>
      </c>
    </row>
    <row r="85">
      <c r="A85" s="23" t="n">
        <v>46149</v>
      </c>
      <c r="C85" s="22" t="n">
        <v>66.06999999999999</v>
      </c>
    </row>
    <row r="86">
      <c r="A86" s="23" t="n">
        <v>46150</v>
      </c>
      <c r="C86" s="22" t="n">
        <v>65.98</v>
      </c>
    </row>
    <row r="87">
      <c r="A87" s="23" t="n">
        <v>46153</v>
      </c>
      <c r="C87" s="22" t="n">
        <v>65.92</v>
      </c>
    </row>
    <row r="88">
      <c r="A88" s="23" t="n">
        <v>46154</v>
      </c>
      <c r="C88" s="22" t="n">
        <v>65.51000000000001</v>
      </c>
    </row>
    <row r="89">
      <c r="A89" s="23" t="n">
        <v>46155</v>
      </c>
      <c r="C89" s="22" t="n">
        <v>65.34999999999999</v>
      </c>
    </row>
    <row r="90">
      <c r="A90" s="23" t="n">
        <v>46156</v>
      </c>
      <c r="C90" s="22" t="n">
        <v>65.42</v>
      </c>
    </row>
    <row r="91">
      <c r="A91" s="23" t="n">
        <v>46157</v>
      </c>
      <c r="C91" s="22" t="n">
        <v>65.36</v>
      </c>
    </row>
    <row r="92">
      <c r="A92" s="23" t="n">
        <v>46160</v>
      </c>
      <c r="C92" s="22" t="n">
        <v>65.31999999999999</v>
      </c>
    </row>
    <row r="93">
      <c r="A93" s="23" t="n">
        <v>46161</v>
      </c>
      <c r="C93" s="22" t="n">
        <v>65.28</v>
      </c>
    </row>
    <row r="94">
      <c r="A94" s="23" t="n">
        <v>46162</v>
      </c>
      <c r="C94" s="22" t="n">
        <v>65.34</v>
      </c>
    </row>
    <row r="95">
      <c r="A95" s="23" t="n">
        <v>46163</v>
      </c>
      <c r="C95" s="22" t="n">
        <v>65.41</v>
      </c>
    </row>
    <row r="96">
      <c r="A96" s="23" t="n">
        <v>46164</v>
      </c>
      <c r="C96" s="22" t="n">
        <v>65.47</v>
      </c>
    </row>
    <row r="97">
      <c r="A97" s="23" t="n">
        <v>46167</v>
      </c>
      <c r="C97" s="22" t="n">
        <v>65.39</v>
      </c>
    </row>
    <row r="98">
      <c r="A98" s="23" t="n">
        <v>46168</v>
      </c>
      <c r="C98" s="22" t="n">
        <v>64.98999999999999</v>
      </c>
    </row>
    <row r="99">
      <c r="A99" s="23" t="n">
        <v>46169</v>
      </c>
      <c r="C99" s="22" t="n">
        <v>65.13</v>
      </c>
    </row>
    <row r="100">
      <c r="A100" s="23" t="n">
        <v>46170</v>
      </c>
      <c r="C100" s="22" t="n">
        <v>64.90000000000001</v>
      </c>
    </row>
    <row r="101">
      <c r="A101" s="23" t="n">
        <v>46171</v>
      </c>
      <c r="C101" s="22" t="n">
        <v>64.91</v>
      </c>
    </row>
    <row r="102">
      <c r="A102" s="23" t="n">
        <v>46174</v>
      </c>
      <c r="C102" s="22" t="n">
        <v>64.76000000000001</v>
      </c>
    </row>
    <row r="103">
      <c r="A103" s="23" t="n">
        <v>46175</v>
      </c>
      <c r="C103" s="22" t="n">
        <v>64.54000000000001</v>
      </c>
    </row>
    <row r="104">
      <c r="A104" s="23" t="n">
        <v>46176</v>
      </c>
      <c r="C104" s="22" t="n">
        <v>64.51000000000001</v>
      </c>
    </row>
    <row r="105">
      <c r="A105" s="23" t="n">
        <v>46178</v>
      </c>
      <c r="C105" s="22" t="n">
        <v>64.5</v>
      </c>
    </row>
    <row r="106">
      <c r="A106" s="23" t="n">
        <v>46181</v>
      </c>
      <c r="C106" s="22" t="n">
        <v>64.54000000000001</v>
      </c>
    </row>
    <row r="107">
      <c r="A107" s="23" t="n">
        <v>46182</v>
      </c>
      <c r="C107" s="22" t="n">
        <v>64.26000000000001</v>
      </c>
    </row>
    <row r="108">
      <c r="A108" s="23" t="n">
        <v>46183</v>
      </c>
      <c r="C108" s="22" t="n">
        <v>64.09</v>
      </c>
    </row>
    <row r="109">
      <c r="A109" s="23" t="n">
        <v>46184</v>
      </c>
      <c r="C109" s="22" t="n">
        <v>64.03</v>
      </c>
    </row>
    <row r="110">
      <c r="A110" s="23" t="n">
        <v>46185</v>
      </c>
      <c r="C110" s="22" t="n">
        <v>64.20999999999999</v>
      </c>
    </row>
    <row r="111">
      <c r="A111" s="23" t="n">
        <v>46188</v>
      </c>
      <c r="C111" s="22" t="n">
        <v>62.97</v>
      </c>
    </row>
    <row r="112">
      <c r="A112" s="23" t="n">
        <v>46189</v>
      </c>
      <c r="C112" s="22" t="n">
        <v>63.05</v>
      </c>
    </row>
    <row r="113">
      <c r="A113" s="23" t="n">
        <v>46190</v>
      </c>
      <c r="C113" s="22" t="n">
        <v>62.99</v>
      </c>
    </row>
    <row r="114">
      <c r="A114" s="23" t="n">
        <v>46191</v>
      </c>
      <c r="C114" s="22" t="n">
        <v>62.89</v>
      </c>
    </row>
    <row r="115">
      <c r="A115" s="23" t="n">
        <v>46192</v>
      </c>
      <c r="C115" s="22" t="n">
        <v>62.97</v>
      </c>
    </row>
    <row r="116">
      <c r="A116" s="23" t="n">
        <v>46195</v>
      </c>
      <c r="C116" s="22" t="n">
        <v>63.04</v>
      </c>
    </row>
    <row r="117">
      <c r="A117" s="23" t="n">
        <v>46196</v>
      </c>
      <c r="B117" t="inlineStr">
        <is>
          <t>Milho - Cepea</t>
        </is>
      </c>
      <c r="C117" s="22" t="n">
        <v>63.12</v>
      </c>
    </row>
    <row r="118">
      <c r="A118" s="23" t="n">
        <v>46197</v>
      </c>
      <c r="B118" t="inlineStr">
        <is>
          <t>Milho - Cepea</t>
        </is>
      </c>
      <c r="C118" s="22" t="n">
        <v>63.09</v>
      </c>
    </row>
    <row r="119">
      <c r="A119" s="23" t="n">
        <v>46198</v>
      </c>
      <c r="B119" t="inlineStr">
        <is>
          <t>Milho - Cepea</t>
        </is>
      </c>
      <c r="C119" s="22" t="n">
        <v>63.27</v>
      </c>
    </row>
    <row r="120">
      <c r="A120" s="23" t="n">
        <v>46199</v>
      </c>
      <c r="B120" t="inlineStr">
        <is>
          <t>Milho - Cepea</t>
        </is>
      </c>
      <c r="C120" s="22" t="n">
        <v>63.45</v>
      </c>
    </row>
    <row r="121">
      <c r="A121" s="23" t="n">
        <v>46202</v>
      </c>
      <c r="B121" t="inlineStr">
        <is>
          <t>Milho - Cepea</t>
        </is>
      </c>
      <c r="C121" s="22" t="n">
        <v>63.4</v>
      </c>
    </row>
    <row r="122">
      <c r="A122" s="23" t="n">
        <v>46203</v>
      </c>
      <c r="B122" t="inlineStr">
        <is>
          <t>Milho - Cepea</t>
        </is>
      </c>
      <c r="C122" s="22" t="n">
        <v>63.58</v>
      </c>
    </row>
    <row r="123">
      <c r="A123" s="23" t="n">
        <v>46204</v>
      </c>
      <c r="B123" t="inlineStr">
        <is>
          <t>Milho - Cepea</t>
        </is>
      </c>
      <c r="C123" s="22" t="n">
        <v>64.02</v>
      </c>
    </row>
    <row r="124">
      <c r="A124" s="23" t="n">
        <v>46205</v>
      </c>
      <c r="B124" t="inlineStr">
        <is>
          <t>Milho - Cepea</t>
        </is>
      </c>
      <c r="C124" s="22" t="n">
        <v>64.13</v>
      </c>
    </row>
    <row r="125">
      <c r="A125" s="23" t="n">
        <v>46206</v>
      </c>
      <c r="B125" t="inlineStr">
        <is>
          <t>Milho - Cepea</t>
        </is>
      </c>
      <c r="C125" s="22" t="n">
        <v>64.05</v>
      </c>
    </row>
    <row r="126">
      <c r="A126" s="23" t="n">
        <v>46209</v>
      </c>
      <c r="B126" t="inlineStr">
        <is>
          <t>Milho - Cepea</t>
        </is>
      </c>
      <c r="C126" s="22" t="n">
        <v>64</v>
      </c>
    </row>
    <row r="127">
      <c r="A127" s="23" t="n">
        <v>46210</v>
      </c>
      <c r="B127" t="inlineStr">
        <is>
          <t>Milho - Cepea</t>
        </is>
      </c>
      <c r="C127" s="22" t="n">
        <v>64.31</v>
      </c>
    </row>
    <row r="128">
      <c r="A128" s="23" t="n">
        <v>46211</v>
      </c>
      <c r="B128" t="inlineStr">
        <is>
          <t>Milho - Cepea</t>
        </is>
      </c>
      <c r="C128" s="22" t="n">
        <v>64.37</v>
      </c>
    </row>
    <row r="129">
      <c r="A129" s="23" t="n">
        <v>46212</v>
      </c>
      <c r="B129" t="inlineStr">
        <is>
          <t>Milho - Cepea</t>
        </is>
      </c>
      <c r="C129" s="22" t="n">
        <v>64.37</v>
      </c>
    </row>
    <row r="130">
      <c r="A130" s="23" t="n">
        <v>46213</v>
      </c>
      <c r="B130" t="inlineStr">
        <is>
          <t>Milho - Cepea</t>
        </is>
      </c>
      <c r="C130" s="22" t="n">
        <v>64.51000000000001</v>
      </c>
    </row>
    <row r="131">
      <c r="A131" s="23" t="n">
        <v>46216</v>
      </c>
      <c r="B131" t="inlineStr">
        <is>
          <t>Milho - Cepea</t>
        </is>
      </c>
      <c r="C131" s="22" t="n">
        <v>64.62</v>
      </c>
    </row>
    <row r="132">
      <c r="A132" s="23" t="n">
        <v>46217</v>
      </c>
      <c r="B132" t="inlineStr">
        <is>
          <t>Milho - Cepea</t>
        </is>
      </c>
      <c r="C132" s="22" t="n">
        <v>64.64</v>
      </c>
    </row>
    <row r="133">
      <c r="A133" s="9" t="n"/>
      <c r="C133" s="3" t="n"/>
    </row>
    <row r="134">
      <c r="A134" s="9" t="n"/>
      <c r="C134" s="3" t="n"/>
    </row>
    <row r="135">
      <c r="A135" s="9" t="n"/>
      <c r="C135" s="3" t="n"/>
    </row>
    <row r="136">
      <c r="A136" s="9" t="n"/>
      <c r="C136" s="3" t="n"/>
    </row>
    <row r="137">
      <c r="A137" s="9" t="n"/>
      <c r="C137" s="3" t="n"/>
    </row>
    <row r="138">
      <c r="A138" s="9" t="n"/>
      <c r="C138" s="3" t="n"/>
    </row>
    <row r="139">
      <c r="A139" s="9" t="n"/>
      <c r="C139" s="3" t="n"/>
    </row>
    <row r="140">
      <c r="A140" s="9" t="n"/>
      <c r="C140" s="3" t="n"/>
    </row>
    <row r="141">
      <c r="A141" s="9" t="n"/>
      <c r="C141" s="3" t="n"/>
    </row>
    <row r="142">
      <c r="A142" s="9" t="n"/>
      <c r="C142" s="3" t="n"/>
    </row>
    <row r="143">
      <c r="A143" s="9" t="n"/>
      <c r="C143" s="3" t="n"/>
    </row>
    <row r="144">
      <c r="A144" s="9" t="n"/>
      <c r="C144" s="3" t="n"/>
    </row>
    <row r="145">
      <c r="A145" s="9" t="n"/>
      <c r="C145" s="3" t="n"/>
    </row>
    <row r="146">
      <c r="A146" s="9" t="n"/>
      <c r="C146" s="3" t="n"/>
    </row>
    <row r="147">
      <c r="A147" s="9" t="n"/>
      <c r="C147" s="3" t="n"/>
    </row>
    <row r="148">
      <c r="A148" s="9" t="n"/>
      <c r="C148" s="3" t="n"/>
    </row>
    <row r="149">
      <c r="A149" s="9" t="n"/>
      <c r="C149" s="3" t="n"/>
    </row>
    <row r="150">
      <c r="A150" s="9" t="n"/>
      <c r="C150" s="3" t="n"/>
    </row>
    <row r="151">
      <c r="A151" s="9" t="n"/>
      <c r="C151" s="3" t="n"/>
    </row>
    <row r="152">
      <c r="A152" s="9" t="n"/>
      <c r="C152" s="3" t="n"/>
    </row>
    <row r="153">
      <c r="A153" s="9" t="n"/>
      <c r="C153" s="3" t="n"/>
    </row>
    <row r="154">
      <c r="A154" s="9" t="n"/>
      <c r="C154" s="3" t="n"/>
    </row>
    <row r="155">
      <c r="A155" s="9" t="n"/>
      <c r="C155" s="3" t="n"/>
    </row>
    <row r="156">
      <c r="A156" s="9" t="n"/>
      <c r="C156" s="3" t="n"/>
    </row>
    <row r="157">
      <c r="A157" s="9" t="n"/>
      <c r="C157" s="3" t="n"/>
    </row>
    <row r="158">
      <c r="A158" s="9" t="n"/>
      <c r="C158" s="3" t="n"/>
    </row>
    <row r="159">
      <c r="A159" s="9" t="n"/>
      <c r="C159" s="3" t="n"/>
    </row>
    <row r="160">
      <c r="A160" s="9" t="n"/>
      <c r="C160" s="3" t="n"/>
    </row>
    <row r="161">
      <c r="A161" s="9" t="n"/>
      <c r="C161" s="3" t="n"/>
    </row>
    <row r="162">
      <c r="A162" s="9" t="n"/>
      <c r="C162" s="3" t="n"/>
    </row>
    <row r="163">
      <c r="A163" s="9" t="n"/>
      <c r="C163" s="3" t="n"/>
    </row>
    <row r="164">
      <c r="A164" s="9" t="n"/>
      <c r="C164" s="3" t="n"/>
    </row>
    <row r="165">
      <c r="A165" s="9" t="n"/>
      <c r="C165" s="3" t="n"/>
    </row>
    <row r="166">
      <c r="A166" s="9" t="n"/>
      <c r="C166" s="3" t="n"/>
    </row>
    <row r="167">
      <c r="A167" s="9" t="n"/>
      <c r="C167" s="3" t="n"/>
    </row>
    <row r="168">
      <c r="A168" s="9" t="n"/>
      <c r="C168" s="3" t="n"/>
    </row>
    <row r="169">
      <c r="A169" s="9" t="n"/>
      <c r="C169" s="3" t="n"/>
    </row>
    <row r="170">
      <c r="A170" s="9" t="n"/>
      <c r="C170" s="3" t="n"/>
    </row>
    <row r="171">
      <c r="A171" s="9" t="n"/>
      <c r="C171" s="3" t="n"/>
    </row>
    <row r="172">
      <c r="A172" s="9" t="n"/>
      <c r="C172" s="3" t="n"/>
    </row>
    <row r="173">
      <c r="A173" s="9" t="n"/>
      <c r="C173" s="3" t="n"/>
    </row>
    <row r="174">
      <c r="A174" s="9" t="n"/>
      <c r="C174" s="3" t="n"/>
    </row>
    <row r="175">
      <c r="A175" s="9" t="n"/>
      <c r="C175" s="3" t="n"/>
    </row>
    <row r="176">
      <c r="A176" s="9" t="n"/>
      <c r="C176" s="3" t="n"/>
    </row>
    <row r="177">
      <c r="A177" s="9" t="n"/>
      <c r="C177" s="3" t="n"/>
    </row>
    <row r="178">
      <c r="A178" s="9" t="n"/>
      <c r="C178" s="3" t="n"/>
    </row>
    <row r="179">
      <c r="A179" s="9" t="n"/>
      <c r="C179" s="3" t="n"/>
    </row>
    <row r="180">
      <c r="A180" s="9" t="n"/>
      <c r="C180" s="3" t="n"/>
    </row>
    <row r="181">
      <c r="A181" s="9" t="n"/>
      <c r="C181" s="3" t="n"/>
    </row>
    <row r="182">
      <c r="A182" s="9" t="n"/>
      <c r="C182" s="3" t="n"/>
    </row>
    <row r="183">
      <c r="A183" s="9" t="n"/>
      <c r="C183" s="3" t="n"/>
    </row>
    <row r="184">
      <c r="A184" s="9" t="n"/>
      <c r="C184" s="3" t="n"/>
    </row>
    <row r="185">
      <c r="A185" s="9" t="n"/>
      <c r="C185" s="3" t="n"/>
    </row>
    <row r="186">
      <c r="A186" s="9" t="n"/>
      <c r="C186" s="3" t="n"/>
    </row>
    <row r="187">
      <c r="A187" s="9" t="n"/>
      <c r="C187" s="3" t="n"/>
    </row>
    <row r="188">
      <c r="A188" s="9" t="n"/>
      <c r="C188" s="3" t="n"/>
    </row>
    <row r="189">
      <c r="A189" s="9" t="n"/>
      <c r="C189" s="3" t="n"/>
    </row>
    <row r="190">
      <c r="A190" s="9" t="n"/>
      <c r="C190" s="3" t="n"/>
    </row>
    <row r="191">
      <c r="A191" s="9" t="n"/>
      <c r="C191" s="3" t="n"/>
    </row>
    <row r="192">
      <c r="A192" s="9" t="n"/>
      <c r="C192" s="3" t="n"/>
    </row>
    <row r="193">
      <c r="A193" s="9" t="n"/>
      <c r="C193" s="3" t="n"/>
    </row>
    <row r="194">
      <c r="A194" s="9" t="n"/>
      <c r="C194" s="3" t="n"/>
    </row>
    <row r="195">
      <c r="A195" s="9" t="n"/>
      <c r="C195" s="3" t="n"/>
    </row>
    <row r="196">
      <c r="A196" s="9" t="n"/>
      <c r="C196" s="3" t="n"/>
    </row>
    <row r="197">
      <c r="A197" s="9" t="n"/>
      <c r="C197" s="3" t="n"/>
    </row>
    <row r="198">
      <c r="A198" s="9" t="n"/>
      <c r="C198" s="3" t="n"/>
    </row>
    <row r="199">
      <c r="A199" s="9" t="n"/>
      <c r="C199" s="3" t="n"/>
    </row>
    <row r="200">
      <c r="A200" s="9" t="n"/>
      <c r="C200" s="3" t="n"/>
    </row>
    <row r="201">
      <c r="A201" s="9" t="n"/>
      <c r="C201" s="3" t="n"/>
    </row>
    <row r="202">
      <c r="A202" s="9" t="n"/>
      <c r="C202" s="3" t="n"/>
    </row>
    <row r="203">
      <c r="A203" s="9" t="n"/>
      <c r="C203" s="3" t="n"/>
    </row>
    <row r="204">
      <c r="A204" s="9" t="n"/>
      <c r="C204" s="3" t="n"/>
    </row>
    <row r="205">
      <c r="A205" s="9" t="n"/>
      <c r="C205" s="3" t="n"/>
    </row>
    <row r="206">
      <c r="A206" s="9" t="n"/>
      <c r="C206" s="3" t="n"/>
    </row>
    <row r="207">
      <c r="A207" s="9" t="n"/>
      <c r="C207" s="3" t="n"/>
    </row>
    <row r="208">
      <c r="A208" s="9" t="n"/>
      <c r="C208" s="3" t="n"/>
    </row>
    <row r="209">
      <c r="A209" s="9" t="n"/>
      <c r="C209" s="3" t="n"/>
    </row>
    <row r="210">
      <c r="A210" s="9" t="n"/>
      <c r="C210" s="3" t="n"/>
    </row>
    <row r="211">
      <c r="A211" s="9" t="n"/>
      <c r="C211" s="3" t="n"/>
    </row>
    <row r="212">
      <c r="A212" s="9" t="n"/>
      <c r="C212" s="3" t="n"/>
    </row>
    <row r="213">
      <c r="A213" s="9" t="n"/>
      <c r="C213" s="3" t="n"/>
    </row>
    <row r="214">
      <c r="A214" s="9" t="n"/>
      <c r="C214" s="3" t="n"/>
    </row>
    <row r="215">
      <c r="A215" s="9" t="n"/>
      <c r="C215" s="3" t="n"/>
    </row>
    <row r="216">
      <c r="A216" s="9" t="n"/>
      <c r="C216" s="3" t="n"/>
    </row>
    <row r="217">
      <c r="A217" s="9" t="n"/>
      <c r="C217" s="3" t="n"/>
    </row>
    <row r="218">
      <c r="A218" s="9" t="n"/>
      <c r="C218" s="3" t="n"/>
    </row>
    <row r="219">
      <c r="A219" s="9" t="n"/>
      <c r="C219" s="3" t="n"/>
    </row>
    <row r="220">
      <c r="A220" s="9" t="n"/>
      <c r="C220" s="3" t="n"/>
    </row>
    <row r="221">
      <c r="A221" s="9" t="n"/>
      <c r="C221" s="3" t="n"/>
    </row>
    <row r="222">
      <c r="A222" s="9" t="n"/>
      <c r="C222" s="3" t="n"/>
    </row>
    <row r="223">
      <c r="A223" s="9" t="n"/>
      <c r="C223" s="3" t="n"/>
    </row>
    <row r="224">
      <c r="A224" s="9" t="n"/>
      <c r="C224" s="3" t="n"/>
    </row>
    <row r="225">
      <c r="A225" s="9" t="n"/>
      <c r="C225" s="3" t="n"/>
    </row>
    <row r="226">
      <c r="A226" s="9" t="n"/>
      <c r="C226" s="3" t="n"/>
    </row>
    <row r="227">
      <c r="A227" s="9" t="n"/>
      <c r="C227" s="3" t="n"/>
    </row>
    <row r="228">
      <c r="A228" s="9" t="n"/>
      <c r="C228" s="3" t="n"/>
    </row>
    <row r="229">
      <c r="A229" s="9" t="n"/>
      <c r="C229" s="3" t="n"/>
    </row>
    <row r="230">
      <c r="A230" s="9" t="n"/>
      <c r="C230" s="3" t="n"/>
    </row>
    <row r="231">
      <c r="A231" s="9" t="n"/>
      <c r="C231" s="3" t="n"/>
    </row>
    <row r="232">
      <c r="A232" s="9" t="n"/>
      <c r="C232" s="3" t="n"/>
    </row>
    <row r="233">
      <c r="A233" s="9" t="n"/>
      <c r="C233" s="3" t="n"/>
    </row>
    <row r="234">
      <c r="A234" s="9" t="n"/>
      <c r="C234" s="3" t="n"/>
    </row>
    <row r="235">
      <c r="A235" s="9" t="n"/>
      <c r="C235" s="3" t="n"/>
    </row>
    <row r="236">
      <c r="A236" s="9" t="n"/>
      <c r="C236" s="3" t="n"/>
    </row>
    <row r="237">
      <c r="A237" s="9" t="n"/>
      <c r="C237" s="3" t="n"/>
    </row>
    <row r="238">
      <c r="A238" s="9" t="n"/>
      <c r="C238" s="3" t="n"/>
    </row>
    <row r="239">
      <c r="A239" s="9" t="n"/>
      <c r="C239" s="3" t="n"/>
    </row>
    <row r="240">
      <c r="A240" s="9" t="n"/>
      <c r="C240" s="3" t="n"/>
    </row>
    <row r="241">
      <c r="A241" s="9" t="n"/>
      <c r="C241" s="3" t="n"/>
    </row>
    <row r="242">
      <c r="A242" s="9" t="n"/>
      <c r="C242" s="3" t="n"/>
    </row>
    <row r="243">
      <c r="A243" s="9" t="n"/>
      <c r="C243" s="3" t="n"/>
    </row>
    <row r="244">
      <c r="A244" s="9" t="n"/>
      <c r="C244" s="3" t="n"/>
    </row>
    <row r="245">
      <c r="A245" s="9" t="n"/>
      <c r="C245" s="3" t="n"/>
    </row>
    <row r="246">
      <c r="A246" s="9" t="n"/>
      <c r="C246" s="3" t="n"/>
    </row>
    <row r="247">
      <c r="A247" s="9" t="n"/>
      <c r="C247" s="3" t="n"/>
    </row>
    <row r="248">
      <c r="A248" s="9" t="n"/>
      <c r="C248" s="3" t="n"/>
    </row>
    <row r="249">
      <c r="A249" s="9" t="n"/>
      <c r="C249" s="3" t="n"/>
    </row>
    <row r="250">
      <c r="A250" s="9" t="n"/>
      <c r="C250" s="3" t="n"/>
    </row>
    <row r="251">
      <c r="A251" s="9" t="n"/>
      <c r="C251" s="3" t="n"/>
    </row>
    <row r="252">
      <c r="A252" s="9" t="n"/>
      <c r="C252" s="3" t="n"/>
    </row>
    <row r="253">
      <c r="A253" s="9" t="n"/>
      <c r="C253" s="3" t="n"/>
    </row>
    <row r="254">
      <c r="A254" s="9" t="n"/>
      <c r="C254" s="3" t="n"/>
    </row>
    <row r="255">
      <c r="A255" s="9" t="n"/>
      <c r="C255" s="3" t="n"/>
    </row>
    <row r="256">
      <c r="A256" s="9" t="n"/>
      <c r="C256" s="3" t="n"/>
    </row>
    <row r="257">
      <c r="A257" s="9" t="n"/>
      <c r="C257" s="3" t="n"/>
    </row>
    <row r="258">
      <c r="A258" s="9" t="n"/>
      <c r="C258" s="3" t="n"/>
    </row>
    <row r="259">
      <c r="A259" s="9" t="n"/>
      <c r="C259" s="3" t="n"/>
    </row>
    <row r="260">
      <c r="A260" s="9" t="n"/>
      <c r="C260" s="3" t="n"/>
    </row>
    <row r="261">
      <c r="A261" s="9" t="n"/>
      <c r="C261" s="3" t="n"/>
    </row>
    <row r="262">
      <c r="A262" s="9" t="n"/>
      <c r="C262" s="3" t="n"/>
    </row>
    <row r="263">
      <c r="A263" s="9" t="n"/>
      <c r="C263" s="3" t="n"/>
    </row>
    <row r="264">
      <c r="A264" s="9" t="n"/>
    </row>
    <row r="265">
      <c r="A265" s="9" t="n"/>
    </row>
    <row r="266">
      <c r="A266" s="9" t="n"/>
    </row>
    <row r="267">
      <c r="A267" s="9" t="n"/>
    </row>
    <row r="268">
      <c r="A268" s="9" t="n"/>
    </row>
    <row r="269">
      <c r="A269" s="9" t="n"/>
    </row>
    <row r="270">
      <c r="A270" s="9" t="n"/>
    </row>
    <row r="271">
      <c r="A271" s="9" t="n"/>
    </row>
    <row r="272">
      <c r="A272" s="9" t="n"/>
    </row>
    <row r="273">
      <c r="A273" s="9" t="n"/>
    </row>
    <row r="274">
      <c r="A274" s="9" t="n"/>
    </row>
    <row r="275">
      <c r="A275" s="9" t="n"/>
    </row>
    <row r="276">
      <c r="A276" s="9" t="n"/>
    </row>
    <row r="277">
      <c r="A277" s="9" t="n"/>
    </row>
    <row r="278">
      <c r="A278" s="9" t="n"/>
    </row>
    <row r="279">
      <c r="A279" s="9" t="n"/>
    </row>
    <row r="280">
      <c r="A280" s="9" t="n"/>
    </row>
    <row r="281">
      <c r="A281" s="9" t="n"/>
    </row>
    <row r="282">
      <c r="A282" s="9" t="n"/>
    </row>
    <row r="283">
      <c r="A283" s="9" t="n"/>
    </row>
    <row r="284">
      <c r="A284" s="9" t="n"/>
    </row>
    <row r="285">
      <c r="A285" s="9" t="n"/>
    </row>
    <row r="286">
      <c r="A286" s="9" t="n"/>
    </row>
    <row r="287">
      <c r="A287" s="9" t="n"/>
    </row>
    <row r="288">
      <c r="A288" s="9" t="n"/>
    </row>
    <row r="289">
      <c r="A289" s="9" t="n"/>
    </row>
    <row r="290">
      <c r="A290" s="9" t="n"/>
    </row>
    <row r="291">
      <c r="A291" s="9" t="n"/>
    </row>
    <row r="292">
      <c r="A292" s="9" t="n"/>
    </row>
    <row r="293">
      <c r="A293" s="9" t="n"/>
    </row>
    <row r="294">
      <c r="A294" s="9" t="n"/>
    </row>
    <row r="295">
      <c r="A295" s="9" t="n"/>
    </row>
    <row r="296">
      <c r="A296" s="9" t="n"/>
    </row>
    <row r="297">
      <c r="A297" s="9" t="n"/>
    </row>
    <row r="298">
      <c r="A298" s="9" t="n"/>
    </row>
    <row r="299">
      <c r="A299" s="9" t="n"/>
    </row>
    <row r="300">
      <c r="A300" s="12" t="n"/>
    </row>
    <row r="301">
      <c r="A301" s="12" t="n"/>
    </row>
    <row r="302">
      <c r="A302" s="12" t="n"/>
    </row>
    <row r="303">
      <c r="A303" s="12" t="n"/>
    </row>
    <row r="304">
      <c r="A304" s="12" t="n"/>
    </row>
    <row r="305">
      <c r="A305" s="12" t="n"/>
    </row>
    <row r="306">
      <c r="A306" s="12" t="n"/>
    </row>
    <row r="307">
      <c r="A307" s="12" t="n"/>
    </row>
    <row r="308">
      <c r="A308" s="12" t="n"/>
    </row>
    <row r="309">
      <c r="A309" s="12" t="n"/>
    </row>
    <row r="310">
      <c r="A310" s="12" t="n"/>
    </row>
    <row r="311">
      <c r="A311" s="12" t="n"/>
    </row>
    <row r="312">
      <c r="A312" s="12" t="n"/>
    </row>
    <row r="313">
      <c r="A313" s="12" t="n"/>
    </row>
    <row r="314">
      <c r="A314" s="12" t="n"/>
    </row>
    <row r="315">
      <c r="A315" s="12" t="n"/>
    </row>
    <row r="316">
      <c r="A316" s="12" t="n"/>
    </row>
    <row r="317">
      <c r="A317" s="12" t="n"/>
    </row>
    <row r="318">
      <c r="A318" s="12" t="n"/>
    </row>
    <row r="319">
      <c r="A319" s="12" t="n"/>
    </row>
    <row r="320">
      <c r="A320" s="12" t="n"/>
    </row>
    <row r="321">
      <c r="A321" s="12" t="n"/>
    </row>
    <row r="322">
      <c r="A322" s="12" t="n"/>
    </row>
    <row r="323">
      <c r="A323" s="12" t="n"/>
    </row>
    <row r="324">
      <c r="A324" s="12" t="n"/>
    </row>
    <row r="325">
      <c r="A325" s="12" t="n"/>
    </row>
    <row r="326">
      <c r="A326" s="12" t="n"/>
    </row>
    <row r="327">
      <c r="A327" s="12" t="n"/>
    </row>
    <row r="328">
      <c r="A328" s="12" t="n"/>
    </row>
    <row r="329">
      <c r="A329" s="12" t="n"/>
    </row>
    <row r="330">
      <c r="A330" s="12" t="n"/>
    </row>
    <row r="331">
      <c r="A331" s="12" t="n"/>
    </row>
    <row r="332">
      <c r="A332" s="12" t="n"/>
    </row>
    <row r="333">
      <c r="A333" s="12" t="n"/>
    </row>
    <row r="334">
      <c r="A334" s="12" t="n"/>
    </row>
    <row r="335">
      <c r="A335" s="12" t="n"/>
    </row>
    <row r="336">
      <c r="A336" s="12" t="n"/>
    </row>
    <row r="337">
      <c r="A337" s="12" t="n"/>
    </row>
    <row r="338">
      <c r="A338" s="12" t="n"/>
    </row>
    <row r="339">
      <c r="A339" s="12" t="n"/>
    </row>
    <row r="340">
      <c r="A340" s="12" t="n"/>
    </row>
    <row r="341">
      <c r="A341" s="12" t="n"/>
    </row>
    <row r="342">
      <c r="A342" s="12" t="n"/>
    </row>
    <row r="343">
      <c r="A343" s="12" t="n"/>
    </row>
    <row r="344">
      <c r="A344" s="12" t="n"/>
    </row>
    <row r="345">
      <c r="A345" s="12" t="n"/>
    </row>
    <row r="346">
      <c r="A346" s="12" t="n"/>
    </row>
    <row r="347">
      <c r="A347" s="12" t="n"/>
    </row>
    <row r="348">
      <c r="A348" s="12" t="n"/>
    </row>
    <row r="349">
      <c r="A349" s="12" t="n"/>
    </row>
    <row r="350">
      <c r="A350" s="12" t="n"/>
    </row>
    <row r="351">
      <c r="A351" s="12" t="n"/>
    </row>
    <row r="352">
      <c r="A352" s="12" t="n"/>
    </row>
    <row r="353">
      <c r="A353" s="12" t="n"/>
    </row>
    <row r="354">
      <c r="A354" s="12" t="n"/>
    </row>
    <row r="355">
      <c r="A355" s="12" t="n"/>
    </row>
    <row r="356">
      <c r="A356" s="12" t="n"/>
    </row>
    <row r="357">
      <c r="A357" s="12" t="n"/>
    </row>
    <row r="358">
      <c r="A358" s="12" t="n"/>
    </row>
    <row r="359">
      <c r="A359" s="12" t="n"/>
    </row>
    <row r="360">
      <c r="A360" s="12" t="n"/>
    </row>
    <row r="361">
      <c r="A361" s="12" t="n"/>
    </row>
    <row r="362">
      <c r="A362" s="12" t="n"/>
    </row>
    <row r="363">
      <c r="A363" s="12" t="n"/>
    </row>
    <row r="364">
      <c r="A364" s="12" t="n"/>
    </row>
    <row r="365">
      <c r="A365" s="12" t="n"/>
    </row>
    <row r="366">
      <c r="A366" s="12" t="n"/>
    </row>
    <row r="367">
      <c r="A367" s="12" t="n"/>
    </row>
    <row r="368">
      <c r="A368" s="12" t="n"/>
    </row>
    <row r="369">
      <c r="A369" s="12" t="n"/>
    </row>
    <row r="370">
      <c r="A370" s="12" t="n"/>
    </row>
    <row r="371">
      <c r="A371" s="12" t="n"/>
    </row>
    <row r="372">
      <c r="A372" s="12" t="n"/>
    </row>
    <row r="373">
      <c r="A373" s="12" t="n"/>
    </row>
    <row r="374">
      <c r="A374" s="12" t="n"/>
    </row>
    <row r="375">
      <c r="A375" s="12" t="n"/>
    </row>
    <row r="376">
      <c r="A376" s="12" t="n"/>
    </row>
    <row r="377">
      <c r="A377" s="12" t="n"/>
    </row>
    <row r="378">
      <c r="A378" s="12" t="n"/>
    </row>
    <row r="379">
      <c r="A379" s="12" t="n"/>
    </row>
    <row r="380">
      <c r="A380" s="12" t="n"/>
    </row>
    <row r="381">
      <c r="A381" s="12" t="n"/>
    </row>
    <row r="382">
      <c r="A382" s="12" t="n"/>
    </row>
    <row r="383">
      <c r="A383" s="12" t="n"/>
    </row>
    <row r="384">
      <c r="A384" s="12" t="n"/>
    </row>
    <row r="385">
      <c r="A385" s="12" t="n"/>
    </row>
    <row r="386">
      <c r="A386" s="12" t="n"/>
    </row>
    <row r="387">
      <c r="A387" s="12" t="n"/>
    </row>
    <row r="388">
      <c r="A388" s="12" t="n"/>
    </row>
    <row r="389">
      <c r="A389" s="12" t="n"/>
    </row>
    <row r="390">
      <c r="A390" s="12" t="n"/>
    </row>
    <row r="391">
      <c r="A391" s="12" t="n"/>
    </row>
    <row r="392">
      <c r="A392" s="12" t="n"/>
    </row>
    <row r="393">
      <c r="A393" s="12" t="n"/>
    </row>
    <row r="394">
      <c r="A394" s="12" t="n"/>
    </row>
    <row r="395">
      <c r="A395" s="12" t="n"/>
    </row>
    <row r="396">
      <c r="A396" s="12" t="n"/>
    </row>
    <row r="397">
      <c r="A397" s="12" t="n"/>
    </row>
    <row r="398">
      <c r="A398" s="12" t="n"/>
    </row>
    <row r="399">
      <c r="A399" s="12" t="n"/>
    </row>
    <row r="400">
      <c r="A400" s="12" t="n"/>
    </row>
    <row r="401">
      <c r="A401" s="12" t="n"/>
    </row>
    <row r="402">
      <c r="A402" s="12" t="n"/>
    </row>
    <row r="403">
      <c r="A403" s="12" t="n"/>
    </row>
    <row r="404">
      <c r="A404" s="12" t="n"/>
    </row>
    <row r="405">
      <c r="A405" s="12" t="n"/>
    </row>
    <row r="406">
      <c r="A406" s="12" t="n"/>
    </row>
    <row r="407">
      <c r="A407" s="12" t="n"/>
    </row>
    <row r="408">
      <c r="A408" s="12" t="n"/>
    </row>
    <row r="409">
      <c r="A409" s="12" t="n"/>
    </row>
    <row r="410">
      <c r="A410" s="12" t="n"/>
    </row>
    <row r="411">
      <c r="A411" s="12" t="n"/>
    </row>
    <row r="412">
      <c r="A412" s="12" t="n"/>
    </row>
    <row r="413">
      <c r="A413" s="12" t="n"/>
    </row>
    <row r="414">
      <c r="A414" s="12" t="n"/>
    </row>
    <row r="415">
      <c r="A415" s="12" t="n"/>
    </row>
    <row r="416">
      <c r="A416" s="12" t="n"/>
    </row>
    <row r="417">
      <c r="A417" s="12" t="n"/>
    </row>
    <row r="418">
      <c r="A418" s="12" t="n"/>
    </row>
    <row r="419">
      <c r="A419" s="12" t="n"/>
    </row>
    <row r="420">
      <c r="A420" s="12" t="n"/>
    </row>
    <row r="421">
      <c r="A421" s="12" t="n"/>
    </row>
    <row r="422">
      <c r="A422" s="12" t="n"/>
    </row>
    <row r="423">
      <c r="A423" s="12" t="n"/>
    </row>
    <row r="424">
      <c r="A424" s="12" t="n"/>
    </row>
    <row r="425">
      <c r="A425" s="12" t="n"/>
    </row>
    <row r="426">
      <c r="A426" s="12" t="n"/>
    </row>
    <row r="427">
      <c r="A427" s="12" t="n"/>
    </row>
    <row r="428">
      <c r="A428" s="12" t="n"/>
    </row>
    <row r="429">
      <c r="A429" s="12" t="n"/>
    </row>
    <row r="430">
      <c r="A430" s="12" t="n"/>
    </row>
    <row r="431">
      <c r="A431" s="12" t="n"/>
    </row>
    <row r="432">
      <c r="A432" s="12" t="n"/>
    </row>
    <row r="433">
      <c r="A433" s="12" t="n"/>
    </row>
    <row r="434">
      <c r="A434" s="12" t="n"/>
    </row>
    <row r="435">
      <c r="A435" s="12" t="n"/>
    </row>
    <row r="436">
      <c r="A436" s="12" t="n"/>
    </row>
    <row r="437">
      <c r="A437" s="12" t="n"/>
    </row>
    <row r="438">
      <c r="A438" s="12" t="n"/>
    </row>
    <row r="439">
      <c r="A439" s="12" t="n"/>
    </row>
    <row r="440">
      <c r="A440" s="12" t="n"/>
    </row>
    <row r="441">
      <c r="A441" s="12" t="n"/>
    </row>
    <row r="442">
      <c r="A442" s="12" t="n"/>
    </row>
    <row r="443">
      <c r="A443" s="12" t="n"/>
    </row>
    <row r="444">
      <c r="A444" s="12" t="n"/>
    </row>
    <row r="445">
      <c r="A445" s="12" t="n"/>
    </row>
    <row r="446">
      <c r="A446" s="12" t="n"/>
    </row>
    <row r="447">
      <c r="A447" s="12" t="n"/>
    </row>
    <row r="448">
      <c r="A448" s="12" t="n"/>
    </row>
    <row r="449">
      <c r="A449" s="12" t="n"/>
    </row>
    <row r="450">
      <c r="A450" s="12" t="n"/>
    </row>
    <row r="451">
      <c r="A451" s="12" t="n"/>
    </row>
    <row r="452">
      <c r="A452" s="12" t="n"/>
    </row>
    <row r="453">
      <c r="A453" s="12" t="n"/>
    </row>
    <row r="454">
      <c r="A454" s="12" t="n"/>
    </row>
    <row r="455">
      <c r="A455" s="12" t="n"/>
    </row>
    <row r="456">
      <c r="A456" s="12" t="n"/>
    </row>
    <row r="457">
      <c r="A457" s="12" t="n"/>
    </row>
    <row r="458">
      <c r="A458" s="12" t="n"/>
    </row>
    <row r="459">
      <c r="A459" s="12" t="n"/>
    </row>
    <row r="460">
      <c r="A460" s="12" t="n"/>
    </row>
    <row r="461">
      <c r="A461" s="12" t="n"/>
    </row>
    <row r="462">
      <c r="A462" s="12" t="n"/>
    </row>
    <row r="463">
      <c r="A463" s="12" t="n"/>
    </row>
    <row r="464">
      <c r="A464" s="12" t="n"/>
    </row>
    <row r="465">
      <c r="A465" s="12" t="n"/>
    </row>
    <row r="466">
      <c r="A466" s="12" t="n"/>
    </row>
    <row r="467">
      <c r="A467" s="12" t="n"/>
    </row>
    <row r="468">
      <c r="A468" s="12" t="n"/>
    </row>
    <row r="469">
      <c r="A469" s="12" t="n"/>
    </row>
    <row r="470">
      <c r="A470" s="12" t="n"/>
    </row>
    <row r="471">
      <c r="A471" s="12" t="n"/>
    </row>
    <row r="472">
      <c r="A472" s="12" t="n"/>
    </row>
    <row r="473">
      <c r="A473" s="12" t="n"/>
    </row>
    <row r="474">
      <c r="A474" s="12" t="n"/>
    </row>
    <row r="475">
      <c r="A475" s="12" t="n"/>
    </row>
    <row r="476">
      <c r="A476" s="12" t="n"/>
    </row>
    <row r="477">
      <c r="A477" s="12" t="n"/>
    </row>
    <row r="478">
      <c r="A478" s="12" t="n"/>
    </row>
    <row r="479">
      <c r="A479" s="12" t="n"/>
    </row>
    <row r="480">
      <c r="A480" s="12" t="n"/>
    </row>
    <row r="481">
      <c r="A481" s="12" t="n"/>
    </row>
    <row r="482">
      <c r="A482" s="12" t="n"/>
    </row>
    <row r="483">
      <c r="A483" s="12" t="n"/>
    </row>
    <row r="484">
      <c r="A484" s="12" t="n"/>
    </row>
    <row r="485">
      <c r="A485" s="12" t="n"/>
    </row>
    <row r="486">
      <c r="A486" s="12" t="n"/>
    </row>
    <row r="487">
      <c r="A487" s="12" t="n"/>
    </row>
    <row r="488">
      <c r="A488" s="12" t="n"/>
    </row>
    <row r="489">
      <c r="A489" s="12" t="n"/>
    </row>
    <row r="490">
      <c r="A490" s="12" t="n"/>
    </row>
    <row r="491">
      <c r="A491" s="12" t="n"/>
    </row>
    <row r="492">
      <c r="A492" s="12" t="n"/>
    </row>
    <row r="493">
      <c r="A493" s="12" t="n"/>
    </row>
    <row r="494">
      <c r="A494" s="12" t="n"/>
    </row>
    <row r="495">
      <c r="A495" s="12" t="n"/>
    </row>
    <row r="496">
      <c r="A496" s="12" t="n"/>
    </row>
    <row r="497">
      <c r="A497" s="12" t="n"/>
    </row>
    <row r="498">
      <c r="A498" s="12" t="n"/>
    </row>
    <row r="499">
      <c r="A499" s="12" t="n"/>
    </row>
    <row r="500">
      <c r="A500" s="12" t="n"/>
    </row>
    <row r="501">
      <c r="A501" s="12" t="n"/>
    </row>
    <row r="502">
      <c r="A502" s="12" t="n"/>
    </row>
    <row r="503">
      <c r="A503" s="12" t="n"/>
    </row>
    <row r="504">
      <c r="A504" s="12" t="n"/>
    </row>
    <row r="505">
      <c r="A505" s="12" t="n"/>
    </row>
    <row r="506">
      <c r="A506" s="12" t="n"/>
    </row>
    <row r="507">
      <c r="A507" s="12" t="n"/>
    </row>
    <row r="508">
      <c r="A508" s="12" t="n"/>
    </row>
    <row r="509">
      <c r="A509" s="12" t="n"/>
    </row>
    <row r="510">
      <c r="A510" s="12" t="n"/>
    </row>
    <row r="511">
      <c r="A511" s="12" t="n"/>
    </row>
    <row r="512">
      <c r="A512" s="12" t="n"/>
    </row>
    <row r="513">
      <c r="A513" s="12" t="n"/>
    </row>
    <row r="514">
      <c r="A514" s="12" t="n"/>
    </row>
    <row r="515">
      <c r="A515" s="12" t="n"/>
    </row>
    <row r="516">
      <c r="A516" s="12" t="n"/>
    </row>
    <row r="517">
      <c r="A517" s="12" t="n"/>
    </row>
    <row r="518">
      <c r="A518" s="12" t="n"/>
    </row>
    <row r="519">
      <c r="A519" s="12" t="n"/>
    </row>
    <row r="520">
      <c r="A520" s="12" t="n"/>
    </row>
    <row r="521">
      <c r="A521" s="12" t="n"/>
    </row>
    <row r="522">
      <c r="A522" s="12" t="n"/>
    </row>
    <row r="523">
      <c r="A523" s="12" t="n"/>
    </row>
    <row r="524">
      <c r="A524" s="12" t="n"/>
    </row>
    <row r="525">
      <c r="A525" s="12" t="n"/>
    </row>
    <row r="526">
      <c r="A526" s="12" t="n"/>
    </row>
    <row r="527">
      <c r="A527" s="12" t="n"/>
    </row>
    <row r="528">
      <c r="A528" s="12" t="n"/>
    </row>
    <row r="529">
      <c r="A529" s="12" t="n"/>
    </row>
    <row r="530">
      <c r="A530" s="12" t="n"/>
    </row>
    <row r="531">
      <c r="A531" s="12" t="n"/>
    </row>
    <row r="532">
      <c r="A532" s="12" t="n"/>
    </row>
    <row r="533">
      <c r="A533" s="12" t="n"/>
    </row>
    <row r="534">
      <c r="A534" s="12" t="n"/>
    </row>
    <row r="535">
      <c r="A535" s="12" t="n"/>
    </row>
    <row r="536">
      <c r="A536" s="12" t="n"/>
    </row>
    <row r="537">
      <c r="A537" s="12" t="n"/>
    </row>
    <row r="538">
      <c r="A538" s="12" t="n"/>
    </row>
    <row r="539">
      <c r="A539" s="12" t="n"/>
    </row>
    <row r="540">
      <c r="A540" s="12" t="n"/>
    </row>
    <row r="541">
      <c r="A541" s="12" t="n"/>
    </row>
    <row r="542">
      <c r="A542" s="12" t="n"/>
    </row>
    <row r="543">
      <c r="A543" s="12" t="n"/>
    </row>
    <row r="544">
      <c r="A544" s="12" t="n"/>
    </row>
    <row r="545">
      <c r="A545" s="12" t="n"/>
    </row>
    <row r="546">
      <c r="A546" s="12" t="n"/>
    </row>
    <row r="547">
      <c r="A547" s="12" t="n"/>
    </row>
    <row r="548">
      <c r="A548" s="12" t="n"/>
    </row>
    <row r="549">
      <c r="A549" s="12" t="n"/>
    </row>
    <row r="550">
      <c r="A550" s="12" t="n"/>
    </row>
    <row r="551">
      <c r="A551" s="12" t="n"/>
    </row>
    <row r="552">
      <c r="A552" s="12" t="n"/>
    </row>
    <row r="553">
      <c r="A553" s="12" t="n"/>
    </row>
    <row r="554">
      <c r="A554" s="12" t="n"/>
    </row>
    <row r="555">
      <c r="A555" s="12" t="n"/>
    </row>
    <row r="556">
      <c r="A556" s="12" t="n"/>
    </row>
    <row r="557">
      <c r="A557" s="12" t="n"/>
    </row>
    <row r="558">
      <c r="A558" s="12" t="n"/>
    </row>
    <row r="559">
      <c r="A559" s="12" t="n"/>
    </row>
    <row r="560">
      <c r="A560" s="12" t="n"/>
    </row>
    <row r="561">
      <c r="A561" s="12" t="n"/>
    </row>
    <row r="562">
      <c r="A562" s="12" t="n"/>
    </row>
    <row r="563">
      <c r="A563" s="12" t="n"/>
    </row>
    <row r="564">
      <c r="A564" s="12" t="n"/>
    </row>
    <row r="565">
      <c r="A565" s="12" t="n"/>
    </row>
    <row r="566">
      <c r="A566" s="12" t="n"/>
    </row>
    <row r="567">
      <c r="A567" s="12" t="n"/>
    </row>
    <row r="568">
      <c r="A568" s="12" t="n"/>
    </row>
    <row r="569">
      <c r="A569" s="12" t="n"/>
    </row>
    <row r="570">
      <c r="A570" s="12" t="n"/>
    </row>
    <row r="571">
      <c r="A571" s="12" t="n"/>
    </row>
    <row r="572">
      <c r="A572" s="12" t="n"/>
    </row>
    <row r="573">
      <c r="A573" s="12" t="n"/>
    </row>
    <row r="574">
      <c r="A574" s="12" t="n"/>
    </row>
    <row r="575">
      <c r="A575" s="12" t="n"/>
    </row>
    <row r="576">
      <c r="A576" s="12" t="n"/>
    </row>
    <row r="577">
      <c r="A577" s="12" t="n"/>
    </row>
    <row r="578">
      <c r="A578" s="12" t="n"/>
    </row>
    <row r="579">
      <c r="A579" s="12" t="n"/>
    </row>
    <row r="580">
      <c r="A580" s="12" t="n"/>
    </row>
    <row r="581">
      <c r="A581" s="12" t="n"/>
    </row>
    <row r="582">
      <c r="A582" s="12" t="n"/>
    </row>
    <row r="583">
      <c r="A583" s="12" t="n"/>
    </row>
    <row r="584">
      <c r="A584" s="12" t="n"/>
    </row>
    <row r="585">
      <c r="A585" s="12" t="n"/>
    </row>
    <row r="586">
      <c r="A586" s="12" t="n"/>
    </row>
    <row r="587">
      <c r="A587" s="12" t="n"/>
    </row>
    <row r="588">
      <c r="A588" s="12" t="n"/>
    </row>
    <row r="589">
      <c r="A589" s="12" t="n"/>
    </row>
    <row r="590">
      <c r="A590" s="12" t="n"/>
    </row>
    <row r="591">
      <c r="A591" s="12" t="n"/>
    </row>
    <row r="592">
      <c r="A592" s="12" t="n"/>
    </row>
    <row r="593">
      <c r="A593" s="12" t="n"/>
    </row>
    <row r="594">
      <c r="A594" s="12" t="n"/>
    </row>
    <row r="595">
      <c r="A595" s="12" t="n"/>
    </row>
    <row r="596">
      <c r="A596" s="12" t="n"/>
    </row>
    <row r="597">
      <c r="A597" s="12" t="n"/>
    </row>
    <row r="598">
      <c r="A598" s="12" t="n"/>
    </row>
    <row r="599">
      <c r="A599" s="12" t="n"/>
    </row>
    <row r="600">
      <c r="A600" s="12" t="n"/>
    </row>
    <row r="601">
      <c r="A601" s="12" t="n"/>
    </row>
    <row r="602">
      <c r="A602" s="12" t="n"/>
    </row>
    <row r="603">
      <c r="A603" s="12" t="n"/>
    </row>
    <row r="604">
      <c r="A604" s="12" t="n"/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</sheetData>
  <pageMargins left="0.25" right="0.25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Planilha9">
    <outlinePr summaryBelow="1" summaryRight="1"/>
    <pageSetUpPr/>
  </sheetPr>
  <dimension ref="A1:C1293"/>
  <sheetViews>
    <sheetView topLeftCell="A373" zoomScale="80" zoomScaleNormal="80" workbookViewId="0">
      <selection activeCell="C317" sqref="C317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1" min="3" max="37"/>
    <col width="9.140625" customWidth="1" style="1" min="38" max="16384"/>
  </cols>
  <sheetData>
    <row r="1">
      <c r="A1" s="11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45659</v>
      </c>
      <c r="B2" s="1" t="inlineStr">
        <is>
          <t>BOI GORDO</t>
        </is>
      </c>
      <c r="C2" s="3" t="n">
        <v>321.55</v>
      </c>
    </row>
    <row r="3">
      <c r="A3" s="9" t="n">
        <v>45660</v>
      </c>
      <c r="B3" s="1">
        <f>B2</f>
        <v/>
      </c>
      <c r="C3" s="3" t="n">
        <v>321.85</v>
      </c>
    </row>
    <row r="4">
      <c r="A4" s="9" t="n">
        <v>45663</v>
      </c>
      <c r="B4" s="1">
        <f>B3</f>
        <v/>
      </c>
      <c r="C4" s="3" t="n">
        <v>321.85</v>
      </c>
    </row>
    <row r="5">
      <c r="A5" s="9" t="n">
        <v>45664</v>
      </c>
      <c r="B5" s="1">
        <f>B4</f>
        <v/>
      </c>
      <c r="C5" s="3" t="n">
        <v>322.5</v>
      </c>
    </row>
    <row r="6">
      <c r="A6" s="9" t="n">
        <v>45665</v>
      </c>
      <c r="B6" s="1">
        <f>B5</f>
        <v/>
      </c>
      <c r="C6" s="3" t="n">
        <v>323.7</v>
      </c>
    </row>
    <row r="7">
      <c r="A7" s="9" t="n">
        <v>45666</v>
      </c>
      <c r="B7" s="1">
        <f>B6</f>
        <v/>
      </c>
      <c r="C7" s="3" t="n">
        <v>323.9</v>
      </c>
    </row>
    <row r="8">
      <c r="A8" s="9" t="n">
        <v>45667</v>
      </c>
      <c r="B8" s="1">
        <f>B7</f>
        <v/>
      </c>
      <c r="C8" s="3" t="n">
        <v>324.35</v>
      </c>
    </row>
    <row r="9">
      <c r="A9" s="9" t="n">
        <v>45670</v>
      </c>
      <c r="B9" s="1">
        <f>B8</f>
        <v/>
      </c>
      <c r="C9" s="3" t="n">
        <v>325.6</v>
      </c>
    </row>
    <row r="10">
      <c r="A10" s="9" t="n">
        <v>45671</v>
      </c>
      <c r="B10" s="1">
        <f>B9</f>
        <v/>
      </c>
      <c r="C10" s="3" t="n">
        <v>325.7</v>
      </c>
    </row>
    <row r="11">
      <c r="A11" s="9" t="n">
        <v>45672</v>
      </c>
      <c r="B11" s="1">
        <f>B10</f>
        <v/>
      </c>
      <c r="C11" s="3" t="n">
        <v>326.95</v>
      </c>
    </row>
    <row r="12">
      <c r="A12" s="9" t="n">
        <v>45673</v>
      </c>
      <c r="B12" s="1">
        <f>B11</f>
        <v/>
      </c>
      <c r="C12" s="3" t="n">
        <v>325.3</v>
      </c>
    </row>
    <row r="13">
      <c r="A13" s="9" t="n">
        <v>45674</v>
      </c>
      <c r="B13" s="1">
        <f>B12</f>
        <v/>
      </c>
      <c r="C13" s="3" t="n">
        <v>326.65</v>
      </c>
    </row>
    <row r="14">
      <c r="A14" s="9" t="n">
        <v>45677</v>
      </c>
      <c r="B14" s="1">
        <f>B13</f>
        <v/>
      </c>
      <c r="C14" s="3" t="n">
        <v>326.6</v>
      </c>
    </row>
    <row r="15">
      <c r="A15" s="9" t="n">
        <v>45678</v>
      </c>
      <c r="B15" s="1">
        <f>B14</f>
        <v/>
      </c>
      <c r="C15" s="3" t="n">
        <v>326.6</v>
      </c>
    </row>
    <row r="16">
      <c r="A16" s="9" t="n">
        <v>45679</v>
      </c>
      <c r="B16" s="1">
        <f>B15</f>
        <v/>
      </c>
      <c r="C16" s="3" t="n">
        <v>327.15</v>
      </c>
    </row>
    <row r="17">
      <c r="A17" s="9" t="n">
        <v>45680</v>
      </c>
      <c r="B17" s="1">
        <f>B16</f>
        <v/>
      </c>
      <c r="C17" s="3" t="n">
        <v>325.4</v>
      </c>
    </row>
    <row r="18">
      <c r="A18" s="9" t="n">
        <v>45681</v>
      </c>
      <c r="B18" s="1">
        <f>B17</f>
        <v/>
      </c>
      <c r="C18" s="3" t="n">
        <v>325.1</v>
      </c>
    </row>
    <row r="19">
      <c r="A19" s="9" t="n">
        <v>45684</v>
      </c>
      <c r="B19" s="1">
        <f>B18</f>
        <v/>
      </c>
      <c r="C19" s="3" t="n">
        <v>326.7</v>
      </c>
    </row>
    <row r="20">
      <c r="A20" s="9" t="n">
        <v>45685</v>
      </c>
      <c r="B20" s="1">
        <f>B19</f>
        <v/>
      </c>
      <c r="C20" s="3" t="n">
        <v>325.2</v>
      </c>
    </row>
    <row r="21">
      <c r="A21" s="9" t="n">
        <v>45686</v>
      </c>
      <c r="B21" s="1">
        <f>B20</f>
        <v/>
      </c>
      <c r="C21" s="3" t="n">
        <v>325.85</v>
      </c>
    </row>
    <row r="22">
      <c r="A22" s="9" t="n">
        <v>45687</v>
      </c>
      <c r="B22" s="1">
        <f>B21</f>
        <v/>
      </c>
      <c r="C22" s="3" t="n">
        <v>326</v>
      </c>
    </row>
    <row r="23">
      <c r="A23" s="9" t="n">
        <v>45688</v>
      </c>
      <c r="B23" s="1">
        <f>B22</f>
        <v/>
      </c>
      <c r="C23" s="3" t="n">
        <v>324.45</v>
      </c>
    </row>
    <row r="24">
      <c r="A24" s="9" t="n">
        <v>45691</v>
      </c>
      <c r="B24" s="1">
        <f>B23</f>
        <v/>
      </c>
      <c r="C24" s="3" t="n">
        <v>326.1</v>
      </c>
    </row>
    <row r="25">
      <c r="A25" s="9" t="n">
        <v>45692</v>
      </c>
      <c r="B25" s="1">
        <f>B24</f>
        <v/>
      </c>
      <c r="C25" s="3" t="n">
        <v>327.1</v>
      </c>
    </row>
    <row r="26">
      <c r="A26" s="9" t="n">
        <v>45693</v>
      </c>
      <c r="B26" s="1">
        <f>B25</f>
        <v/>
      </c>
      <c r="C26" s="3" t="n">
        <v>325.85</v>
      </c>
    </row>
    <row r="27">
      <c r="A27" s="9" t="n">
        <v>45694</v>
      </c>
      <c r="B27" s="1">
        <f>B26</f>
        <v/>
      </c>
      <c r="C27" s="3" t="n">
        <v>326.9</v>
      </c>
    </row>
    <row r="28">
      <c r="A28" s="9" t="n">
        <v>45695</v>
      </c>
      <c r="B28" s="1">
        <f>B27</f>
        <v/>
      </c>
      <c r="C28" s="3" t="n">
        <v>324.6</v>
      </c>
    </row>
    <row r="29">
      <c r="A29" s="9" t="n">
        <v>45698</v>
      </c>
      <c r="B29" s="1">
        <f>B28</f>
        <v/>
      </c>
      <c r="C29" s="3" t="n">
        <v>324.65</v>
      </c>
    </row>
    <row r="30">
      <c r="A30" s="9" t="n">
        <v>45699</v>
      </c>
      <c r="B30" s="1">
        <f>B29</f>
        <v/>
      </c>
      <c r="C30" s="3" t="n">
        <v>324.25</v>
      </c>
    </row>
    <row r="31">
      <c r="A31" s="9" t="n">
        <v>45700</v>
      </c>
      <c r="B31" s="1">
        <f>B30</f>
        <v/>
      </c>
      <c r="C31" s="3" t="n">
        <v>322.8</v>
      </c>
    </row>
    <row r="32">
      <c r="A32" s="9" t="n">
        <v>45701</v>
      </c>
      <c r="B32" s="1">
        <f>B31</f>
        <v/>
      </c>
      <c r="C32" s="3" t="n">
        <v>320.05</v>
      </c>
    </row>
    <row r="33">
      <c r="A33" s="9" t="n">
        <v>45702</v>
      </c>
      <c r="B33" s="1">
        <f>B32</f>
        <v/>
      </c>
      <c r="C33" s="3" t="n">
        <v>320.3</v>
      </c>
    </row>
    <row r="34">
      <c r="A34" s="9" t="n">
        <v>45705</v>
      </c>
      <c r="B34" s="1">
        <f>B33</f>
        <v/>
      </c>
      <c r="C34" s="3" t="n">
        <v>320.3</v>
      </c>
    </row>
    <row r="35">
      <c r="A35" s="9" t="n">
        <v>45706</v>
      </c>
      <c r="B35" s="1">
        <f>B34</f>
        <v/>
      </c>
      <c r="C35" s="3" t="n">
        <v>317.45</v>
      </c>
    </row>
    <row r="36">
      <c r="A36" s="9" t="n">
        <v>45707</v>
      </c>
      <c r="B36" s="1">
        <f>B35</f>
        <v/>
      </c>
      <c r="C36" s="3" t="n">
        <v>315.3</v>
      </c>
    </row>
    <row r="37">
      <c r="A37" s="9" t="n">
        <v>45708</v>
      </c>
      <c r="B37" s="1">
        <f>B36</f>
        <v/>
      </c>
      <c r="C37" s="3" t="n">
        <v>314.2</v>
      </c>
    </row>
    <row r="38">
      <c r="A38" s="9" t="n">
        <v>45709</v>
      </c>
      <c r="B38" s="1">
        <f>B37</f>
        <v/>
      </c>
      <c r="C38" s="3" t="n">
        <v>314.2</v>
      </c>
    </row>
    <row r="39">
      <c r="A39" s="9" t="n">
        <v>45712</v>
      </c>
      <c r="B39" s="1">
        <f>B38</f>
        <v/>
      </c>
      <c r="C39" s="3" t="n">
        <v>314.25</v>
      </c>
    </row>
    <row r="40">
      <c r="A40" s="9" t="n">
        <v>45713</v>
      </c>
      <c r="B40" s="1">
        <f>B39</f>
        <v/>
      </c>
      <c r="C40" s="3" t="n">
        <v>312.1</v>
      </c>
    </row>
    <row r="41">
      <c r="A41" s="9" t="n">
        <v>45714</v>
      </c>
      <c r="B41" s="1">
        <f>B40</f>
        <v/>
      </c>
      <c r="C41" s="3" t="n">
        <v>311.4</v>
      </c>
    </row>
    <row r="42">
      <c r="A42" s="9" t="n">
        <v>45715</v>
      </c>
      <c r="B42" s="1">
        <f>B41</f>
        <v/>
      </c>
      <c r="C42" s="3" t="n">
        <v>311.4</v>
      </c>
    </row>
    <row r="43">
      <c r="A43" s="9" t="n">
        <v>45716</v>
      </c>
      <c r="B43" s="1">
        <f>B42</f>
        <v/>
      </c>
      <c r="C43" s="3" t="n">
        <v>310.95</v>
      </c>
    </row>
    <row r="44">
      <c r="A44" s="9" t="n">
        <v>45721</v>
      </c>
      <c r="B44" s="1">
        <f>B43</f>
        <v/>
      </c>
      <c r="C44" s="3" t="n">
        <v>309.7</v>
      </c>
    </row>
    <row r="45">
      <c r="A45" s="9" t="n">
        <v>45722</v>
      </c>
      <c r="B45" s="1">
        <f>B44</f>
        <v/>
      </c>
      <c r="C45" s="3" t="n">
        <v>311</v>
      </c>
    </row>
    <row r="46">
      <c r="A46" s="9" t="n">
        <v>45723</v>
      </c>
      <c r="B46" s="1">
        <f>B45</f>
        <v/>
      </c>
      <c r="C46" s="3" t="n">
        <v>311.65</v>
      </c>
    </row>
    <row r="47">
      <c r="A47" s="9" t="n">
        <v>45726</v>
      </c>
      <c r="B47" s="1">
        <f>B46</f>
        <v/>
      </c>
      <c r="C47" s="3" t="n">
        <v>311.45</v>
      </c>
    </row>
    <row r="48">
      <c r="A48" s="9" t="n">
        <v>45727</v>
      </c>
      <c r="B48" s="1">
        <f>B47</f>
        <v/>
      </c>
      <c r="C48" s="3" t="n">
        <v>311.95</v>
      </c>
    </row>
    <row r="49">
      <c r="A49" s="9" t="n">
        <v>45728</v>
      </c>
      <c r="B49" s="1">
        <f>B48</f>
        <v/>
      </c>
      <c r="C49" s="3" t="n">
        <v>312.1</v>
      </c>
    </row>
    <row r="50">
      <c r="A50" s="9" t="n">
        <v>45729</v>
      </c>
      <c r="B50" s="1">
        <f>B49</f>
        <v/>
      </c>
      <c r="C50" s="3" t="n">
        <v>312.1</v>
      </c>
    </row>
    <row r="51">
      <c r="A51" s="9" t="n">
        <v>45730</v>
      </c>
      <c r="B51" s="1">
        <f>B50</f>
        <v/>
      </c>
      <c r="C51" s="3" t="n">
        <v>309.7</v>
      </c>
    </row>
    <row r="52">
      <c r="A52" s="9" t="n">
        <v>45733</v>
      </c>
      <c r="B52" s="1">
        <f>B51</f>
        <v/>
      </c>
      <c r="C52" s="3" t="n">
        <v>309.2</v>
      </c>
    </row>
    <row r="53">
      <c r="A53" s="9" t="n">
        <v>45734</v>
      </c>
      <c r="B53" s="1">
        <f>B52</f>
        <v/>
      </c>
      <c r="C53" s="3" t="n">
        <v>310.1</v>
      </c>
    </row>
    <row r="54">
      <c r="A54" s="9" t="n">
        <v>45735</v>
      </c>
      <c r="B54" s="1">
        <f>B53</f>
        <v/>
      </c>
      <c r="C54" s="3" t="n">
        <v>310.25</v>
      </c>
    </row>
    <row r="55">
      <c r="A55" s="9" t="n">
        <v>45736</v>
      </c>
      <c r="B55" s="1">
        <f>B54</f>
        <v/>
      </c>
      <c r="C55" s="3" t="n">
        <v>311.25</v>
      </c>
    </row>
    <row r="56">
      <c r="A56" s="9" t="n">
        <v>45737</v>
      </c>
      <c r="B56" s="1">
        <f>B55</f>
        <v/>
      </c>
      <c r="C56" s="3" t="n">
        <v>312.6</v>
      </c>
    </row>
    <row r="57">
      <c r="A57" s="9" t="n">
        <v>45740</v>
      </c>
      <c r="B57" s="1">
        <f>B56</f>
        <v/>
      </c>
      <c r="C57" s="3" t="n">
        <v>312.75</v>
      </c>
    </row>
    <row r="58">
      <c r="A58" s="9" t="n">
        <v>45741</v>
      </c>
      <c r="B58" s="1">
        <f>B57</f>
        <v/>
      </c>
      <c r="C58" s="3" t="n">
        <v>312.95</v>
      </c>
    </row>
    <row r="59">
      <c r="A59" s="9" t="n">
        <v>45742</v>
      </c>
      <c r="B59" s="1">
        <f>B58</f>
        <v/>
      </c>
      <c r="C59" s="3" t="n">
        <v>312.95</v>
      </c>
    </row>
    <row r="60">
      <c r="A60" s="9" t="n">
        <v>45743</v>
      </c>
      <c r="B60" s="1">
        <f>B59</f>
        <v/>
      </c>
      <c r="C60" s="3" t="n">
        <v>316.55</v>
      </c>
    </row>
    <row r="61">
      <c r="A61" s="9" t="n">
        <v>45744</v>
      </c>
      <c r="B61" s="1">
        <f>B60</f>
        <v/>
      </c>
      <c r="C61" s="3" t="n">
        <v>319.1</v>
      </c>
    </row>
    <row r="62">
      <c r="A62" s="9" t="n">
        <v>45747</v>
      </c>
      <c r="B62" s="1">
        <f>B61</f>
        <v/>
      </c>
      <c r="C62" s="3" t="n">
        <v>319.5</v>
      </c>
    </row>
    <row r="63">
      <c r="A63" s="9" t="n">
        <v>45748</v>
      </c>
      <c r="B63" s="1">
        <f>B62</f>
        <v/>
      </c>
      <c r="C63" s="3" t="n">
        <v>320.75</v>
      </c>
    </row>
    <row r="64">
      <c r="A64" s="9" t="n">
        <v>45749</v>
      </c>
      <c r="B64" s="1">
        <f>B63</f>
        <v/>
      </c>
      <c r="C64" s="3" t="n">
        <v>320.8</v>
      </c>
    </row>
    <row r="65">
      <c r="A65" s="9" t="n">
        <v>45750</v>
      </c>
      <c r="B65" s="1">
        <f>B64</f>
        <v/>
      </c>
      <c r="C65" s="3" t="n">
        <v>321.6</v>
      </c>
    </row>
    <row r="66">
      <c r="A66" s="9" t="n">
        <v>45751</v>
      </c>
      <c r="B66" s="1">
        <f>B65</f>
        <v/>
      </c>
      <c r="C66" s="3" t="n">
        <v>324.6</v>
      </c>
    </row>
    <row r="67">
      <c r="A67" s="9" t="n">
        <v>45754</v>
      </c>
      <c r="B67" s="1">
        <f>B66</f>
        <v/>
      </c>
      <c r="C67" s="3" t="n">
        <v>324.6</v>
      </c>
    </row>
    <row r="68">
      <c r="A68" s="9" t="n">
        <v>45755</v>
      </c>
      <c r="B68" s="1">
        <f>B67</f>
        <v/>
      </c>
      <c r="C68" s="3" t="n">
        <v>324.4</v>
      </c>
    </row>
    <row r="69">
      <c r="A69" s="9" t="n">
        <v>45756</v>
      </c>
      <c r="B69" s="1">
        <f>B68</f>
        <v/>
      </c>
      <c r="C69" s="3" t="n">
        <v>322</v>
      </c>
    </row>
    <row r="70">
      <c r="A70" s="9" t="n">
        <v>45757</v>
      </c>
      <c r="B70" s="1">
        <f>B69</f>
        <v/>
      </c>
      <c r="C70" s="3" t="n">
        <v>323.8</v>
      </c>
    </row>
    <row r="71">
      <c r="A71" s="9" t="n">
        <v>45758</v>
      </c>
      <c r="B71" s="1">
        <f>B70</f>
        <v/>
      </c>
      <c r="C71" s="3" t="n">
        <v>324.5</v>
      </c>
    </row>
    <row r="72">
      <c r="A72" s="9" t="n">
        <v>45761</v>
      </c>
      <c r="B72" s="1">
        <f>B71</f>
        <v/>
      </c>
      <c r="C72" s="3" t="n">
        <v>328.5</v>
      </c>
    </row>
    <row r="73">
      <c r="A73" s="9" t="n">
        <v>45762</v>
      </c>
      <c r="B73" s="1">
        <f>B72</f>
        <v/>
      </c>
      <c r="C73" s="3" t="n">
        <v>327</v>
      </c>
    </row>
    <row r="74">
      <c r="A74" s="9" t="n">
        <v>45763</v>
      </c>
      <c r="B74" s="1">
        <f>B73</f>
        <v/>
      </c>
      <c r="C74" s="3" t="n">
        <v>326</v>
      </c>
    </row>
    <row r="75">
      <c r="A75" s="9" t="n">
        <v>45764</v>
      </c>
      <c r="B75" s="1">
        <f>B74</f>
        <v/>
      </c>
      <c r="C75" s="3" t="n">
        <v>326.65</v>
      </c>
    </row>
    <row r="76">
      <c r="A76" s="9" t="n">
        <v>45769</v>
      </c>
      <c r="B76" s="1">
        <f>B75</f>
        <v/>
      </c>
      <c r="C76" s="3" t="n">
        <v>327.3</v>
      </c>
    </row>
    <row r="77">
      <c r="A77" s="9" t="n">
        <v>45770</v>
      </c>
      <c r="B77" s="1">
        <f>B76</f>
        <v/>
      </c>
      <c r="C77" s="3" t="n">
        <v>325.95</v>
      </c>
    </row>
    <row r="78">
      <c r="A78" s="9" t="n">
        <v>45771</v>
      </c>
      <c r="B78" s="1">
        <f>B77</f>
        <v/>
      </c>
      <c r="C78" s="3" t="n">
        <v>324.15</v>
      </c>
    </row>
    <row r="79">
      <c r="A79" s="9" t="n">
        <v>45772</v>
      </c>
      <c r="B79" s="1">
        <f>B78</f>
        <v/>
      </c>
      <c r="C79" s="3" t="n">
        <v>323.9</v>
      </c>
    </row>
    <row r="80">
      <c r="A80" s="9" t="n">
        <v>45775</v>
      </c>
      <c r="B80" s="1">
        <f>B79</f>
        <v/>
      </c>
      <c r="C80" s="3" t="n">
        <v>323.9</v>
      </c>
    </row>
    <row r="81">
      <c r="A81" s="9" t="n">
        <v>45776</v>
      </c>
      <c r="B81" s="1">
        <f>B80</f>
        <v/>
      </c>
      <c r="C81" s="3" t="n">
        <v>319.9</v>
      </c>
    </row>
    <row r="82">
      <c r="A82" s="9" t="n">
        <v>45777</v>
      </c>
      <c r="B82" s="1">
        <f>B81</f>
        <v/>
      </c>
      <c r="C82" s="3" t="n">
        <v>318.85</v>
      </c>
    </row>
    <row r="83">
      <c r="A83" s="9" t="n">
        <v>45779</v>
      </c>
      <c r="B83" s="1">
        <f>B82</f>
        <v/>
      </c>
      <c r="C83" s="3" t="n">
        <v>318.85</v>
      </c>
    </row>
    <row r="84">
      <c r="A84" s="9" t="n">
        <v>45782</v>
      </c>
      <c r="B84" s="1">
        <f>B83</f>
        <v/>
      </c>
      <c r="C84" s="3" t="n">
        <v>319.45</v>
      </c>
    </row>
    <row r="85">
      <c r="A85" s="9" t="n">
        <v>45783</v>
      </c>
      <c r="B85" s="1">
        <f>B84</f>
        <v/>
      </c>
      <c r="C85" s="3" t="n">
        <v>316.5</v>
      </c>
    </row>
    <row r="86">
      <c r="A86" s="9" t="n">
        <v>45784</v>
      </c>
      <c r="B86" s="1">
        <f>B85</f>
        <v/>
      </c>
      <c r="C86" s="3" t="n">
        <v>315.75</v>
      </c>
    </row>
    <row r="87">
      <c r="A87" s="9" t="n">
        <v>45785</v>
      </c>
      <c r="B87" s="1">
        <f>B86</f>
        <v/>
      </c>
      <c r="C87" s="3" t="n">
        <v>309.2</v>
      </c>
    </row>
    <row r="88">
      <c r="A88" s="9" t="n">
        <v>45786</v>
      </c>
      <c r="B88" s="1">
        <f>B87</f>
        <v/>
      </c>
      <c r="C88" s="3" t="n">
        <v>309.2</v>
      </c>
    </row>
    <row r="89">
      <c r="A89" s="9" t="n">
        <v>45789</v>
      </c>
      <c r="B89" s="1">
        <f>B88</f>
        <v/>
      </c>
      <c r="C89" s="3" t="n">
        <v>313.8</v>
      </c>
    </row>
    <row r="90">
      <c r="A90" s="9" t="n">
        <v>45790</v>
      </c>
      <c r="B90" s="1">
        <f>B89</f>
        <v/>
      </c>
      <c r="C90" s="3" t="n">
        <v>308.35</v>
      </c>
    </row>
    <row r="91">
      <c r="A91" s="9" t="n">
        <v>45791</v>
      </c>
      <c r="B91" s="1">
        <f>B90</f>
        <v/>
      </c>
      <c r="C91" s="3" t="n">
        <v>308</v>
      </c>
    </row>
    <row r="92">
      <c r="A92" s="9" t="n">
        <v>45792</v>
      </c>
      <c r="B92" s="1">
        <f>B91</f>
        <v/>
      </c>
      <c r="C92" s="3" t="n">
        <v>308</v>
      </c>
    </row>
    <row r="93">
      <c r="A93" s="9" t="n">
        <v>45793</v>
      </c>
      <c r="B93" s="1">
        <f>B92</f>
        <v/>
      </c>
      <c r="C93" s="3" t="n">
        <v>302.6</v>
      </c>
    </row>
    <row r="94">
      <c r="A94" s="9" t="n">
        <v>45796</v>
      </c>
      <c r="B94" s="1">
        <f>B93</f>
        <v/>
      </c>
      <c r="C94" s="3" t="n">
        <v>302.15</v>
      </c>
    </row>
    <row r="95">
      <c r="A95" s="9" t="n">
        <v>45797</v>
      </c>
      <c r="B95" s="1">
        <f>B94</f>
        <v/>
      </c>
      <c r="C95" s="3" t="n">
        <v>306.4</v>
      </c>
    </row>
    <row r="96">
      <c r="A96" s="9" t="n">
        <v>45798</v>
      </c>
      <c r="B96" s="1">
        <f>B95</f>
        <v/>
      </c>
      <c r="C96" s="3" t="n">
        <v>303.65</v>
      </c>
    </row>
    <row r="97">
      <c r="A97" s="9" t="n">
        <v>45799</v>
      </c>
      <c r="B97" s="1">
        <f>B96</f>
        <v/>
      </c>
      <c r="C97" s="3" t="n">
        <v>303.65</v>
      </c>
    </row>
    <row r="98">
      <c r="A98" s="9" t="n">
        <v>45800</v>
      </c>
      <c r="B98" s="1">
        <f>B97</f>
        <v/>
      </c>
      <c r="C98" s="3" t="n">
        <v>301</v>
      </c>
    </row>
    <row r="99">
      <c r="A99" s="9" t="n">
        <v>45803</v>
      </c>
      <c r="B99" s="1">
        <f>B98</f>
        <v/>
      </c>
      <c r="C99" s="3" t="n">
        <v>301.4</v>
      </c>
    </row>
    <row r="100">
      <c r="A100" s="9" t="n">
        <v>45804</v>
      </c>
      <c r="B100" s="1">
        <f>B99</f>
        <v/>
      </c>
      <c r="C100" s="3" t="n">
        <v>305.6</v>
      </c>
    </row>
    <row r="101">
      <c r="A101" s="9" t="n">
        <v>45805</v>
      </c>
      <c r="B101" s="1">
        <f>B100</f>
        <v/>
      </c>
      <c r="C101" s="3" t="n">
        <v>305.1</v>
      </c>
    </row>
    <row r="102">
      <c r="A102" s="9" t="n">
        <v>45806</v>
      </c>
      <c r="B102" s="1">
        <f>B101</f>
        <v/>
      </c>
      <c r="C102" s="3" t="n">
        <v>306.5</v>
      </c>
    </row>
    <row r="103">
      <c r="A103" s="9" t="n">
        <v>45807</v>
      </c>
      <c r="B103" s="1">
        <f>B102</f>
        <v/>
      </c>
      <c r="C103" s="3" t="n">
        <v>306.1</v>
      </c>
    </row>
    <row r="104">
      <c r="A104" s="9" t="n">
        <v>45810</v>
      </c>
      <c r="B104" s="1">
        <f>B103</f>
        <v/>
      </c>
      <c r="C104" s="3" t="n">
        <v>306.1</v>
      </c>
    </row>
    <row r="105">
      <c r="A105" s="9" t="n">
        <v>45811</v>
      </c>
      <c r="B105" s="1">
        <f>B104</f>
        <v/>
      </c>
      <c r="C105" s="3" t="n">
        <v>306.4</v>
      </c>
    </row>
    <row r="106">
      <c r="A106" s="9" t="n">
        <v>45812</v>
      </c>
      <c r="B106" s="1">
        <f>B105</f>
        <v/>
      </c>
      <c r="C106" s="3" t="n">
        <v>311.2</v>
      </c>
    </row>
    <row r="107">
      <c r="A107" s="9" t="n">
        <v>45813</v>
      </c>
      <c r="B107" s="1">
        <f>B106</f>
        <v/>
      </c>
      <c r="C107" s="3" t="n">
        <v>311.15</v>
      </c>
    </row>
    <row r="108">
      <c r="A108" s="9" t="n">
        <v>45814</v>
      </c>
      <c r="B108" s="1">
        <f>B107</f>
        <v/>
      </c>
      <c r="C108" s="3" t="n">
        <v>311.15</v>
      </c>
    </row>
    <row r="109">
      <c r="A109" s="9" t="n">
        <v>45817</v>
      </c>
      <c r="B109" s="1">
        <f>B108</f>
        <v/>
      </c>
      <c r="C109" s="3" t="n">
        <v>311.75</v>
      </c>
    </row>
    <row r="110">
      <c r="A110" s="9" t="n">
        <v>45818</v>
      </c>
      <c r="B110" s="1">
        <f>B109</f>
        <v/>
      </c>
      <c r="C110" s="3" t="n">
        <v>312.2</v>
      </c>
    </row>
    <row r="111">
      <c r="A111" s="9" t="n">
        <v>45819</v>
      </c>
      <c r="B111" s="1">
        <f>B110</f>
        <v/>
      </c>
      <c r="C111" s="3" t="n">
        <v>314.2</v>
      </c>
    </row>
    <row r="112">
      <c r="A112" s="9" t="n">
        <v>45820</v>
      </c>
      <c r="B112" s="1">
        <f>B111</f>
        <v/>
      </c>
      <c r="C112" s="3" t="n">
        <v>315.85</v>
      </c>
    </row>
    <row r="113">
      <c r="A113" s="9" t="n">
        <v>45821</v>
      </c>
      <c r="B113" s="1">
        <f>B112</f>
        <v/>
      </c>
      <c r="C113" s="3" t="n">
        <v>314.35</v>
      </c>
    </row>
    <row r="114">
      <c r="A114" s="9" t="n">
        <v>45824</v>
      </c>
      <c r="B114" s="1">
        <f>B113</f>
        <v/>
      </c>
      <c r="C114" s="3" t="n">
        <v>314.35</v>
      </c>
    </row>
    <row r="115">
      <c r="A115" s="9" t="n">
        <v>45825</v>
      </c>
      <c r="B115" s="1">
        <f>B114</f>
        <v/>
      </c>
      <c r="C115" s="3" t="n">
        <v>313.85</v>
      </c>
    </row>
    <row r="116">
      <c r="A116" s="9" t="n">
        <v>45826</v>
      </c>
      <c r="B116" s="1">
        <f>B115</f>
        <v/>
      </c>
      <c r="C116" s="3" t="n">
        <v>314.4</v>
      </c>
    </row>
    <row r="117">
      <c r="A117" s="9" t="n">
        <v>45828</v>
      </c>
      <c r="B117" s="1">
        <f>B116</f>
        <v/>
      </c>
      <c r="C117" s="3" t="n">
        <v>314.4</v>
      </c>
    </row>
    <row r="118">
      <c r="A118" s="9" t="n">
        <v>45831</v>
      </c>
      <c r="B118" s="1">
        <f>B117</f>
        <v/>
      </c>
      <c r="C118" s="3" t="n">
        <v>314.4</v>
      </c>
    </row>
    <row r="119">
      <c r="A119" s="9" t="n">
        <v>45832</v>
      </c>
      <c r="B119" s="1">
        <f>B118</f>
        <v/>
      </c>
      <c r="C119" s="3" t="n">
        <v>317.7</v>
      </c>
    </row>
    <row r="120">
      <c r="A120" s="9" t="n">
        <v>45833</v>
      </c>
      <c r="B120" s="1">
        <f>B119</f>
        <v/>
      </c>
      <c r="C120" s="3" t="n">
        <v>316.2</v>
      </c>
    </row>
    <row r="121">
      <c r="A121" s="9" t="n">
        <v>45834</v>
      </c>
      <c r="B121" s="1">
        <f>B120</f>
        <v/>
      </c>
      <c r="C121" s="3" t="n">
        <v>315.75</v>
      </c>
    </row>
    <row r="122">
      <c r="A122" s="9" t="n">
        <v>45835</v>
      </c>
      <c r="B122" s="1">
        <f>B121</f>
        <v/>
      </c>
      <c r="C122" s="3" t="n">
        <v>317.4</v>
      </c>
    </row>
    <row r="123">
      <c r="A123" s="9" t="n">
        <v>45838</v>
      </c>
      <c r="B123" s="1">
        <f>B122</f>
        <v/>
      </c>
      <c r="C123" s="3" t="n">
        <v>317.4</v>
      </c>
    </row>
    <row r="124">
      <c r="A124" s="9" t="n">
        <v>45839</v>
      </c>
      <c r="B124" s="1">
        <f>B123</f>
        <v/>
      </c>
      <c r="C124" s="3" t="n">
        <v>310.65</v>
      </c>
    </row>
    <row r="125">
      <c r="A125" s="9" t="n">
        <v>45840</v>
      </c>
      <c r="B125" s="1">
        <f>B124</f>
        <v/>
      </c>
      <c r="C125" s="3" t="n">
        <v>310.65</v>
      </c>
    </row>
    <row r="126">
      <c r="A126" s="9" t="n">
        <v>45841</v>
      </c>
      <c r="B126" s="1">
        <f>B125</f>
        <v/>
      </c>
      <c r="C126" s="3" t="n">
        <v>310.4</v>
      </c>
    </row>
    <row r="127">
      <c r="A127" s="9" t="n">
        <v>45842</v>
      </c>
      <c r="B127" s="1">
        <f>B126</f>
        <v/>
      </c>
      <c r="C127" s="3" t="n">
        <v>310.4</v>
      </c>
    </row>
    <row r="128">
      <c r="A128" s="9" t="n">
        <v>45845</v>
      </c>
      <c r="B128" s="1">
        <f>B127</f>
        <v/>
      </c>
      <c r="C128" s="3" t="n">
        <v>305.55</v>
      </c>
    </row>
    <row r="129">
      <c r="A129" s="9" t="n">
        <v>45846</v>
      </c>
      <c r="B129" s="1">
        <f>B128</f>
        <v/>
      </c>
      <c r="C129" s="3" t="n">
        <v>305.6</v>
      </c>
    </row>
    <row r="130">
      <c r="A130" s="9" t="n">
        <v>45847</v>
      </c>
      <c r="B130" s="1">
        <f>B129</f>
        <v/>
      </c>
      <c r="C130" s="3" t="n">
        <v>305</v>
      </c>
    </row>
    <row r="131">
      <c r="A131" s="9" t="n">
        <v>45848</v>
      </c>
      <c r="B131" s="1">
        <f>B130</f>
        <v/>
      </c>
      <c r="C131" s="3" t="n">
        <v>299.7</v>
      </c>
    </row>
    <row r="132">
      <c r="A132" s="9" t="n">
        <v>45849</v>
      </c>
      <c r="B132" s="1">
        <f>B131</f>
        <v/>
      </c>
      <c r="C132" s="3" t="n">
        <v>299.7</v>
      </c>
    </row>
    <row r="133">
      <c r="A133" s="9" t="n">
        <v>45852</v>
      </c>
      <c r="B133" s="1">
        <f>B132</f>
        <v/>
      </c>
      <c r="C133" s="3" t="n">
        <v>299.25</v>
      </c>
    </row>
    <row r="134">
      <c r="A134" s="9" t="n">
        <v>45853</v>
      </c>
      <c r="B134" s="1">
        <f>B133</f>
        <v/>
      </c>
      <c r="C134" s="3" t="n">
        <v>300.6</v>
      </c>
    </row>
    <row r="135">
      <c r="A135" s="9" t="n">
        <v>45854</v>
      </c>
      <c r="B135" s="1">
        <f>B134</f>
        <v/>
      </c>
      <c r="C135" s="3" t="n">
        <v>298.5</v>
      </c>
    </row>
    <row r="136">
      <c r="A136" s="9" t="n">
        <v>45855</v>
      </c>
      <c r="B136" s="1">
        <f>B135</f>
        <v/>
      </c>
      <c r="C136" s="3" t="n">
        <v>298.5</v>
      </c>
    </row>
    <row r="137">
      <c r="A137" s="9" t="n">
        <v>45856</v>
      </c>
      <c r="B137" s="1">
        <f>B136</f>
        <v/>
      </c>
      <c r="C137" s="3" t="n">
        <v>296.75</v>
      </c>
    </row>
    <row r="138">
      <c r="A138" s="9" t="n">
        <v>45859</v>
      </c>
      <c r="B138" s="1">
        <f>B137</f>
        <v/>
      </c>
      <c r="C138" s="3" t="n">
        <v>293.9</v>
      </c>
    </row>
    <row r="139">
      <c r="A139" s="9" t="n">
        <v>45860</v>
      </c>
      <c r="B139" s="1">
        <f>B138</f>
        <v/>
      </c>
      <c r="C139" s="3" t="n">
        <v>296.1</v>
      </c>
    </row>
    <row r="140">
      <c r="A140" s="9" t="n">
        <v>45861</v>
      </c>
      <c r="B140" s="1">
        <f>B139</f>
        <v/>
      </c>
      <c r="C140" s="3" t="n">
        <v>296.1</v>
      </c>
    </row>
    <row r="141">
      <c r="A141" s="9" t="n">
        <v>45862</v>
      </c>
      <c r="B141" s="1">
        <f>B140</f>
        <v/>
      </c>
      <c r="C141" s="3" t="n">
        <v>294.45</v>
      </c>
    </row>
    <row r="142">
      <c r="A142" s="9" t="n">
        <v>45863</v>
      </c>
      <c r="B142" s="1">
        <f>B141</f>
        <v/>
      </c>
      <c r="C142" s="3" t="n">
        <v>291.8</v>
      </c>
    </row>
    <row r="143">
      <c r="A143" s="9" t="n">
        <v>45866</v>
      </c>
      <c r="B143" s="1">
        <f>B142</f>
        <v/>
      </c>
      <c r="C143" s="3" t="n">
        <v>292.65</v>
      </c>
    </row>
    <row r="144">
      <c r="A144" s="9" t="n">
        <v>45867</v>
      </c>
      <c r="B144" s="1">
        <f>B143</f>
        <v/>
      </c>
      <c r="C144" s="3" t="n">
        <v>294.5</v>
      </c>
    </row>
    <row r="145">
      <c r="A145" s="9" t="n">
        <v>45868</v>
      </c>
      <c r="B145" s="1">
        <f>B144</f>
        <v/>
      </c>
      <c r="C145" s="3" t="n">
        <v>294.2</v>
      </c>
    </row>
    <row r="146">
      <c r="A146" s="9" t="n">
        <v>45869</v>
      </c>
      <c r="B146" s="1">
        <f>B145</f>
        <v/>
      </c>
      <c r="C146" s="3" t="n">
        <v>294.35</v>
      </c>
    </row>
    <row r="147">
      <c r="A147" s="9" t="n">
        <v>45870</v>
      </c>
      <c r="B147" s="1">
        <f>B146</f>
        <v/>
      </c>
      <c r="C147" s="3" t="n">
        <v>294.35</v>
      </c>
    </row>
    <row r="148">
      <c r="A148" s="9" t="n">
        <v>45873</v>
      </c>
      <c r="B148" s="1">
        <f>B147</f>
        <v/>
      </c>
      <c r="C148" s="3" t="n">
        <v>298.95</v>
      </c>
    </row>
    <row r="149">
      <c r="A149" s="9" t="n">
        <v>45874</v>
      </c>
      <c r="B149" s="1">
        <f>B148</f>
        <v/>
      </c>
      <c r="C149" s="3" t="n">
        <v>301</v>
      </c>
    </row>
    <row r="150">
      <c r="A150" s="9" t="n">
        <v>45875</v>
      </c>
      <c r="B150" s="1">
        <f>B149</f>
        <v/>
      </c>
      <c r="C150" s="3" t="n">
        <v>304.3</v>
      </c>
    </row>
    <row r="151">
      <c r="A151" s="9" t="n">
        <v>45876</v>
      </c>
      <c r="B151" s="1">
        <f>B150</f>
        <v/>
      </c>
      <c r="C151" s="3" t="n">
        <v>305.3</v>
      </c>
    </row>
    <row r="152">
      <c r="A152" s="9" t="n">
        <v>45877</v>
      </c>
      <c r="B152" s="1">
        <f>B151</f>
        <v/>
      </c>
      <c r="C152" s="3" t="n">
        <v>305.6</v>
      </c>
    </row>
    <row r="153">
      <c r="A153" s="9" t="n">
        <v>45880</v>
      </c>
      <c r="B153" s="1">
        <f>B152</f>
        <v/>
      </c>
      <c r="C153" s="3" t="n">
        <v>305.6</v>
      </c>
    </row>
    <row r="154">
      <c r="A154" s="9" t="n">
        <v>45881</v>
      </c>
      <c r="B154" s="1">
        <f>B153</f>
        <v/>
      </c>
      <c r="C154" s="3" t="n">
        <v>309.85</v>
      </c>
    </row>
    <row r="155">
      <c r="A155" s="9" t="n">
        <v>45882</v>
      </c>
      <c r="B155" s="1">
        <f>B154</f>
        <v/>
      </c>
      <c r="C155" s="3" t="n">
        <v>308.7</v>
      </c>
    </row>
    <row r="156">
      <c r="A156" s="9" t="n">
        <v>45883</v>
      </c>
      <c r="B156" s="1">
        <f>B155</f>
        <v/>
      </c>
      <c r="C156" s="3" t="n">
        <v>308.9</v>
      </c>
    </row>
    <row r="157">
      <c r="A157" s="9" t="n">
        <v>45884</v>
      </c>
      <c r="B157" s="1">
        <f>B156</f>
        <v/>
      </c>
      <c r="C157" s="3" t="n">
        <v>308.3</v>
      </c>
    </row>
    <row r="158">
      <c r="A158" s="9" t="n">
        <v>45887</v>
      </c>
      <c r="B158" s="1">
        <f>B157</f>
        <v/>
      </c>
      <c r="C158" s="3" t="n">
        <v>307.05</v>
      </c>
    </row>
    <row r="159">
      <c r="A159" s="9" t="n">
        <v>45888</v>
      </c>
      <c r="B159" s="1">
        <f>B158</f>
        <v/>
      </c>
      <c r="C159" s="3" t="n">
        <v>307.75</v>
      </c>
    </row>
    <row r="160">
      <c r="A160" s="9" t="n">
        <v>45889</v>
      </c>
      <c r="B160" s="1">
        <f>B159</f>
        <v/>
      </c>
      <c r="C160" s="3" t="n">
        <v>310.55</v>
      </c>
    </row>
    <row r="161">
      <c r="A161" s="9" t="n">
        <v>45890</v>
      </c>
      <c r="B161" s="1">
        <f>B160</f>
        <v/>
      </c>
      <c r="C161" s="3" t="n">
        <v>310.75</v>
      </c>
    </row>
    <row r="162">
      <c r="A162" s="9" t="n">
        <v>45891</v>
      </c>
      <c r="B162" s="1">
        <f>B161</f>
        <v/>
      </c>
      <c r="C162" s="3" t="n">
        <v>310.55</v>
      </c>
    </row>
    <row r="163">
      <c r="A163" s="9" t="n">
        <v>45894</v>
      </c>
      <c r="B163" s="1">
        <f>B162</f>
        <v/>
      </c>
      <c r="C163" s="3" t="n">
        <v>310.55</v>
      </c>
    </row>
    <row r="164">
      <c r="A164" s="9" t="n">
        <v>45895</v>
      </c>
      <c r="B164" s="1">
        <f>B163</f>
        <v/>
      </c>
      <c r="C164" s="3" t="n">
        <v>310.95</v>
      </c>
    </row>
    <row r="165">
      <c r="A165" s="9" t="n">
        <v>45896</v>
      </c>
      <c r="B165" s="1">
        <f>B164</f>
        <v/>
      </c>
      <c r="C165" s="3" t="n">
        <v>311.35</v>
      </c>
    </row>
    <row r="166">
      <c r="A166" s="9" t="n">
        <v>45897</v>
      </c>
      <c r="B166" s="1">
        <f>B165</f>
        <v/>
      </c>
      <c r="C166" s="3" t="n">
        <v>311.4</v>
      </c>
    </row>
    <row r="167">
      <c r="A167" s="9" t="n">
        <v>45898</v>
      </c>
      <c r="B167" s="1">
        <f>B166</f>
        <v/>
      </c>
      <c r="C167" s="3" t="n">
        <v>310.5</v>
      </c>
    </row>
    <row r="168">
      <c r="A168" s="9" t="n">
        <v>45901</v>
      </c>
      <c r="B168" s="1">
        <f>B167</f>
        <v/>
      </c>
      <c r="C168" s="3" t="n">
        <v>310.5</v>
      </c>
    </row>
    <row r="169">
      <c r="A169" s="9" t="n">
        <v>45902</v>
      </c>
      <c r="B169" s="1">
        <f>B168</f>
        <v/>
      </c>
      <c r="C169" s="3" t="n">
        <v>313.65</v>
      </c>
    </row>
    <row r="170">
      <c r="A170" s="9" t="n">
        <v>45903</v>
      </c>
      <c r="B170" s="1">
        <f>B169</f>
        <v/>
      </c>
      <c r="C170" s="3" t="n">
        <v>313.4</v>
      </c>
    </row>
    <row r="171">
      <c r="A171" s="9" t="n">
        <v>45904</v>
      </c>
      <c r="B171" s="1">
        <f>B170</f>
        <v/>
      </c>
      <c r="C171" s="3" t="n">
        <v>313.4</v>
      </c>
    </row>
    <row r="172">
      <c r="A172" s="9" t="n">
        <v>45905</v>
      </c>
      <c r="B172" s="1">
        <f>B171</f>
        <v/>
      </c>
      <c r="C172" s="3" t="n">
        <v>312.1</v>
      </c>
    </row>
    <row r="173">
      <c r="A173" s="9" t="n">
        <v>45908</v>
      </c>
      <c r="B173" s="1">
        <f>B172</f>
        <v/>
      </c>
      <c r="C173" s="3" t="n">
        <v>312.25</v>
      </c>
    </row>
    <row r="174">
      <c r="A174" s="9" t="n">
        <v>45909</v>
      </c>
      <c r="B174" s="1">
        <f>B173</f>
        <v/>
      </c>
      <c r="C174" s="3" t="n">
        <v>311.7</v>
      </c>
    </row>
    <row r="175">
      <c r="A175" s="9" t="n">
        <v>45910</v>
      </c>
      <c r="B175" s="1">
        <f>B174</f>
        <v/>
      </c>
      <c r="C175" s="3" t="n">
        <v>311.65</v>
      </c>
    </row>
    <row r="176">
      <c r="A176" s="9" t="n">
        <v>45911</v>
      </c>
      <c r="B176" s="1">
        <f>B175</f>
        <v/>
      </c>
      <c r="C176" s="3" t="n">
        <v>310.75</v>
      </c>
    </row>
    <row r="177">
      <c r="A177" s="9" t="n">
        <v>45912</v>
      </c>
      <c r="B177" s="1">
        <f>B176</f>
        <v/>
      </c>
      <c r="C177" s="3" t="n">
        <v>310.75</v>
      </c>
    </row>
    <row r="178">
      <c r="A178" s="9" t="n">
        <v>45915</v>
      </c>
      <c r="B178" s="1">
        <f>B177</f>
        <v/>
      </c>
      <c r="C178" s="3" t="n">
        <v>307.9</v>
      </c>
    </row>
    <row r="179">
      <c r="A179" s="9" t="n">
        <v>45916</v>
      </c>
      <c r="B179" s="1">
        <f>B178</f>
        <v/>
      </c>
      <c r="C179" s="3" t="n">
        <v>307.05</v>
      </c>
    </row>
    <row r="180">
      <c r="A180" s="9" t="n">
        <v>45917</v>
      </c>
      <c r="B180" s="1">
        <f>B179</f>
        <v/>
      </c>
      <c r="C180" s="3" t="n">
        <v>305.1</v>
      </c>
    </row>
    <row r="181">
      <c r="A181" s="9" t="n">
        <v>45918</v>
      </c>
      <c r="B181" s="1">
        <f>B180</f>
        <v/>
      </c>
      <c r="C181" s="3" t="n">
        <v>305.2</v>
      </c>
    </row>
    <row r="182">
      <c r="A182" s="9" t="n">
        <v>45919</v>
      </c>
      <c r="B182" s="1">
        <f>B181</f>
        <v/>
      </c>
      <c r="C182" s="3" t="n">
        <v>304.1</v>
      </c>
    </row>
    <row r="183">
      <c r="A183" s="9" t="n">
        <v>45922</v>
      </c>
      <c r="B183" s="1">
        <f>B182</f>
        <v/>
      </c>
      <c r="C183" s="3" t="n">
        <v>304.45</v>
      </c>
    </row>
    <row r="184">
      <c r="A184" s="9" t="n">
        <v>45923</v>
      </c>
      <c r="B184" s="1">
        <f>B183</f>
        <v/>
      </c>
      <c r="C184" s="3" t="n">
        <v>304.45</v>
      </c>
    </row>
    <row r="185">
      <c r="A185" s="9" t="n">
        <v>45924</v>
      </c>
      <c r="B185" s="1">
        <f>B184</f>
        <v/>
      </c>
      <c r="C185" s="3" t="n">
        <v>301.8</v>
      </c>
    </row>
    <row r="186">
      <c r="A186" s="9" t="n">
        <v>45925</v>
      </c>
      <c r="B186" s="1">
        <f>B185</f>
        <v/>
      </c>
      <c r="C186" s="3" t="n">
        <v>302</v>
      </c>
    </row>
    <row r="187">
      <c r="A187" s="9" t="n">
        <v>45926</v>
      </c>
      <c r="B187" s="1">
        <f>B186</f>
        <v/>
      </c>
      <c r="C187" s="3" t="n">
        <v>302.95</v>
      </c>
    </row>
    <row r="188">
      <c r="A188" s="9" t="n">
        <v>45929</v>
      </c>
      <c r="B188" s="1">
        <f>B187</f>
        <v/>
      </c>
      <c r="C188" s="3" t="n">
        <v>303.95</v>
      </c>
    </row>
    <row r="189">
      <c r="A189" s="9" t="n">
        <v>45930</v>
      </c>
      <c r="B189" s="1">
        <f>B188</f>
        <v/>
      </c>
      <c r="C189" s="3" t="n">
        <v>304.1</v>
      </c>
    </row>
    <row r="190">
      <c r="A190" s="9" t="n">
        <v>45931</v>
      </c>
      <c r="B190" s="1">
        <f>B189</f>
        <v/>
      </c>
      <c r="C190" s="3" t="n">
        <v>305.6</v>
      </c>
    </row>
    <row r="191">
      <c r="A191" s="9" t="n">
        <v>45932</v>
      </c>
      <c r="B191" s="1">
        <f>B190</f>
        <v/>
      </c>
      <c r="C191" s="3" t="n">
        <v>305.8</v>
      </c>
    </row>
    <row r="192">
      <c r="A192" s="9" t="n">
        <v>45933</v>
      </c>
      <c r="B192" s="1">
        <f>B191</f>
        <v/>
      </c>
      <c r="C192" s="3" t="n">
        <v>307.35</v>
      </c>
    </row>
    <row r="193">
      <c r="A193" s="9" t="n">
        <v>45936</v>
      </c>
      <c r="B193" s="1">
        <f>B192</f>
        <v/>
      </c>
      <c r="C193" s="3" t="n">
        <v>307.35</v>
      </c>
    </row>
    <row r="194">
      <c r="A194" s="9" t="n">
        <v>45937</v>
      </c>
      <c r="B194" s="1">
        <f>B193</f>
        <v/>
      </c>
      <c r="C194" s="3" t="n">
        <v>306.5</v>
      </c>
    </row>
    <row r="195">
      <c r="A195" s="9" t="n">
        <v>45938</v>
      </c>
      <c r="B195" s="1">
        <f>B194</f>
        <v/>
      </c>
      <c r="C195" s="3" t="n">
        <v>307.6</v>
      </c>
    </row>
    <row r="196">
      <c r="A196" s="9" t="n">
        <v>45939</v>
      </c>
      <c r="B196" s="1">
        <f>B195</f>
        <v/>
      </c>
      <c r="C196" s="3" t="n">
        <v>307.95</v>
      </c>
    </row>
    <row r="197">
      <c r="A197" s="9" t="n">
        <v>45940</v>
      </c>
      <c r="B197" s="1">
        <f>B196</f>
        <v/>
      </c>
      <c r="C197" s="3" t="n">
        <v>307.95</v>
      </c>
    </row>
    <row r="198">
      <c r="A198" s="9" t="n">
        <v>45943</v>
      </c>
      <c r="B198" s="1">
        <f>B197</f>
        <v/>
      </c>
      <c r="C198" s="3" t="n">
        <v>308.3</v>
      </c>
    </row>
    <row r="199">
      <c r="A199" s="9" t="n">
        <v>45944</v>
      </c>
      <c r="B199" s="1">
        <f>B198</f>
        <v/>
      </c>
      <c r="C199" s="3" t="n">
        <v>308.7</v>
      </c>
    </row>
    <row r="200">
      <c r="A200" s="9" t="n">
        <v>45945</v>
      </c>
      <c r="B200" s="1">
        <f>B199</f>
        <v/>
      </c>
      <c r="C200" s="3" t="n">
        <v>309.15</v>
      </c>
    </row>
    <row r="201">
      <c r="A201" s="9" t="n">
        <v>45946</v>
      </c>
      <c r="B201" s="1">
        <f>B200</f>
        <v/>
      </c>
      <c r="C201" s="3" t="n">
        <v>309.15</v>
      </c>
    </row>
    <row r="202">
      <c r="A202" s="9" t="n">
        <v>45947</v>
      </c>
      <c r="B202" s="1">
        <f>B201</f>
        <v/>
      </c>
      <c r="C202" s="3" t="n">
        <v>309.7</v>
      </c>
    </row>
    <row r="203">
      <c r="A203" s="9" t="n">
        <v>45950</v>
      </c>
      <c r="B203" s="1">
        <f>B202</f>
        <v/>
      </c>
      <c r="C203" s="3" t="n">
        <v>310.2</v>
      </c>
    </row>
    <row r="204">
      <c r="A204" s="9" t="n">
        <v>45951</v>
      </c>
      <c r="B204" s="1">
        <f>B203</f>
        <v/>
      </c>
      <c r="C204" s="3" t="n">
        <v>310.9</v>
      </c>
    </row>
    <row r="205">
      <c r="A205" s="9" t="n">
        <v>45952</v>
      </c>
      <c r="B205" s="1">
        <f>B204</f>
        <v/>
      </c>
      <c r="C205" s="3" t="n">
        <v>311.4</v>
      </c>
    </row>
    <row r="206">
      <c r="A206" s="9" t="n">
        <v>45953</v>
      </c>
      <c r="B206" s="1">
        <f>B205</f>
        <v/>
      </c>
      <c r="C206" s="3" t="n">
        <v>311.4</v>
      </c>
    </row>
    <row r="207">
      <c r="A207" s="9" t="n">
        <v>45954</v>
      </c>
      <c r="B207" s="1">
        <f>B206</f>
        <v/>
      </c>
      <c r="C207" s="3" t="n">
        <v>313.15</v>
      </c>
    </row>
    <row r="208">
      <c r="A208" s="9" t="n">
        <v>45957</v>
      </c>
      <c r="B208" s="1">
        <f>B207</f>
        <v/>
      </c>
      <c r="C208" s="3" t="n">
        <v>313.35</v>
      </c>
    </row>
    <row r="209">
      <c r="A209" s="9" t="n">
        <v>45958</v>
      </c>
      <c r="B209" s="1">
        <f>B208</f>
        <v/>
      </c>
      <c r="C209" s="3" t="n">
        <v>314.65</v>
      </c>
    </row>
    <row r="210">
      <c r="A210" s="9" t="n">
        <v>45959</v>
      </c>
      <c r="B210" s="1">
        <f>B209</f>
        <v/>
      </c>
      <c r="C210" s="3" t="n">
        <v>317.9</v>
      </c>
    </row>
    <row r="211">
      <c r="A211" s="9" t="n">
        <v>45960</v>
      </c>
      <c r="B211" s="1">
        <f>B210</f>
        <v/>
      </c>
      <c r="C211" s="3" t="n">
        <v>318.85</v>
      </c>
    </row>
    <row r="212">
      <c r="A212" s="9" t="n">
        <v>45961</v>
      </c>
      <c r="B212" s="1">
        <f>B211</f>
        <v/>
      </c>
      <c r="C212" s="3" t="n">
        <v>318.85</v>
      </c>
    </row>
    <row r="213">
      <c r="A213" s="9" t="n">
        <v>45964</v>
      </c>
      <c r="B213" s="1">
        <f>B212</f>
        <v/>
      </c>
      <c r="C213" s="3" t="n">
        <v>320.2</v>
      </c>
    </row>
    <row r="214">
      <c r="A214" s="9" t="n">
        <v>45965</v>
      </c>
      <c r="B214" s="1">
        <f>B213</f>
        <v/>
      </c>
      <c r="C214" s="3" t="n">
        <v>322.55</v>
      </c>
    </row>
    <row r="215">
      <c r="A215" s="9" t="n">
        <v>45966</v>
      </c>
      <c r="B215" s="1">
        <f>B214</f>
        <v/>
      </c>
      <c r="C215" s="3" t="n">
        <v>323.4</v>
      </c>
    </row>
    <row r="216">
      <c r="A216" s="9" t="n">
        <v>45967</v>
      </c>
      <c r="B216" s="1">
        <f>B215</f>
        <v/>
      </c>
      <c r="C216" s="3" t="n">
        <v>323.7</v>
      </c>
    </row>
    <row r="217">
      <c r="A217" s="9" t="n">
        <v>45968</v>
      </c>
      <c r="B217" s="1">
        <f>B216</f>
        <v/>
      </c>
      <c r="C217" s="3" t="n">
        <v>323.7</v>
      </c>
    </row>
    <row r="218">
      <c r="A218" s="9" t="n">
        <v>45971</v>
      </c>
      <c r="B218" s="1">
        <f>B217</f>
        <v/>
      </c>
      <c r="C218" s="3" t="n">
        <v>322.65</v>
      </c>
    </row>
    <row r="219">
      <c r="A219" s="9" t="n">
        <v>45972</v>
      </c>
      <c r="B219" s="1">
        <f>B218</f>
        <v/>
      </c>
      <c r="C219" s="3" t="n">
        <v>322.15</v>
      </c>
    </row>
    <row r="220">
      <c r="A220" s="9" t="n">
        <v>45973</v>
      </c>
      <c r="B220" s="1">
        <f>B219</f>
        <v/>
      </c>
      <c r="C220" s="3" t="n">
        <v>321.85</v>
      </c>
    </row>
    <row r="221">
      <c r="A221" s="9" t="n">
        <v>45974</v>
      </c>
      <c r="B221" s="1">
        <f>B220</f>
        <v/>
      </c>
      <c r="C221" s="3" t="n">
        <v>322.45</v>
      </c>
    </row>
    <row r="222">
      <c r="A222" s="9" t="n">
        <v>45975</v>
      </c>
      <c r="B222" s="1">
        <f>B221</f>
        <v/>
      </c>
      <c r="C222" s="3" t="n">
        <v>322.65</v>
      </c>
    </row>
    <row r="223">
      <c r="A223" s="9" t="n">
        <v>45978</v>
      </c>
      <c r="B223" s="1">
        <f>B222</f>
        <v/>
      </c>
      <c r="C223" s="1" t="n">
        <v>321.35</v>
      </c>
    </row>
    <row r="224">
      <c r="A224" s="9" t="n">
        <v>45979</v>
      </c>
      <c r="B224" s="1">
        <f>B223</f>
        <v/>
      </c>
      <c r="C224" s="1" t="n">
        <v>321.25</v>
      </c>
    </row>
    <row r="225">
      <c r="A225" s="9" t="n">
        <v>45980</v>
      </c>
      <c r="B225" s="1">
        <f>B224</f>
        <v/>
      </c>
      <c r="C225" s="1" t="n">
        <v>321.5</v>
      </c>
    </row>
    <row r="226">
      <c r="A226" s="9" t="n">
        <v>45982</v>
      </c>
      <c r="B226" s="1">
        <f>B225</f>
        <v/>
      </c>
      <c r="C226" s="1" t="n">
        <v>322.45</v>
      </c>
    </row>
    <row r="227">
      <c r="A227" s="9" t="n">
        <v>45985</v>
      </c>
      <c r="B227" s="1">
        <f>B226</f>
        <v/>
      </c>
      <c r="C227" s="1" t="n">
        <v>322.45</v>
      </c>
    </row>
    <row r="228">
      <c r="A228" s="9" t="n">
        <v>45986</v>
      </c>
      <c r="B228" s="1">
        <f>B227</f>
        <v/>
      </c>
      <c r="C228" s="1" t="n">
        <v>321.25</v>
      </c>
    </row>
    <row r="229">
      <c r="A229" s="9" t="n">
        <v>45987</v>
      </c>
      <c r="B229" s="1">
        <f>B228</f>
        <v/>
      </c>
      <c r="C229" s="1" t="n">
        <v>321.1</v>
      </c>
    </row>
    <row r="230">
      <c r="A230" s="9" t="n">
        <v>45988</v>
      </c>
      <c r="B230" s="1">
        <f>B229</f>
        <v/>
      </c>
      <c r="C230" s="1" t="n">
        <v>321.3</v>
      </c>
    </row>
    <row r="231">
      <c r="A231" s="9" t="n">
        <v>45989</v>
      </c>
      <c r="B231" s="1">
        <f>B230</f>
        <v/>
      </c>
      <c r="C231" s="1" t="n">
        <v>321.6</v>
      </c>
    </row>
    <row r="232">
      <c r="A232" s="9" t="n">
        <v>45992</v>
      </c>
      <c r="B232" s="1">
        <f>B231</f>
        <v/>
      </c>
      <c r="C232" s="1" t="n">
        <v>321.6</v>
      </c>
    </row>
    <row r="233">
      <c r="A233" s="9" t="n">
        <v>45993</v>
      </c>
      <c r="B233" s="1">
        <f>B232</f>
        <v/>
      </c>
      <c r="C233" s="1" t="n">
        <v>321.75</v>
      </c>
    </row>
    <row r="234">
      <c r="A234" s="9" t="n">
        <v>45994</v>
      </c>
      <c r="B234" s="1">
        <f>B233</f>
        <v/>
      </c>
      <c r="C234" s="1" t="n">
        <v>321.2</v>
      </c>
    </row>
    <row r="235">
      <c r="A235" s="9" t="n">
        <v>45995</v>
      </c>
      <c r="B235" s="1">
        <f>B234</f>
        <v/>
      </c>
      <c r="C235" s="1" t="n">
        <v>322.05</v>
      </c>
    </row>
    <row r="236">
      <c r="A236" s="9" t="n">
        <v>45996</v>
      </c>
      <c r="B236" s="1">
        <f>B235</f>
        <v/>
      </c>
      <c r="C236" s="1" t="n">
        <v>322.1</v>
      </c>
    </row>
    <row r="237">
      <c r="A237" s="9" t="n">
        <v>45999</v>
      </c>
      <c r="B237" s="1">
        <f>B236</f>
        <v/>
      </c>
      <c r="C237" s="1" t="n">
        <v>322.1</v>
      </c>
    </row>
    <row r="238">
      <c r="A238" s="9" t="n">
        <v>46000</v>
      </c>
      <c r="B238" s="1">
        <f>B237</f>
        <v/>
      </c>
      <c r="C238" s="1" t="n">
        <v>322.5</v>
      </c>
    </row>
    <row r="239">
      <c r="A239" s="9" t="n">
        <v>46001</v>
      </c>
      <c r="B239" s="1">
        <f>B238</f>
        <v/>
      </c>
      <c r="C239" s="1" t="n">
        <v>320.9</v>
      </c>
    </row>
    <row r="240">
      <c r="A240" s="9" t="n">
        <v>46002</v>
      </c>
      <c r="B240" s="1">
        <f>B239</f>
        <v/>
      </c>
      <c r="C240" s="1" t="n">
        <v>320.9</v>
      </c>
    </row>
    <row r="241">
      <c r="A241" s="9" t="n">
        <v>46003</v>
      </c>
      <c r="B241" s="1">
        <f>B240</f>
        <v/>
      </c>
      <c r="C241" s="1" t="n">
        <v>320.8</v>
      </c>
    </row>
    <row r="242">
      <c r="A242" s="9" t="n">
        <v>46006</v>
      </c>
      <c r="B242" s="1">
        <f>B241</f>
        <v/>
      </c>
      <c r="C242" s="1" t="n">
        <v>321.15</v>
      </c>
    </row>
    <row r="243">
      <c r="A243" s="9" t="n">
        <v>46007</v>
      </c>
      <c r="B243" s="1">
        <f>B242</f>
        <v/>
      </c>
      <c r="C243" s="1" t="n">
        <v>319.25</v>
      </c>
    </row>
    <row r="244">
      <c r="A244" s="9" t="n">
        <v>46008</v>
      </c>
      <c r="B244" s="1">
        <f>B243</f>
        <v/>
      </c>
      <c r="C244" s="1" t="n">
        <v>319.2</v>
      </c>
    </row>
    <row r="245">
      <c r="A245" s="9" t="n">
        <v>46009</v>
      </c>
      <c r="B245" s="1">
        <f>B244</f>
        <v/>
      </c>
      <c r="C245" s="1" t="n">
        <v>318</v>
      </c>
    </row>
    <row r="246">
      <c r="A246" s="9" t="n">
        <v>46010</v>
      </c>
      <c r="B246" s="1">
        <f>B245</f>
        <v/>
      </c>
      <c r="C246" s="1" t="n">
        <v>318</v>
      </c>
    </row>
    <row r="247">
      <c r="A247" s="9" t="n">
        <v>46013</v>
      </c>
      <c r="B247" s="1">
        <f>B246</f>
        <v/>
      </c>
      <c r="C247" s="1" t="n">
        <v>317.85</v>
      </c>
    </row>
    <row r="248">
      <c r="A248" s="9" t="n">
        <v>46014</v>
      </c>
      <c r="B248" s="1">
        <f>B247</f>
        <v/>
      </c>
      <c r="C248" s="1" t="n">
        <v>319.5</v>
      </c>
    </row>
    <row r="249">
      <c r="A249" s="9" t="n">
        <v>46017</v>
      </c>
      <c r="B249" s="1">
        <f>B248</f>
        <v/>
      </c>
      <c r="C249" s="1" t="n">
        <v>319.5</v>
      </c>
    </row>
    <row r="250">
      <c r="A250" s="9" t="n">
        <v>46020</v>
      </c>
      <c r="B250" s="1">
        <f>B249</f>
        <v/>
      </c>
      <c r="C250" s="1" t="n">
        <v>318</v>
      </c>
    </row>
    <row r="251">
      <c r="A251" s="9" t="n">
        <v>46021</v>
      </c>
      <c r="B251" s="1">
        <f>B250</f>
        <v/>
      </c>
      <c r="C251" s="1" t="n">
        <v>319.2</v>
      </c>
    </row>
    <row r="252">
      <c r="A252" s="9" t="n">
        <v>46024</v>
      </c>
      <c r="B252" s="1">
        <f>B251</f>
        <v/>
      </c>
      <c r="C252" s="1" t="n">
        <v>319.2</v>
      </c>
    </row>
    <row r="253">
      <c r="A253" s="9" t="n">
        <v>46027</v>
      </c>
      <c r="B253" s="1">
        <f>B252</f>
        <v/>
      </c>
      <c r="C253" s="1" t="n">
        <v>318.5</v>
      </c>
    </row>
    <row r="254">
      <c r="A254" s="9" t="n">
        <v>46028</v>
      </c>
      <c r="B254" s="1">
        <f>B253</f>
        <v/>
      </c>
      <c r="C254" s="1" t="n">
        <v>318.65</v>
      </c>
    </row>
    <row r="255">
      <c r="A255" s="9" t="n">
        <v>46029</v>
      </c>
      <c r="B255" s="1">
        <f>B254</f>
        <v/>
      </c>
      <c r="C255" s="1" t="n">
        <v>318.15</v>
      </c>
    </row>
    <row r="256">
      <c r="A256" s="9" t="n">
        <v>46030</v>
      </c>
      <c r="B256" s="1">
        <f>B255</f>
        <v/>
      </c>
      <c r="C256" s="1" t="n">
        <v>319.3</v>
      </c>
    </row>
    <row r="257">
      <c r="A257" s="9" t="n">
        <v>46031</v>
      </c>
      <c r="B257" s="1">
        <f>B256</f>
        <v/>
      </c>
      <c r="C257" s="1" t="n">
        <v>319.4</v>
      </c>
    </row>
    <row r="258">
      <c r="A258" s="9" t="n">
        <v>46034</v>
      </c>
      <c r="B258" s="1">
        <f>B257</f>
        <v/>
      </c>
      <c r="C258" s="1" t="n">
        <v>319.4</v>
      </c>
    </row>
    <row r="259">
      <c r="A259" s="9" t="n">
        <v>46035</v>
      </c>
      <c r="B259" s="1">
        <f>B258</f>
        <v/>
      </c>
      <c r="C259" s="1" t="n">
        <v>318.65</v>
      </c>
    </row>
    <row r="260">
      <c r="A260" s="9" t="n">
        <v>46036</v>
      </c>
      <c r="B260" s="1">
        <f>B259</f>
        <v/>
      </c>
      <c r="C260" s="1" t="n">
        <v>318.55</v>
      </c>
    </row>
    <row r="261">
      <c r="A261" s="9" t="n">
        <v>46037</v>
      </c>
      <c r="B261" s="1">
        <f>B260</f>
        <v/>
      </c>
      <c r="C261" s="1" t="n">
        <v>317.85</v>
      </c>
    </row>
    <row r="262">
      <c r="A262" s="9" t="n">
        <v>46038</v>
      </c>
      <c r="C262" s="1" t="n">
        <v>318.05</v>
      </c>
    </row>
    <row r="263">
      <c r="A263" s="9" t="n">
        <v>46041</v>
      </c>
      <c r="C263" s="1" t="n">
        <v>318.65</v>
      </c>
    </row>
    <row r="264">
      <c r="A264" s="9" t="n">
        <v>46042</v>
      </c>
      <c r="C264" s="1" t="n">
        <v>321</v>
      </c>
    </row>
    <row r="265">
      <c r="A265" s="4" t="n">
        <v>46043</v>
      </c>
      <c r="C265" s="1" t="n">
        <v>319.1</v>
      </c>
    </row>
    <row r="266">
      <c r="A266" s="4" t="n">
        <v>46044</v>
      </c>
      <c r="C266" s="1" t="n">
        <v>321.2</v>
      </c>
    </row>
    <row r="267">
      <c r="A267" s="9" t="n">
        <v>46045</v>
      </c>
      <c r="C267" s="1" t="n">
        <v>321.4</v>
      </c>
    </row>
    <row r="268">
      <c r="A268" s="9" t="n">
        <v>46048</v>
      </c>
      <c r="C268" s="1" t="n">
        <v>322.7</v>
      </c>
    </row>
    <row r="269">
      <c r="A269" s="9" t="n">
        <v>46049</v>
      </c>
      <c r="C269" s="1" t="n">
        <v>323.1</v>
      </c>
    </row>
    <row r="270">
      <c r="A270" s="9" t="n">
        <v>46050</v>
      </c>
      <c r="C270" s="1" t="n">
        <v>326</v>
      </c>
    </row>
    <row r="271">
      <c r="A271" s="9" t="n">
        <v>46051</v>
      </c>
      <c r="C271" s="1" t="n">
        <v>326.8</v>
      </c>
    </row>
    <row r="272">
      <c r="A272" s="9" t="n">
        <v>46052</v>
      </c>
      <c r="C272" s="1" t="n">
        <v>326.9</v>
      </c>
    </row>
    <row r="273">
      <c r="A273" s="9" t="n">
        <v>46055</v>
      </c>
      <c r="C273" s="1" t="n">
        <v>327.2</v>
      </c>
    </row>
    <row r="274">
      <c r="A274" s="9" t="n">
        <v>46056</v>
      </c>
      <c r="C274" s="1" t="n">
        <v>328.9</v>
      </c>
    </row>
    <row r="275">
      <c r="A275" s="9" t="n">
        <v>46057</v>
      </c>
      <c r="C275" s="1" t="n">
        <v>333.25</v>
      </c>
    </row>
    <row r="276">
      <c r="A276" s="9" t="n">
        <v>46058</v>
      </c>
      <c r="C276" s="1" t="n">
        <v>336.15</v>
      </c>
    </row>
    <row r="277">
      <c r="A277" s="9" t="n">
        <v>46059</v>
      </c>
      <c r="C277" s="1" t="n">
        <v>336.95</v>
      </c>
    </row>
    <row r="278">
      <c r="A278" s="9" t="n">
        <v>46062</v>
      </c>
      <c r="C278" s="1" t="n">
        <v>337.2</v>
      </c>
    </row>
    <row r="279">
      <c r="A279" s="9" t="n">
        <v>46063</v>
      </c>
      <c r="C279" s="1" t="n">
        <v>337.3</v>
      </c>
    </row>
    <row r="280">
      <c r="A280" s="9" t="n">
        <v>46064</v>
      </c>
      <c r="C280" s="1" t="n">
        <v>341.9</v>
      </c>
    </row>
    <row r="281">
      <c r="A281" s="9" t="n">
        <v>46065</v>
      </c>
      <c r="C281" s="1" t="n">
        <v>342.95</v>
      </c>
    </row>
    <row r="282">
      <c r="A282" s="9" t="n">
        <v>46066</v>
      </c>
      <c r="C282" s="1" t="n">
        <v>344.05</v>
      </c>
    </row>
    <row r="283">
      <c r="A283" s="9" t="n">
        <v>46071</v>
      </c>
      <c r="C283" s="1" t="n">
        <v>343.9</v>
      </c>
    </row>
    <row r="284">
      <c r="A284" s="9" t="n">
        <v>46072</v>
      </c>
      <c r="C284" s="1" t="n">
        <v>345.4</v>
      </c>
    </row>
    <row r="285">
      <c r="A285" s="9" t="n">
        <v>46073</v>
      </c>
      <c r="C285" s="1" t="n">
        <v>348.55</v>
      </c>
    </row>
    <row r="286">
      <c r="A286" s="9" t="n">
        <v>46076</v>
      </c>
      <c r="C286" s="1" t="n">
        <v>349.75</v>
      </c>
    </row>
    <row r="287">
      <c r="A287" s="9" t="n">
        <v>46077</v>
      </c>
      <c r="C287" s="1" t="n">
        <v>350.1</v>
      </c>
    </row>
    <row r="288">
      <c r="A288" s="9" t="n">
        <v>46078</v>
      </c>
      <c r="C288" s="1" t="n">
        <v>351</v>
      </c>
    </row>
    <row r="289">
      <c r="A289" s="9" t="n">
        <v>46079</v>
      </c>
      <c r="C289" s="1" t="n">
        <v>352.8</v>
      </c>
    </row>
    <row r="290">
      <c r="A290" s="9" t="n">
        <v>46080</v>
      </c>
      <c r="C290" s="1" t="n">
        <v>353.15</v>
      </c>
    </row>
    <row r="291">
      <c r="A291" s="9" t="n">
        <v>46083</v>
      </c>
      <c r="C291" s="1" t="n">
        <v>353.1</v>
      </c>
    </row>
    <row r="292">
      <c r="A292" s="9" t="n">
        <v>46084</v>
      </c>
      <c r="C292" s="1" t="n">
        <v>350.5</v>
      </c>
    </row>
    <row r="293">
      <c r="A293" s="9" t="n">
        <v>46085</v>
      </c>
      <c r="C293" s="1" t="n">
        <v>348.65</v>
      </c>
    </row>
    <row r="294">
      <c r="A294" s="9" t="n">
        <v>46086</v>
      </c>
      <c r="C294" s="1" t="n">
        <v>347.3</v>
      </c>
    </row>
    <row r="295">
      <c r="A295" s="23" t="n">
        <v>46087</v>
      </c>
      <c r="C295" s="20" t="n">
        <v>346.05</v>
      </c>
    </row>
    <row r="296">
      <c r="A296" s="23" t="n">
        <v>46090</v>
      </c>
      <c r="C296" s="20" t="n">
        <v>347.4</v>
      </c>
    </row>
    <row r="297">
      <c r="A297" s="23" t="n">
        <v>46091</v>
      </c>
      <c r="C297" s="20" t="n">
        <v>346.8</v>
      </c>
    </row>
    <row r="298">
      <c r="A298" s="23" t="n">
        <v>46092</v>
      </c>
      <c r="C298" s="20" t="n">
        <v>347.25</v>
      </c>
    </row>
    <row r="299">
      <c r="A299" s="23" t="n">
        <v>46093</v>
      </c>
      <c r="C299" s="20" t="n">
        <v>347.5</v>
      </c>
    </row>
    <row r="300">
      <c r="A300" s="23" t="n">
        <v>46094</v>
      </c>
      <c r="C300" s="20" t="n">
        <v>346.6</v>
      </c>
    </row>
    <row r="301">
      <c r="A301" s="23" t="inlineStr">
        <is>
          <t>16/03/2026</t>
        </is>
      </c>
      <c r="C301" s="20" t="n">
        <v>346.45</v>
      </c>
    </row>
    <row r="302">
      <c r="A302" s="23" t="inlineStr">
        <is>
          <t>17/03/2026</t>
        </is>
      </c>
      <c r="C302" s="20" t="n">
        <v>347.7</v>
      </c>
    </row>
    <row r="303">
      <c r="A303" s="23" t="inlineStr">
        <is>
          <t>18/03/2026</t>
        </is>
      </c>
      <c r="C303" s="20" t="n">
        <v>348.85</v>
      </c>
    </row>
    <row r="304">
      <c r="A304" s="23" t="inlineStr">
        <is>
          <t>19/03/2026</t>
        </is>
      </c>
      <c r="C304" s="20" t="n">
        <v>349.6</v>
      </c>
    </row>
    <row r="305">
      <c r="A305" s="23" t="inlineStr">
        <is>
          <t>20/03/2026</t>
        </is>
      </c>
      <c r="C305" s="20" t="n">
        <v>350.65</v>
      </c>
    </row>
    <row r="306">
      <c r="A306" s="23" t="inlineStr">
        <is>
          <t>23/03/2026</t>
        </is>
      </c>
      <c r="C306" s="20" t="n">
        <v>350.7</v>
      </c>
    </row>
    <row r="307">
      <c r="A307" s="23" t="inlineStr">
        <is>
          <t>24/03/2026</t>
        </is>
      </c>
      <c r="C307" s="20" t="n">
        <v>351.4</v>
      </c>
    </row>
    <row r="308">
      <c r="A308" s="23" t="inlineStr">
        <is>
          <t>25/03/2026</t>
        </is>
      </c>
      <c r="C308" s="20" t="n">
        <v>354.65</v>
      </c>
    </row>
    <row r="309">
      <c r="A309" s="23" t="inlineStr">
        <is>
          <t>26/03/2026</t>
        </is>
      </c>
      <c r="C309" s="20" t="n">
        <v>355.55</v>
      </c>
    </row>
    <row r="310">
      <c r="A310" s="23" t="inlineStr">
        <is>
          <t>27/03/2026</t>
        </is>
      </c>
      <c r="C310" s="20" t="n">
        <v>355.45</v>
      </c>
    </row>
    <row r="311">
      <c r="A311" s="23" t="inlineStr">
        <is>
          <t>30/03/2026</t>
        </is>
      </c>
      <c r="C311" s="20" t="n">
        <v>355.75</v>
      </c>
    </row>
    <row r="312">
      <c r="A312" s="23" t="inlineStr">
        <is>
          <t>31/03/2026</t>
        </is>
      </c>
      <c r="C312" s="20" t="n">
        <v>356</v>
      </c>
    </row>
    <row r="313">
      <c r="A313" s="23" t="inlineStr">
        <is>
          <t>01/04/2026</t>
        </is>
      </c>
      <c r="C313" s="20" t="n">
        <v>358.9</v>
      </c>
    </row>
    <row r="314">
      <c r="A314" s="23" t="inlineStr">
        <is>
          <t>02/04/2026</t>
        </is>
      </c>
      <c r="C314" s="20" t="n">
        <v>360.9</v>
      </c>
    </row>
    <row r="315">
      <c r="A315" s="23" t="inlineStr">
        <is>
          <t>06/04/2026</t>
        </is>
      </c>
      <c r="C315" s="20" t="n">
        <v>361.05</v>
      </c>
    </row>
    <row r="316">
      <c r="A316" s="23" t="inlineStr">
        <is>
          <t>07/04/2026</t>
        </is>
      </c>
      <c r="C316" s="20" t="n">
        <v>364.25</v>
      </c>
    </row>
    <row r="317">
      <c r="A317" s="23" t="inlineStr">
        <is>
          <t>08/04/2026</t>
        </is>
      </c>
      <c r="C317" s="20" t="n">
        <v>365</v>
      </c>
    </row>
    <row r="318">
      <c r="A318" s="23" t="inlineStr">
        <is>
          <t>09/04/2026</t>
        </is>
      </c>
      <c r="C318" s="20" t="n">
        <v>365.45</v>
      </c>
    </row>
    <row r="319">
      <c r="A319" s="23" t="n">
        <v>46122</v>
      </c>
      <c r="C319" s="20" t="n">
        <v>365.6</v>
      </c>
    </row>
    <row r="320">
      <c r="A320" s="23" t="n">
        <v>46125</v>
      </c>
      <c r="C320" s="20" t="n">
        <v>366.2</v>
      </c>
    </row>
    <row r="321">
      <c r="A321" s="23" t="n">
        <v>46126</v>
      </c>
      <c r="C321" s="20" t="n">
        <v>367.05</v>
      </c>
    </row>
    <row r="322">
      <c r="A322" s="23" t="n">
        <v>46128</v>
      </c>
      <c r="C322" s="20" t="n">
        <v>365.5</v>
      </c>
    </row>
    <row r="323">
      <c r="A323" s="23" t="n">
        <v>46129</v>
      </c>
      <c r="C323" s="20" t="n">
        <v>365.1</v>
      </c>
    </row>
    <row r="324">
      <c r="A324" s="23" t="n">
        <v>46132</v>
      </c>
      <c r="C324" s="20" t="n">
        <v>366</v>
      </c>
    </row>
    <row r="325">
      <c r="A325" s="23" t="n">
        <v>46134</v>
      </c>
      <c r="C325" s="20" t="n">
        <v>363.85</v>
      </c>
    </row>
    <row r="326">
      <c r="A326" s="23" t="n">
        <v>46135</v>
      </c>
      <c r="C326" s="20" t="n">
        <v>362.4</v>
      </c>
    </row>
    <row r="327">
      <c r="A327" s="23" t="n">
        <v>46136</v>
      </c>
      <c r="C327" s="20" t="n">
        <v>362</v>
      </c>
    </row>
    <row r="328">
      <c r="A328" s="23" t="n">
        <v>46139</v>
      </c>
      <c r="C328" s="20" t="n">
        <v>360.7</v>
      </c>
    </row>
    <row r="329">
      <c r="A329" s="23" t="n">
        <v>46140</v>
      </c>
      <c r="C329" s="20" t="n">
        <v>358.4</v>
      </c>
    </row>
    <row r="330">
      <c r="A330" s="23" t="n">
        <v>46141</v>
      </c>
      <c r="C330" s="20" t="n">
        <v>355.25</v>
      </c>
    </row>
    <row r="331">
      <c r="A331" s="23" t="n">
        <v>46142</v>
      </c>
      <c r="C331" s="20" t="n">
        <v>354.45</v>
      </c>
    </row>
    <row r="332">
      <c r="A332" s="23" t="n">
        <v>46146</v>
      </c>
      <c r="C332" s="20" t="n">
        <v>354.2</v>
      </c>
    </row>
    <row r="333">
      <c r="A333" s="23" t="n">
        <v>46147</v>
      </c>
      <c r="C333" s="20" t="n">
        <v>353.8</v>
      </c>
    </row>
    <row r="334">
      <c r="A334" s="23" t="n">
        <v>46148</v>
      </c>
      <c r="C334" s="20" t="n">
        <v>354.05</v>
      </c>
    </row>
    <row r="335">
      <c r="A335" s="23" t="n">
        <v>46149</v>
      </c>
      <c r="C335" s="20" t="n">
        <v>353.75</v>
      </c>
    </row>
    <row r="336">
      <c r="A336" s="23" t="n">
        <v>46150</v>
      </c>
      <c r="C336" s="20" t="n">
        <v>352.55</v>
      </c>
    </row>
    <row r="337">
      <c r="A337" s="23" t="n">
        <v>46153</v>
      </c>
      <c r="C337" s="20" t="n">
        <v>349.3</v>
      </c>
    </row>
    <row r="338">
      <c r="A338" s="23" t="n">
        <v>46154</v>
      </c>
      <c r="C338" s="20" t="n">
        <v>348.8</v>
      </c>
    </row>
    <row r="339">
      <c r="A339" s="23" t="n">
        <v>46155</v>
      </c>
      <c r="C339" s="20" t="n">
        <v>346</v>
      </c>
    </row>
    <row r="340">
      <c r="A340" s="23" t="n">
        <v>46156</v>
      </c>
      <c r="C340" s="20" t="n">
        <v>344.6</v>
      </c>
    </row>
    <row r="341">
      <c r="A341" s="23" t="n">
        <v>46157</v>
      </c>
      <c r="C341" s="20" t="n">
        <v>344.6</v>
      </c>
    </row>
    <row r="342">
      <c r="A342" s="23" t="n">
        <v>46160</v>
      </c>
      <c r="C342" s="20" t="n">
        <v>345.3</v>
      </c>
    </row>
    <row r="343">
      <c r="A343" s="23" t="n">
        <v>46161</v>
      </c>
      <c r="C343" s="20" t="n">
        <v>344.8</v>
      </c>
    </row>
    <row r="344">
      <c r="A344" s="23" t="n">
        <v>46162</v>
      </c>
      <c r="C344" s="20" t="n">
        <v>345.1</v>
      </c>
    </row>
    <row r="345">
      <c r="A345" s="23" t="n">
        <v>46163</v>
      </c>
      <c r="C345" s="20" t="n">
        <v>345.45</v>
      </c>
    </row>
    <row r="346">
      <c r="A346" s="23" t="n">
        <v>46164</v>
      </c>
      <c r="C346" s="20" t="n">
        <v>345.75</v>
      </c>
    </row>
    <row r="347">
      <c r="A347" s="23" t="n">
        <v>46167</v>
      </c>
      <c r="C347" s="20" t="n">
        <v>346.2</v>
      </c>
    </row>
    <row r="348">
      <c r="A348" s="23" t="n">
        <v>46168</v>
      </c>
      <c r="C348" s="20" t="n">
        <v>347.8</v>
      </c>
    </row>
    <row r="349">
      <c r="A349" s="23" t="n">
        <v>46169</v>
      </c>
      <c r="C349" s="20" t="n">
        <v>348.3</v>
      </c>
    </row>
    <row r="350">
      <c r="A350" s="23" t="n">
        <v>46170</v>
      </c>
      <c r="C350" s="20" t="n">
        <v>349.25</v>
      </c>
    </row>
    <row r="351">
      <c r="A351" s="23" t="n">
        <v>46171</v>
      </c>
      <c r="C351" s="20" t="n">
        <v>349.7</v>
      </c>
    </row>
    <row r="352">
      <c r="A352" s="23" t="n">
        <v>46174</v>
      </c>
      <c r="C352" s="20" t="n">
        <v>350.2</v>
      </c>
    </row>
    <row r="353">
      <c r="A353" s="23" t="n">
        <v>46175</v>
      </c>
      <c r="C353" s="20" t="n">
        <v>352.3</v>
      </c>
    </row>
    <row r="354">
      <c r="A354" s="23" t="n">
        <v>46176</v>
      </c>
      <c r="C354" s="20" t="n">
        <v>353.5</v>
      </c>
    </row>
    <row r="355">
      <c r="A355" s="23" t="n">
        <v>46178</v>
      </c>
      <c r="C355" s="20" t="n">
        <v>353.8</v>
      </c>
    </row>
    <row r="356">
      <c r="A356" s="23" t="n">
        <v>46181</v>
      </c>
      <c r="C356" s="20" t="n">
        <v>353.15</v>
      </c>
    </row>
    <row r="357">
      <c r="A357" s="23" t="n">
        <v>46182</v>
      </c>
      <c r="C357" s="20" t="n">
        <v>353.55</v>
      </c>
    </row>
    <row r="358">
      <c r="A358" s="23" t="n">
        <v>46183</v>
      </c>
      <c r="C358" s="20" t="n">
        <v>353.15</v>
      </c>
    </row>
    <row r="359">
      <c r="A359" s="23" t="n">
        <v>46184</v>
      </c>
      <c r="C359" s="20" t="n">
        <v>353.8</v>
      </c>
    </row>
    <row r="360">
      <c r="A360" s="23" t="n">
        <v>46185</v>
      </c>
      <c r="C360" s="20" t="n">
        <v>353.4</v>
      </c>
    </row>
    <row r="361">
      <c r="A361" s="23" t="n">
        <v>46188</v>
      </c>
      <c r="C361" s="20" t="n">
        <v>352.95</v>
      </c>
    </row>
    <row r="362">
      <c r="A362" s="23" t="n">
        <v>46189</v>
      </c>
      <c r="C362" s="20" t="n">
        <v>349.45</v>
      </c>
    </row>
    <row r="363">
      <c r="A363" s="23" t="n">
        <v>46190</v>
      </c>
      <c r="C363" s="20" t="n">
        <v>348.8</v>
      </c>
    </row>
    <row r="364">
      <c r="A364" s="23" t="n">
        <v>46191</v>
      </c>
      <c r="C364" s="20" t="n">
        <v>347.15</v>
      </c>
    </row>
    <row r="365">
      <c r="A365" s="23" t="n">
        <v>46192</v>
      </c>
      <c r="C365" s="20" t="n">
        <v>345.5</v>
      </c>
    </row>
    <row r="366">
      <c r="A366" s="23" t="n">
        <v>46195</v>
      </c>
      <c r="C366" s="20" t="n">
        <v>343.9</v>
      </c>
    </row>
    <row r="367">
      <c r="A367" s="23" t="n">
        <v>46196</v>
      </c>
      <c r="B367" t="inlineStr">
        <is>
          <t>BOI GORDO</t>
        </is>
      </c>
      <c r="C367" s="20" t="n">
        <v>340.5</v>
      </c>
    </row>
    <row r="368">
      <c r="A368" s="23" t="n">
        <v>46197</v>
      </c>
      <c r="B368" t="inlineStr">
        <is>
          <t>BOI GORDO</t>
        </is>
      </c>
      <c r="C368" s="20" t="n">
        <v>340.5</v>
      </c>
    </row>
    <row r="369">
      <c r="A369" s="23" t="n">
        <v>46198</v>
      </c>
      <c r="B369" t="inlineStr">
        <is>
          <t>BOI GORDO</t>
        </is>
      </c>
      <c r="C369" s="20" t="n">
        <v>340</v>
      </c>
    </row>
    <row r="370">
      <c r="A370" s="23" t="n">
        <v>46199</v>
      </c>
      <c r="B370" t="inlineStr">
        <is>
          <t>BOI GORDO</t>
        </is>
      </c>
      <c r="C370" s="20" t="n">
        <v>338.65</v>
      </c>
    </row>
    <row r="371">
      <c r="A371" s="23" t="n">
        <v>46202</v>
      </c>
      <c r="B371" t="inlineStr">
        <is>
          <t>BOI GORDO</t>
        </is>
      </c>
      <c r="C371" s="20" t="n">
        <v>338.65</v>
      </c>
    </row>
    <row r="372">
      <c r="A372" s="23" t="n">
        <v>46203</v>
      </c>
      <c r="B372" t="inlineStr">
        <is>
          <t>BOI GORDO</t>
        </is>
      </c>
      <c r="C372" s="20" t="n">
        <v>336.4</v>
      </c>
    </row>
    <row r="373">
      <c r="A373" s="23" t="n">
        <v>46204</v>
      </c>
      <c r="B373" t="inlineStr">
        <is>
          <t>BOI GORDO</t>
        </is>
      </c>
      <c r="C373" s="20" t="n">
        <v>335.3</v>
      </c>
    </row>
    <row r="374">
      <c r="A374" s="23" t="n">
        <v>46205</v>
      </c>
      <c r="B374" t="inlineStr">
        <is>
          <t>BOI GORDO</t>
        </is>
      </c>
      <c r="C374" s="20" t="n">
        <v>332.75</v>
      </c>
    </row>
    <row r="375">
      <c r="A375" s="23" t="n">
        <v>46206</v>
      </c>
      <c r="B375" t="inlineStr">
        <is>
          <t>BOI GORDO</t>
        </is>
      </c>
      <c r="C375" s="20" t="n">
        <v>329.85</v>
      </c>
    </row>
    <row r="376">
      <c r="A376" s="23" t="n">
        <v>46209</v>
      </c>
      <c r="B376" t="inlineStr">
        <is>
          <t>BOI GORDO</t>
        </is>
      </c>
      <c r="C376" s="20" t="n">
        <v>326.45</v>
      </c>
    </row>
    <row r="377">
      <c r="A377" s="23" t="n">
        <v>46210</v>
      </c>
      <c r="B377" t="inlineStr">
        <is>
          <t>BOI GORDO</t>
        </is>
      </c>
      <c r="C377" s="20" t="n">
        <v>326.6</v>
      </c>
    </row>
    <row r="378">
      <c r="A378" s="23" t="n">
        <v>46211</v>
      </c>
      <c r="B378" t="inlineStr">
        <is>
          <t>BOI GORDO</t>
        </is>
      </c>
      <c r="C378" s="20" t="n">
        <v>324.7</v>
      </c>
    </row>
    <row r="379">
      <c r="A379" s="23" t="n">
        <v>46212</v>
      </c>
      <c r="B379" t="inlineStr">
        <is>
          <t>BOI GORDO</t>
        </is>
      </c>
      <c r="C379" s="20" t="n">
        <v>324.7</v>
      </c>
    </row>
    <row r="380">
      <c r="A380" s="23" t="n">
        <v>46213</v>
      </c>
      <c r="B380" t="inlineStr">
        <is>
          <t>BOI GORDO</t>
        </is>
      </c>
      <c r="C380" s="20" t="n">
        <v>326.65</v>
      </c>
    </row>
    <row r="381">
      <c r="A381" s="23" t="n">
        <v>46216</v>
      </c>
      <c r="B381" t="inlineStr">
        <is>
          <t>BOI GORDO</t>
        </is>
      </c>
      <c r="C381" s="20" t="n">
        <v>324.6</v>
      </c>
    </row>
    <row r="382">
      <c r="A382" s="23" t="n">
        <v>46217</v>
      </c>
      <c r="B382" t="inlineStr">
        <is>
          <t>BOI GORDO</t>
        </is>
      </c>
      <c r="C382" s="20" t="n">
        <v>328.1</v>
      </c>
    </row>
    <row r="383">
      <c r="A383" s="9" t="n"/>
    </row>
    <row r="384">
      <c r="A384" s="9" t="n"/>
    </row>
    <row r="385">
      <c r="A385" s="9" t="n"/>
    </row>
    <row r="386">
      <c r="A386" s="9" t="n"/>
    </row>
    <row r="387">
      <c r="A387" s="9" t="n"/>
    </row>
    <row r="388">
      <c r="A388" s="9" t="n"/>
    </row>
    <row r="389">
      <c r="A389" s="9" t="n"/>
    </row>
    <row r="390">
      <c r="A390" s="9" t="n"/>
    </row>
    <row r="391">
      <c r="A391" s="9" t="n"/>
    </row>
    <row r="392">
      <c r="A392" s="9" t="n"/>
    </row>
    <row r="393">
      <c r="A393" s="9" t="n"/>
    </row>
    <row r="394">
      <c r="A394" s="9" t="n"/>
    </row>
    <row r="395">
      <c r="A395" s="9" t="n"/>
    </row>
    <row r="396">
      <c r="A396" s="9" t="n"/>
    </row>
    <row r="397">
      <c r="A397" s="9" t="n"/>
    </row>
    <row r="398">
      <c r="A398" s="9" t="n"/>
    </row>
    <row r="399">
      <c r="A399" s="9" t="n"/>
    </row>
    <row r="400">
      <c r="A400" s="9" t="n"/>
    </row>
    <row r="401">
      <c r="A401" s="9" t="n"/>
    </row>
    <row r="402">
      <c r="A402" s="9" t="n"/>
    </row>
    <row r="403">
      <c r="A403" s="9" t="n"/>
    </row>
    <row r="404">
      <c r="A404" s="9" t="n"/>
    </row>
    <row r="405">
      <c r="A405" s="9" t="n"/>
    </row>
    <row r="406">
      <c r="A406" s="9" t="n"/>
    </row>
    <row r="407">
      <c r="A407" s="9" t="n"/>
    </row>
    <row r="408">
      <c r="A408" s="9" t="n"/>
    </row>
    <row r="409">
      <c r="A409" s="9" t="n"/>
    </row>
    <row r="410">
      <c r="A410" s="9" t="n"/>
    </row>
    <row r="411">
      <c r="A411" s="9" t="n"/>
    </row>
    <row r="412">
      <c r="A412" s="9" t="n"/>
    </row>
    <row r="413">
      <c r="A413" s="9" t="n"/>
    </row>
    <row r="414">
      <c r="A414" s="9" t="n"/>
    </row>
    <row r="415">
      <c r="A415" s="9" t="n"/>
    </row>
    <row r="416">
      <c r="A416" s="9" t="n"/>
    </row>
    <row r="417">
      <c r="A417" s="9" t="n"/>
    </row>
    <row r="418">
      <c r="A418" s="9" t="n"/>
    </row>
    <row r="419">
      <c r="A419" s="9" t="n"/>
    </row>
    <row r="420">
      <c r="A420" s="9" t="n"/>
    </row>
    <row r="421">
      <c r="A421" s="9" t="n"/>
    </row>
    <row r="422">
      <c r="A422" s="9" t="n"/>
    </row>
    <row r="423">
      <c r="A423" s="9" t="n"/>
    </row>
    <row r="424">
      <c r="A424" s="9" t="n"/>
    </row>
    <row r="425">
      <c r="A425" s="9" t="n"/>
    </row>
    <row r="426">
      <c r="A426" s="9" t="n"/>
    </row>
    <row r="427">
      <c r="A427" s="9" t="n"/>
    </row>
    <row r="428">
      <c r="A428" s="9" t="n"/>
    </row>
    <row r="429">
      <c r="A429" s="9" t="n"/>
    </row>
    <row r="430">
      <c r="A430" s="9" t="n"/>
    </row>
    <row r="431">
      <c r="A431" s="9" t="n"/>
    </row>
    <row r="432">
      <c r="A432" s="9" t="n"/>
    </row>
    <row r="433">
      <c r="A433" s="9" t="n"/>
    </row>
    <row r="434">
      <c r="A434" s="9" t="n"/>
    </row>
    <row r="435">
      <c r="A435" s="9" t="n"/>
    </row>
    <row r="436">
      <c r="A436" s="9" t="n"/>
    </row>
    <row r="437">
      <c r="A437" s="9" t="n"/>
    </row>
    <row r="438">
      <c r="A438" s="9" t="n"/>
    </row>
    <row r="439">
      <c r="A439" s="9" t="n"/>
    </row>
    <row r="440">
      <c r="A440" s="9" t="n"/>
    </row>
    <row r="441">
      <c r="A441" s="9" t="n"/>
    </row>
    <row r="442">
      <c r="A442" s="9" t="n"/>
    </row>
    <row r="443">
      <c r="A443" s="9" t="n"/>
    </row>
    <row r="444">
      <c r="A444" s="9" t="n"/>
    </row>
    <row r="445">
      <c r="A445" s="9" t="n"/>
    </row>
    <row r="446">
      <c r="A446" s="9" t="n"/>
    </row>
    <row r="447">
      <c r="A447" s="9" t="n"/>
    </row>
    <row r="448">
      <c r="A448" s="9" t="n"/>
    </row>
    <row r="449">
      <c r="A449" s="9" t="n"/>
    </row>
    <row r="450">
      <c r="A450" s="9" t="n"/>
    </row>
    <row r="451">
      <c r="A451" s="9">
        <f>IF('S.H BOI GORDO'!A7192=""," ",'S.H BOI GORDO'!A7192)</f>
        <v/>
      </c>
    </row>
    <row r="452">
      <c r="A452" s="9">
        <f>IF('S.H BOI GORDO'!A7193=""," ",'S.H BOI GORDO'!A7193)</f>
        <v/>
      </c>
    </row>
    <row r="453">
      <c r="A453" s="9">
        <f>IF('S.H BOI GORDO'!A7194=""," ",'S.H BOI GORDO'!A7194)</f>
        <v/>
      </c>
    </row>
    <row r="454">
      <c r="A454" s="9">
        <f>IF('S.H BOI GORDO'!A7195=""," ",'S.H BOI GORDO'!A7195)</f>
        <v/>
      </c>
    </row>
    <row r="455">
      <c r="A455" s="9">
        <f>IF('S.H BOI GORDO'!A7196=""," ",'S.H BOI GORDO'!A7196)</f>
        <v/>
      </c>
    </row>
    <row r="456">
      <c r="A456" s="9">
        <f>IF('S.H BOI GORDO'!A7197=""," ",'S.H BOI GORDO'!A7197)</f>
        <v/>
      </c>
    </row>
    <row r="457">
      <c r="A457" s="9">
        <f>IF('S.H BOI GORDO'!A7198=""," ",'S.H BOI GORDO'!A7198)</f>
        <v/>
      </c>
    </row>
    <row r="458">
      <c r="A458" s="9">
        <f>IF('S.H BOI GORDO'!A7199=""," ",'S.H BOI GORDO'!A7199)</f>
        <v/>
      </c>
    </row>
    <row r="459">
      <c r="A459" s="9">
        <f>IF('S.H BOI GORDO'!A7200=""," ",'S.H BOI GORDO'!A7200)</f>
        <v/>
      </c>
    </row>
    <row r="460">
      <c r="A460" s="9">
        <f>IF('S.H BOI GORDO'!A7201=""," ",'S.H BOI GORDO'!A7201)</f>
        <v/>
      </c>
    </row>
    <row r="461">
      <c r="A461" s="9">
        <f>IF('S.H BOI GORDO'!A7202=""," ",'S.H BOI GORDO'!A7202)</f>
        <v/>
      </c>
    </row>
    <row r="462">
      <c r="A462" s="9">
        <f>IF('S.H BOI GORDO'!A7203=""," ",'S.H BOI GORDO'!A7203)</f>
        <v/>
      </c>
    </row>
    <row r="463">
      <c r="A463" s="9">
        <f>IF('S.H BOI GORDO'!A7204=""," ",'S.H BOI GORDO'!A7204)</f>
        <v/>
      </c>
    </row>
    <row r="464">
      <c r="A464" s="9">
        <f>IF('S.H BOI GORDO'!A7205=""," ",'S.H BOI GORDO'!A7205)</f>
        <v/>
      </c>
    </row>
    <row r="465">
      <c r="A465" s="9">
        <f>IF('S.H BOI GORDO'!A7206=""," ",'S.H BOI GORDO'!A7206)</f>
        <v/>
      </c>
    </row>
    <row r="466">
      <c r="A466" s="9">
        <f>IF('S.H BOI GORDO'!A7207=""," ",'S.H BOI GORDO'!A7207)</f>
        <v/>
      </c>
    </row>
    <row r="467">
      <c r="A467" s="9">
        <f>IF('S.H BOI GORDO'!A7208=""," ",'S.H BOI GORDO'!A7208)</f>
        <v/>
      </c>
    </row>
    <row r="468">
      <c r="A468" s="9">
        <f>IF('S.H BOI GORDO'!A7209=""," ",'S.H BOI GORDO'!A7209)</f>
        <v/>
      </c>
    </row>
    <row r="469">
      <c r="A469" s="9">
        <f>IF('S.H BOI GORDO'!A7210=""," ",'S.H BOI GORDO'!A7210)</f>
        <v/>
      </c>
    </row>
    <row r="470">
      <c r="A470" s="9">
        <f>IF('S.H BOI GORDO'!A7211=""," ",'S.H BOI GORDO'!A7211)</f>
        <v/>
      </c>
    </row>
    <row r="471">
      <c r="A471" s="9">
        <f>IF('S.H BOI GORDO'!A7212=""," ",'S.H BOI GORDO'!A7212)</f>
        <v/>
      </c>
    </row>
    <row r="472">
      <c r="A472" s="9">
        <f>IF('S.H BOI GORDO'!A7213=""," ",'S.H BOI GORDO'!A7213)</f>
        <v/>
      </c>
    </row>
    <row r="473">
      <c r="A473" s="9">
        <f>IF('S.H BOI GORDO'!A7214=""," ",'S.H BOI GORDO'!A7214)</f>
        <v/>
      </c>
    </row>
    <row r="474">
      <c r="A474" s="9">
        <f>IF('S.H BOI GORDO'!A7215=""," ",'S.H BOI GORDO'!A7215)</f>
        <v/>
      </c>
    </row>
    <row r="475">
      <c r="A475" s="9">
        <f>IF('S.H BOI GORDO'!A7216=""," ",'S.H BOI GORDO'!A7216)</f>
        <v/>
      </c>
    </row>
    <row r="476">
      <c r="A476" s="9">
        <f>IF('S.H BOI GORDO'!A7217=""," ",'S.H BOI GORDO'!A7217)</f>
        <v/>
      </c>
    </row>
    <row r="477">
      <c r="A477" s="9">
        <f>IF('S.H BOI GORDO'!A7218=""," ",'S.H BOI GORDO'!A7218)</f>
        <v/>
      </c>
    </row>
    <row r="478">
      <c r="A478" s="9">
        <f>IF('S.H BOI GORDO'!A7219=""," ",'S.H BOI GORDO'!A7219)</f>
        <v/>
      </c>
    </row>
    <row r="479">
      <c r="A479" s="9">
        <f>IF('S.H BOI GORDO'!A7220=""," ",'S.H BOI GORDO'!A7220)</f>
        <v/>
      </c>
    </row>
    <row r="480">
      <c r="A480" s="9">
        <f>IF('S.H BOI GORDO'!A7221=""," ",'S.H BOI GORDO'!A7221)</f>
        <v/>
      </c>
    </row>
    <row r="481">
      <c r="A481" s="9">
        <f>IF('S.H BOI GORDO'!A7222=""," ",'S.H BOI GORDO'!A7222)</f>
        <v/>
      </c>
    </row>
    <row r="482">
      <c r="A482" s="9">
        <f>IF('S.H BOI GORDO'!A7223=""," ",'S.H BOI GORDO'!A7223)</f>
        <v/>
      </c>
    </row>
    <row r="483">
      <c r="A483" s="9">
        <f>IF('S.H BOI GORDO'!A7224=""," ",'S.H BOI GORDO'!A7224)</f>
        <v/>
      </c>
    </row>
    <row r="484">
      <c r="A484" s="9">
        <f>IF('S.H BOI GORDO'!A7225=""," ",'S.H BOI GORDO'!A7225)</f>
        <v/>
      </c>
    </row>
    <row r="485">
      <c r="A485" s="9">
        <f>IF('S.H BOI GORDO'!A7226=""," ",'S.H BOI GORDO'!A7226)</f>
        <v/>
      </c>
    </row>
    <row r="486">
      <c r="A486" s="9">
        <f>IF('S.H BOI GORDO'!A7227=""," ",'S.H BOI GORDO'!A7227)</f>
        <v/>
      </c>
    </row>
    <row r="487">
      <c r="A487" s="9">
        <f>IF('S.H BOI GORDO'!A7228=""," ",'S.H BOI GORDO'!A7228)</f>
        <v/>
      </c>
    </row>
    <row r="488">
      <c r="A488" s="9">
        <f>IF('S.H BOI GORDO'!A7229=""," ",'S.H BOI GORDO'!A7229)</f>
        <v/>
      </c>
    </row>
    <row r="489">
      <c r="A489" s="9">
        <f>IF('S.H BOI GORDO'!A7230=""," ",'S.H BOI GORDO'!A7230)</f>
        <v/>
      </c>
    </row>
    <row r="490">
      <c r="A490" s="9">
        <f>IF('S.H BOI GORDO'!A7231=""," ",'S.H BOI GORDO'!A7231)</f>
        <v/>
      </c>
    </row>
    <row r="491">
      <c r="A491" s="9">
        <f>IF('S.H BOI GORDO'!A7232=""," ",'S.H BOI GORDO'!A7232)</f>
        <v/>
      </c>
    </row>
    <row r="492">
      <c r="A492" s="9">
        <f>IF('S.H BOI GORDO'!A7233=""," ",'S.H BOI GORDO'!A7233)</f>
        <v/>
      </c>
    </row>
    <row r="493">
      <c r="A493" s="9">
        <f>IF('S.H BOI GORDO'!A7234=""," ",'S.H BOI GORDO'!A7234)</f>
        <v/>
      </c>
    </row>
    <row r="494">
      <c r="A494" s="9">
        <f>IF('S.H BOI GORDO'!A7235=""," ",'S.H BOI GORDO'!A7235)</f>
        <v/>
      </c>
    </row>
    <row r="495">
      <c r="A495" s="9">
        <f>IF('S.H BOI GORDO'!A7236=""," ",'S.H BOI GORDO'!A7236)</f>
        <v/>
      </c>
    </row>
    <row r="496">
      <c r="A496" s="9">
        <f>IF('S.H BOI GORDO'!A7237=""," ",'S.H BOI GORDO'!A7237)</f>
        <v/>
      </c>
    </row>
    <row r="497">
      <c r="A497" s="9">
        <f>IF('S.H BOI GORDO'!A7238=""," ",'S.H BOI GORDO'!A7238)</f>
        <v/>
      </c>
    </row>
    <row r="498">
      <c r="A498" s="9">
        <f>IF('S.H BOI GORDO'!A7239=""," ",'S.H BOI GORDO'!A7239)</f>
        <v/>
      </c>
    </row>
    <row r="499">
      <c r="A499" s="9">
        <f>IF('S.H BOI GORDO'!A7240=""," ",'S.H BOI GORDO'!A7240)</f>
        <v/>
      </c>
    </row>
    <row r="500">
      <c r="A500" s="9">
        <f>IF('S.H BOI GORDO'!A7241=""," ",'S.H BOI GORDO'!A7241)</f>
        <v/>
      </c>
    </row>
    <row r="501">
      <c r="A501" s="9">
        <f>IF('S.H BOI GORDO'!A7242=""," ",'S.H BOI GORDO'!A7242)</f>
        <v/>
      </c>
    </row>
    <row r="502">
      <c r="A502" s="9">
        <f>IF('S.H BOI GORDO'!A7243=""," ",'S.H BOI GORDO'!A7243)</f>
        <v/>
      </c>
    </row>
    <row r="503">
      <c r="A503" s="9">
        <f>IF('S.H BOI GORDO'!A7244=""," ",'S.H BOI GORDO'!A7244)</f>
        <v/>
      </c>
    </row>
    <row r="504">
      <c r="A504" s="9">
        <f>IF('S.H BOI GORDO'!A7245=""," ",'S.H BOI GORDO'!A7245)</f>
        <v/>
      </c>
    </row>
    <row r="505">
      <c r="A505" s="9">
        <f>IF('S.H BOI GORDO'!A7246=""," ",'S.H BOI GORDO'!A7246)</f>
        <v/>
      </c>
    </row>
    <row r="506">
      <c r="A506" s="9">
        <f>IF('S.H BOI GORDO'!A7247=""," ",'S.H BOI GORDO'!A7247)</f>
        <v/>
      </c>
    </row>
    <row r="507">
      <c r="A507" s="9">
        <f>IF('S.H BOI GORDO'!A7248=""," ",'S.H BOI GORDO'!A7248)</f>
        <v/>
      </c>
    </row>
    <row r="508">
      <c r="A508" s="9">
        <f>IF('S.H BOI GORDO'!A7249=""," ",'S.H BOI GORDO'!A7249)</f>
        <v/>
      </c>
    </row>
    <row r="509">
      <c r="A509" s="9">
        <f>IF('S.H BOI GORDO'!A7250=""," ",'S.H BOI GORDO'!A7250)</f>
        <v/>
      </c>
    </row>
    <row r="510">
      <c r="A510" s="9">
        <f>IF('S.H BOI GORDO'!A7251=""," ",'S.H BOI GORDO'!A7251)</f>
        <v/>
      </c>
    </row>
    <row r="511">
      <c r="A511" s="9">
        <f>IF('S.H BOI GORDO'!A7252=""," ",'S.H BOI GORDO'!A7252)</f>
        <v/>
      </c>
    </row>
    <row r="512">
      <c r="A512" s="9">
        <f>IF('S.H BOI GORDO'!A7253=""," ",'S.H BOI GORDO'!A7253)</f>
        <v/>
      </c>
    </row>
    <row r="513">
      <c r="A513" s="9">
        <f>IF('S.H BOI GORDO'!A7254=""," ",'S.H BOI GORDO'!A7254)</f>
        <v/>
      </c>
    </row>
    <row r="514">
      <c r="A514" s="9">
        <f>IF('S.H BOI GORDO'!A7255=""," ",'S.H BOI GORDO'!A7255)</f>
        <v/>
      </c>
    </row>
    <row r="515">
      <c r="A515" s="9">
        <f>IF('S.H BOI GORDO'!A7256=""," ",'S.H BOI GORDO'!A7256)</f>
        <v/>
      </c>
    </row>
    <row r="516">
      <c r="A516" s="9">
        <f>IF('S.H BOI GORDO'!A7257=""," ",'S.H BOI GORDO'!A7257)</f>
        <v/>
      </c>
    </row>
    <row r="517">
      <c r="A517" s="9">
        <f>IF('S.H BOI GORDO'!A7258=""," ",'S.H BOI GORDO'!A7258)</f>
        <v/>
      </c>
    </row>
    <row r="518">
      <c r="A518" s="9">
        <f>IF('S.H BOI GORDO'!A7259=""," ",'S.H BOI GORDO'!A7259)</f>
        <v/>
      </c>
    </row>
    <row r="519">
      <c r="A519" s="9">
        <f>IF('S.H BOI GORDO'!A7260=""," ",'S.H BOI GORDO'!A7260)</f>
        <v/>
      </c>
    </row>
    <row r="520">
      <c r="A520" s="9">
        <f>IF('S.H BOI GORDO'!A7261=""," ",'S.H BOI GORDO'!A7261)</f>
        <v/>
      </c>
    </row>
    <row r="521">
      <c r="A521" s="9">
        <f>IF('S.H BOI GORDO'!A7262=""," ",'S.H BOI GORDO'!A7262)</f>
        <v/>
      </c>
    </row>
    <row r="522">
      <c r="A522" s="9">
        <f>IF('S.H BOI GORDO'!A7263=""," ",'S.H BOI GORDO'!A7263)</f>
        <v/>
      </c>
    </row>
    <row r="523">
      <c r="A523" s="9">
        <f>IF('S.H BOI GORDO'!A7264=""," ",'S.H BOI GORDO'!A7264)</f>
        <v/>
      </c>
    </row>
    <row r="524">
      <c r="A524" s="9">
        <f>IF('S.H BOI GORDO'!A7265=""," ",'S.H BOI GORDO'!A7265)</f>
        <v/>
      </c>
    </row>
    <row r="525">
      <c r="A525" s="9">
        <f>IF('S.H BOI GORDO'!A7266=""," ",'S.H BOI GORDO'!A7266)</f>
        <v/>
      </c>
    </row>
    <row r="526">
      <c r="A526" s="9">
        <f>IF('S.H BOI GORDO'!A7267=""," ",'S.H BOI GORDO'!A7267)</f>
        <v/>
      </c>
    </row>
    <row r="527">
      <c r="A527" s="9">
        <f>IF('S.H BOI GORDO'!A7268=""," ",'S.H BOI GORDO'!A7268)</f>
        <v/>
      </c>
    </row>
    <row r="528">
      <c r="A528" s="9">
        <f>IF('S.H BOI GORDO'!A7269=""," ",'S.H BOI GORDO'!A7269)</f>
        <v/>
      </c>
    </row>
    <row r="529">
      <c r="A529" s="9">
        <f>IF('S.H BOI GORDO'!A7270=""," ",'S.H BOI GORDO'!A7270)</f>
        <v/>
      </c>
    </row>
    <row r="530">
      <c r="A530" s="9">
        <f>IF('S.H BOI GORDO'!A7271=""," ",'S.H BOI GORDO'!A7271)</f>
        <v/>
      </c>
    </row>
    <row r="531">
      <c r="A531" s="9">
        <f>IF('S.H BOI GORDO'!A7272=""," ",'S.H BOI GORDO'!A7272)</f>
        <v/>
      </c>
    </row>
    <row r="532">
      <c r="A532" s="9">
        <f>IF('S.H BOI GORDO'!A7273=""," ",'S.H BOI GORDO'!A7273)</f>
        <v/>
      </c>
    </row>
    <row r="533">
      <c r="A533" s="9">
        <f>IF('S.H BOI GORDO'!A7274=""," ",'S.H BOI GORDO'!A7274)</f>
        <v/>
      </c>
    </row>
    <row r="534">
      <c r="A534" s="9">
        <f>IF('S.H BOI GORDO'!A7275=""," ",'S.H BOI GORDO'!A7275)</f>
        <v/>
      </c>
    </row>
    <row r="535">
      <c r="A535" s="9">
        <f>IF('S.H BOI GORDO'!A7276=""," ",'S.H BOI GORDO'!A7276)</f>
        <v/>
      </c>
    </row>
    <row r="536">
      <c r="A536" s="9">
        <f>IF('S.H BOI GORDO'!A7277=""," ",'S.H BOI GORDO'!A7277)</f>
        <v/>
      </c>
    </row>
    <row r="537">
      <c r="A537" s="9">
        <f>IF('S.H BOI GORDO'!A7278=""," ",'S.H BOI GORDO'!A7278)</f>
        <v/>
      </c>
    </row>
    <row r="538">
      <c r="A538" s="9">
        <f>IF('S.H BOI GORDO'!A7279=""," ",'S.H BOI GORDO'!A7279)</f>
        <v/>
      </c>
    </row>
    <row r="539">
      <c r="A539" s="9">
        <f>IF('S.H BOI GORDO'!A7280=""," ",'S.H BOI GORDO'!A7280)</f>
        <v/>
      </c>
    </row>
    <row r="540">
      <c r="A540" s="9">
        <f>IF('S.H BOI GORDO'!A7281=""," ",'S.H BOI GORDO'!A7281)</f>
        <v/>
      </c>
    </row>
    <row r="541">
      <c r="A541" s="9">
        <f>IF('S.H BOI GORDO'!A7282=""," ",'S.H BOI GORDO'!A7282)</f>
        <v/>
      </c>
    </row>
    <row r="542">
      <c r="A542" s="9">
        <f>IF('S.H BOI GORDO'!A7283=""," ",'S.H BOI GORDO'!A7283)</f>
        <v/>
      </c>
    </row>
    <row r="543">
      <c r="A543" s="9">
        <f>IF('S.H BOI GORDO'!A7284=""," ",'S.H BOI GORDO'!A7284)</f>
        <v/>
      </c>
    </row>
    <row r="544">
      <c r="A544" s="9">
        <f>IF('S.H BOI GORDO'!A7285=""," ",'S.H BOI GORDO'!A7285)</f>
        <v/>
      </c>
    </row>
    <row r="545">
      <c r="A545" s="9">
        <f>IF('S.H BOI GORDO'!A7286=""," ",'S.H BOI GORDO'!A7286)</f>
        <v/>
      </c>
    </row>
    <row r="546">
      <c r="A546" s="9">
        <f>IF('S.H BOI GORDO'!A7287=""," ",'S.H BOI GORDO'!A7287)</f>
        <v/>
      </c>
    </row>
    <row r="547">
      <c r="A547" s="9">
        <f>IF('S.H BOI GORDO'!A7288=""," ",'S.H BOI GORDO'!A7288)</f>
        <v/>
      </c>
    </row>
    <row r="548">
      <c r="A548" s="9">
        <f>IF('S.H BOI GORDO'!A7289=""," ",'S.H BOI GORDO'!A7289)</f>
        <v/>
      </c>
    </row>
    <row r="549">
      <c r="A549" s="9">
        <f>IF('S.H BOI GORDO'!A7290=""," ",'S.H BOI GORDO'!A7290)</f>
        <v/>
      </c>
    </row>
    <row r="550">
      <c r="A550" s="9">
        <f>IF('S.H BOI GORDO'!A7291=""," ",'S.H BOI GORDO'!A7291)</f>
        <v/>
      </c>
    </row>
    <row r="551">
      <c r="A551" s="9">
        <f>IF('S.H BOI GORDO'!A7292=""," ",'S.H BOI GORDO'!A7292)</f>
        <v/>
      </c>
    </row>
    <row r="552">
      <c r="A552" s="9">
        <f>IF('S.H BOI GORDO'!A7293=""," ",'S.H BOI GORDO'!A7293)</f>
        <v/>
      </c>
    </row>
    <row r="553">
      <c r="A553" s="9">
        <f>IF('S.H BOI GORDO'!A7294=""," ",'S.H BOI GORDO'!A7294)</f>
        <v/>
      </c>
    </row>
    <row r="554">
      <c r="A554" s="9">
        <f>IF('S.H BOI GORDO'!A7295=""," ",'S.H BOI GORDO'!A7295)</f>
        <v/>
      </c>
    </row>
    <row r="555">
      <c r="A555" s="9">
        <f>IF('S.H BOI GORDO'!A7296=""," ",'S.H BOI GORDO'!A7296)</f>
        <v/>
      </c>
    </row>
    <row r="556">
      <c r="A556" s="9">
        <f>IF('S.H BOI GORDO'!A7297=""," ",'S.H BOI GORDO'!A7297)</f>
        <v/>
      </c>
    </row>
    <row r="557">
      <c r="A557" s="9">
        <f>IF('S.H BOI GORDO'!A7298=""," ",'S.H BOI GORDO'!A7298)</f>
        <v/>
      </c>
    </row>
    <row r="558">
      <c r="A558" s="9">
        <f>IF('S.H BOI GORDO'!A7299=""," ",'S.H BOI GORDO'!A7299)</f>
        <v/>
      </c>
    </row>
    <row r="559">
      <c r="A559" s="9">
        <f>IF('S.H BOI GORDO'!A7300=""," ",'S.H BOI GORDO'!A7300)</f>
        <v/>
      </c>
    </row>
    <row r="560">
      <c r="A560" s="9">
        <f>IF('S.H BOI GORDO'!A7301=""," ",'S.H BOI GORDO'!A7301)</f>
        <v/>
      </c>
    </row>
    <row r="561">
      <c r="A561" s="9">
        <f>IF('S.H BOI GORDO'!A7302=""," ",'S.H BOI GORDO'!A7302)</f>
        <v/>
      </c>
    </row>
    <row r="562">
      <c r="A562" s="9">
        <f>IF('S.H BOI GORDO'!A7303=""," ",'S.H BOI GORDO'!A7303)</f>
        <v/>
      </c>
    </row>
    <row r="563">
      <c r="A563" s="9">
        <f>IF('S.H BOI GORDO'!A7304=""," ",'S.H BOI GORDO'!A7304)</f>
        <v/>
      </c>
    </row>
    <row r="564">
      <c r="A564" s="9">
        <f>IF('S.H BOI GORDO'!A7305=""," ",'S.H BOI GORDO'!A7305)</f>
        <v/>
      </c>
    </row>
    <row r="565">
      <c r="A565" s="9">
        <f>IF('S.H BOI GORDO'!A7306=""," ",'S.H BOI GORDO'!A7306)</f>
        <v/>
      </c>
    </row>
    <row r="566">
      <c r="A566" s="9">
        <f>IF('S.H BOI GORDO'!A7307=""," ",'S.H BOI GORDO'!A7307)</f>
        <v/>
      </c>
    </row>
    <row r="567">
      <c r="A567" s="9">
        <f>IF('S.H BOI GORDO'!A7308=""," ",'S.H BOI GORDO'!A7308)</f>
        <v/>
      </c>
    </row>
    <row r="568">
      <c r="A568" s="9">
        <f>IF('S.H BOI GORDO'!A7309=""," ",'S.H BOI GORDO'!A7309)</f>
        <v/>
      </c>
    </row>
    <row r="569">
      <c r="A569" s="9">
        <f>IF('S.H BOI GORDO'!A7310=""," ",'S.H BOI GORDO'!A7310)</f>
        <v/>
      </c>
    </row>
    <row r="570">
      <c r="A570" s="9">
        <f>IF('S.H BOI GORDO'!A7311=""," ",'S.H BOI GORDO'!A7311)</f>
        <v/>
      </c>
    </row>
    <row r="571">
      <c r="A571" s="9">
        <f>IF('S.H BOI GORDO'!A7312=""," ",'S.H BOI GORDO'!A7312)</f>
        <v/>
      </c>
    </row>
    <row r="572">
      <c r="A572" s="9">
        <f>IF('S.H BOI GORDO'!A7313=""," ",'S.H BOI GORDO'!A7313)</f>
        <v/>
      </c>
    </row>
    <row r="573">
      <c r="A573" s="9">
        <f>IF('S.H BOI GORDO'!A7314=""," ",'S.H BOI GORDO'!A7314)</f>
        <v/>
      </c>
    </row>
    <row r="574">
      <c r="A574" s="9">
        <f>IF('S.H BOI GORDO'!A7315=""," ",'S.H BOI GORDO'!A7315)</f>
        <v/>
      </c>
    </row>
    <row r="575">
      <c r="A575" s="9">
        <f>IF('S.H BOI GORDO'!A7316=""," ",'S.H BOI GORDO'!A7316)</f>
        <v/>
      </c>
    </row>
    <row r="576">
      <c r="A576" s="9">
        <f>IF('S.H BOI GORDO'!A7317=""," ",'S.H BOI GORDO'!A7317)</f>
        <v/>
      </c>
    </row>
    <row r="577">
      <c r="A577" s="9">
        <f>IF('S.H BOI GORDO'!A7318=""," ",'S.H BOI GORDO'!A7318)</f>
        <v/>
      </c>
    </row>
    <row r="578">
      <c r="A578" s="9">
        <f>IF('S.H BOI GORDO'!A7319=""," ",'S.H BOI GORDO'!A7319)</f>
        <v/>
      </c>
    </row>
    <row r="579">
      <c r="A579" s="9">
        <f>IF('S.H BOI GORDO'!A7320=""," ",'S.H BOI GORDO'!A7320)</f>
        <v/>
      </c>
    </row>
    <row r="580">
      <c r="A580" s="9">
        <f>IF('S.H BOI GORDO'!A7321=""," ",'S.H BOI GORDO'!A7321)</f>
        <v/>
      </c>
    </row>
    <row r="581">
      <c r="A581" s="9">
        <f>IF('S.H BOI GORDO'!A7322=""," ",'S.H BOI GORDO'!A7322)</f>
        <v/>
      </c>
    </row>
    <row r="582">
      <c r="A582" s="9">
        <f>IF('S.H BOI GORDO'!A7323=""," ",'S.H BOI GORDO'!A7323)</f>
        <v/>
      </c>
    </row>
    <row r="583">
      <c r="A583" s="9">
        <f>IF('S.H BOI GORDO'!A7324=""," ",'S.H BOI GORDO'!A7324)</f>
        <v/>
      </c>
    </row>
    <row r="584">
      <c r="A584" s="9">
        <f>IF('S.H BOI GORDO'!A7325=""," ",'S.H BOI GORDO'!A7325)</f>
        <v/>
      </c>
    </row>
    <row r="585">
      <c r="A585" s="9">
        <f>IF('S.H BOI GORDO'!A7326=""," ",'S.H BOI GORDO'!A7326)</f>
        <v/>
      </c>
    </row>
    <row r="586">
      <c r="A586" s="9">
        <f>IF('S.H BOI GORDO'!A7327=""," ",'S.H BOI GORDO'!A7327)</f>
        <v/>
      </c>
    </row>
    <row r="587">
      <c r="A587" s="9">
        <f>IF('S.H BOI GORDO'!A7328=""," ",'S.H BOI GORDO'!A7328)</f>
        <v/>
      </c>
    </row>
    <row r="588">
      <c r="A588" s="9">
        <f>IF('S.H BOI GORDO'!A7329=""," ",'S.H BOI GORDO'!A7329)</f>
        <v/>
      </c>
    </row>
    <row r="589">
      <c r="A589" s="9">
        <f>IF('S.H BOI GORDO'!A7330=""," ",'S.H BOI GORDO'!A7330)</f>
        <v/>
      </c>
    </row>
    <row r="590">
      <c r="A590" s="9">
        <f>IF('S.H BOI GORDO'!A7331=""," ",'S.H BOI GORDO'!A7331)</f>
        <v/>
      </c>
    </row>
    <row r="591">
      <c r="A591" s="9">
        <f>IF('S.H BOI GORDO'!A7332=""," ",'S.H BOI GORDO'!A7332)</f>
        <v/>
      </c>
    </row>
    <row r="592">
      <c r="A592" s="9">
        <f>IF('S.H BOI GORDO'!A7333=""," ",'S.H BOI GORDO'!A7333)</f>
        <v/>
      </c>
    </row>
    <row r="593">
      <c r="A593" s="9">
        <f>IF('S.H BOI GORDO'!A7334=""," ",'S.H BOI GORDO'!A7334)</f>
        <v/>
      </c>
    </row>
    <row r="594">
      <c r="A594" s="9">
        <f>IF('S.H BOI GORDO'!A7335=""," ",'S.H BOI GORDO'!A7335)</f>
        <v/>
      </c>
    </row>
    <row r="595">
      <c r="A595" s="9">
        <f>IF('S.H BOI GORDO'!A7336=""," ",'S.H BOI GORDO'!A7336)</f>
        <v/>
      </c>
    </row>
    <row r="596">
      <c r="A596" s="9">
        <f>IF('S.H BOI GORDO'!A7337=""," ",'S.H BOI GORDO'!A7337)</f>
        <v/>
      </c>
    </row>
    <row r="597">
      <c r="A597" s="9">
        <f>IF('S.H BOI GORDO'!A7338=""," ",'S.H BOI GORDO'!A7338)</f>
        <v/>
      </c>
    </row>
    <row r="598">
      <c r="A598" s="9">
        <f>IF('S.H BOI GORDO'!A7339=""," ",'S.H BOI GORDO'!A7339)</f>
        <v/>
      </c>
    </row>
    <row r="599">
      <c r="A599" s="9">
        <f>IF('S.H BOI GORDO'!A7340=""," ",'S.H BOI GORDO'!A7340)</f>
        <v/>
      </c>
    </row>
    <row r="600">
      <c r="A600" s="9">
        <f>IF('S.H BOI GORDO'!A7341=""," ",'S.H BOI GORDO'!A7341)</f>
        <v/>
      </c>
    </row>
    <row r="601">
      <c r="A601" s="9">
        <f>IF('S.H BOI GORDO'!A7342=""," ",'S.H BOI GORDO'!A7342)</f>
        <v/>
      </c>
    </row>
    <row r="602">
      <c r="A602" s="9">
        <f>IF('S.H BOI GORDO'!A7343=""," ",'S.H BOI GORDO'!A7343)</f>
        <v/>
      </c>
    </row>
    <row r="603">
      <c r="A603" s="9">
        <f>IF('S.H BOI GORDO'!A7344=""," ",'S.H BOI GORDO'!A7344)</f>
        <v/>
      </c>
    </row>
    <row r="604">
      <c r="A604" s="9">
        <f>IF('S.H BOI GORDO'!A7345=""," ",'S.H BOI GORDO'!A7345)</f>
        <v/>
      </c>
    </row>
    <row r="605">
      <c r="A605" s="12" t="n"/>
    </row>
    <row r="606">
      <c r="A606" s="12" t="n"/>
    </row>
    <row r="607">
      <c r="A607" s="12" t="n"/>
    </row>
    <row r="608">
      <c r="A608" s="12" t="n"/>
    </row>
    <row r="609">
      <c r="A609" s="12" t="n"/>
    </row>
    <row r="610">
      <c r="A610" s="12" t="n"/>
    </row>
    <row r="611">
      <c r="A611" s="12" t="n"/>
    </row>
    <row r="612">
      <c r="A612" s="12" t="n"/>
    </row>
    <row r="613">
      <c r="A613" s="12" t="n"/>
    </row>
    <row r="614">
      <c r="A614" s="12" t="n"/>
    </row>
    <row r="615">
      <c r="A615" s="12" t="n"/>
    </row>
    <row r="616">
      <c r="A616" s="12" t="n"/>
    </row>
    <row r="617">
      <c r="A617" s="12" t="n"/>
    </row>
    <row r="618">
      <c r="A618" s="12" t="n"/>
    </row>
    <row r="619">
      <c r="A619" s="12" t="n"/>
    </row>
    <row r="620">
      <c r="A620" s="12" t="n"/>
    </row>
    <row r="621">
      <c r="A621" s="12" t="n"/>
    </row>
    <row r="622">
      <c r="A622" s="12" t="n"/>
    </row>
    <row r="623">
      <c r="A623" s="12" t="n"/>
    </row>
    <row r="624">
      <c r="A624" s="12" t="n"/>
    </row>
    <row r="625">
      <c r="A625" s="12" t="n"/>
    </row>
    <row r="626">
      <c r="A626" s="12" t="n"/>
    </row>
    <row r="627">
      <c r="A627" s="12" t="n"/>
    </row>
    <row r="628">
      <c r="A628" s="12" t="n"/>
    </row>
    <row r="629">
      <c r="A629" s="12" t="n"/>
    </row>
    <row r="630">
      <c r="A630" s="12" t="n"/>
    </row>
    <row r="631">
      <c r="A631" s="12" t="n"/>
    </row>
    <row r="632">
      <c r="A632" s="12" t="n"/>
    </row>
    <row r="633">
      <c r="A633" s="12" t="n"/>
    </row>
    <row r="634">
      <c r="A634" s="12" t="n"/>
    </row>
    <row r="635">
      <c r="A635" s="12" t="n"/>
    </row>
    <row r="636">
      <c r="A636" s="12" t="n"/>
    </row>
    <row r="637">
      <c r="A637" s="12" t="n"/>
    </row>
    <row r="638">
      <c r="A638" s="12" t="n"/>
    </row>
    <row r="639">
      <c r="A639" s="12" t="n"/>
    </row>
    <row r="640">
      <c r="A640" s="12" t="n"/>
    </row>
    <row r="641">
      <c r="A641" s="12" t="n"/>
    </row>
    <row r="642">
      <c r="A642" s="12" t="n"/>
    </row>
    <row r="643">
      <c r="A643" s="12" t="n"/>
    </row>
    <row r="644">
      <c r="A644" s="12" t="n"/>
    </row>
    <row r="645">
      <c r="A645" s="12" t="n"/>
    </row>
    <row r="646">
      <c r="A646" s="12" t="n"/>
    </row>
    <row r="647">
      <c r="A647" s="12" t="n"/>
    </row>
    <row r="648">
      <c r="A648" s="12" t="n"/>
    </row>
    <row r="649">
      <c r="A649" s="12" t="n"/>
    </row>
    <row r="650">
      <c r="A650" s="12" t="n"/>
    </row>
    <row r="651">
      <c r="A651" s="12" t="n"/>
    </row>
    <row r="652">
      <c r="A652" s="12" t="n"/>
    </row>
    <row r="653">
      <c r="A653" s="12" t="n"/>
    </row>
    <row r="654">
      <c r="A654" s="12" t="n"/>
    </row>
    <row r="655">
      <c r="A655" s="12" t="n"/>
    </row>
    <row r="656">
      <c r="A656" s="12" t="n"/>
    </row>
    <row r="657">
      <c r="A657" s="12" t="n"/>
    </row>
    <row r="658">
      <c r="A658" s="12" t="n"/>
    </row>
    <row r="659">
      <c r="A659" s="12" t="n"/>
    </row>
    <row r="660">
      <c r="A660" s="12" t="n"/>
    </row>
    <row r="661">
      <c r="A661" s="12" t="n"/>
    </row>
    <row r="662">
      <c r="A662" s="12" t="n"/>
    </row>
    <row r="663">
      <c r="A663" s="12" t="n"/>
    </row>
    <row r="664">
      <c r="A664" s="12" t="n"/>
    </row>
    <row r="665">
      <c r="A665" s="12" t="n"/>
    </row>
    <row r="666">
      <c r="A666" s="12" t="n"/>
    </row>
    <row r="667">
      <c r="A667" s="12" t="n"/>
    </row>
    <row r="668">
      <c r="A668" s="12" t="n"/>
    </row>
    <row r="669">
      <c r="A669" s="12" t="n"/>
    </row>
    <row r="670">
      <c r="A670" s="12" t="n"/>
    </row>
    <row r="671">
      <c r="A671" s="12" t="n"/>
    </row>
    <row r="672">
      <c r="A672" s="12" t="n"/>
    </row>
    <row r="673">
      <c r="A673" s="12" t="n"/>
    </row>
    <row r="674">
      <c r="A674" s="12" t="n"/>
    </row>
    <row r="675">
      <c r="A675" s="12" t="n"/>
    </row>
    <row r="676">
      <c r="A676" s="12" t="n"/>
    </row>
    <row r="677">
      <c r="A677" s="12" t="n"/>
    </row>
    <row r="678">
      <c r="A678" s="12" t="n"/>
    </row>
    <row r="679">
      <c r="A679" s="12" t="n"/>
    </row>
    <row r="680">
      <c r="A680" s="12" t="n"/>
    </row>
    <row r="681">
      <c r="A681" s="12" t="n"/>
    </row>
    <row r="682">
      <c r="A682" s="12" t="n"/>
    </row>
    <row r="683">
      <c r="A683" s="12" t="n"/>
    </row>
    <row r="684">
      <c r="A684" s="12" t="n"/>
    </row>
    <row r="685">
      <c r="A685" s="12" t="n"/>
    </row>
    <row r="686">
      <c r="A686" s="12" t="n"/>
    </row>
    <row r="687">
      <c r="A687" s="12" t="n"/>
    </row>
    <row r="688">
      <c r="A688" s="12" t="n"/>
    </row>
    <row r="689">
      <c r="A689" s="12" t="n"/>
    </row>
    <row r="690">
      <c r="A690" s="12" t="n"/>
    </row>
    <row r="691">
      <c r="A691" s="12" t="n"/>
    </row>
    <row r="692">
      <c r="A692" s="12" t="n"/>
    </row>
    <row r="693">
      <c r="A693" s="12" t="n"/>
    </row>
    <row r="694">
      <c r="A694" s="12" t="n"/>
    </row>
    <row r="695">
      <c r="A695" s="12" t="n"/>
    </row>
    <row r="696">
      <c r="A696" s="12" t="n"/>
    </row>
    <row r="697">
      <c r="A697" s="12" t="n"/>
    </row>
    <row r="698">
      <c r="A698" s="12" t="n"/>
    </row>
    <row r="699">
      <c r="A699" s="12" t="n"/>
    </row>
    <row r="700">
      <c r="A700" s="12" t="n"/>
    </row>
    <row r="701">
      <c r="A701" s="12" t="n"/>
    </row>
    <row r="702">
      <c r="A702" s="12" t="n"/>
    </row>
    <row r="703">
      <c r="A703" s="12" t="n"/>
    </row>
    <row r="704">
      <c r="A704" s="12" t="n"/>
    </row>
    <row r="705">
      <c r="A705" s="12" t="n"/>
    </row>
    <row r="706">
      <c r="A706" s="12" t="n"/>
    </row>
    <row r="707">
      <c r="A707" s="12" t="n"/>
    </row>
    <row r="708">
      <c r="A708" s="12" t="n"/>
    </row>
    <row r="709">
      <c r="A709" s="12" t="n"/>
    </row>
    <row r="710">
      <c r="A710" s="12" t="n"/>
    </row>
    <row r="711">
      <c r="A711" s="12" t="n"/>
    </row>
    <row r="712">
      <c r="A712" s="12" t="n"/>
    </row>
    <row r="713">
      <c r="A713" s="12" t="n"/>
    </row>
    <row r="714">
      <c r="A714" s="12" t="n"/>
    </row>
    <row r="715">
      <c r="A715" s="12" t="n"/>
    </row>
    <row r="716">
      <c r="A716" s="12" t="n"/>
    </row>
    <row r="717">
      <c r="A717" s="12" t="n"/>
    </row>
    <row r="718">
      <c r="A718" s="12" t="n"/>
    </row>
    <row r="719">
      <c r="A719" s="12" t="n"/>
    </row>
    <row r="720">
      <c r="A720" s="12" t="n"/>
    </row>
    <row r="721">
      <c r="A721" s="12" t="n"/>
    </row>
    <row r="722">
      <c r="A722" s="12" t="n"/>
    </row>
    <row r="723">
      <c r="A723" s="12" t="n"/>
    </row>
    <row r="724">
      <c r="A724" s="12" t="n"/>
    </row>
    <row r="725">
      <c r="A725" s="12" t="n"/>
    </row>
    <row r="726">
      <c r="A726" s="12" t="n"/>
    </row>
    <row r="727">
      <c r="A727" s="12" t="n"/>
    </row>
    <row r="728">
      <c r="A728" s="12" t="n"/>
    </row>
    <row r="729">
      <c r="A729" s="12" t="n"/>
    </row>
    <row r="730">
      <c r="A730" s="12" t="n"/>
    </row>
    <row r="731">
      <c r="A731" s="12" t="n"/>
    </row>
    <row r="732">
      <c r="A732" s="12" t="n"/>
    </row>
    <row r="733">
      <c r="A733" s="12" t="n"/>
    </row>
    <row r="734">
      <c r="A734" s="12" t="n"/>
    </row>
    <row r="735">
      <c r="A735" s="12" t="n"/>
    </row>
    <row r="736">
      <c r="A736" s="12" t="n"/>
    </row>
    <row r="737">
      <c r="A737" s="12" t="n"/>
    </row>
    <row r="738">
      <c r="A738" s="12" t="n"/>
    </row>
    <row r="739">
      <c r="A739" s="12" t="n"/>
    </row>
    <row r="740">
      <c r="A740" s="12" t="n"/>
    </row>
    <row r="741">
      <c r="A741" s="12" t="n"/>
    </row>
    <row r="742">
      <c r="A742" s="12" t="n"/>
    </row>
    <row r="743">
      <c r="A743" s="12" t="n"/>
    </row>
    <row r="744">
      <c r="A744" s="12" t="n"/>
    </row>
    <row r="745">
      <c r="A745" s="12" t="n"/>
    </row>
    <row r="746">
      <c r="A746" s="12" t="n"/>
    </row>
    <row r="747">
      <c r="A747" s="12" t="n"/>
    </row>
    <row r="748">
      <c r="A748" s="12" t="n"/>
    </row>
    <row r="749">
      <c r="A749" s="12" t="n"/>
    </row>
    <row r="750">
      <c r="A750" s="12" t="n"/>
    </row>
    <row r="751">
      <c r="A751" s="12" t="n"/>
    </row>
    <row r="752">
      <c r="A752" s="12" t="n"/>
    </row>
    <row r="753">
      <c r="A753" s="12" t="n"/>
    </row>
    <row r="754">
      <c r="A754" s="12" t="n"/>
    </row>
    <row r="755">
      <c r="A755" s="12" t="n"/>
    </row>
    <row r="756">
      <c r="A756" s="12" t="n"/>
    </row>
    <row r="757">
      <c r="A757" s="12" t="n"/>
    </row>
    <row r="758">
      <c r="A758" s="12" t="n"/>
    </row>
    <row r="759">
      <c r="A759" s="12" t="n"/>
    </row>
    <row r="760">
      <c r="A760" s="12" t="n"/>
    </row>
    <row r="761">
      <c r="A761" s="12" t="n"/>
    </row>
    <row r="762">
      <c r="A762" s="12" t="n"/>
    </row>
    <row r="763">
      <c r="A763" s="12" t="n"/>
    </row>
    <row r="764">
      <c r="A764" s="12" t="n"/>
    </row>
    <row r="765">
      <c r="A765" s="12" t="n"/>
    </row>
    <row r="766">
      <c r="A766" s="12" t="n"/>
    </row>
    <row r="767">
      <c r="A767" s="12" t="n"/>
    </row>
    <row r="768">
      <c r="A768" s="12" t="n"/>
    </row>
    <row r="769">
      <c r="A769" s="12" t="n"/>
    </row>
    <row r="770">
      <c r="A770" s="12" t="n"/>
    </row>
    <row r="771">
      <c r="A771" s="12" t="n"/>
    </row>
    <row r="772">
      <c r="A772" s="12" t="n"/>
    </row>
    <row r="773">
      <c r="A773" s="12" t="n"/>
    </row>
    <row r="774">
      <c r="A774" s="12" t="n"/>
    </row>
    <row r="775">
      <c r="A775" s="12" t="n"/>
    </row>
    <row r="776">
      <c r="A776" s="12" t="n"/>
    </row>
    <row r="777">
      <c r="A777" s="12" t="n"/>
    </row>
    <row r="778">
      <c r="A778" s="12" t="n"/>
    </row>
    <row r="779">
      <c r="A779" s="12" t="n"/>
    </row>
    <row r="780">
      <c r="A780" s="12" t="n"/>
    </row>
    <row r="781">
      <c r="A781" s="12" t="n"/>
    </row>
    <row r="782">
      <c r="A782" s="12" t="n"/>
    </row>
    <row r="783">
      <c r="A783" s="12" t="n"/>
    </row>
    <row r="784">
      <c r="A784" s="12" t="n"/>
    </row>
    <row r="785">
      <c r="A785" s="12" t="n"/>
    </row>
    <row r="786">
      <c r="A786" s="12" t="n"/>
    </row>
    <row r="787">
      <c r="A787" s="12" t="n"/>
    </row>
    <row r="788">
      <c r="A788" s="12" t="n"/>
    </row>
    <row r="789">
      <c r="A789" s="12" t="n"/>
    </row>
    <row r="790">
      <c r="A790" s="12" t="n"/>
    </row>
    <row r="791">
      <c r="A791" s="12" t="n"/>
    </row>
    <row r="792">
      <c r="A792" s="12" t="n"/>
    </row>
    <row r="793">
      <c r="A793" s="12" t="n"/>
    </row>
    <row r="794">
      <c r="A794" s="12" t="n"/>
    </row>
    <row r="795">
      <c r="A795" s="12" t="n"/>
    </row>
    <row r="796">
      <c r="A796" s="12" t="n"/>
    </row>
    <row r="797">
      <c r="A797" s="12" t="n"/>
    </row>
    <row r="798">
      <c r="A798" s="12" t="n"/>
    </row>
    <row r="799">
      <c r="A799" s="12" t="n"/>
    </row>
    <row r="800">
      <c r="A800" s="12" t="n"/>
    </row>
    <row r="801">
      <c r="A801" s="12" t="n"/>
    </row>
    <row r="802">
      <c r="A802" s="12" t="n"/>
    </row>
    <row r="803">
      <c r="A803" s="12" t="n"/>
    </row>
    <row r="804">
      <c r="A804" s="12" t="n"/>
    </row>
    <row r="805">
      <c r="A805" s="12" t="n"/>
    </row>
    <row r="806">
      <c r="A806" s="12" t="n"/>
    </row>
    <row r="807">
      <c r="A807" s="12" t="n"/>
    </row>
    <row r="808">
      <c r="A808" s="12" t="n"/>
    </row>
    <row r="809">
      <c r="A809" s="12" t="n"/>
    </row>
    <row r="810">
      <c r="A810" s="12" t="n"/>
    </row>
    <row r="811">
      <c r="A811" s="12" t="n"/>
    </row>
    <row r="812">
      <c r="A812" s="12" t="n"/>
    </row>
    <row r="813">
      <c r="A813" s="12" t="n"/>
    </row>
    <row r="814">
      <c r="A814" s="12" t="n"/>
    </row>
    <row r="815">
      <c r="A815" s="12" t="n"/>
    </row>
    <row r="816">
      <c r="A816" s="12" t="n"/>
    </row>
    <row r="817">
      <c r="A817" s="12" t="n"/>
    </row>
    <row r="818">
      <c r="A818" s="12" t="n"/>
    </row>
    <row r="819">
      <c r="A819" s="12" t="n"/>
    </row>
    <row r="820">
      <c r="A820" s="12" t="n"/>
    </row>
    <row r="821">
      <c r="A821" s="12" t="n"/>
    </row>
    <row r="822">
      <c r="A822" s="12" t="n"/>
    </row>
    <row r="823">
      <c r="A823" s="12" t="n"/>
    </row>
    <row r="824">
      <c r="A824" s="12" t="n"/>
    </row>
    <row r="825">
      <c r="A825" s="12" t="n"/>
    </row>
    <row r="826">
      <c r="A826" s="12" t="n"/>
    </row>
    <row r="827">
      <c r="A827" s="12" t="n"/>
    </row>
    <row r="828">
      <c r="A828" s="12" t="n"/>
    </row>
    <row r="829">
      <c r="A829" s="12" t="n"/>
    </row>
    <row r="830">
      <c r="A830" s="12" t="n"/>
    </row>
    <row r="831">
      <c r="A831" s="12" t="n"/>
    </row>
    <row r="832">
      <c r="A832" s="12" t="n"/>
    </row>
    <row r="833">
      <c r="A833" s="12" t="n"/>
    </row>
    <row r="834">
      <c r="A834" s="12" t="n"/>
    </row>
    <row r="835">
      <c r="A835" s="12" t="n"/>
    </row>
    <row r="836">
      <c r="A836" s="12" t="n"/>
    </row>
    <row r="837">
      <c r="A837" s="12" t="n"/>
    </row>
    <row r="838">
      <c r="A838" s="12" t="n"/>
    </row>
    <row r="839">
      <c r="A839" s="12" t="n"/>
    </row>
    <row r="840">
      <c r="A840" s="12" t="n"/>
    </row>
    <row r="841">
      <c r="A841" s="12" t="n"/>
    </row>
    <row r="842">
      <c r="A842" s="12" t="n"/>
    </row>
    <row r="843">
      <c r="A843" s="12" t="n"/>
    </row>
    <row r="844">
      <c r="A844" s="12" t="n"/>
    </row>
    <row r="845">
      <c r="A845" s="12" t="n"/>
    </row>
    <row r="846">
      <c r="A846" s="12" t="n"/>
    </row>
    <row r="847">
      <c r="A847" s="12" t="n"/>
    </row>
    <row r="848">
      <c r="A848" s="12" t="n"/>
    </row>
    <row r="849">
      <c r="A849" s="12" t="n"/>
    </row>
    <row r="850">
      <c r="A850" s="12" t="n"/>
    </row>
    <row r="851">
      <c r="A851" s="12" t="n"/>
    </row>
    <row r="852">
      <c r="A852" s="12" t="n"/>
    </row>
    <row r="853">
      <c r="A853" s="12" t="n"/>
    </row>
    <row r="854">
      <c r="A854" s="12" t="n"/>
    </row>
    <row r="855">
      <c r="A855" s="12" t="n"/>
    </row>
    <row r="856">
      <c r="A856" s="12" t="n"/>
    </row>
    <row r="857">
      <c r="A857" s="12" t="n"/>
    </row>
    <row r="858">
      <c r="A858" s="12" t="n"/>
    </row>
    <row r="859">
      <c r="A859" s="12" t="n"/>
    </row>
    <row r="860">
      <c r="A860" s="12" t="n"/>
    </row>
    <row r="861">
      <c r="A861" s="12" t="n"/>
    </row>
    <row r="862">
      <c r="A862" s="12" t="n"/>
    </row>
    <row r="863">
      <c r="A863" s="12" t="n"/>
    </row>
    <row r="864">
      <c r="A864" s="12" t="n"/>
    </row>
    <row r="865">
      <c r="A865" s="12" t="n"/>
    </row>
    <row r="866">
      <c r="A866" s="12" t="n"/>
    </row>
    <row r="867">
      <c r="A867" s="12" t="n"/>
    </row>
    <row r="868">
      <c r="A868" s="12" t="n"/>
    </row>
    <row r="869">
      <c r="A869" s="12" t="n"/>
    </row>
    <row r="870">
      <c r="A870" s="12" t="n"/>
    </row>
    <row r="871">
      <c r="A871" s="12" t="n"/>
    </row>
    <row r="872">
      <c r="A872" s="12" t="n"/>
    </row>
    <row r="873">
      <c r="A873" s="12" t="n"/>
    </row>
    <row r="874">
      <c r="A874" s="12" t="n"/>
    </row>
    <row r="875">
      <c r="A875" s="12" t="n"/>
    </row>
    <row r="876">
      <c r="A876" s="12" t="n"/>
    </row>
    <row r="877">
      <c r="A877" s="12" t="n"/>
    </row>
    <row r="878">
      <c r="A878" s="12" t="n"/>
    </row>
    <row r="879">
      <c r="A879" s="12" t="n"/>
    </row>
    <row r="880">
      <c r="A880" s="12" t="n"/>
    </row>
    <row r="881">
      <c r="A881" s="12" t="n"/>
    </row>
    <row r="882">
      <c r="A882" s="12" t="n"/>
    </row>
    <row r="883">
      <c r="A883" s="12" t="n"/>
    </row>
    <row r="884">
      <c r="A884" s="12" t="n"/>
    </row>
    <row r="885">
      <c r="A885" s="12" t="n"/>
    </row>
    <row r="886">
      <c r="A886" s="12" t="n"/>
    </row>
    <row r="887">
      <c r="A887" s="12" t="n"/>
    </row>
    <row r="888">
      <c r="A888" s="12" t="n"/>
    </row>
    <row r="889">
      <c r="A889" s="12" t="n"/>
    </row>
    <row r="890">
      <c r="A890" s="12" t="n"/>
    </row>
    <row r="891">
      <c r="A891" s="12" t="n"/>
    </row>
    <row r="892">
      <c r="A892" s="12" t="n"/>
    </row>
    <row r="893">
      <c r="A893" s="12" t="n"/>
    </row>
    <row r="894">
      <c r="A894" s="12" t="n"/>
    </row>
    <row r="895">
      <c r="A895" s="12" t="n"/>
    </row>
    <row r="896">
      <c r="A896" s="12" t="n"/>
    </row>
    <row r="897">
      <c r="A897" s="12" t="n"/>
    </row>
    <row r="898">
      <c r="A898" s="12" t="n"/>
    </row>
    <row r="899">
      <c r="A899" s="12" t="n"/>
    </row>
    <row r="900">
      <c r="A900" s="12" t="n"/>
    </row>
    <row r="901">
      <c r="A901" s="12" t="n"/>
    </row>
    <row r="902">
      <c r="A902" s="12" t="n"/>
    </row>
    <row r="903">
      <c r="A903" s="12" t="n"/>
    </row>
    <row r="904">
      <c r="A904" s="12" t="n"/>
    </row>
    <row r="905">
      <c r="A905" s="12" t="n"/>
    </row>
    <row r="906">
      <c r="A906" s="12" t="n"/>
    </row>
    <row r="907">
      <c r="A907" s="12" t="n"/>
    </row>
    <row r="908">
      <c r="A908" s="12" t="n"/>
    </row>
    <row r="909">
      <c r="A909" s="12" t="n"/>
    </row>
    <row r="910">
      <c r="A910" s="12" t="n"/>
    </row>
    <row r="911">
      <c r="A911" s="12" t="n"/>
    </row>
    <row r="912">
      <c r="A912" s="12" t="n"/>
    </row>
    <row r="913">
      <c r="A913" s="12" t="n"/>
    </row>
    <row r="914">
      <c r="A914" s="12" t="n"/>
    </row>
    <row r="915">
      <c r="A915" s="12" t="n"/>
    </row>
    <row r="916">
      <c r="A916" s="12" t="n"/>
    </row>
    <row r="917">
      <c r="A917" s="12" t="n"/>
    </row>
    <row r="918">
      <c r="A918" s="12" t="n"/>
    </row>
    <row r="919">
      <c r="A919" s="12" t="n"/>
    </row>
    <row r="920">
      <c r="A920" s="12" t="n"/>
    </row>
    <row r="921">
      <c r="A921" s="12" t="n"/>
    </row>
    <row r="922">
      <c r="A922" s="12" t="n"/>
    </row>
    <row r="923">
      <c r="A923" s="12" t="n"/>
    </row>
    <row r="924">
      <c r="A924" s="12" t="n"/>
    </row>
    <row r="925">
      <c r="A925" s="12" t="n"/>
    </row>
    <row r="926">
      <c r="A926" s="12" t="n"/>
    </row>
    <row r="927">
      <c r="A927" s="12" t="n"/>
    </row>
    <row r="928">
      <c r="A928" s="12" t="n"/>
    </row>
    <row r="929">
      <c r="A929" s="12" t="n"/>
    </row>
    <row r="930">
      <c r="A930" s="12" t="n"/>
    </row>
    <row r="931">
      <c r="A931" s="12" t="n"/>
    </row>
    <row r="932">
      <c r="A932" s="12" t="n"/>
    </row>
    <row r="933">
      <c r="A933" s="12" t="n"/>
    </row>
    <row r="934">
      <c r="A934" s="12" t="n"/>
    </row>
    <row r="935">
      <c r="A935" s="12" t="n"/>
    </row>
    <row r="936">
      <c r="A936" s="12" t="n"/>
    </row>
    <row r="937">
      <c r="A937" s="12" t="n"/>
    </row>
    <row r="938">
      <c r="A938" s="12" t="n"/>
    </row>
    <row r="939">
      <c r="A939" s="12" t="n"/>
    </row>
    <row r="940">
      <c r="A940" s="12" t="n"/>
    </row>
    <row r="941">
      <c r="A941" s="12" t="n"/>
    </row>
    <row r="942">
      <c r="A942" s="12" t="n"/>
    </row>
    <row r="943">
      <c r="A943" s="12" t="n"/>
    </row>
    <row r="944">
      <c r="A944" s="12" t="n"/>
    </row>
    <row r="945">
      <c r="A945" s="12" t="n"/>
    </row>
    <row r="946">
      <c r="A946" s="12" t="n"/>
    </row>
    <row r="947">
      <c r="A947" s="12" t="n"/>
    </row>
    <row r="948">
      <c r="A948" s="12" t="n"/>
    </row>
    <row r="949">
      <c r="A949" s="12" t="n"/>
    </row>
    <row r="950">
      <c r="A950" s="12" t="n"/>
    </row>
    <row r="951">
      <c r="A951" s="12" t="n"/>
    </row>
    <row r="952">
      <c r="A952" s="12" t="n"/>
    </row>
    <row r="953">
      <c r="A953" s="12" t="n"/>
    </row>
    <row r="954">
      <c r="A954" s="12" t="n"/>
    </row>
    <row r="955">
      <c r="A955" s="12" t="n"/>
    </row>
    <row r="956">
      <c r="A956" s="12" t="n"/>
    </row>
    <row r="957">
      <c r="A957" s="12" t="n"/>
    </row>
    <row r="958">
      <c r="A958" s="12" t="n"/>
    </row>
    <row r="959">
      <c r="A959" s="12" t="n"/>
    </row>
    <row r="960">
      <c r="A960" s="12" t="n"/>
    </row>
    <row r="961">
      <c r="A961" s="12" t="n"/>
    </row>
    <row r="962">
      <c r="A962" s="12" t="n"/>
    </row>
    <row r="963">
      <c r="A963" s="12" t="n"/>
    </row>
    <row r="964">
      <c r="A964" s="12" t="n"/>
    </row>
    <row r="965">
      <c r="A965" s="12" t="n"/>
    </row>
    <row r="966">
      <c r="A966" s="12" t="n"/>
    </row>
    <row r="967">
      <c r="A967" s="12" t="n"/>
    </row>
    <row r="968">
      <c r="A968" s="12" t="n"/>
    </row>
    <row r="969">
      <c r="A969" s="12" t="n"/>
    </row>
    <row r="970">
      <c r="A970" s="12" t="n"/>
    </row>
    <row r="971">
      <c r="A971" s="12" t="n"/>
    </row>
    <row r="972">
      <c r="A972" s="12" t="n"/>
    </row>
    <row r="973">
      <c r="A973" s="12" t="n"/>
    </row>
    <row r="974">
      <c r="A974" s="12" t="n"/>
    </row>
    <row r="975">
      <c r="A975" s="12" t="n"/>
    </row>
    <row r="976">
      <c r="A976" s="12" t="n"/>
    </row>
    <row r="977">
      <c r="A977" s="12" t="n"/>
    </row>
    <row r="978">
      <c r="A978" s="12" t="n"/>
    </row>
    <row r="979">
      <c r="A979" s="12" t="n"/>
    </row>
    <row r="980">
      <c r="A980" s="12" t="n"/>
    </row>
    <row r="981">
      <c r="A981" s="12" t="n"/>
    </row>
    <row r="982">
      <c r="A982" s="12" t="n"/>
    </row>
    <row r="983">
      <c r="A983" s="12" t="n"/>
    </row>
    <row r="984">
      <c r="A984" s="12" t="n"/>
    </row>
    <row r="985">
      <c r="A985" s="12" t="n"/>
    </row>
    <row r="986">
      <c r="A986" s="12" t="n"/>
    </row>
    <row r="987">
      <c r="A987" s="12" t="n"/>
    </row>
    <row r="988">
      <c r="A988" s="12" t="n"/>
    </row>
    <row r="989">
      <c r="A989" s="12" t="n"/>
    </row>
    <row r="990">
      <c r="A990" s="12" t="n"/>
    </row>
    <row r="991">
      <c r="A991" s="12" t="n"/>
    </row>
    <row r="992">
      <c r="A992" s="12" t="n"/>
    </row>
    <row r="993">
      <c r="A993" s="12" t="n"/>
    </row>
    <row r="994">
      <c r="A994" s="12" t="n"/>
    </row>
    <row r="995">
      <c r="A995" s="12" t="n"/>
    </row>
    <row r="996">
      <c r="A996" s="12" t="n"/>
    </row>
    <row r="997">
      <c r="A997" s="12" t="n"/>
    </row>
    <row r="998">
      <c r="A998" s="12" t="n"/>
    </row>
    <row r="999">
      <c r="A999" s="12" t="n"/>
    </row>
    <row r="1000">
      <c r="A1000" s="12" t="n"/>
    </row>
    <row r="1001">
      <c r="A1001" s="12" t="n"/>
    </row>
    <row r="1002">
      <c r="A1002" s="12" t="n"/>
    </row>
    <row r="1003">
      <c r="A1003" s="12" t="n"/>
    </row>
    <row r="1004">
      <c r="A1004" s="12" t="n"/>
    </row>
    <row r="1005">
      <c r="A1005" s="12" t="n"/>
    </row>
    <row r="1006">
      <c r="A1006" s="12" t="n"/>
    </row>
    <row r="1007">
      <c r="A1007" s="12" t="n"/>
    </row>
    <row r="1008">
      <c r="A1008" s="12" t="n"/>
    </row>
    <row r="1009">
      <c r="A1009" s="12" t="n"/>
    </row>
    <row r="1010">
      <c r="A1010" s="12" t="n"/>
    </row>
    <row r="1011">
      <c r="A1011" s="12" t="n"/>
    </row>
    <row r="1012">
      <c r="A1012" s="12" t="n"/>
    </row>
    <row r="1013">
      <c r="A1013" s="12" t="n"/>
    </row>
    <row r="1014">
      <c r="A1014" s="12" t="n"/>
    </row>
    <row r="1015">
      <c r="A1015" s="12" t="n"/>
    </row>
    <row r="1016">
      <c r="A1016" s="12" t="n"/>
    </row>
    <row r="1017">
      <c r="A1017" s="12" t="n"/>
    </row>
    <row r="1018">
      <c r="A1018" s="12" t="n"/>
    </row>
    <row r="1019">
      <c r="A1019" s="12" t="n"/>
    </row>
    <row r="1020">
      <c r="A1020" s="12" t="n"/>
    </row>
    <row r="1021">
      <c r="A1021" s="12" t="n"/>
    </row>
    <row r="1022">
      <c r="A1022" s="12" t="n"/>
    </row>
    <row r="1023">
      <c r="A1023" s="12" t="n"/>
    </row>
    <row r="1024">
      <c r="A1024" s="12" t="n"/>
    </row>
    <row r="1025">
      <c r="A1025" s="12" t="n"/>
    </row>
    <row r="1026">
      <c r="A1026" s="12" t="n"/>
    </row>
    <row r="1027">
      <c r="A1027" s="12" t="n"/>
    </row>
    <row r="1028">
      <c r="A1028" s="12" t="n"/>
    </row>
    <row r="1029">
      <c r="A1029" s="12" t="n"/>
    </row>
    <row r="1030">
      <c r="A1030" s="12" t="n"/>
    </row>
    <row r="1031">
      <c r="A1031" s="12" t="n"/>
    </row>
    <row r="1032">
      <c r="A1032" s="12" t="n"/>
    </row>
    <row r="1033">
      <c r="A1033" s="12" t="n"/>
    </row>
    <row r="1034">
      <c r="A1034" s="12" t="n"/>
    </row>
    <row r="1035">
      <c r="A1035" s="12" t="n"/>
    </row>
    <row r="1036">
      <c r="A1036" s="12" t="n"/>
    </row>
    <row r="1037">
      <c r="A1037" s="12" t="n"/>
    </row>
    <row r="1038">
      <c r="A1038" s="12" t="n"/>
    </row>
    <row r="1039">
      <c r="A1039" s="12" t="n"/>
    </row>
    <row r="1040">
      <c r="A1040" s="12" t="n"/>
    </row>
    <row r="1041">
      <c r="A1041" s="12" t="n"/>
    </row>
    <row r="1042">
      <c r="A1042" s="12" t="n"/>
    </row>
    <row r="1043">
      <c r="A1043" s="12" t="n"/>
    </row>
    <row r="1044">
      <c r="A1044" s="12" t="n"/>
    </row>
    <row r="1045">
      <c r="A1045" s="12" t="n"/>
    </row>
    <row r="1046">
      <c r="A1046" s="12" t="n"/>
    </row>
    <row r="1047">
      <c r="A1047" s="12" t="n"/>
    </row>
    <row r="1048">
      <c r="A1048" s="12" t="n"/>
    </row>
    <row r="1049">
      <c r="A1049" s="12" t="n"/>
    </row>
    <row r="1050">
      <c r="A1050" s="12" t="n"/>
    </row>
    <row r="1051">
      <c r="A1051" s="12" t="n"/>
    </row>
    <row r="1052">
      <c r="A1052" s="12" t="n"/>
    </row>
    <row r="1053">
      <c r="A1053" s="12" t="n"/>
    </row>
    <row r="1054">
      <c r="A1054" s="12" t="n"/>
    </row>
    <row r="1055">
      <c r="A1055" s="12" t="n"/>
    </row>
    <row r="1056">
      <c r="A1056" s="12" t="n"/>
    </row>
    <row r="1057">
      <c r="A1057" s="12" t="n"/>
    </row>
    <row r="1058">
      <c r="A1058" s="12" t="n"/>
    </row>
    <row r="1059">
      <c r="A1059" s="12" t="n"/>
    </row>
    <row r="1060">
      <c r="A1060" s="12" t="n"/>
    </row>
    <row r="1061">
      <c r="A1061" s="12" t="n"/>
    </row>
    <row r="1062">
      <c r="A1062" s="12" t="n"/>
    </row>
    <row r="1063">
      <c r="A1063" s="12" t="n"/>
    </row>
    <row r="1064">
      <c r="A1064" s="12" t="n"/>
    </row>
    <row r="1065">
      <c r="A1065" s="12" t="n"/>
    </row>
    <row r="1066">
      <c r="A1066" s="12" t="n"/>
    </row>
    <row r="1067">
      <c r="A1067" s="12" t="n"/>
    </row>
    <row r="1068">
      <c r="A1068" s="12" t="n"/>
    </row>
    <row r="1069">
      <c r="A1069" s="12" t="n"/>
    </row>
    <row r="1070">
      <c r="A1070" s="12" t="n"/>
    </row>
    <row r="1071">
      <c r="A1071" s="12" t="n"/>
    </row>
    <row r="1072">
      <c r="A1072" s="12" t="n"/>
    </row>
    <row r="1073">
      <c r="A1073" s="12" t="n"/>
    </row>
    <row r="1074">
      <c r="A1074" s="12" t="n"/>
    </row>
    <row r="1075">
      <c r="A1075" s="12" t="n"/>
    </row>
    <row r="1076">
      <c r="A1076" s="12" t="n"/>
    </row>
    <row r="1077">
      <c r="A1077" s="12" t="n"/>
    </row>
    <row r="1078">
      <c r="A1078" s="12" t="n"/>
    </row>
    <row r="1079">
      <c r="A1079" s="12" t="n"/>
    </row>
    <row r="1080">
      <c r="A1080" s="12" t="n"/>
    </row>
    <row r="1081">
      <c r="A1081" s="12" t="n"/>
    </row>
    <row r="1082">
      <c r="A1082" s="12" t="n"/>
    </row>
    <row r="1083">
      <c r="A1083" s="12" t="n"/>
    </row>
    <row r="1084">
      <c r="A1084" s="12" t="n"/>
    </row>
    <row r="1085">
      <c r="A1085" s="12" t="n"/>
    </row>
    <row r="1086">
      <c r="A1086" s="12" t="n"/>
    </row>
    <row r="1087">
      <c r="A1087" s="12" t="n"/>
    </row>
    <row r="1088">
      <c r="A1088" s="12" t="n"/>
    </row>
    <row r="1089">
      <c r="A1089" s="12" t="n"/>
    </row>
    <row r="1090">
      <c r="A1090" s="12" t="n"/>
    </row>
    <row r="1091">
      <c r="A1091" s="12" t="n"/>
    </row>
    <row r="1092">
      <c r="A1092" s="12" t="n"/>
    </row>
    <row r="1093">
      <c r="A1093" s="12" t="n"/>
    </row>
    <row r="1094">
      <c r="A1094" s="12" t="n"/>
    </row>
    <row r="1095">
      <c r="A1095" s="12" t="n"/>
    </row>
    <row r="1096">
      <c r="A1096" s="12" t="n"/>
    </row>
    <row r="1097">
      <c r="A1097" s="12" t="n"/>
    </row>
    <row r="1098">
      <c r="A1098" s="12" t="n"/>
    </row>
    <row r="1099">
      <c r="A1099" s="12" t="n"/>
    </row>
    <row r="1100">
      <c r="A1100" s="12" t="n"/>
    </row>
    <row r="1101">
      <c r="A1101" s="12" t="n"/>
    </row>
    <row r="1102">
      <c r="A1102" s="12" t="n"/>
    </row>
    <row r="1103">
      <c r="A1103" s="12" t="n"/>
    </row>
    <row r="1104">
      <c r="A1104" s="12" t="n"/>
    </row>
    <row r="1105">
      <c r="A1105" s="12" t="n"/>
    </row>
    <row r="1106">
      <c r="A1106" s="12" t="n"/>
    </row>
    <row r="1107">
      <c r="A1107" s="12" t="n"/>
    </row>
    <row r="1108">
      <c r="A1108" s="12" t="n"/>
    </row>
    <row r="1109">
      <c r="A1109" s="12" t="n"/>
    </row>
    <row r="1110">
      <c r="A1110" s="12" t="n"/>
    </row>
    <row r="1111">
      <c r="A1111" s="12" t="n"/>
    </row>
    <row r="1112">
      <c r="A1112" s="12" t="n"/>
    </row>
    <row r="1113">
      <c r="A1113" s="12" t="n"/>
    </row>
    <row r="1114">
      <c r="A1114" s="12" t="n"/>
    </row>
    <row r="1115">
      <c r="A1115" s="12" t="n"/>
    </row>
    <row r="1116">
      <c r="A1116" s="12" t="n"/>
    </row>
    <row r="1117">
      <c r="A1117" s="12" t="n"/>
    </row>
    <row r="1118">
      <c r="A1118" s="12" t="n"/>
    </row>
    <row r="1119">
      <c r="A1119" s="12" t="n"/>
    </row>
    <row r="1120">
      <c r="A1120" s="12" t="n"/>
    </row>
    <row r="1121">
      <c r="A1121" s="12" t="n"/>
    </row>
    <row r="1122">
      <c r="A1122" s="12" t="n"/>
    </row>
    <row r="1123">
      <c r="A1123" s="12" t="n"/>
    </row>
    <row r="1124">
      <c r="A1124" s="12" t="n"/>
    </row>
    <row r="1125">
      <c r="A1125" s="12" t="n"/>
    </row>
    <row r="1126">
      <c r="A1126" s="12" t="n"/>
    </row>
    <row r="1127">
      <c r="A1127" s="12" t="n"/>
    </row>
    <row r="1128">
      <c r="A1128" s="12" t="n"/>
    </row>
    <row r="1129">
      <c r="A1129" s="12" t="n"/>
    </row>
    <row r="1130">
      <c r="A1130" s="12" t="n"/>
    </row>
    <row r="1131">
      <c r="A1131" s="12" t="n"/>
    </row>
    <row r="1132">
      <c r="A1132" s="12" t="n"/>
    </row>
    <row r="1133">
      <c r="A1133" s="12" t="n"/>
    </row>
    <row r="1134">
      <c r="A1134" s="12" t="n"/>
    </row>
    <row r="1135">
      <c r="A1135" s="12" t="n"/>
    </row>
    <row r="1136">
      <c r="A1136" s="12" t="n"/>
    </row>
    <row r="1137">
      <c r="A1137" s="12" t="n"/>
    </row>
    <row r="1138">
      <c r="A1138" s="12" t="n"/>
    </row>
    <row r="1139">
      <c r="A1139" s="12" t="n"/>
    </row>
    <row r="1140">
      <c r="A1140" s="12" t="n"/>
    </row>
    <row r="1141">
      <c r="A1141" s="12" t="n"/>
    </row>
    <row r="1142">
      <c r="A1142" s="12" t="n"/>
    </row>
    <row r="1143">
      <c r="A1143" s="12" t="n"/>
    </row>
    <row r="1144">
      <c r="A1144" s="12" t="n"/>
    </row>
    <row r="1145">
      <c r="A1145" s="12" t="n"/>
    </row>
    <row r="1146">
      <c r="A1146" s="12" t="n"/>
    </row>
    <row r="1147">
      <c r="A1147" s="12" t="n"/>
    </row>
    <row r="1148">
      <c r="A1148" s="12" t="n"/>
    </row>
    <row r="1149">
      <c r="A1149" s="12" t="n"/>
    </row>
    <row r="1150">
      <c r="A1150" s="12" t="n"/>
    </row>
    <row r="1151">
      <c r="A1151" s="12" t="n"/>
    </row>
    <row r="1152">
      <c r="A1152" s="12" t="n"/>
    </row>
    <row r="1153">
      <c r="A1153" s="12" t="n"/>
    </row>
    <row r="1154">
      <c r="A1154" s="12" t="n"/>
    </row>
    <row r="1155">
      <c r="A1155" s="12" t="n"/>
    </row>
    <row r="1156">
      <c r="A1156" s="12" t="n"/>
    </row>
    <row r="1157">
      <c r="A1157" s="12" t="n"/>
    </row>
    <row r="1158">
      <c r="A1158" s="12" t="n"/>
    </row>
    <row r="1159">
      <c r="A1159" s="12" t="n"/>
    </row>
    <row r="1160">
      <c r="A1160" s="12" t="n"/>
    </row>
    <row r="1161">
      <c r="A1161" s="12" t="n"/>
    </row>
    <row r="1162">
      <c r="A1162" s="12" t="n"/>
    </row>
    <row r="1163">
      <c r="A1163" s="12" t="n"/>
    </row>
    <row r="1164">
      <c r="A1164" s="12" t="n"/>
    </row>
    <row r="1165">
      <c r="A1165" s="12" t="n"/>
    </row>
    <row r="1166">
      <c r="A1166" s="12" t="n"/>
    </row>
    <row r="1167">
      <c r="A1167" s="12" t="n"/>
    </row>
    <row r="1168">
      <c r="A1168" s="12" t="n"/>
    </row>
    <row r="1169">
      <c r="A1169" s="12" t="n"/>
    </row>
    <row r="1170">
      <c r="A1170" s="12" t="n"/>
    </row>
    <row r="1171">
      <c r="A1171" s="12" t="n"/>
    </row>
    <row r="1172">
      <c r="A1172" s="12" t="n"/>
    </row>
    <row r="1173">
      <c r="A1173" s="12" t="n"/>
    </row>
    <row r="1174">
      <c r="A1174" s="12" t="n"/>
    </row>
    <row r="1175">
      <c r="A1175" s="12" t="n"/>
    </row>
    <row r="1176">
      <c r="A1176" s="12" t="n"/>
    </row>
    <row r="1177">
      <c r="A1177" s="12" t="n"/>
    </row>
    <row r="1178">
      <c r="A1178" s="12" t="n"/>
    </row>
    <row r="1179">
      <c r="A1179" s="12" t="n"/>
    </row>
    <row r="1180">
      <c r="A1180" s="12" t="n"/>
    </row>
    <row r="1181">
      <c r="A1181" s="12" t="n"/>
    </row>
    <row r="1182">
      <c r="A1182" s="12" t="n"/>
    </row>
    <row r="1183">
      <c r="A1183" s="12" t="n"/>
    </row>
    <row r="1184">
      <c r="A1184" s="12" t="n"/>
    </row>
    <row r="1185">
      <c r="A1185" s="12" t="n"/>
    </row>
    <row r="1186">
      <c r="A1186" s="12" t="n"/>
    </row>
    <row r="1187">
      <c r="A1187" s="12" t="n"/>
    </row>
    <row r="1188">
      <c r="A1188" s="12" t="n"/>
    </row>
    <row r="1189">
      <c r="A1189" s="12" t="n"/>
    </row>
    <row r="1190">
      <c r="A1190" s="12" t="n"/>
    </row>
    <row r="1191">
      <c r="A1191" s="12" t="n"/>
    </row>
    <row r="1192">
      <c r="A1192" s="12" t="n"/>
    </row>
    <row r="1193">
      <c r="A1193" s="12" t="n"/>
    </row>
    <row r="1194">
      <c r="A1194" s="12" t="n"/>
    </row>
    <row r="1195">
      <c r="A1195" s="12" t="n"/>
    </row>
    <row r="1196">
      <c r="A1196" s="12" t="n"/>
    </row>
    <row r="1197">
      <c r="A1197" s="12" t="n"/>
    </row>
    <row r="1198">
      <c r="A1198" s="12" t="n"/>
    </row>
    <row r="1199">
      <c r="A1199" s="12" t="n"/>
    </row>
    <row r="1200">
      <c r="A1200" s="12" t="n"/>
    </row>
    <row r="1201">
      <c r="A1201" s="12" t="n"/>
    </row>
    <row r="1202">
      <c r="A1202" s="12" t="n"/>
    </row>
    <row r="1203">
      <c r="A1203" s="12" t="n"/>
    </row>
    <row r="1204">
      <c r="A1204" s="12" t="n"/>
    </row>
    <row r="1205">
      <c r="A1205" s="12" t="n"/>
    </row>
    <row r="1206">
      <c r="A1206" s="12" t="n"/>
    </row>
    <row r="1207">
      <c r="A1207" s="12" t="n"/>
    </row>
    <row r="1208">
      <c r="A1208" s="12" t="n"/>
    </row>
    <row r="1209">
      <c r="A1209" s="12" t="n"/>
    </row>
    <row r="1210">
      <c r="A1210" s="12" t="n"/>
    </row>
    <row r="1211">
      <c r="A1211" s="12" t="n"/>
    </row>
    <row r="1212">
      <c r="A1212" s="12" t="n"/>
    </row>
    <row r="1213">
      <c r="A1213" s="12" t="n"/>
    </row>
    <row r="1214">
      <c r="A1214" s="12" t="n"/>
    </row>
    <row r="1215">
      <c r="A1215" s="12" t="n"/>
    </row>
    <row r="1216">
      <c r="A1216" s="12" t="n"/>
    </row>
    <row r="1217">
      <c r="A1217" s="12" t="n"/>
    </row>
    <row r="1218">
      <c r="A1218" s="12" t="n"/>
    </row>
    <row r="1219">
      <c r="A1219" s="12" t="n"/>
    </row>
    <row r="1220">
      <c r="A1220" s="12" t="n"/>
    </row>
    <row r="1221">
      <c r="A1221" s="12" t="n"/>
    </row>
    <row r="1222">
      <c r="A1222" s="12" t="n"/>
    </row>
    <row r="1223">
      <c r="A1223" s="12" t="n"/>
    </row>
    <row r="1224">
      <c r="A1224" s="12" t="n"/>
    </row>
    <row r="1225">
      <c r="A1225" s="12" t="n"/>
    </row>
    <row r="1226">
      <c r="A1226" s="12" t="n"/>
    </row>
    <row r="1227">
      <c r="A1227" s="12" t="n"/>
    </row>
    <row r="1228">
      <c r="A1228" s="12" t="n"/>
    </row>
    <row r="1229">
      <c r="A1229" s="12" t="n"/>
    </row>
    <row r="1230">
      <c r="A1230" s="12" t="n"/>
    </row>
    <row r="1231">
      <c r="A1231" s="12" t="n"/>
    </row>
    <row r="1232">
      <c r="A1232" s="12" t="n"/>
    </row>
    <row r="1233">
      <c r="A1233" s="12" t="n"/>
    </row>
    <row r="1234">
      <c r="A1234" s="12" t="n"/>
    </row>
    <row r="1235">
      <c r="A1235" s="12" t="n"/>
    </row>
    <row r="1236">
      <c r="A1236" s="12" t="n"/>
    </row>
    <row r="1237">
      <c r="A1237" s="12" t="n"/>
    </row>
    <row r="1238">
      <c r="A1238" s="12" t="n"/>
    </row>
    <row r="1239">
      <c r="A1239" s="12" t="n"/>
    </row>
    <row r="1240">
      <c r="A1240" s="12" t="n"/>
    </row>
    <row r="1241">
      <c r="A1241" s="12" t="n"/>
    </row>
    <row r="1242">
      <c r="A1242" s="12" t="n"/>
    </row>
    <row r="1243">
      <c r="A1243" s="12" t="n"/>
    </row>
    <row r="1244">
      <c r="A1244" s="12" t="n"/>
    </row>
    <row r="1245">
      <c r="A1245" s="12" t="n"/>
    </row>
    <row r="1246">
      <c r="A1246" s="12" t="n"/>
    </row>
    <row r="1247">
      <c r="A1247" s="12" t="n"/>
    </row>
    <row r="1248">
      <c r="A1248" s="12" t="n"/>
    </row>
    <row r="1249">
      <c r="A1249" s="12" t="n"/>
    </row>
    <row r="1250">
      <c r="A1250" s="12" t="n"/>
    </row>
    <row r="1251">
      <c r="A1251" s="12" t="n"/>
    </row>
    <row r="1252">
      <c r="A1252" s="12" t="n"/>
    </row>
    <row r="1253">
      <c r="A1253" s="12" t="n"/>
    </row>
    <row r="1254">
      <c r="A1254" s="12" t="n"/>
    </row>
    <row r="1255">
      <c r="A1255" s="12" t="n"/>
    </row>
    <row r="1256">
      <c r="A1256" s="12" t="n"/>
    </row>
    <row r="1257">
      <c r="A1257" s="12" t="n"/>
    </row>
    <row r="1258">
      <c r="A1258" s="12" t="n"/>
    </row>
    <row r="1259">
      <c r="A1259" s="12" t="n"/>
    </row>
    <row r="1260">
      <c r="A1260" s="12" t="n"/>
    </row>
    <row r="1261">
      <c r="A1261" s="12" t="n"/>
    </row>
    <row r="1262">
      <c r="A1262" s="12" t="n"/>
    </row>
    <row r="1263">
      <c r="A1263" s="12" t="n"/>
    </row>
    <row r="1264">
      <c r="A1264" s="12" t="n"/>
    </row>
    <row r="1265">
      <c r="A1265" s="12" t="n"/>
    </row>
    <row r="1266">
      <c r="A1266" s="12" t="n"/>
    </row>
    <row r="1267">
      <c r="A1267" s="12" t="n"/>
    </row>
    <row r="1268">
      <c r="A1268" s="12" t="n"/>
    </row>
    <row r="1269">
      <c r="A1269" s="12" t="n"/>
    </row>
    <row r="1270">
      <c r="A1270" s="12" t="n"/>
    </row>
    <row r="1271">
      <c r="A1271" s="12" t="n"/>
    </row>
    <row r="1272">
      <c r="A1272" s="12" t="n"/>
    </row>
    <row r="1273">
      <c r="A1273" s="12" t="n"/>
    </row>
    <row r="1274">
      <c r="A1274" s="12" t="n"/>
    </row>
    <row r="1275">
      <c r="A1275" s="12" t="n"/>
    </row>
    <row r="1276">
      <c r="A1276" s="12" t="n"/>
    </row>
    <row r="1277">
      <c r="A1277" s="12" t="n"/>
    </row>
    <row r="1278">
      <c r="A1278" s="12" t="n"/>
    </row>
    <row r="1279">
      <c r="A1279" s="12" t="n"/>
    </row>
    <row r="1280">
      <c r="A1280" s="12" t="n"/>
    </row>
    <row r="1281">
      <c r="A1281" s="12" t="n"/>
    </row>
    <row r="1282">
      <c r="A1282" s="12" t="n"/>
    </row>
    <row r="1283">
      <c r="A1283" s="12" t="n"/>
    </row>
    <row r="1284">
      <c r="A1284" s="12" t="n"/>
    </row>
    <row r="1285">
      <c r="A1285" s="12" t="n"/>
    </row>
    <row r="1286">
      <c r="A1286" s="12" t="n"/>
    </row>
    <row r="1287">
      <c r="A1287" s="12" t="n"/>
    </row>
    <row r="1288">
      <c r="A1288" s="12" t="n"/>
    </row>
    <row r="1289">
      <c r="A1289" s="12" t="n"/>
    </row>
    <row r="1290">
      <c r="A1290" s="12" t="n"/>
    </row>
    <row r="1291">
      <c r="A1291" s="12" t="n"/>
    </row>
    <row r="1292">
      <c r="A1292" s="12" t="n"/>
    </row>
    <row r="1293">
      <c r="A1293" s="12" t="n"/>
    </row>
  </sheetData>
  <pageMargins left="0.25" right="0.25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Planilha10">
    <outlinePr summaryBelow="1" summaryRight="1"/>
    <pageSetUpPr/>
  </sheetPr>
  <dimension ref="A1:C32"/>
  <sheetViews>
    <sheetView topLeftCell="A19" workbookViewId="0">
      <selection activeCell="I13" sqref="I13"/>
    </sheetView>
  </sheetViews>
  <sheetFormatPr baseColWidth="8" defaultRowHeight="15" outlineLevelCol="0"/>
  <cols>
    <col width="12.5703125" bestFit="1" customWidth="1" style="2" min="1" max="1"/>
    <col width="12.140625" bestFit="1" customWidth="1" style="1" min="2" max="2"/>
    <col width="9.140625" customWidth="1" style="1" min="3" max="13"/>
    <col width="9.140625" customWidth="1" style="1" min="14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46174</v>
      </c>
      <c r="B2" s="7" t="inlineStr">
        <is>
          <t>AÇÚCAR</t>
        </is>
      </c>
      <c r="C2" s="8" t="n">
        <v>94.27</v>
      </c>
    </row>
    <row r="3">
      <c r="A3" s="23" t="n">
        <v>46175</v>
      </c>
      <c r="B3" s="54" t="inlineStr">
        <is>
          <t>AÇÚCAR</t>
        </is>
      </c>
      <c r="C3" s="55" t="n">
        <v>93.02</v>
      </c>
    </row>
    <row r="4">
      <c r="A4" s="23" t="n">
        <v>46176</v>
      </c>
      <c r="B4" s="54" t="inlineStr">
        <is>
          <t>AÇÚCAR</t>
        </is>
      </c>
      <c r="C4" s="55" t="n">
        <v>93.23999999999999</v>
      </c>
    </row>
    <row r="5">
      <c r="A5" s="23" t="n">
        <v>46178</v>
      </c>
      <c r="B5" s="54" t="inlineStr">
        <is>
          <t>AÇÚCAR</t>
        </is>
      </c>
      <c r="C5" s="55" t="n">
        <v>93.23999999999999</v>
      </c>
    </row>
    <row r="6">
      <c r="A6" s="23" t="n">
        <v>46181</v>
      </c>
      <c r="B6" s="54" t="inlineStr">
        <is>
          <t>AÇÚCAR</t>
        </is>
      </c>
      <c r="C6" s="55" t="n">
        <v>91.36</v>
      </c>
    </row>
    <row r="7">
      <c r="A7" s="23" t="n">
        <v>46182</v>
      </c>
      <c r="B7" s="54" t="inlineStr">
        <is>
          <t>AÇÚCAR</t>
        </is>
      </c>
      <c r="C7" s="55" t="n">
        <v>92.90000000000001</v>
      </c>
    </row>
    <row r="8">
      <c r="A8" s="23" t="n">
        <v>46183</v>
      </c>
      <c r="B8" s="54" t="inlineStr">
        <is>
          <t>AÇÚCAR</t>
        </is>
      </c>
      <c r="C8" s="55" t="n">
        <v>92.34999999999999</v>
      </c>
    </row>
    <row r="9">
      <c r="A9" s="23" t="n">
        <v>46184</v>
      </c>
      <c r="B9" s="54" t="inlineStr">
        <is>
          <t>AÇÚCAR</t>
        </is>
      </c>
      <c r="C9" s="55" t="n">
        <v>92.18000000000001</v>
      </c>
    </row>
    <row r="10">
      <c r="A10" s="23" t="n">
        <v>46185</v>
      </c>
      <c r="B10" s="54" t="inlineStr">
        <is>
          <t>AÇÚCAR</t>
        </is>
      </c>
      <c r="C10" s="55" t="n">
        <v>92.84</v>
      </c>
    </row>
    <row r="11">
      <c r="A11" s="23" t="n">
        <v>46188</v>
      </c>
      <c r="B11" s="54" t="inlineStr">
        <is>
          <t>AÇÚCAR</t>
        </is>
      </c>
      <c r="C11" s="55" t="n">
        <v>93.63</v>
      </c>
    </row>
    <row r="12">
      <c r="A12" s="23" t="n">
        <v>46189</v>
      </c>
      <c r="B12" s="54" t="inlineStr">
        <is>
          <t>AÇÚCAR</t>
        </is>
      </c>
      <c r="C12" s="55" t="n">
        <v>92.09999999999999</v>
      </c>
    </row>
    <row r="13">
      <c r="A13" s="23" t="n">
        <v>46190</v>
      </c>
      <c r="B13" s="54" t="inlineStr">
        <is>
          <t>AÇÚCAR</t>
        </is>
      </c>
      <c r="C13" s="55" t="n">
        <v>91.48</v>
      </c>
    </row>
    <row r="14">
      <c r="A14" s="23" t="n">
        <v>46191</v>
      </c>
      <c r="B14" s="54" t="inlineStr">
        <is>
          <t>AÇÚCAR</t>
        </is>
      </c>
      <c r="C14" s="55" t="n">
        <v>90.75</v>
      </c>
    </row>
    <row r="15">
      <c r="A15" s="23" t="n">
        <v>46192</v>
      </c>
      <c r="B15" s="54" t="inlineStr">
        <is>
          <t>AÇÚCAR</t>
        </is>
      </c>
      <c r="C15" s="55" t="n">
        <v>91.45999999999999</v>
      </c>
    </row>
    <row r="16">
      <c r="A16" s="23" t="n">
        <v>46195</v>
      </c>
      <c r="B16" s="54" t="inlineStr">
        <is>
          <t>AÇÚCAR</t>
        </is>
      </c>
      <c r="C16" s="55" t="n">
        <v>91.59999999999999</v>
      </c>
    </row>
    <row r="17">
      <c r="A17" s="23" t="n">
        <v>46196</v>
      </c>
      <c r="B17" s="54" t="inlineStr">
        <is>
          <t>AÇÚCAR</t>
        </is>
      </c>
      <c r="C17" s="55" t="n">
        <v>94.06999999999999</v>
      </c>
    </row>
    <row r="18">
      <c r="A18" s="23" t="n">
        <v>46197</v>
      </c>
      <c r="B18" s="54" t="inlineStr">
        <is>
          <t>AÇÚCAR</t>
        </is>
      </c>
      <c r="C18" s="55" t="n">
        <v>92.44</v>
      </c>
    </row>
    <row r="19">
      <c r="A19" s="23" t="n">
        <v>46198</v>
      </c>
      <c r="B19" s="54" t="inlineStr">
        <is>
          <t>AÇÚCAR</t>
        </is>
      </c>
      <c r="C19" s="55" t="n">
        <v>92.73</v>
      </c>
    </row>
    <row r="20">
      <c r="A20" s="23" t="n">
        <v>46199</v>
      </c>
      <c r="B20" s="54" t="inlineStr">
        <is>
          <t>AÇÚCAR</t>
        </is>
      </c>
      <c r="C20" s="55" t="n">
        <v>92.31</v>
      </c>
    </row>
    <row r="21">
      <c r="A21" s="23" t="n">
        <v>46202</v>
      </c>
      <c r="B21" s="54" t="inlineStr">
        <is>
          <t>AÇÚCAR</t>
        </is>
      </c>
      <c r="C21" s="55" t="n">
        <v>92.69</v>
      </c>
    </row>
    <row r="22">
      <c r="A22" s="23" t="n">
        <v>46203</v>
      </c>
      <c r="B22" s="54" t="inlineStr">
        <is>
          <t>AÇÚCAR</t>
        </is>
      </c>
      <c r="C22" s="55" t="n">
        <v>91.27</v>
      </c>
    </row>
    <row r="23">
      <c r="A23" s="23" t="n">
        <v>46204</v>
      </c>
      <c r="B23" s="54" t="inlineStr">
        <is>
          <t>AÇÚCAR</t>
        </is>
      </c>
      <c r="C23" s="55" t="n">
        <v>91.29000000000001</v>
      </c>
    </row>
    <row r="24">
      <c r="A24" s="23" t="n">
        <v>46205</v>
      </c>
      <c r="B24" s="54" t="inlineStr">
        <is>
          <t>AÇÚCAR</t>
        </is>
      </c>
      <c r="C24" s="55" t="n">
        <v>92.23</v>
      </c>
    </row>
    <row r="25">
      <c r="A25" s="23" t="n">
        <v>46206</v>
      </c>
      <c r="B25" s="54" t="inlineStr">
        <is>
          <t>AÇÚCAR</t>
        </is>
      </c>
      <c r="C25" s="55" t="n">
        <v>93.59</v>
      </c>
    </row>
    <row r="26">
      <c r="A26" s="23" t="n">
        <v>46209</v>
      </c>
      <c r="B26" s="54" t="inlineStr">
        <is>
          <t>AÇÚCAR</t>
        </is>
      </c>
      <c r="C26" s="55" t="n">
        <v>91.94</v>
      </c>
    </row>
    <row r="27">
      <c r="A27" s="23" t="n">
        <v>46210</v>
      </c>
      <c r="B27" s="54" t="inlineStr">
        <is>
          <t>AÇÚCAR</t>
        </is>
      </c>
      <c r="C27" s="55" t="n">
        <v>93.87</v>
      </c>
    </row>
    <row r="28">
      <c r="A28" s="23" t="n">
        <v>46211</v>
      </c>
      <c r="B28" s="54" t="inlineStr">
        <is>
          <t>AÇÚCAR</t>
        </is>
      </c>
      <c r="C28" s="55" t="n">
        <v>92.20999999999999</v>
      </c>
    </row>
    <row r="29">
      <c r="A29" s="23" t="n">
        <v>46212</v>
      </c>
      <c r="B29" s="54" t="inlineStr">
        <is>
          <t>AÇÚCAR</t>
        </is>
      </c>
      <c r="C29" s="55" t="n">
        <v>92.20999999999999</v>
      </c>
    </row>
    <row r="30">
      <c r="A30" s="23" t="n">
        <v>46213</v>
      </c>
      <c r="B30" s="54" t="inlineStr">
        <is>
          <t>AÇÚCAR</t>
        </is>
      </c>
      <c r="C30" s="55" t="n">
        <v>91.20999999999999</v>
      </c>
    </row>
    <row r="31">
      <c r="A31" s="23" t="n">
        <v>46216</v>
      </c>
      <c r="B31" s="54" t="inlineStr">
        <is>
          <t>AÇÚCAR</t>
        </is>
      </c>
      <c r="C31" s="55" t="n">
        <v>90.72</v>
      </c>
    </row>
    <row r="32">
      <c r="A32" s="23" t="n">
        <v>46217</v>
      </c>
      <c r="B32" s="54" t="inlineStr">
        <is>
          <t>AÇÚCAR</t>
        </is>
      </c>
      <c r="C32" s="55" t="n">
        <v>92.11</v>
      </c>
    </row>
  </sheetData>
  <pageMargins left="0.25" right="0.25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Planilha11">
    <outlinePr summaryBelow="1" summaryRight="1"/>
    <pageSetUpPr/>
  </sheetPr>
  <dimension ref="A1:C15"/>
  <sheetViews>
    <sheetView workbookViewId="0">
      <selection activeCell="H14" sqref="H14"/>
    </sheetView>
  </sheetViews>
  <sheetFormatPr baseColWidth="8" defaultRowHeight="15" outlineLevelCol="0"/>
  <cols>
    <col width="12.5703125" bestFit="1" customWidth="1" style="11" min="1" max="1"/>
    <col width="12.140625" bestFit="1" customWidth="1" style="1" min="2" max="2"/>
    <col width="9.140625" customWidth="1" style="3" min="3" max="3"/>
    <col width="9.140625" customWidth="1" style="1" min="4" max="13"/>
    <col width="9.140625" customWidth="1" style="1" min="14" max="16384"/>
  </cols>
  <sheetData>
    <row r="1">
      <c r="A1" s="11" t="inlineStr">
        <is>
          <t>Data</t>
        </is>
      </c>
      <c r="B1" s="1" t="inlineStr">
        <is>
          <t>Ativo</t>
        </is>
      </c>
      <c r="C1" s="3" t="inlineStr">
        <is>
          <t>Preço</t>
        </is>
      </c>
    </row>
    <row r="2">
      <c r="A2" s="4" t="n">
        <v>46108</v>
      </c>
      <c r="B2" s="1" t="inlineStr">
        <is>
          <t>ETANOL</t>
        </is>
      </c>
      <c r="C2" s="28" t="n">
        <v>2.9496</v>
      </c>
    </row>
    <row r="3">
      <c r="A3" s="25" t="n">
        <v>46122</v>
      </c>
      <c r="B3" s="20" t="inlineStr">
        <is>
          <t>ETANOL</t>
        </is>
      </c>
      <c r="C3" s="48" t="n">
        <v>2.7873</v>
      </c>
    </row>
    <row r="4">
      <c r="A4" s="25" t="n">
        <v>46129</v>
      </c>
      <c r="B4" s="20" t="inlineStr">
        <is>
          <t>ETANOL</t>
        </is>
      </c>
      <c r="C4" s="48" t="n">
        <v>2.592</v>
      </c>
    </row>
    <row r="5">
      <c r="A5" s="25" t="n">
        <v>46136</v>
      </c>
      <c r="B5" s="20" t="inlineStr">
        <is>
          <t>ETANOL</t>
        </is>
      </c>
      <c r="C5" s="48" t="n">
        <v>2.4512</v>
      </c>
    </row>
    <row r="6">
      <c r="A6" s="25" t="n">
        <v>46150</v>
      </c>
      <c r="B6" s="20" t="inlineStr">
        <is>
          <t>ETANOL</t>
        </is>
      </c>
      <c r="C6" s="48" t="n">
        <v>2.2704</v>
      </c>
    </row>
    <row r="7">
      <c r="A7" s="25" t="n">
        <v>46157</v>
      </c>
      <c r="B7" s="20" t="inlineStr">
        <is>
          <t>ETANOL</t>
        </is>
      </c>
      <c r="C7" s="48" t="n">
        <v>2.2209</v>
      </c>
    </row>
    <row r="8">
      <c r="A8" s="25" t="n">
        <v>46164</v>
      </c>
      <c r="B8" s="20" t="inlineStr">
        <is>
          <t>ETANOL</t>
        </is>
      </c>
      <c r="C8" s="48" t="n">
        <v>2.2492</v>
      </c>
    </row>
    <row r="9">
      <c r="A9" s="25" t="n">
        <v>46171</v>
      </c>
      <c r="B9" s="20" t="inlineStr">
        <is>
          <t>ETANOL</t>
        </is>
      </c>
      <c r="C9" s="48" t="n">
        <v>2.2315</v>
      </c>
    </row>
    <row r="10">
      <c r="A10" s="25" t="n">
        <v>46178</v>
      </c>
      <c r="B10" s="20" t="inlineStr">
        <is>
          <t>ETANOL</t>
        </is>
      </c>
      <c r="C10" s="48" t="n">
        <v>2.2166</v>
      </c>
    </row>
    <row r="11">
      <c r="A11" s="25" t="n">
        <v>46185</v>
      </c>
      <c r="B11" s="20" t="inlineStr">
        <is>
          <t>ETANOL</t>
        </is>
      </c>
      <c r="C11" s="48" t="n">
        <v>2.2247</v>
      </c>
    </row>
    <row r="12">
      <c r="A12" s="25" t="n">
        <v>46192</v>
      </c>
      <c r="B12" s="20" t="inlineStr">
        <is>
          <t>ETANOL</t>
        </is>
      </c>
      <c r="C12" s="48" t="n">
        <v>2.2429</v>
      </c>
    </row>
    <row r="13">
      <c r="A13" s="25" t="n">
        <v>46199</v>
      </c>
      <c r="B13" s="20" t="inlineStr">
        <is>
          <t>ETANOL</t>
        </is>
      </c>
      <c r="C13" s="48" t="n">
        <v>2.2618</v>
      </c>
    </row>
    <row r="14">
      <c r="A14" s="25" t="n">
        <v>46206</v>
      </c>
      <c r="B14" s="20" t="inlineStr">
        <is>
          <t>ETANOL</t>
        </is>
      </c>
      <c r="C14" s="48" t="n">
        <v>2.2427</v>
      </c>
    </row>
    <row r="15">
      <c r="A15" s="25" t="n">
        <v>46213</v>
      </c>
      <c r="B15" s="20" t="inlineStr">
        <is>
          <t>ETANOL</t>
        </is>
      </c>
      <c r="C15" s="48" t="n">
        <v>2.18</v>
      </c>
    </row>
  </sheetData>
  <pageMargins left="0.25" right="0.25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 codeName="Planilha12">
    <outlinePr summaryBelow="1" summaryRight="1"/>
    <pageSetUpPr/>
  </sheetPr>
  <dimension ref="A1:C200"/>
  <sheetViews>
    <sheetView topLeftCell="A125" zoomScale="90" zoomScaleNormal="90" workbookViewId="0">
      <selection activeCell="A117" sqref="A117:XFD1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45924</v>
      </c>
      <c r="B2" s="1" t="inlineStr">
        <is>
          <t>BGIH26</t>
        </is>
      </c>
      <c r="C2" s="3" t="n">
        <v>329.9</v>
      </c>
    </row>
    <row r="3">
      <c r="A3" s="4" t="n">
        <v>45925</v>
      </c>
      <c r="B3" s="1">
        <f>B2</f>
        <v/>
      </c>
      <c r="C3" s="3" t="n">
        <v>328.65</v>
      </c>
    </row>
    <row r="4">
      <c r="A4" s="4" t="n">
        <v>45926</v>
      </c>
      <c r="B4" s="1">
        <f>B3</f>
        <v/>
      </c>
      <c r="C4" s="3" t="n">
        <v>328.1</v>
      </c>
    </row>
    <row r="5">
      <c r="A5" s="4" t="n">
        <v>45929</v>
      </c>
      <c r="B5" s="1">
        <f>B4</f>
        <v/>
      </c>
      <c r="C5" s="1" t="n">
        <v>329.1</v>
      </c>
    </row>
    <row r="6">
      <c r="A6" s="4" t="n">
        <v>45930</v>
      </c>
      <c r="B6" s="1">
        <f>B5</f>
        <v/>
      </c>
      <c r="C6" s="1" t="n">
        <v>326.3</v>
      </c>
    </row>
    <row r="7">
      <c r="A7" s="4" t="n">
        <v>45931</v>
      </c>
      <c r="B7" s="1">
        <f>B6</f>
        <v/>
      </c>
      <c r="C7" s="1" t="n">
        <v>326.1</v>
      </c>
    </row>
    <row r="8">
      <c r="A8" s="4" t="n">
        <v>45932</v>
      </c>
      <c r="B8" s="1">
        <f>B7</f>
        <v/>
      </c>
      <c r="C8" s="1" t="n">
        <v>326.7</v>
      </c>
    </row>
    <row r="9">
      <c r="A9" s="4" t="n">
        <v>45933</v>
      </c>
      <c r="B9" s="1">
        <f>B8</f>
        <v/>
      </c>
      <c r="C9" s="1" t="n">
        <v>330.15</v>
      </c>
    </row>
    <row r="10">
      <c r="A10" s="4" t="n">
        <v>45936</v>
      </c>
      <c r="B10" s="1">
        <f>B9</f>
        <v/>
      </c>
      <c r="C10" s="1" t="n">
        <v>330</v>
      </c>
    </row>
    <row r="11">
      <c r="A11" s="4" t="n">
        <v>45937</v>
      </c>
      <c r="B11" s="1">
        <f>B10</f>
        <v/>
      </c>
      <c r="C11" s="1" t="n">
        <v>330</v>
      </c>
    </row>
    <row r="12">
      <c r="A12" s="4" t="n">
        <v>45938</v>
      </c>
      <c r="B12" s="1">
        <f>B11</f>
        <v/>
      </c>
      <c r="C12" s="1" t="n">
        <v>330.1</v>
      </c>
    </row>
    <row r="13">
      <c r="A13" s="4" t="n">
        <v>45939</v>
      </c>
      <c r="B13" s="1">
        <f>B12</f>
        <v/>
      </c>
      <c r="C13" s="1" t="n">
        <v>331.55</v>
      </c>
    </row>
    <row r="14">
      <c r="A14" s="4" t="n">
        <v>45940</v>
      </c>
      <c r="B14" s="1">
        <f>B13</f>
        <v/>
      </c>
      <c r="C14" s="1" t="n">
        <v>330.85</v>
      </c>
    </row>
    <row r="15">
      <c r="A15" s="4" t="n">
        <v>45943</v>
      </c>
      <c r="B15" s="1">
        <f>B14</f>
        <v/>
      </c>
      <c r="C15" s="1" t="n">
        <v>332.9</v>
      </c>
    </row>
    <row r="16">
      <c r="A16" s="4" t="n">
        <v>45944</v>
      </c>
      <c r="B16" s="1">
        <f>B15</f>
        <v/>
      </c>
      <c r="C16" s="1" t="n">
        <v>331.85</v>
      </c>
    </row>
    <row r="17">
      <c r="A17" s="4" t="n">
        <v>45945</v>
      </c>
      <c r="B17" s="1">
        <f>B16</f>
        <v/>
      </c>
      <c r="C17" s="1" t="n">
        <v>330.1</v>
      </c>
    </row>
    <row r="18">
      <c r="A18" s="4" t="n">
        <v>45946</v>
      </c>
      <c r="B18" s="1">
        <f>B17</f>
        <v/>
      </c>
      <c r="C18" s="1" t="n">
        <v>332.45</v>
      </c>
    </row>
    <row r="19">
      <c r="A19" s="4" t="n">
        <v>45947</v>
      </c>
      <c r="B19" s="1">
        <f>B18</f>
        <v/>
      </c>
      <c r="C19" s="1" t="n">
        <v>332.55</v>
      </c>
    </row>
    <row r="20">
      <c r="A20" s="4" t="n">
        <v>45950</v>
      </c>
      <c r="B20" s="1">
        <f>B19</f>
        <v/>
      </c>
      <c r="C20" s="1" t="n">
        <v>331.7</v>
      </c>
    </row>
    <row r="21">
      <c r="A21" s="4" t="n">
        <v>45951</v>
      </c>
      <c r="B21" s="1">
        <f>B20</f>
        <v/>
      </c>
      <c r="C21" s="1" t="n">
        <v>330.9</v>
      </c>
    </row>
    <row r="22">
      <c r="A22" s="4" t="n">
        <v>45952</v>
      </c>
      <c r="B22" s="1">
        <f>B21</f>
        <v/>
      </c>
      <c r="C22" s="1" t="n">
        <v>330.3</v>
      </c>
    </row>
    <row r="23">
      <c r="A23" s="4" t="n">
        <v>45953</v>
      </c>
      <c r="B23" s="1">
        <f>B22</f>
        <v/>
      </c>
      <c r="C23" s="1" t="n">
        <v>330.85</v>
      </c>
    </row>
    <row r="24">
      <c r="A24" s="4" t="n">
        <v>45954</v>
      </c>
      <c r="B24" s="1">
        <f>B23</f>
        <v/>
      </c>
      <c r="C24" s="1" t="n">
        <v>331.5</v>
      </c>
    </row>
    <row r="25">
      <c r="A25" s="4" t="n">
        <v>45957</v>
      </c>
      <c r="B25" s="1">
        <f>B24</f>
        <v/>
      </c>
      <c r="C25" s="1" t="n">
        <v>332.35</v>
      </c>
    </row>
    <row r="26">
      <c r="A26" s="4" t="n">
        <v>45958</v>
      </c>
      <c r="B26" s="1">
        <f>B25</f>
        <v/>
      </c>
      <c r="C26" s="1" t="n">
        <v>331.8</v>
      </c>
    </row>
    <row r="27">
      <c r="A27" s="4" t="n">
        <v>45959</v>
      </c>
      <c r="B27" s="1">
        <f>B26</f>
        <v/>
      </c>
      <c r="C27" s="1" t="n">
        <v>336.35</v>
      </c>
    </row>
    <row r="28">
      <c r="A28" s="4" t="n">
        <v>45960</v>
      </c>
      <c r="B28" s="1">
        <f>B27</f>
        <v/>
      </c>
      <c r="C28" s="1" t="n">
        <v>335.6</v>
      </c>
    </row>
    <row r="29">
      <c r="A29" s="4" t="n">
        <v>45961</v>
      </c>
      <c r="B29" s="1">
        <f>B28</f>
        <v/>
      </c>
      <c r="C29" s="1" t="n">
        <v>335.25</v>
      </c>
    </row>
    <row r="30">
      <c r="A30" s="4" t="n">
        <v>45964</v>
      </c>
      <c r="B30" s="1">
        <f>B29</f>
        <v/>
      </c>
      <c r="C30" s="1" t="n">
        <v>337.6</v>
      </c>
    </row>
    <row r="31">
      <c r="A31" s="4" t="n">
        <v>45965</v>
      </c>
      <c r="B31" s="1">
        <f>B30</f>
        <v/>
      </c>
      <c r="C31" s="1" t="n">
        <v>339.25</v>
      </c>
    </row>
    <row r="32">
      <c r="A32" s="4" t="n">
        <v>45966</v>
      </c>
      <c r="B32" s="1">
        <f>B31</f>
        <v/>
      </c>
      <c r="C32" s="1" t="n">
        <v>336.9</v>
      </c>
    </row>
    <row r="33">
      <c r="A33" s="4" t="n">
        <v>45967</v>
      </c>
      <c r="B33" s="1">
        <f>B32</f>
        <v/>
      </c>
      <c r="C33" s="1" t="n">
        <v>329.05</v>
      </c>
    </row>
    <row r="34">
      <c r="A34" s="4" t="n">
        <v>45968</v>
      </c>
      <c r="B34" s="1">
        <f>B33</f>
        <v/>
      </c>
      <c r="C34" s="1" t="n">
        <v>329.8</v>
      </c>
    </row>
    <row r="35">
      <c r="A35" s="4" t="n">
        <v>45971</v>
      </c>
      <c r="B35" s="1">
        <f>B34</f>
        <v/>
      </c>
      <c r="C35" s="1" t="n">
        <v>327.05</v>
      </c>
    </row>
    <row r="36">
      <c r="A36" s="4" t="n">
        <v>45972</v>
      </c>
      <c r="B36" s="1">
        <f>B35</f>
        <v/>
      </c>
      <c r="C36" s="1" t="n">
        <v>328.9</v>
      </c>
    </row>
    <row r="37">
      <c r="A37" s="4" t="n">
        <v>45973</v>
      </c>
      <c r="B37" s="1">
        <f>B36</f>
        <v/>
      </c>
      <c r="C37" s="1" t="n">
        <v>328.4</v>
      </c>
    </row>
    <row r="38">
      <c r="A38" s="4" t="n">
        <v>45974</v>
      </c>
      <c r="B38" s="1">
        <f>B37</f>
        <v/>
      </c>
      <c r="C38" s="1" t="n">
        <v>327.9</v>
      </c>
    </row>
    <row r="39">
      <c r="A39" s="4" t="n">
        <v>45975</v>
      </c>
      <c r="B39" s="1">
        <f>B38</f>
        <v/>
      </c>
      <c r="C39" s="1" t="n">
        <v>326.9</v>
      </c>
    </row>
    <row r="40">
      <c r="A40" s="4" t="n">
        <v>45978</v>
      </c>
      <c r="B40" s="1">
        <f>B39</f>
        <v/>
      </c>
      <c r="C40" s="1" t="n">
        <v>325.85</v>
      </c>
    </row>
    <row r="41">
      <c r="A41" s="4" t="n">
        <v>45979</v>
      </c>
      <c r="B41" s="1">
        <f>B40</f>
        <v/>
      </c>
      <c r="C41" s="1" t="n">
        <v>327.15</v>
      </c>
    </row>
    <row r="42">
      <c r="A42" s="4" t="n">
        <v>45980</v>
      </c>
      <c r="B42" s="1">
        <f>B41</f>
        <v/>
      </c>
      <c r="C42" s="1" t="n">
        <v>323.75</v>
      </c>
    </row>
    <row r="43">
      <c r="A43" s="4" t="n">
        <v>45982</v>
      </c>
      <c r="B43" s="1">
        <f>B42</f>
        <v/>
      </c>
      <c r="C43" s="1" t="n">
        <v>333.35</v>
      </c>
    </row>
    <row r="44">
      <c r="A44" s="4" t="n">
        <v>45985</v>
      </c>
      <c r="B44" s="1">
        <f>B43</f>
        <v/>
      </c>
      <c r="C44" s="1" t="n">
        <v>327.05</v>
      </c>
    </row>
    <row r="45">
      <c r="A45" s="4" t="n">
        <v>45986</v>
      </c>
      <c r="B45" s="1">
        <f>B44</f>
        <v/>
      </c>
      <c r="C45" s="1" t="n">
        <v>329.3</v>
      </c>
    </row>
    <row r="46">
      <c r="A46" s="4" t="n">
        <v>45987</v>
      </c>
      <c r="B46" s="1">
        <f>B45</f>
        <v/>
      </c>
      <c r="C46" s="1" t="n">
        <v>329.3</v>
      </c>
    </row>
    <row r="47">
      <c r="A47" s="4" t="n">
        <v>45988</v>
      </c>
      <c r="B47" s="1">
        <f>B46</f>
        <v/>
      </c>
      <c r="C47" s="1" t="n">
        <v>328.7</v>
      </c>
    </row>
    <row r="48">
      <c r="A48" s="4" t="n">
        <v>45989</v>
      </c>
      <c r="B48" s="1">
        <f>B47</f>
        <v/>
      </c>
      <c r="C48" s="1" t="n">
        <v>330.4</v>
      </c>
    </row>
    <row r="49">
      <c r="A49" s="4" t="n">
        <v>45992</v>
      </c>
      <c r="B49" s="1">
        <f>B48</f>
        <v/>
      </c>
      <c r="C49" s="1" t="n">
        <v>330.05</v>
      </c>
    </row>
    <row r="50">
      <c r="A50" s="4" t="n">
        <v>45993</v>
      </c>
      <c r="B50" s="1">
        <f>B49</f>
        <v/>
      </c>
      <c r="C50" s="1" t="n">
        <v>332.3</v>
      </c>
    </row>
    <row r="51">
      <c r="A51" s="4" t="n">
        <v>45994</v>
      </c>
      <c r="B51" s="1">
        <f>B50</f>
        <v/>
      </c>
      <c r="C51" s="1" t="n">
        <v>331.75</v>
      </c>
    </row>
    <row r="52">
      <c r="A52" s="4" t="n">
        <v>45995</v>
      </c>
      <c r="B52" s="1">
        <f>B51</f>
        <v/>
      </c>
      <c r="C52" s="1" t="n">
        <v>329.85</v>
      </c>
    </row>
    <row r="53">
      <c r="A53" s="4" t="n">
        <v>45996</v>
      </c>
      <c r="B53" s="1">
        <f>B52</f>
        <v/>
      </c>
      <c r="C53" s="1" t="n">
        <v>329.7</v>
      </c>
    </row>
    <row r="54">
      <c r="A54" s="4" t="n">
        <v>45999</v>
      </c>
      <c r="B54" s="1">
        <f>B53</f>
        <v/>
      </c>
      <c r="C54" s="1" t="n">
        <v>330.85</v>
      </c>
    </row>
    <row r="55">
      <c r="A55" s="4" t="n">
        <v>46000</v>
      </c>
      <c r="B55" s="1">
        <f>B54</f>
        <v/>
      </c>
      <c r="C55" s="1" t="n">
        <v>330.2</v>
      </c>
    </row>
    <row r="56">
      <c r="A56" s="4" t="n">
        <v>46001</v>
      </c>
      <c r="B56" s="1">
        <f>B55</f>
        <v/>
      </c>
      <c r="C56" s="1" t="n">
        <v>328.7</v>
      </c>
    </row>
    <row r="57">
      <c r="A57" s="4" t="n">
        <v>46002</v>
      </c>
      <c r="B57" s="1">
        <f>B56</f>
        <v/>
      </c>
      <c r="C57" s="1" t="n">
        <v>328.65</v>
      </c>
    </row>
    <row r="58">
      <c r="A58" s="4" t="n">
        <v>46003</v>
      </c>
      <c r="B58" s="1">
        <f>B57</f>
        <v/>
      </c>
      <c r="C58" s="1" t="n">
        <v>328.35</v>
      </c>
    </row>
    <row r="59">
      <c r="A59" s="4" t="n">
        <v>46006</v>
      </c>
      <c r="B59" s="1">
        <f>B58</f>
        <v/>
      </c>
      <c r="C59" t="n">
        <v>327.15</v>
      </c>
    </row>
    <row r="60">
      <c r="A60" s="4" t="n">
        <v>46007</v>
      </c>
      <c r="B60" s="1">
        <f>B59</f>
        <v/>
      </c>
      <c r="C60" t="n">
        <v>326.55</v>
      </c>
    </row>
    <row r="61">
      <c r="A61" s="4" t="n">
        <v>46008</v>
      </c>
      <c r="B61" s="1">
        <f>B60</f>
        <v/>
      </c>
      <c r="C61" t="n">
        <v>326.25</v>
      </c>
    </row>
    <row r="62">
      <c r="A62" s="4" t="n">
        <v>46009</v>
      </c>
      <c r="B62" s="1">
        <f>B61</f>
        <v/>
      </c>
      <c r="C62" t="n">
        <v>327.7</v>
      </c>
    </row>
    <row r="63">
      <c r="A63" s="4" t="n">
        <v>46010</v>
      </c>
      <c r="B63" s="1">
        <f>B62</f>
        <v/>
      </c>
      <c r="C63" t="n">
        <v>324.7</v>
      </c>
    </row>
    <row r="64">
      <c r="A64" s="4" t="n">
        <v>46013</v>
      </c>
      <c r="B64" s="1">
        <f>B63</f>
        <v/>
      </c>
      <c r="C64" t="n">
        <v>325.35</v>
      </c>
    </row>
    <row r="65">
      <c r="A65" s="4" t="n">
        <v>46014</v>
      </c>
      <c r="B65" s="1">
        <f>B64</f>
        <v/>
      </c>
      <c r="C65" t="n">
        <v>324.55</v>
      </c>
    </row>
    <row r="66">
      <c r="A66" s="4" t="n">
        <v>46017</v>
      </c>
      <c r="B66" s="1">
        <f>B65</f>
        <v/>
      </c>
      <c r="C66" t="n">
        <v>325.15</v>
      </c>
    </row>
    <row r="67">
      <c r="A67" s="4" t="n">
        <v>46020</v>
      </c>
      <c r="B67" s="1">
        <f>B66</f>
        <v/>
      </c>
      <c r="C67" t="n">
        <v>323.75</v>
      </c>
    </row>
    <row r="68">
      <c r="A68" s="4" t="n">
        <v>46021</v>
      </c>
      <c r="B68" s="1">
        <f>B67</f>
        <v/>
      </c>
      <c r="C68" t="n">
        <v>322.55</v>
      </c>
    </row>
    <row r="69">
      <c r="A69" s="4" t="n">
        <v>46024</v>
      </c>
      <c r="B69" s="1">
        <f>B68</f>
        <v/>
      </c>
      <c r="C69" t="n">
        <v>323.8</v>
      </c>
    </row>
    <row r="70">
      <c r="A70" s="4" t="n">
        <v>46027</v>
      </c>
      <c r="B70" s="1">
        <f>B69</f>
        <v/>
      </c>
      <c r="C70" t="n">
        <v>326.1</v>
      </c>
    </row>
    <row r="71">
      <c r="A71" s="4" t="n">
        <v>46028</v>
      </c>
      <c r="B71" s="1">
        <f>B70</f>
        <v/>
      </c>
      <c r="C71" t="n">
        <v>325.45</v>
      </c>
    </row>
    <row r="72">
      <c r="A72" s="4" t="n">
        <v>46029</v>
      </c>
      <c r="B72" s="1">
        <f>B71</f>
        <v/>
      </c>
      <c r="C72" t="n">
        <v>323.9</v>
      </c>
    </row>
    <row r="73">
      <c r="A73" s="4" t="n">
        <v>46030</v>
      </c>
      <c r="B73" s="1">
        <f>B72</f>
        <v/>
      </c>
      <c r="C73" t="n">
        <v>323.05</v>
      </c>
    </row>
    <row r="74">
      <c r="A74" s="4" t="n">
        <v>46031</v>
      </c>
      <c r="B74" s="1">
        <f>B73</f>
        <v/>
      </c>
      <c r="C74" t="n">
        <v>320.1</v>
      </c>
    </row>
    <row r="75">
      <c r="A75" s="4" t="n">
        <v>46034</v>
      </c>
      <c r="B75" s="1">
        <f>B74</f>
        <v/>
      </c>
      <c r="C75" t="n">
        <v>319.05</v>
      </c>
    </row>
    <row r="76">
      <c r="A76" s="4" t="n">
        <v>46035</v>
      </c>
      <c r="B76" s="1">
        <f>B75</f>
        <v/>
      </c>
      <c r="C76" t="n">
        <v>319.35</v>
      </c>
    </row>
    <row r="77">
      <c r="A77" s="4" t="n">
        <v>46036</v>
      </c>
      <c r="B77" s="1">
        <f>B76</f>
        <v/>
      </c>
      <c r="C77" t="n">
        <v>318.85</v>
      </c>
    </row>
    <row r="78">
      <c r="A78" s="4" t="n">
        <v>46037</v>
      </c>
      <c r="B78" s="1">
        <f>B77</f>
        <v/>
      </c>
      <c r="C78" t="n">
        <v>318.55</v>
      </c>
    </row>
    <row r="79">
      <c r="A79" s="4" t="n">
        <v>46038</v>
      </c>
      <c r="B79" s="1">
        <f>B78</f>
        <v/>
      </c>
      <c r="C79" t="n">
        <v>318.65</v>
      </c>
    </row>
    <row r="80">
      <c r="A80" s="4" t="n">
        <v>46041</v>
      </c>
      <c r="B80" s="1">
        <f>B79</f>
        <v/>
      </c>
      <c r="C80" t="n">
        <v>322.9</v>
      </c>
    </row>
    <row r="81">
      <c r="A81" s="9" t="n">
        <v>46042</v>
      </c>
      <c r="B81" s="1">
        <f>B80</f>
        <v/>
      </c>
      <c r="C81" t="n">
        <v>326.15</v>
      </c>
    </row>
    <row r="82">
      <c r="A82" s="4" t="n">
        <v>46043</v>
      </c>
      <c r="B82" s="1">
        <f>B81</f>
        <v/>
      </c>
      <c r="C82" t="n">
        <v>327.65</v>
      </c>
    </row>
    <row r="83">
      <c r="A83" s="4" t="n">
        <v>46044</v>
      </c>
      <c r="B83" s="1">
        <f>B82</f>
        <v/>
      </c>
      <c r="C83" t="n">
        <v>327.35</v>
      </c>
    </row>
    <row r="84">
      <c r="A84" s="9" t="n">
        <v>46045</v>
      </c>
      <c r="B84" s="1">
        <f>B83</f>
        <v/>
      </c>
      <c r="C84" t="n">
        <v>327.75</v>
      </c>
    </row>
    <row r="85">
      <c r="A85" s="9" t="n">
        <v>46048</v>
      </c>
      <c r="B85" s="1">
        <f>B84</f>
        <v/>
      </c>
      <c r="C85" t="n">
        <v>329.05</v>
      </c>
    </row>
    <row r="86">
      <c r="A86" s="9" t="n">
        <v>46049</v>
      </c>
      <c r="B86" s="1">
        <f>B85</f>
        <v/>
      </c>
      <c r="C86" t="n">
        <v>332.15</v>
      </c>
    </row>
    <row r="87">
      <c r="A87" s="9" t="n">
        <v>46050</v>
      </c>
      <c r="B87" s="1">
        <f>B86</f>
        <v/>
      </c>
      <c r="C87" t="n">
        <v>333</v>
      </c>
    </row>
    <row r="88">
      <c r="A88" s="9" t="n">
        <v>46051</v>
      </c>
      <c r="B88" s="1">
        <f>B87</f>
        <v/>
      </c>
      <c r="C88" t="n">
        <v>335.8</v>
      </c>
    </row>
    <row r="89">
      <c r="A89" s="9" t="n">
        <v>46052</v>
      </c>
      <c r="B89" s="1">
        <f>B88</f>
        <v/>
      </c>
      <c r="C89" t="n">
        <v>338.75</v>
      </c>
    </row>
    <row r="90">
      <c r="A90" s="9" t="n">
        <v>46055</v>
      </c>
      <c r="B90" s="1">
        <f>B89</f>
        <v/>
      </c>
      <c r="C90" t="n">
        <v>338.8</v>
      </c>
    </row>
    <row r="91">
      <c r="A91" s="9" t="n">
        <v>46056</v>
      </c>
      <c r="B91" s="1">
        <f>B90</f>
        <v/>
      </c>
      <c r="C91" t="n">
        <v>340.45</v>
      </c>
    </row>
    <row r="92">
      <c r="A92" s="9" t="n">
        <v>46057</v>
      </c>
      <c r="B92" s="1">
        <f>B91</f>
        <v/>
      </c>
      <c r="C92" t="n">
        <v>343.55</v>
      </c>
    </row>
    <row r="93">
      <c r="A93" s="9" t="n">
        <v>46058</v>
      </c>
      <c r="B93" s="1">
        <f>B92</f>
        <v/>
      </c>
      <c r="C93" t="n">
        <v>344.85</v>
      </c>
    </row>
    <row r="94">
      <c r="A94" s="9" t="n">
        <v>46059</v>
      </c>
      <c r="B94" s="1">
        <f>B93</f>
        <v/>
      </c>
      <c r="C94" t="n">
        <v>346.45</v>
      </c>
    </row>
    <row r="95">
      <c r="A95" s="9" t="n">
        <v>46062</v>
      </c>
      <c r="B95" s="1">
        <f>B94</f>
        <v/>
      </c>
      <c r="C95" t="n">
        <v>343.95</v>
      </c>
    </row>
    <row r="96">
      <c r="A96" s="9" t="n">
        <v>46063</v>
      </c>
      <c r="B96" s="1">
        <f>B95</f>
        <v/>
      </c>
      <c r="C96" t="n">
        <v>345</v>
      </c>
    </row>
    <row r="97">
      <c r="A97" s="9" t="n">
        <v>46064</v>
      </c>
      <c r="B97" s="1">
        <f>B96</f>
        <v/>
      </c>
      <c r="C97" t="n">
        <v>347.2</v>
      </c>
    </row>
    <row r="98">
      <c r="A98" s="9" t="n">
        <v>46065</v>
      </c>
      <c r="B98" s="1">
        <f>B97</f>
        <v/>
      </c>
      <c r="C98" t="n">
        <v>347.15</v>
      </c>
    </row>
    <row r="99">
      <c r="A99" s="9" t="n">
        <v>46066</v>
      </c>
      <c r="B99" s="1">
        <f>B98</f>
        <v/>
      </c>
      <c r="C99" t="n">
        <v>346.5</v>
      </c>
    </row>
    <row r="100">
      <c r="A100" s="9" t="n">
        <v>46071</v>
      </c>
      <c r="B100" s="1">
        <f>B99</f>
        <v/>
      </c>
      <c r="C100" t="n">
        <v>349.7</v>
      </c>
    </row>
    <row r="101">
      <c r="A101" s="9" t="n">
        <v>46072</v>
      </c>
      <c r="B101" s="1">
        <f>B100</f>
        <v/>
      </c>
      <c r="C101" t="n">
        <v>349.6</v>
      </c>
    </row>
    <row r="102">
      <c r="A102" s="9" t="n">
        <v>46073</v>
      </c>
      <c r="B102" s="1">
        <f>B101</f>
        <v/>
      </c>
      <c r="C102" t="n">
        <v>354.55</v>
      </c>
    </row>
    <row r="103">
      <c r="A103" s="9" t="n">
        <v>46076</v>
      </c>
      <c r="B103" s="1">
        <f>B102</f>
        <v/>
      </c>
      <c r="C103" t="n">
        <v>354.95</v>
      </c>
    </row>
    <row r="104">
      <c r="A104" s="9" t="n">
        <v>46077</v>
      </c>
      <c r="B104" s="1">
        <f>B103</f>
        <v/>
      </c>
      <c r="C104" t="n">
        <v>357</v>
      </c>
    </row>
    <row r="105">
      <c r="A105" s="9" t="n">
        <v>46078</v>
      </c>
      <c r="B105" s="1">
        <f>B104</f>
        <v/>
      </c>
      <c r="C105" t="n">
        <v>357.2</v>
      </c>
    </row>
    <row r="106">
      <c r="A106" s="9" t="n">
        <v>46079</v>
      </c>
      <c r="B106" s="1">
        <f>B105</f>
        <v/>
      </c>
      <c r="C106" t="n">
        <v>355.35</v>
      </c>
    </row>
    <row r="107">
      <c r="A107" s="9" t="n">
        <v>46080</v>
      </c>
      <c r="B107" s="1">
        <f>B106</f>
        <v/>
      </c>
      <c r="C107" t="n">
        <v>354.3</v>
      </c>
    </row>
    <row r="108">
      <c r="A108" s="9" t="n">
        <v>46083</v>
      </c>
      <c r="B108" s="1">
        <f>B107</f>
        <v/>
      </c>
      <c r="C108" t="n">
        <v>349.6</v>
      </c>
    </row>
    <row r="109">
      <c r="A109" s="9" t="n">
        <v>46084</v>
      </c>
      <c r="B109" s="1">
        <f>B108</f>
        <v/>
      </c>
      <c r="C109" t="n">
        <v>343.5</v>
      </c>
    </row>
    <row r="110">
      <c r="A110" s="9" t="n">
        <v>46085</v>
      </c>
      <c r="B110" s="1">
        <f>B109</f>
        <v/>
      </c>
      <c r="C110" t="n">
        <v>345.15</v>
      </c>
    </row>
    <row r="111">
      <c r="A111" s="9" t="n">
        <v>46086</v>
      </c>
      <c r="B111" s="1">
        <f>B110</f>
        <v/>
      </c>
      <c r="C111" t="n">
        <v>343.5</v>
      </c>
    </row>
    <row r="112">
      <c r="A112" s="9" t="n">
        <v>46087</v>
      </c>
      <c r="B112" s="1">
        <f>B111</f>
        <v/>
      </c>
      <c r="C112" t="n">
        <v>344.3</v>
      </c>
    </row>
    <row r="113">
      <c r="A113" s="9" t="n">
        <v>46090</v>
      </c>
      <c r="B113" s="1">
        <f>B112</f>
        <v/>
      </c>
      <c r="C113" t="n">
        <v>348.2</v>
      </c>
    </row>
    <row r="114">
      <c r="A114" s="9" t="n">
        <v>46091</v>
      </c>
      <c r="B114" s="1">
        <f>B113</f>
        <v/>
      </c>
      <c r="C114" t="n">
        <v>347.9</v>
      </c>
    </row>
    <row r="115">
      <c r="A115" s="9" t="n">
        <v>46092</v>
      </c>
      <c r="B115" s="1">
        <f>B114</f>
        <v/>
      </c>
      <c r="C115" t="n">
        <v>348.8</v>
      </c>
    </row>
    <row r="116">
      <c r="A116" s="9" t="n">
        <v>46093</v>
      </c>
      <c r="B116" s="1">
        <f>B115</f>
        <v/>
      </c>
      <c r="C116" t="n">
        <v>349.95</v>
      </c>
    </row>
    <row r="117">
      <c r="A117" s="9" t="n">
        <v>46094</v>
      </c>
      <c r="B117" s="1">
        <f>B116</f>
        <v/>
      </c>
      <c r="C117" t="n">
        <v>347.45</v>
      </c>
    </row>
    <row r="118">
      <c r="A118" s="9" t="n">
        <v>46097</v>
      </c>
      <c r="B118" s="1">
        <f>B117</f>
        <v/>
      </c>
      <c r="C118" t="n">
        <v>348.7</v>
      </c>
    </row>
    <row r="119">
      <c r="A119" s="9" t="n">
        <v>46098</v>
      </c>
      <c r="B119" s="1">
        <f>B118</f>
        <v/>
      </c>
      <c r="C119" t="n">
        <v>345.95</v>
      </c>
    </row>
    <row r="120">
      <c r="A120" s="9" t="n">
        <v>46099</v>
      </c>
      <c r="B120" s="1">
        <f>B119</f>
        <v/>
      </c>
      <c r="C120" t="n">
        <v>347.15</v>
      </c>
    </row>
    <row r="121">
      <c r="A121" s="9" t="n">
        <v>46100</v>
      </c>
      <c r="B121" s="1">
        <f>B120</f>
        <v/>
      </c>
      <c r="C121" t="n">
        <v>350.35</v>
      </c>
    </row>
    <row r="122">
      <c r="A122" s="9" t="n">
        <v>46101</v>
      </c>
      <c r="B122" s="1">
        <f>B121</f>
        <v/>
      </c>
      <c r="C122" t="n">
        <v>353.45</v>
      </c>
    </row>
    <row r="123">
      <c r="A123" s="9" t="n">
        <v>46104</v>
      </c>
      <c r="B123" s="1">
        <f>B122</f>
        <v/>
      </c>
      <c r="C123" t="n">
        <v>354.7</v>
      </c>
    </row>
    <row r="124">
      <c r="A124" s="9" t="n">
        <v>46105</v>
      </c>
      <c r="B124" s="1">
        <f>B123</f>
        <v/>
      </c>
      <c r="C124" t="n">
        <v>354.35</v>
      </c>
    </row>
    <row r="125">
      <c r="A125" s="9" t="n">
        <v>46106</v>
      </c>
      <c r="B125" s="1">
        <f>B124</f>
        <v/>
      </c>
      <c r="C125" t="n">
        <v>354.65</v>
      </c>
    </row>
    <row r="126">
      <c r="A126" s="9" t="n">
        <v>46107</v>
      </c>
      <c r="B126" s="1">
        <f>B125</f>
        <v/>
      </c>
      <c r="C126" t="n">
        <v>355</v>
      </c>
    </row>
    <row r="127">
      <c r="A127" s="9" t="n">
        <v>46108</v>
      </c>
      <c r="B127" s="1">
        <f>B126</f>
        <v/>
      </c>
      <c r="C127" t="n">
        <v>355.4</v>
      </c>
    </row>
    <row r="128">
      <c r="A128" s="9" t="n">
        <v>46111</v>
      </c>
      <c r="B128" s="1">
        <f>B127</f>
        <v/>
      </c>
      <c r="C128" t="n">
        <v>355.1</v>
      </c>
    </row>
    <row r="129">
      <c r="A129" s="9" t="n">
        <v>46112</v>
      </c>
      <c r="B129" s="1">
        <f>B128</f>
        <v/>
      </c>
      <c r="C129" t="n">
        <v>355.01</v>
      </c>
    </row>
    <row r="130">
      <c r="A130" s="9">
        <f>IF('S.H BOI GORDO'!A7149=""," ",'S.H BOI GORDO'!A7149)</f>
        <v/>
      </c>
      <c r="B130" s="1">
        <f>B129</f>
        <v/>
      </c>
    </row>
    <row r="131">
      <c r="A131" s="9">
        <f>IF('S.H BOI GORDO'!A7150=""," ",'S.H BOI GORDO'!A7150)</f>
        <v/>
      </c>
      <c r="B131" s="1">
        <f>B130</f>
        <v/>
      </c>
    </row>
    <row r="132">
      <c r="A132" s="9">
        <f>IF('S.H BOI GORDO'!A7151=""," ",'S.H BOI GORDO'!A7151)</f>
        <v/>
      </c>
      <c r="B132" s="1">
        <f>B131</f>
        <v/>
      </c>
    </row>
    <row r="133">
      <c r="A133" s="9">
        <f>IF('S.H BOI GORDO'!A7152=""," ",'S.H BOI GORDO'!A7152)</f>
        <v/>
      </c>
      <c r="B133" s="1">
        <f>B132</f>
        <v/>
      </c>
    </row>
    <row r="134">
      <c r="A134" s="9">
        <f>IF('S.H BOI GORDO'!A7153=""," ",'S.H BOI GORDO'!A7153)</f>
        <v/>
      </c>
      <c r="B134" s="1">
        <f>B133</f>
        <v/>
      </c>
    </row>
    <row r="135">
      <c r="A135" s="9">
        <f>IF('S.H BOI GORDO'!A7154=""," ",'S.H BOI GORDO'!A7154)</f>
        <v/>
      </c>
      <c r="B135" s="1">
        <f>B134</f>
        <v/>
      </c>
    </row>
    <row r="136">
      <c r="A136" s="9">
        <f>IF('S.H BOI GORDO'!A7155=""," ",'S.H BOI GORDO'!A7155)</f>
        <v/>
      </c>
      <c r="B136" s="1">
        <f>B135</f>
        <v/>
      </c>
    </row>
    <row r="137">
      <c r="A137" s="9">
        <f>IF('S.H BOI GORDO'!A7156=""," ",'S.H BOI GORDO'!A7156)</f>
        <v/>
      </c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3.xml><?xml version="1.0" encoding="utf-8"?>
<worksheet xmlns="http://schemas.openxmlformats.org/spreadsheetml/2006/main">
  <sheetPr codeName="Planilha13">
    <outlinePr summaryBelow="1" summaryRight="1"/>
    <pageSetUpPr/>
  </sheetPr>
  <dimension ref="A1:C190"/>
  <sheetViews>
    <sheetView topLeftCell="A132" zoomScale="90" zoomScaleNormal="90" workbookViewId="0">
      <selection activeCell="M108" sqref="M108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45931</v>
      </c>
      <c r="B2" s="1" t="inlineStr">
        <is>
          <t>BGIJ26</t>
        </is>
      </c>
      <c r="C2" s="1" t="n">
        <v>327.3</v>
      </c>
    </row>
    <row r="3">
      <c r="A3" s="4" t="n">
        <v>45932</v>
      </c>
      <c r="B3" s="1">
        <f>B2</f>
        <v/>
      </c>
      <c r="C3" s="1" t="n">
        <v>329.3</v>
      </c>
    </row>
    <row r="4">
      <c r="A4" s="4" t="n">
        <v>45933</v>
      </c>
      <c r="B4" s="1">
        <f>B3</f>
        <v/>
      </c>
      <c r="C4" s="1" t="n">
        <v>332.25</v>
      </c>
    </row>
    <row r="5">
      <c r="A5" s="4" t="n">
        <v>45936</v>
      </c>
      <c r="B5" s="1">
        <f>B4</f>
        <v/>
      </c>
      <c r="C5" s="1" t="n">
        <v>331.25</v>
      </c>
    </row>
    <row r="6">
      <c r="A6" s="4" t="n">
        <v>45937</v>
      </c>
      <c r="B6" s="1">
        <f>B5</f>
        <v/>
      </c>
      <c r="C6" s="1" t="n">
        <v>330.95</v>
      </c>
    </row>
    <row r="7">
      <c r="A7" s="4" t="n">
        <v>45938</v>
      </c>
      <c r="B7" s="1">
        <f>B6</f>
        <v/>
      </c>
      <c r="C7" s="1" t="n">
        <v>330.95</v>
      </c>
    </row>
    <row r="8">
      <c r="A8" s="4" t="n">
        <v>45939</v>
      </c>
      <c r="B8" s="1">
        <f>B7</f>
        <v/>
      </c>
      <c r="C8" s="1" t="n">
        <v>331.9</v>
      </c>
    </row>
    <row r="9">
      <c r="A9" s="4" t="n">
        <v>45940</v>
      </c>
      <c r="B9" s="1">
        <f>B8</f>
        <v/>
      </c>
      <c r="C9" s="1" t="n">
        <v>331.25</v>
      </c>
    </row>
    <row r="10">
      <c r="A10" s="4" t="n">
        <v>45943</v>
      </c>
      <c r="B10" s="1">
        <f>B9</f>
        <v/>
      </c>
      <c r="C10" s="1" t="n">
        <v>331.2</v>
      </c>
    </row>
    <row r="11">
      <c r="A11" s="4" t="n">
        <v>45944</v>
      </c>
      <c r="B11" s="1">
        <f>B10</f>
        <v/>
      </c>
      <c r="C11" s="1" t="n">
        <v>332.15</v>
      </c>
    </row>
    <row r="12">
      <c r="A12" s="4" t="n">
        <v>45945</v>
      </c>
      <c r="B12" s="1">
        <f>B11</f>
        <v/>
      </c>
      <c r="C12" s="1" t="n">
        <v>331.95</v>
      </c>
    </row>
    <row r="13">
      <c r="A13" s="4" t="n">
        <v>45946</v>
      </c>
      <c r="B13" s="1">
        <f>B12</f>
        <v/>
      </c>
      <c r="C13" s="1" t="n">
        <v>333.7</v>
      </c>
    </row>
    <row r="14">
      <c r="A14" s="4" t="n">
        <v>45947</v>
      </c>
      <c r="B14" s="1">
        <f>B13</f>
        <v/>
      </c>
      <c r="C14" s="1" t="n">
        <v>332.95</v>
      </c>
    </row>
    <row r="15">
      <c r="A15" s="4" t="n">
        <v>45950</v>
      </c>
      <c r="B15" s="1">
        <f>B14</f>
        <v/>
      </c>
      <c r="C15" s="1" t="n">
        <v>332.95</v>
      </c>
    </row>
    <row r="16">
      <c r="A16" s="4" t="n">
        <v>45951</v>
      </c>
      <c r="B16" s="1">
        <f>B15</f>
        <v/>
      </c>
      <c r="C16" s="1" t="n">
        <v>331.4</v>
      </c>
    </row>
    <row r="17">
      <c r="A17" s="4" t="n">
        <v>45952</v>
      </c>
      <c r="B17" s="1">
        <f>B16</f>
        <v/>
      </c>
      <c r="C17" s="1" t="n">
        <v>331.75</v>
      </c>
    </row>
    <row r="18">
      <c r="A18" s="4" t="n">
        <v>45953</v>
      </c>
      <c r="B18" s="1">
        <f>B17</f>
        <v/>
      </c>
      <c r="C18" s="1" t="n">
        <v>331.4</v>
      </c>
    </row>
    <row r="19">
      <c r="A19" s="4" t="n">
        <v>45954</v>
      </c>
      <c r="B19" s="1">
        <f>B18</f>
        <v/>
      </c>
      <c r="C19" s="1" t="n">
        <v>333.25</v>
      </c>
    </row>
    <row r="20">
      <c r="A20" s="4" t="n">
        <v>45957</v>
      </c>
      <c r="B20" s="1">
        <f>B19</f>
        <v/>
      </c>
      <c r="C20" s="1" t="n">
        <v>334.25</v>
      </c>
    </row>
    <row r="21">
      <c r="A21" s="4" t="n">
        <v>45958</v>
      </c>
      <c r="B21" s="1">
        <f>B20</f>
        <v/>
      </c>
      <c r="C21" s="1" t="n">
        <v>335.1</v>
      </c>
    </row>
    <row r="22">
      <c r="A22" s="4" t="n">
        <v>45959</v>
      </c>
      <c r="B22" s="1">
        <f>B21</f>
        <v/>
      </c>
      <c r="C22" s="1" t="n">
        <v>337.6</v>
      </c>
    </row>
    <row r="23">
      <c r="A23" s="4" t="n">
        <v>45960</v>
      </c>
      <c r="B23" s="1">
        <f>B22</f>
        <v/>
      </c>
      <c r="C23" s="1" t="n">
        <v>337.35</v>
      </c>
    </row>
    <row r="24">
      <c r="A24" s="4" t="n">
        <v>45961</v>
      </c>
      <c r="B24" s="1">
        <f>B23</f>
        <v/>
      </c>
      <c r="C24" s="1" t="n">
        <v>337.95</v>
      </c>
    </row>
    <row r="25">
      <c r="A25" s="4" t="n">
        <v>45964</v>
      </c>
      <c r="B25" s="1">
        <f>B24</f>
        <v/>
      </c>
      <c r="C25" s="1" t="n">
        <v>340.75</v>
      </c>
    </row>
    <row r="26">
      <c r="A26" s="4" t="n">
        <v>45965</v>
      </c>
      <c r="B26" s="1">
        <f>B25</f>
        <v/>
      </c>
      <c r="C26" s="1" t="n">
        <v>340.95</v>
      </c>
    </row>
    <row r="27">
      <c r="A27" s="4" t="n">
        <v>45966</v>
      </c>
      <c r="B27" s="1">
        <f>B26</f>
        <v/>
      </c>
      <c r="C27" s="1" t="n">
        <v>339.5</v>
      </c>
    </row>
    <row r="28">
      <c r="A28" s="4" t="n">
        <v>45967</v>
      </c>
      <c r="B28" s="1">
        <f>B27</f>
        <v/>
      </c>
      <c r="C28" s="1" t="n">
        <v>329.05</v>
      </c>
    </row>
    <row r="29">
      <c r="A29" s="4" t="n">
        <v>45968</v>
      </c>
      <c r="B29" s="1">
        <f>B28</f>
        <v/>
      </c>
      <c r="C29" s="1" t="n">
        <v>331.8</v>
      </c>
    </row>
    <row r="30">
      <c r="A30" s="4" t="n">
        <v>45971</v>
      </c>
      <c r="B30" s="1">
        <f>B29</f>
        <v/>
      </c>
      <c r="C30" s="1" t="n">
        <v>330.75</v>
      </c>
    </row>
    <row r="31">
      <c r="A31" s="4" t="n">
        <v>45972</v>
      </c>
      <c r="B31" s="1">
        <f>B30</f>
        <v/>
      </c>
      <c r="C31" s="1" t="n">
        <v>330.85</v>
      </c>
    </row>
    <row r="32">
      <c r="A32" s="4" t="n">
        <v>45973</v>
      </c>
      <c r="B32" s="1">
        <f>B31</f>
        <v/>
      </c>
      <c r="C32" s="1" t="n">
        <v>329.8</v>
      </c>
    </row>
    <row r="33">
      <c r="A33" s="4" t="n">
        <v>45974</v>
      </c>
      <c r="B33" s="1">
        <f>B32</f>
        <v/>
      </c>
      <c r="C33" s="1" t="n">
        <v>329.45</v>
      </c>
    </row>
    <row r="34">
      <c r="A34" s="4" t="n">
        <v>45975</v>
      </c>
      <c r="B34" s="1">
        <f>B33</f>
        <v/>
      </c>
      <c r="C34" s="1" t="n">
        <v>327.7</v>
      </c>
    </row>
    <row r="35">
      <c r="A35" s="4" t="n">
        <v>45978</v>
      </c>
      <c r="B35" s="1">
        <f>B34</f>
        <v/>
      </c>
      <c r="C35" s="1" t="n">
        <v>326</v>
      </c>
    </row>
    <row r="36">
      <c r="A36" s="4" t="n">
        <v>45979</v>
      </c>
      <c r="B36" s="1">
        <f>B35</f>
        <v/>
      </c>
      <c r="C36" s="1" t="n">
        <v>326.45</v>
      </c>
    </row>
    <row r="37">
      <c r="A37" s="4" t="n">
        <v>45980</v>
      </c>
      <c r="B37" s="1">
        <f>B36</f>
        <v/>
      </c>
      <c r="C37" s="1" t="n">
        <v>325.05</v>
      </c>
    </row>
    <row r="38">
      <c r="A38" s="4" t="n">
        <v>45982</v>
      </c>
      <c r="B38" s="1">
        <f>B37</f>
        <v/>
      </c>
      <c r="C38" s="1" t="n">
        <v>335.65</v>
      </c>
    </row>
    <row r="39">
      <c r="A39" s="4" t="n">
        <v>45985</v>
      </c>
      <c r="B39" s="1">
        <f>B38</f>
        <v/>
      </c>
      <c r="C39" s="1" t="n">
        <v>328.85</v>
      </c>
    </row>
    <row r="40">
      <c r="A40" s="4" t="n">
        <v>45986</v>
      </c>
      <c r="B40" s="1">
        <f>B39</f>
        <v/>
      </c>
      <c r="C40" s="1" t="n">
        <v>329.2</v>
      </c>
    </row>
    <row r="41">
      <c r="A41" s="4" t="n">
        <v>45987</v>
      </c>
      <c r="B41" s="1">
        <f>B40</f>
        <v/>
      </c>
      <c r="C41" s="1" t="n">
        <v>328.3</v>
      </c>
    </row>
    <row r="42">
      <c r="A42" s="4" t="n">
        <v>45988</v>
      </c>
      <c r="B42" s="1">
        <f>B41</f>
        <v/>
      </c>
      <c r="C42" s="1" t="n">
        <v>327.5</v>
      </c>
    </row>
    <row r="43">
      <c r="A43" s="4" t="n">
        <v>45989</v>
      </c>
      <c r="B43" s="1">
        <f>B42</f>
        <v/>
      </c>
      <c r="C43" s="1" t="n">
        <v>329.8</v>
      </c>
    </row>
    <row r="44">
      <c r="A44" s="4" t="n">
        <v>45992</v>
      </c>
      <c r="B44" s="1">
        <f>B43</f>
        <v/>
      </c>
      <c r="C44" s="1" t="n">
        <v>329.45</v>
      </c>
    </row>
    <row r="45">
      <c r="A45" s="4" t="n">
        <v>45993</v>
      </c>
      <c r="B45" s="1">
        <f>B44</f>
        <v/>
      </c>
      <c r="C45" s="1" t="n">
        <v>330.95</v>
      </c>
    </row>
    <row r="46">
      <c r="A46" s="4" t="n">
        <v>45994</v>
      </c>
      <c r="B46" s="1">
        <f>B45</f>
        <v/>
      </c>
      <c r="C46" s="1" t="n">
        <v>331.665</v>
      </c>
    </row>
    <row r="47">
      <c r="A47" s="4" t="n">
        <v>45995</v>
      </c>
      <c r="B47" s="1">
        <f>B46</f>
        <v/>
      </c>
      <c r="C47" s="1" t="n">
        <v>328.8</v>
      </c>
    </row>
    <row r="48">
      <c r="A48" s="4" t="n">
        <v>45996</v>
      </c>
      <c r="B48" s="1">
        <f>B47</f>
        <v/>
      </c>
      <c r="C48" s="1" t="n">
        <v>328.8</v>
      </c>
    </row>
    <row r="49">
      <c r="A49" s="4" t="n">
        <v>45999</v>
      </c>
      <c r="B49" s="1">
        <f>B48</f>
        <v/>
      </c>
      <c r="C49" s="1" t="n">
        <v>328.95</v>
      </c>
    </row>
    <row r="50">
      <c r="A50" s="4" t="n">
        <v>46000</v>
      </c>
      <c r="B50" s="1">
        <f>B49</f>
        <v/>
      </c>
      <c r="C50" s="1" t="n">
        <v>329.45</v>
      </c>
    </row>
    <row r="51">
      <c r="A51" s="4" t="n">
        <v>46001</v>
      </c>
      <c r="B51" s="1">
        <f>B50</f>
        <v/>
      </c>
      <c r="C51" s="1" t="n">
        <v>327.8</v>
      </c>
    </row>
    <row r="52">
      <c r="A52" s="4" t="n">
        <v>46002</v>
      </c>
      <c r="B52" s="1">
        <f>B51</f>
        <v/>
      </c>
      <c r="C52" s="1" t="n">
        <v>327.95</v>
      </c>
    </row>
    <row r="53">
      <c r="A53" s="4" t="n">
        <v>46003</v>
      </c>
      <c r="B53" s="1">
        <f>B52</f>
        <v/>
      </c>
      <c r="C53" s="1" t="n">
        <v>327.95</v>
      </c>
    </row>
    <row r="54">
      <c r="A54" s="4" t="n">
        <v>46006</v>
      </c>
      <c r="B54" s="1">
        <f>B53</f>
        <v/>
      </c>
      <c r="C54" t="n">
        <v>326.55</v>
      </c>
    </row>
    <row r="55">
      <c r="A55" s="4" t="n">
        <v>46007</v>
      </c>
      <c r="B55" s="1">
        <f>B54</f>
        <v/>
      </c>
      <c r="C55" t="n">
        <v>327.9</v>
      </c>
    </row>
    <row r="56">
      <c r="A56" s="4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327.65</v>
      </c>
    </row>
    <row r="58">
      <c r="A58" s="4" t="n">
        <v>46010</v>
      </c>
      <c r="B58" s="1">
        <f>B57</f>
        <v/>
      </c>
      <c r="C58" t="n">
        <v>324.8</v>
      </c>
    </row>
    <row r="59">
      <c r="A59" s="4" t="n">
        <v>46013</v>
      </c>
      <c r="B59" s="1">
        <f>B58</f>
        <v/>
      </c>
      <c r="C59" t="n">
        <v>325.4</v>
      </c>
    </row>
    <row r="60">
      <c r="A60" s="4" t="n">
        <v>46014</v>
      </c>
      <c r="B60" s="1">
        <f>B59</f>
        <v/>
      </c>
      <c r="C60" t="n">
        <v>324.8</v>
      </c>
    </row>
    <row r="61">
      <c r="A61" s="4" t="n">
        <v>46017</v>
      </c>
      <c r="B61" s="1">
        <f>B60</f>
        <v/>
      </c>
      <c r="C61" t="n">
        <v>325.35</v>
      </c>
    </row>
    <row r="62">
      <c r="A62" s="4" t="n">
        <v>46020</v>
      </c>
      <c r="B62" s="1">
        <f>B61</f>
        <v/>
      </c>
      <c r="C62" t="n">
        <v>324.3</v>
      </c>
    </row>
    <row r="63">
      <c r="A63" s="4" t="n">
        <v>46021</v>
      </c>
      <c r="B63" s="1">
        <f>B62</f>
        <v/>
      </c>
      <c r="C63" t="n">
        <v>322.65</v>
      </c>
    </row>
    <row r="64">
      <c r="A64" s="4" t="n">
        <v>46024</v>
      </c>
      <c r="B64" s="1">
        <f>B63</f>
        <v/>
      </c>
      <c r="C64" t="n">
        <v>322.4</v>
      </c>
    </row>
    <row r="65">
      <c r="A65" s="4" t="n">
        <v>46027</v>
      </c>
      <c r="B65" s="1">
        <f>B64</f>
        <v/>
      </c>
      <c r="C65" t="n">
        <v>324.15</v>
      </c>
    </row>
    <row r="66">
      <c r="A66" s="4" t="n">
        <v>46028</v>
      </c>
      <c r="B66" s="1">
        <f>B65</f>
        <v/>
      </c>
      <c r="C66" t="n">
        <v>323.15</v>
      </c>
    </row>
    <row r="67">
      <c r="A67" s="4" t="n">
        <v>46029</v>
      </c>
      <c r="B67" s="1">
        <f>B66</f>
        <v/>
      </c>
      <c r="C67" t="n">
        <v>322.35</v>
      </c>
    </row>
    <row r="68">
      <c r="A68" s="4" t="n">
        <v>46030</v>
      </c>
      <c r="B68" s="1">
        <f>B67</f>
        <v/>
      </c>
      <c r="C68" t="n">
        <v>321.15</v>
      </c>
    </row>
    <row r="69">
      <c r="A69" s="4" t="n">
        <v>46031</v>
      </c>
      <c r="B69" s="1">
        <f>B68</f>
        <v/>
      </c>
      <c r="C69" t="n">
        <v>318.1</v>
      </c>
    </row>
    <row r="70">
      <c r="A70" s="4" t="n">
        <v>46034</v>
      </c>
      <c r="B70" s="1">
        <f>B69</f>
        <v/>
      </c>
      <c r="C70" t="n">
        <v>317.9</v>
      </c>
    </row>
    <row r="71">
      <c r="A71" s="4" t="n">
        <v>46035</v>
      </c>
      <c r="B71" s="1">
        <f>B70</f>
        <v/>
      </c>
      <c r="C71" t="n">
        <v>319.35</v>
      </c>
    </row>
    <row r="72">
      <c r="A72" s="4" t="n">
        <v>46036</v>
      </c>
      <c r="B72" s="1">
        <f>B71</f>
        <v/>
      </c>
      <c r="C72" t="n">
        <v>319.25</v>
      </c>
    </row>
    <row r="73">
      <c r="A73" s="4" t="n">
        <v>46037</v>
      </c>
      <c r="B73" s="1">
        <f>B72</f>
        <v/>
      </c>
      <c r="C73" t="n">
        <v>318.9</v>
      </c>
    </row>
    <row r="74">
      <c r="A74" s="4" t="n">
        <v>46038</v>
      </c>
      <c r="B74" s="1">
        <f>B73</f>
        <v/>
      </c>
      <c r="C74" t="n">
        <v>319.3</v>
      </c>
    </row>
    <row r="75">
      <c r="A75" s="4" t="n">
        <v>46041</v>
      </c>
      <c r="B75" s="1">
        <f>B74</f>
        <v/>
      </c>
      <c r="C75" t="n">
        <v>324.4</v>
      </c>
    </row>
    <row r="76">
      <c r="A76" s="9" t="n">
        <v>46042</v>
      </c>
      <c r="B76" s="1">
        <f>B75</f>
        <v/>
      </c>
      <c r="C76" t="n">
        <v>326.9</v>
      </c>
    </row>
    <row r="77">
      <c r="A77" s="4" t="n">
        <v>46043</v>
      </c>
      <c r="B77" s="1">
        <f>B76</f>
        <v/>
      </c>
      <c r="C77" t="n">
        <v>328.2</v>
      </c>
    </row>
    <row r="78">
      <c r="A78" s="4" t="n">
        <v>46044</v>
      </c>
      <c r="B78" s="1">
        <f>B77</f>
        <v/>
      </c>
      <c r="C78" t="n">
        <v>326.7</v>
      </c>
    </row>
    <row r="79">
      <c r="A79" s="9" t="n">
        <v>46045</v>
      </c>
      <c r="B79" s="1">
        <f>B78</f>
        <v/>
      </c>
      <c r="C79" t="n">
        <v>327.85</v>
      </c>
    </row>
    <row r="80">
      <c r="A80" s="9" t="n">
        <v>46048</v>
      </c>
      <c r="B80" s="1">
        <f>B79</f>
        <v/>
      </c>
      <c r="C80" t="n">
        <v>329.65</v>
      </c>
    </row>
    <row r="81">
      <c r="A81" s="9" t="n">
        <v>46049</v>
      </c>
      <c r="B81" s="1">
        <f>B80</f>
        <v/>
      </c>
      <c r="C81" t="n">
        <v>331.4</v>
      </c>
    </row>
    <row r="82">
      <c r="A82" s="9" t="n">
        <v>46050</v>
      </c>
      <c r="B82" s="1">
        <f>B81</f>
        <v/>
      </c>
      <c r="C82" t="n">
        <v>331.8</v>
      </c>
    </row>
    <row r="83">
      <c r="A83" s="9" t="n">
        <v>46051</v>
      </c>
      <c r="B83" s="1">
        <f>B82</f>
        <v/>
      </c>
      <c r="C83" t="n">
        <v>334.15</v>
      </c>
    </row>
    <row r="84">
      <c r="A84" s="9" t="n">
        <v>46052</v>
      </c>
      <c r="B84" s="1">
        <f>B83</f>
        <v/>
      </c>
      <c r="C84" t="n">
        <v>338.45</v>
      </c>
    </row>
    <row r="85">
      <c r="A85" s="9" t="n">
        <v>46055</v>
      </c>
      <c r="B85" s="1">
        <f>B84</f>
        <v/>
      </c>
      <c r="C85" t="n">
        <v>338.35</v>
      </c>
    </row>
    <row r="86">
      <c r="A86" s="9" t="n">
        <v>46056</v>
      </c>
      <c r="B86" s="1">
        <f>B85</f>
        <v/>
      </c>
      <c r="C86" t="n">
        <v>338.9</v>
      </c>
    </row>
    <row r="87">
      <c r="A87" s="9" t="n">
        <v>46057</v>
      </c>
      <c r="B87" s="1">
        <f>B86</f>
        <v/>
      </c>
      <c r="C87" t="n">
        <v>341.7</v>
      </c>
    </row>
    <row r="88">
      <c r="A88" s="9" t="n">
        <v>46058</v>
      </c>
      <c r="B88" s="1">
        <f>B87</f>
        <v/>
      </c>
      <c r="C88" t="n">
        <v>342</v>
      </c>
    </row>
    <row r="89">
      <c r="A89" s="9" t="n">
        <v>46059</v>
      </c>
      <c r="B89" s="1">
        <f>B88</f>
        <v/>
      </c>
      <c r="C89" t="n">
        <v>344.25</v>
      </c>
    </row>
    <row r="90">
      <c r="A90" s="9" t="n">
        <v>46062</v>
      </c>
      <c r="B90" s="1">
        <f>B89</f>
        <v/>
      </c>
      <c r="C90" t="n">
        <v>341.95</v>
      </c>
    </row>
    <row r="91">
      <c r="A91" s="9" t="n">
        <v>46063</v>
      </c>
      <c r="B91" s="1">
        <f>B90</f>
        <v/>
      </c>
      <c r="C91" t="n">
        <v>342.95</v>
      </c>
    </row>
    <row r="92">
      <c r="A92" s="9" t="n">
        <v>46064</v>
      </c>
      <c r="B92" s="1">
        <f>B91</f>
        <v/>
      </c>
      <c r="C92" t="n">
        <v>345.75</v>
      </c>
    </row>
    <row r="93">
      <c r="A93" s="9" t="n">
        <v>46065</v>
      </c>
      <c r="B93" s="1">
        <f>B92</f>
        <v/>
      </c>
      <c r="C93" t="n">
        <v>344.6</v>
      </c>
    </row>
    <row r="94">
      <c r="A94" s="9" t="n">
        <v>46066</v>
      </c>
      <c r="B94" s="1">
        <f>B93</f>
        <v/>
      </c>
      <c r="C94" t="n">
        <v>344</v>
      </c>
    </row>
    <row r="95">
      <c r="A95" s="9" t="n">
        <v>46071</v>
      </c>
      <c r="B95" s="1">
        <f>B94</f>
        <v/>
      </c>
      <c r="C95" t="n">
        <v>347.05</v>
      </c>
    </row>
    <row r="96">
      <c r="A96" s="9" t="n">
        <v>46072</v>
      </c>
      <c r="B96" s="1">
        <f>B95</f>
        <v/>
      </c>
      <c r="C96" t="n">
        <v>347</v>
      </c>
    </row>
    <row r="97">
      <c r="A97" s="9" t="n">
        <v>46073</v>
      </c>
      <c r="B97" s="1">
        <f>B96</f>
        <v/>
      </c>
      <c r="C97" t="n">
        <v>350.65</v>
      </c>
    </row>
    <row r="98">
      <c r="A98" s="9" t="n">
        <v>46076</v>
      </c>
      <c r="B98" s="1">
        <f>B97</f>
        <v/>
      </c>
      <c r="C98" t="n">
        <v>350.05</v>
      </c>
    </row>
    <row r="99">
      <c r="A99" s="9" t="n">
        <v>46077</v>
      </c>
      <c r="B99" s="1">
        <f>B98</f>
        <v/>
      </c>
      <c r="C99" t="n">
        <v>352.6</v>
      </c>
    </row>
    <row r="100">
      <c r="A100" s="9" t="n">
        <v>46078</v>
      </c>
      <c r="B100" s="1">
        <f>B99</f>
        <v/>
      </c>
      <c r="C100" t="n">
        <v>352.65</v>
      </c>
    </row>
    <row r="101">
      <c r="A101" s="9" t="n">
        <v>46079</v>
      </c>
      <c r="B101" s="1">
        <f>B100</f>
        <v/>
      </c>
      <c r="C101" t="n">
        <v>350.75</v>
      </c>
    </row>
    <row r="102">
      <c r="A102" s="9" t="n">
        <v>46080</v>
      </c>
      <c r="B102" s="1">
        <f>B101</f>
        <v/>
      </c>
      <c r="C102" t="n">
        <v>348.6</v>
      </c>
    </row>
    <row r="103">
      <c r="A103" s="9" t="n">
        <v>46083</v>
      </c>
      <c r="B103" s="1">
        <f>B102</f>
        <v/>
      </c>
      <c r="C103" t="n">
        <v>342.9</v>
      </c>
    </row>
    <row r="104">
      <c r="A104" s="9" t="n">
        <v>46084</v>
      </c>
      <c r="B104" s="1">
        <f>B103</f>
        <v/>
      </c>
      <c r="C104" t="n">
        <v>337.15</v>
      </c>
    </row>
    <row r="105">
      <c r="A105" s="9" t="n">
        <v>46085</v>
      </c>
      <c r="B105" s="1">
        <f>B104</f>
        <v/>
      </c>
      <c r="C105" t="n">
        <v>339.55</v>
      </c>
    </row>
    <row r="106">
      <c r="A106" s="9" t="n">
        <v>46086</v>
      </c>
      <c r="B106" s="1">
        <f>B105</f>
        <v/>
      </c>
      <c r="C106" t="n">
        <v>337.6</v>
      </c>
    </row>
    <row r="107">
      <c r="A107" s="9" t="n">
        <v>46087</v>
      </c>
      <c r="B107" s="1">
        <f>B106</f>
        <v/>
      </c>
      <c r="C107" t="n">
        <v>338.1</v>
      </c>
    </row>
    <row r="108">
      <c r="A108" s="9" t="n">
        <v>46090</v>
      </c>
      <c r="B108" s="1">
        <f>B107</f>
        <v/>
      </c>
      <c r="C108" t="n">
        <v>344.6</v>
      </c>
    </row>
    <row r="109">
      <c r="A109" s="9" t="n">
        <v>46091</v>
      </c>
      <c r="B109" s="1">
        <f>B108</f>
        <v/>
      </c>
      <c r="C109" t="n">
        <v>343.1</v>
      </c>
    </row>
    <row r="110">
      <c r="A110" s="9" t="n">
        <v>46092</v>
      </c>
      <c r="B110" s="1">
        <f>B109</f>
        <v/>
      </c>
      <c r="C110" t="n">
        <v>346.55</v>
      </c>
    </row>
    <row r="111">
      <c r="A111" s="9" t="n">
        <v>46093</v>
      </c>
      <c r="B111" s="1">
        <f>B110</f>
        <v/>
      </c>
      <c r="C111" t="n">
        <v>348.6</v>
      </c>
    </row>
    <row r="112">
      <c r="A112" s="9" t="n">
        <v>46094</v>
      </c>
      <c r="B112" s="1">
        <f>B111</f>
        <v/>
      </c>
      <c r="C112" t="n">
        <v>345.65</v>
      </c>
    </row>
    <row r="113">
      <c r="A113" s="9" t="n">
        <v>46097</v>
      </c>
      <c r="B113" s="1">
        <f>B112</f>
        <v/>
      </c>
      <c r="C113" t="n">
        <v>348.3</v>
      </c>
    </row>
    <row r="114">
      <c r="A114" s="9" t="n">
        <v>46098</v>
      </c>
      <c r="B114" s="1">
        <f>B113</f>
        <v/>
      </c>
      <c r="C114" t="n">
        <v>345.25</v>
      </c>
    </row>
    <row r="115">
      <c r="A115" s="9" t="n">
        <v>46099</v>
      </c>
      <c r="B115" s="1">
        <f>B114</f>
        <v/>
      </c>
      <c r="C115" t="n">
        <v>346.75</v>
      </c>
    </row>
    <row r="116">
      <c r="A116" s="9" t="n">
        <v>46100</v>
      </c>
      <c r="B116" s="1">
        <f>B115</f>
        <v/>
      </c>
      <c r="C116" t="n">
        <v>350.25</v>
      </c>
    </row>
    <row r="117">
      <c r="A117" s="9" t="n">
        <v>46101</v>
      </c>
      <c r="B117" s="1">
        <f>B116</f>
        <v/>
      </c>
      <c r="C117" t="n">
        <v>354.95</v>
      </c>
    </row>
    <row r="118">
      <c r="A118" s="9" t="n">
        <v>46104</v>
      </c>
      <c r="B118" s="1">
        <f>B117</f>
        <v/>
      </c>
      <c r="C118" t="n">
        <v>359.3</v>
      </c>
    </row>
    <row r="119">
      <c r="A119" s="9" t="n">
        <v>46105</v>
      </c>
      <c r="B119" s="1">
        <f>B118</f>
        <v/>
      </c>
      <c r="C119" t="n">
        <v>361.9</v>
      </c>
    </row>
    <row r="120">
      <c r="A120" s="9" t="n">
        <v>46106</v>
      </c>
      <c r="B120" s="1">
        <f>B119</f>
        <v/>
      </c>
      <c r="C120" t="n">
        <v>365.9</v>
      </c>
    </row>
    <row r="121">
      <c r="A121" s="9" t="n">
        <v>46107</v>
      </c>
      <c r="B121" s="1">
        <f>B120</f>
        <v/>
      </c>
      <c r="C121" t="n">
        <v>365.15</v>
      </c>
    </row>
    <row r="122">
      <c r="A122" s="9" t="n">
        <v>46108</v>
      </c>
      <c r="B122" s="1">
        <f>B121</f>
        <v/>
      </c>
      <c r="C122" t="n">
        <v>367.65</v>
      </c>
    </row>
    <row r="123">
      <c r="A123" s="9" t="n">
        <v>46111</v>
      </c>
      <c r="B123" s="1">
        <f>B122</f>
        <v/>
      </c>
      <c r="C123" t="n">
        <v>365.85</v>
      </c>
    </row>
    <row r="124">
      <c r="A124" s="9" t="n">
        <v>46112</v>
      </c>
      <c r="B124" s="1">
        <f>B123</f>
        <v/>
      </c>
      <c r="C124" t="n">
        <v>364.95</v>
      </c>
    </row>
    <row r="125">
      <c r="A125" s="9" t="n">
        <v>46113</v>
      </c>
      <c r="B125" s="1">
        <f>B134</f>
        <v/>
      </c>
      <c r="C125" t="n">
        <v>367.2</v>
      </c>
    </row>
    <row r="126">
      <c r="A126" s="9" t="n">
        <v>46114</v>
      </c>
      <c r="B126" s="1">
        <f>B135</f>
        <v/>
      </c>
      <c r="C126" t="n">
        <v>367.15</v>
      </c>
    </row>
    <row r="127">
      <c r="A127" s="9" t="n">
        <v>46118</v>
      </c>
      <c r="B127" s="1">
        <f>B136</f>
        <v/>
      </c>
      <c r="C127" t="n">
        <v>371.75</v>
      </c>
    </row>
    <row r="128">
      <c r="A128" s="9" t="n">
        <v>46119</v>
      </c>
      <c r="B128" s="1">
        <f>B137</f>
        <v/>
      </c>
      <c r="C128" t="n">
        <v>368.95</v>
      </c>
    </row>
    <row r="129">
      <c r="A129" s="9" t="n">
        <v>46120</v>
      </c>
      <c r="B129" s="1">
        <f>B138</f>
        <v/>
      </c>
      <c r="C129" t="n">
        <v>362.45</v>
      </c>
    </row>
    <row r="130">
      <c r="A130" s="9" t="n">
        <v>46121</v>
      </c>
      <c r="B130" s="1">
        <f>B139</f>
        <v/>
      </c>
      <c r="C130" t="n">
        <v>365.05</v>
      </c>
    </row>
    <row r="131">
      <c r="A131" s="9" t="n">
        <v>46122</v>
      </c>
      <c r="B131" s="1">
        <f>B140</f>
        <v/>
      </c>
      <c r="C131" t="n">
        <v>364.45</v>
      </c>
    </row>
    <row r="132">
      <c r="A132" s="9" t="n">
        <v>46125</v>
      </c>
      <c r="B132" s="1">
        <f>B141</f>
        <v/>
      </c>
      <c r="C132" t="n">
        <v>362.65</v>
      </c>
    </row>
    <row r="133">
      <c r="A133" s="9" t="n">
        <v>46126</v>
      </c>
      <c r="B133" s="1">
        <f>B142</f>
        <v/>
      </c>
      <c r="C133" t="n">
        <v>362.85</v>
      </c>
    </row>
    <row r="134">
      <c r="A134" s="9" t="n">
        <v>46127</v>
      </c>
      <c r="B134" s="1">
        <f>B143</f>
        <v/>
      </c>
      <c r="C134" t="n">
        <v>362.7</v>
      </c>
    </row>
    <row r="135">
      <c r="A135" s="9" t="n">
        <v>46128</v>
      </c>
      <c r="B135" s="1">
        <f>B144</f>
        <v/>
      </c>
      <c r="C135" t="n">
        <v>362.35</v>
      </c>
    </row>
    <row r="136">
      <c r="A136" s="9" t="n">
        <v>46129</v>
      </c>
      <c r="B136" s="1">
        <f>B135</f>
        <v/>
      </c>
      <c r="C136" t="n">
        <v>360</v>
      </c>
    </row>
    <row r="137">
      <c r="A137" s="9" t="n">
        <v>46132</v>
      </c>
      <c r="B137" s="1">
        <f>B136</f>
        <v/>
      </c>
      <c r="C137" t="n">
        <v>359.4</v>
      </c>
    </row>
    <row r="138">
      <c r="A138" s="9" t="n">
        <v>46134</v>
      </c>
      <c r="B138" s="1">
        <f>B137</f>
        <v/>
      </c>
      <c r="C138" t="n">
        <v>361.15</v>
      </c>
    </row>
    <row r="139">
      <c r="A139" s="9" t="n">
        <v>46135</v>
      </c>
      <c r="B139" s="1">
        <f>B138</f>
        <v/>
      </c>
      <c r="C139" t="n">
        <v>357.35</v>
      </c>
    </row>
    <row r="140">
      <c r="A140" s="9" t="n">
        <v>46136</v>
      </c>
      <c r="B140" s="1">
        <f>B139</f>
        <v/>
      </c>
      <c r="C140" t="n">
        <v>358.75</v>
      </c>
    </row>
    <row r="141">
      <c r="A141" s="9" t="n">
        <v>46139</v>
      </c>
      <c r="B141" s="1">
        <f>B140</f>
        <v/>
      </c>
      <c r="C141" t="n">
        <v>358.5</v>
      </c>
    </row>
    <row r="142">
      <c r="A142" s="9" t="n">
        <v>46140</v>
      </c>
      <c r="B142" s="1">
        <f>B141</f>
        <v/>
      </c>
      <c r="C142" t="n">
        <v>357.25</v>
      </c>
    </row>
    <row r="143">
      <c r="A143" s="9" t="n">
        <v>46141</v>
      </c>
      <c r="B143" s="1">
        <f>B142</f>
        <v/>
      </c>
      <c r="C143" t="n">
        <v>355.95</v>
      </c>
    </row>
    <row r="144">
      <c r="A144" s="9" t="n">
        <v>46142</v>
      </c>
      <c r="B144" s="1">
        <f>B143</f>
        <v/>
      </c>
      <c r="C144" t="n">
        <v>356.15</v>
      </c>
    </row>
    <row r="145">
      <c r="A145" s="9">
        <f>IF('S.H BOI GORDO'!A7195=""," ",'S.H BOI GORDO'!A7195)</f>
        <v/>
      </c>
      <c r="B145" s="1">
        <f>B154</f>
        <v/>
      </c>
    </row>
    <row r="146">
      <c r="A146" s="9">
        <f>IF('S.H BOI GORDO'!A7196=""," ",'S.H BOI GORDO'!A7196)</f>
        <v/>
      </c>
      <c r="B146" s="1">
        <f>B155</f>
        <v/>
      </c>
    </row>
    <row r="147">
      <c r="A147" s="9">
        <f>IF('S.H BOI GORDO'!A7197=""," ",'S.H BOI GORDO'!A7197)</f>
        <v/>
      </c>
      <c r="B147" s="1">
        <f>B156</f>
        <v/>
      </c>
    </row>
    <row r="148">
      <c r="A148" s="9">
        <f>IF('S.H BOI GORDO'!A7198=""," ",'S.H BOI GORDO'!A7198)</f>
        <v/>
      </c>
      <c r="B148" s="1">
        <f>B157</f>
        <v/>
      </c>
    </row>
    <row r="149">
      <c r="A149" s="9">
        <f>IF('S.H BOI GORDO'!A7199=""," ",'S.H BOI GORDO'!A7199)</f>
        <v/>
      </c>
      <c r="B149" s="1">
        <f>B158</f>
        <v/>
      </c>
    </row>
    <row r="150">
      <c r="A150" s="9">
        <f>IF('S.H BOI GORDO'!A7200=""," ",'S.H BOI GORDO'!A7200)</f>
        <v/>
      </c>
      <c r="B150" s="1">
        <f>B159</f>
        <v/>
      </c>
    </row>
    <row r="151">
      <c r="A151" s="9">
        <f>IF('S.H BOI GORDO'!A7201=""," ",'S.H BOI GORDO'!A7201)</f>
        <v/>
      </c>
      <c r="B151" s="1">
        <f>B160</f>
        <v/>
      </c>
    </row>
    <row r="152">
      <c r="A152" s="9">
        <f>IF('S.H BOI GORDO'!A7202=""," ",'S.H BOI GORDO'!A7202)</f>
        <v/>
      </c>
      <c r="B152" s="1">
        <f>B161</f>
        <v/>
      </c>
    </row>
    <row r="153">
      <c r="A153" s="9">
        <f>IF('S.H BOI GORDO'!A7203=""," ",'S.H BOI GORDO'!A7203)</f>
        <v/>
      </c>
      <c r="B153" s="1">
        <f>B162</f>
        <v/>
      </c>
    </row>
    <row r="154">
      <c r="A154" s="9">
        <f>IF('S.H BOI GORDO'!A7204=""," ",'S.H BOI GORDO'!A7204)</f>
        <v/>
      </c>
      <c r="B154" s="1">
        <f>B163</f>
        <v/>
      </c>
    </row>
    <row r="155">
      <c r="A155" s="9">
        <f>IF('S.H BOI GORDO'!A7205=""," ",'S.H BOI GORDO'!A7205)</f>
        <v/>
      </c>
      <c r="B155" s="1">
        <f>B164</f>
        <v/>
      </c>
    </row>
    <row r="156">
      <c r="A156" s="9">
        <f>IF('S.H BOI GORDO'!A7206=""," ",'S.H BOI GORDO'!A7206)</f>
        <v/>
      </c>
      <c r="B156" s="1">
        <f>B165</f>
        <v/>
      </c>
    </row>
    <row r="157">
      <c r="A157" s="9">
        <f>IF('S.H BOI GORDO'!A7207=""," ",'S.H BOI GORDO'!A7207)</f>
        <v/>
      </c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4.xml><?xml version="1.0" encoding="utf-8"?>
<worksheet xmlns="http://schemas.openxmlformats.org/spreadsheetml/2006/main">
  <sheetPr codeName="Planilha14">
    <outlinePr summaryBelow="1" summaryRight="1"/>
    <pageSetUpPr/>
  </sheetPr>
  <dimension ref="A1:C190"/>
  <sheetViews>
    <sheetView topLeftCell="A153" zoomScale="90" zoomScaleNormal="90" workbookViewId="0">
      <selection activeCell="A112" sqref="A112:XFD112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45931</v>
      </c>
      <c r="B2" s="1" t="inlineStr">
        <is>
          <t>BGIK26</t>
        </is>
      </c>
      <c r="C2" s="1" t="n">
        <v>326.55</v>
      </c>
    </row>
    <row r="3">
      <c r="A3" s="9" t="n">
        <v>45932</v>
      </c>
      <c r="B3" s="1">
        <f>B2</f>
        <v/>
      </c>
      <c r="C3" s="1" t="n">
        <v>328</v>
      </c>
    </row>
    <row r="4">
      <c r="A4" s="9" t="n">
        <v>45933</v>
      </c>
      <c r="B4" s="1">
        <f>B3</f>
        <v/>
      </c>
      <c r="C4" s="1" t="n">
        <v>331.2</v>
      </c>
    </row>
    <row r="5">
      <c r="A5" s="9" t="n">
        <v>45936</v>
      </c>
      <c r="B5" s="1">
        <f>B4</f>
        <v/>
      </c>
      <c r="C5" s="1" t="n">
        <v>330.2</v>
      </c>
    </row>
    <row r="6">
      <c r="A6" s="9" t="n">
        <v>45937</v>
      </c>
      <c r="B6" s="1">
        <f>B5</f>
        <v/>
      </c>
      <c r="C6" s="1" t="n">
        <v>331.45</v>
      </c>
    </row>
    <row r="7">
      <c r="A7" s="9" t="n">
        <v>45938</v>
      </c>
      <c r="B7" s="1">
        <f>B6</f>
        <v/>
      </c>
      <c r="C7" s="1" t="n">
        <v>330.8</v>
      </c>
    </row>
    <row r="8">
      <c r="A8" s="9" t="n">
        <v>45939</v>
      </c>
      <c r="B8" s="1">
        <f>B7</f>
        <v/>
      </c>
      <c r="C8" s="1" t="n">
        <v>331.95</v>
      </c>
    </row>
    <row r="9">
      <c r="A9" s="9" t="n">
        <v>45940</v>
      </c>
      <c r="B9" s="1">
        <f>B8</f>
        <v/>
      </c>
      <c r="C9" s="1" t="n">
        <v>331.65</v>
      </c>
    </row>
    <row r="10">
      <c r="A10" s="9" t="n">
        <v>45943</v>
      </c>
      <c r="B10" s="1">
        <f>B9</f>
        <v/>
      </c>
      <c r="C10" s="1" t="n">
        <v>331.1</v>
      </c>
    </row>
    <row r="11">
      <c r="A11" s="9" t="n">
        <v>45944</v>
      </c>
      <c r="B11" s="1">
        <f>B10</f>
        <v/>
      </c>
      <c r="C11" s="1" t="n">
        <v>332.95</v>
      </c>
    </row>
    <row r="12">
      <c r="A12" s="9" t="n">
        <v>45945</v>
      </c>
      <c r="B12" s="1">
        <f>B11</f>
        <v/>
      </c>
      <c r="C12" s="1" t="n">
        <v>332.1</v>
      </c>
    </row>
    <row r="13">
      <c r="A13" s="9" t="n">
        <v>45946</v>
      </c>
      <c r="B13" s="1">
        <f>B12</f>
        <v/>
      </c>
      <c r="C13" s="1" t="n">
        <v>333.3</v>
      </c>
    </row>
    <row r="14">
      <c r="A14" s="9" t="n">
        <v>45947</v>
      </c>
      <c r="B14" s="1">
        <f>B13</f>
        <v/>
      </c>
      <c r="C14" s="1" t="n">
        <v>332.25</v>
      </c>
    </row>
    <row r="15">
      <c r="A15" s="9" t="n">
        <v>45950</v>
      </c>
      <c r="B15" s="1">
        <f>B14</f>
        <v/>
      </c>
      <c r="C15" s="1" t="n">
        <v>332.55</v>
      </c>
    </row>
    <row r="16">
      <c r="A16" s="9" t="n">
        <v>45951</v>
      </c>
      <c r="B16" s="1">
        <f>B15</f>
        <v/>
      </c>
      <c r="C16" s="1" t="n">
        <v>331.4</v>
      </c>
    </row>
    <row r="17">
      <c r="A17" s="9" t="n">
        <v>45952</v>
      </c>
      <c r="B17" s="1">
        <f>B16</f>
        <v/>
      </c>
      <c r="C17" s="1" t="n">
        <v>331.2</v>
      </c>
    </row>
    <row r="18">
      <c r="A18" s="9" t="n">
        <v>45953</v>
      </c>
      <c r="B18" s="1">
        <f>B17</f>
        <v/>
      </c>
      <c r="C18" s="1" t="n">
        <v>331.5</v>
      </c>
    </row>
    <row r="19">
      <c r="A19" s="9" t="n">
        <v>45954</v>
      </c>
      <c r="B19" s="1">
        <f>B18</f>
        <v/>
      </c>
      <c r="C19" s="1" t="n">
        <v>332.9</v>
      </c>
    </row>
    <row r="20">
      <c r="A20" s="9" t="n">
        <v>45957</v>
      </c>
      <c r="B20" s="1">
        <f>B19</f>
        <v/>
      </c>
      <c r="C20" s="1" t="n">
        <v>334.25</v>
      </c>
    </row>
    <row r="21">
      <c r="A21" s="9" t="n">
        <v>45958</v>
      </c>
      <c r="B21" s="1">
        <f>B20</f>
        <v/>
      </c>
      <c r="C21" s="1" t="n">
        <v>334.15</v>
      </c>
    </row>
    <row r="22">
      <c r="A22" s="9" t="n">
        <v>45959</v>
      </c>
      <c r="B22" s="1">
        <f>B21</f>
        <v/>
      </c>
      <c r="C22" s="1" t="n">
        <v>336.4</v>
      </c>
    </row>
    <row r="23">
      <c r="A23" s="9" t="n">
        <v>45960</v>
      </c>
      <c r="B23" s="1">
        <f>B22</f>
        <v/>
      </c>
      <c r="C23" s="1" t="n">
        <v>336.15</v>
      </c>
    </row>
    <row r="24">
      <c r="A24" s="9" t="n">
        <v>45961</v>
      </c>
      <c r="B24" s="1">
        <f>B23</f>
        <v/>
      </c>
      <c r="C24" s="1" t="n">
        <v>336.1</v>
      </c>
    </row>
    <row r="25">
      <c r="A25" s="9" t="n">
        <v>45964</v>
      </c>
      <c r="B25" s="1">
        <f>B24</f>
        <v/>
      </c>
      <c r="C25" s="1" t="n">
        <v>338.2</v>
      </c>
    </row>
    <row r="26">
      <c r="A26" s="9" t="n">
        <v>45965</v>
      </c>
      <c r="B26" s="1">
        <f>B25</f>
        <v/>
      </c>
      <c r="C26" s="1" t="n">
        <v>339.5</v>
      </c>
    </row>
    <row r="27">
      <c r="A27" s="9" t="n">
        <v>45966</v>
      </c>
      <c r="B27" s="1">
        <f>B26</f>
        <v/>
      </c>
      <c r="C27" s="1" t="n">
        <v>338.15</v>
      </c>
    </row>
    <row r="28">
      <c r="A28" s="9" t="n">
        <v>45967</v>
      </c>
      <c r="B28" s="1">
        <f>B27</f>
        <v/>
      </c>
      <c r="C28" s="1" t="n">
        <v>330.05</v>
      </c>
    </row>
    <row r="29">
      <c r="A29" s="9" t="n">
        <v>45968</v>
      </c>
      <c r="B29" s="1">
        <f>B28</f>
        <v/>
      </c>
      <c r="C29" s="1" t="n">
        <v>331.9</v>
      </c>
    </row>
    <row r="30">
      <c r="A30" s="9" t="n">
        <v>45971</v>
      </c>
      <c r="B30" s="1">
        <f>B29</f>
        <v/>
      </c>
      <c r="C30" s="1" t="n">
        <v>329</v>
      </c>
    </row>
    <row r="31">
      <c r="A31" s="9" t="n">
        <v>45972</v>
      </c>
      <c r="B31" s="1">
        <f>B30</f>
        <v/>
      </c>
      <c r="C31" s="1" t="n">
        <v>330.35</v>
      </c>
    </row>
    <row r="32">
      <c r="A32" s="9" t="n">
        <v>45973</v>
      </c>
      <c r="B32" s="1">
        <f>B31</f>
        <v/>
      </c>
      <c r="C32" s="1" t="n">
        <v>329.7</v>
      </c>
    </row>
    <row r="33">
      <c r="A33" s="9" t="n">
        <v>45974</v>
      </c>
      <c r="B33" s="1">
        <f>B32</f>
        <v/>
      </c>
      <c r="C33" s="1" t="n">
        <v>329.95</v>
      </c>
    </row>
    <row r="34">
      <c r="A34" s="9" t="n">
        <v>45975</v>
      </c>
      <c r="B34" s="1">
        <f>B33</f>
        <v/>
      </c>
      <c r="C34" s="1" t="n">
        <v>327.55</v>
      </c>
    </row>
    <row r="35">
      <c r="A35" s="9" t="n">
        <v>45978</v>
      </c>
      <c r="B35" s="1">
        <f>B34</f>
        <v/>
      </c>
      <c r="C35" s="1" t="n">
        <v>327.65</v>
      </c>
    </row>
    <row r="36">
      <c r="A36" s="9" t="n">
        <v>45979</v>
      </c>
      <c r="B36" s="1">
        <f>B35</f>
        <v/>
      </c>
      <c r="C36" s="1" t="n">
        <v>328.6</v>
      </c>
    </row>
    <row r="37">
      <c r="A37" s="9" t="n">
        <v>45980</v>
      </c>
      <c r="B37" s="1">
        <f>B36</f>
        <v/>
      </c>
      <c r="C37" s="1" t="n">
        <v>325.75</v>
      </c>
    </row>
    <row r="38">
      <c r="A38" s="9" t="n">
        <v>45982</v>
      </c>
      <c r="B38" s="1">
        <f>B37</f>
        <v/>
      </c>
      <c r="C38" s="1" t="n">
        <v>333.25</v>
      </c>
    </row>
    <row r="39">
      <c r="A39" s="9" t="n">
        <v>45985</v>
      </c>
      <c r="B39" s="1">
        <f>B38</f>
        <v/>
      </c>
      <c r="C39" s="1" t="n">
        <v>327.6</v>
      </c>
    </row>
    <row r="40">
      <c r="A40" s="9" t="n">
        <v>45986</v>
      </c>
      <c r="B40" s="1">
        <f>B39</f>
        <v/>
      </c>
      <c r="C40" s="1" t="n">
        <v>328.75</v>
      </c>
    </row>
    <row r="41">
      <c r="A41" s="9" t="n">
        <v>45987</v>
      </c>
      <c r="B41" s="1">
        <f>B40</f>
        <v/>
      </c>
      <c r="C41" s="1" t="n">
        <v>328.85</v>
      </c>
    </row>
    <row r="42">
      <c r="A42" s="9" t="n">
        <v>45988</v>
      </c>
      <c r="B42" s="1">
        <f>B41</f>
        <v/>
      </c>
      <c r="C42" s="1" t="n">
        <v>329.1</v>
      </c>
    </row>
    <row r="43">
      <c r="A43" s="9" t="n">
        <v>45989</v>
      </c>
      <c r="B43" s="1">
        <f>B42</f>
        <v/>
      </c>
      <c r="C43" s="1" t="n">
        <v>331.4</v>
      </c>
    </row>
    <row r="44">
      <c r="A44" s="9" t="n">
        <v>45992</v>
      </c>
      <c r="B44" s="1">
        <f>B43</f>
        <v/>
      </c>
      <c r="C44" s="1" t="n">
        <v>330.1</v>
      </c>
    </row>
    <row r="45">
      <c r="A45" s="9" t="n">
        <v>45993</v>
      </c>
      <c r="B45" s="1">
        <f>B44</f>
        <v/>
      </c>
      <c r="C45" s="1" t="n">
        <v>332.65</v>
      </c>
    </row>
    <row r="46">
      <c r="A46" s="9" t="n">
        <v>45994</v>
      </c>
      <c r="B46" s="1">
        <f>B45</f>
        <v/>
      </c>
      <c r="C46" s="1" t="n">
        <v>332.5</v>
      </c>
    </row>
    <row r="47">
      <c r="A47" s="9" t="n">
        <v>45995</v>
      </c>
      <c r="B47" s="1">
        <f>B46</f>
        <v/>
      </c>
      <c r="C47" s="1" t="n">
        <v>330.35</v>
      </c>
    </row>
    <row r="48">
      <c r="A48" s="9" t="n">
        <v>45996</v>
      </c>
      <c r="B48" s="1">
        <f>B47</f>
        <v/>
      </c>
      <c r="C48" s="1" t="n">
        <v>330.1</v>
      </c>
    </row>
    <row r="49">
      <c r="A49" s="9" t="n">
        <v>45999</v>
      </c>
      <c r="B49" s="1">
        <f>B48</f>
        <v/>
      </c>
      <c r="C49" s="1" t="n">
        <v>331.2</v>
      </c>
    </row>
    <row r="50">
      <c r="A50" s="9" t="n">
        <v>46000</v>
      </c>
      <c r="B50" s="1">
        <f>B49</f>
        <v/>
      </c>
      <c r="C50" s="1" t="n">
        <v>330.35</v>
      </c>
    </row>
    <row r="51">
      <c r="A51" s="9" t="n">
        <v>46001</v>
      </c>
      <c r="B51" s="1">
        <f>B50</f>
        <v/>
      </c>
      <c r="C51" s="1" t="n">
        <v>329.15</v>
      </c>
    </row>
    <row r="52">
      <c r="A52" s="9" t="n">
        <v>46002</v>
      </c>
      <c r="B52" s="1">
        <f>B51</f>
        <v/>
      </c>
      <c r="C52" s="1" t="n">
        <v>329.05</v>
      </c>
    </row>
    <row r="53">
      <c r="A53" s="9" t="n">
        <v>46003</v>
      </c>
      <c r="B53" s="1">
        <f>B52</f>
        <v/>
      </c>
      <c r="C53" s="1" t="n">
        <v>328.95</v>
      </c>
    </row>
    <row r="54">
      <c r="A54" s="9" t="n">
        <v>46006</v>
      </c>
      <c r="B54" s="1">
        <f>B53</f>
        <v/>
      </c>
      <c r="C54" s="1" t="n">
        <v>327.8</v>
      </c>
    </row>
    <row r="55">
      <c r="A55" s="9" t="n">
        <v>46007</v>
      </c>
      <c r="B55" s="1">
        <f>B54</f>
        <v/>
      </c>
      <c r="C55" t="n">
        <v>327.5</v>
      </c>
    </row>
    <row r="56">
      <c r="A56" s="9" t="n">
        <v>46008</v>
      </c>
      <c r="B56" s="1">
        <f>B55</f>
        <v/>
      </c>
      <c r="C56" t="n">
        <v>327.3</v>
      </c>
    </row>
    <row r="57">
      <c r="A57" s="4" t="n">
        <v>46009</v>
      </c>
      <c r="B57" s="1">
        <f>B56</f>
        <v/>
      </c>
      <c r="C57" t="n">
        <v>328.35</v>
      </c>
    </row>
    <row r="58">
      <c r="A58" s="9" t="n">
        <v>46010</v>
      </c>
      <c r="B58" s="1">
        <f>B57</f>
        <v/>
      </c>
      <c r="C58" t="n">
        <v>326.55</v>
      </c>
    </row>
    <row r="59">
      <c r="A59" s="9" t="n">
        <v>46013</v>
      </c>
      <c r="B59" s="1">
        <f>B58</f>
        <v/>
      </c>
      <c r="C59" t="n">
        <v>326.6</v>
      </c>
    </row>
    <row r="60">
      <c r="A60" s="9" t="n">
        <v>46014</v>
      </c>
      <c r="B60" s="1">
        <f>B59</f>
        <v/>
      </c>
      <c r="C60" t="n">
        <v>325.85</v>
      </c>
    </row>
    <row r="61">
      <c r="A61" s="9" t="n">
        <v>46017</v>
      </c>
      <c r="B61" s="1">
        <f>B60</f>
        <v/>
      </c>
      <c r="C61" t="n">
        <v>326.25</v>
      </c>
    </row>
    <row r="62">
      <c r="A62" s="9" t="n">
        <v>46020</v>
      </c>
      <c r="B62" s="1">
        <f>B61</f>
        <v/>
      </c>
      <c r="C62" t="n">
        <v>325.35</v>
      </c>
    </row>
    <row r="63">
      <c r="A63" s="9" t="n">
        <v>46021</v>
      </c>
      <c r="B63" s="1">
        <f>B62</f>
        <v/>
      </c>
      <c r="C63" t="n">
        <v>323.25</v>
      </c>
    </row>
    <row r="64">
      <c r="A64" s="9" t="n">
        <v>46024</v>
      </c>
      <c r="B64" s="1">
        <f>B63</f>
        <v/>
      </c>
      <c r="C64" t="n">
        <v>323.5</v>
      </c>
    </row>
    <row r="65">
      <c r="A65" s="9" t="n">
        <v>46027</v>
      </c>
      <c r="B65" s="1">
        <f>B64</f>
        <v/>
      </c>
      <c r="C65" t="n">
        <v>326.1</v>
      </c>
    </row>
    <row r="66">
      <c r="A66" s="9" t="n">
        <v>46028</v>
      </c>
      <c r="B66" s="1">
        <f>B65</f>
        <v/>
      </c>
      <c r="C66" t="n">
        <v>325.3</v>
      </c>
    </row>
    <row r="67">
      <c r="A67" s="9" t="n">
        <v>46029</v>
      </c>
      <c r="B67" s="1">
        <f>B66</f>
        <v/>
      </c>
      <c r="C67" t="n">
        <v>323.75</v>
      </c>
    </row>
    <row r="68">
      <c r="A68" s="9" t="n">
        <v>46030</v>
      </c>
      <c r="B68" s="1">
        <f>B67</f>
        <v/>
      </c>
      <c r="C68" t="n">
        <v>323.5</v>
      </c>
    </row>
    <row r="69">
      <c r="A69" s="9" t="n">
        <v>46031</v>
      </c>
      <c r="B69" s="1">
        <f>B68</f>
        <v/>
      </c>
      <c r="C69" t="n">
        <v>320.6</v>
      </c>
    </row>
    <row r="70">
      <c r="A70" s="9" t="n">
        <v>46034</v>
      </c>
      <c r="B70" s="1">
        <f>B69</f>
        <v/>
      </c>
      <c r="C70" t="n">
        <v>319.8</v>
      </c>
    </row>
    <row r="71">
      <c r="A71" s="9" t="n">
        <v>46035</v>
      </c>
      <c r="B71" s="1">
        <f>B70</f>
        <v/>
      </c>
      <c r="C71" t="n">
        <v>320.25</v>
      </c>
    </row>
    <row r="72">
      <c r="A72" s="9" t="n">
        <v>46036</v>
      </c>
      <c r="B72" s="1">
        <f>B71</f>
        <v/>
      </c>
      <c r="C72" t="n">
        <v>319.95</v>
      </c>
    </row>
    <row r="73">
      <c r="A73" s="9" t="n">
        <v>46037</v>
      </c>
      <c r="B73" s="1">
        <f>B72</f>
        <v/>
      </c>
      <c r="C73" t="n">
        <v>318.7</v>
      </c>
    </row>
    <row r="74">
      <c r="A74" s="9" t="n">
        <v>46038</v>
      </c>
      <c r="B74" s="1">
        <f>B73</f>
        <v/>
      </c>
      <c r="C74" t="n">
        <v>319.1</v>
      </c>
    </row>
    <row r="75">
      <c r="A75" s="9" t="n">
        <v>46041</v>
      </c>
      <c r="B75" s="1">
        <f>B74</f>
        <v/>
      </c>
      <c r="C75" t="n">
        <v>324.05</v>
      </c>
    </row>
    <row r="76">
      <c r="A76" s="9" t="n">
        <v>46042</v>
      </c>
      <c r="B76" s="1">
        <f>B75</f>
        <v/>
      </c>
      <c r="C76" t="n">
        <v>326.55</v>
      </c>
    </row>
    <row r="77">
      <c r="A77" s="4" t="n">
        <v>46043</v>
      </c>
      <c r="B77" s="1">
        <f>B76</f>
        <v/>
      </c>
      <c r="C77" t="n">
        <v>328.6</v>
      </c>
    </row>
    <row r="78">
      <c r="A78" s="4" t="n">
        <v>46044</v>
      </c>
      <c r="B78" s="1">
        <f>B77</f>
        <v/>
      </c>
      <c r="C78" t="n">
        <v>327.55</v>
      </c>
    </row>
    <row r="79">
      <c r="A79" s="9" t="n">
        <v>46045</v>
      </c>
      <c r="B79" s="1">
        <f>B78</f>
        <v/>
      </c>
      <c r="C79" t="n">
        <v>327.8</v>
      </c>
    </row>
    <row r="80">
      <c r="A80" s="9" t="n">
        <v>46048</v>
      </c>
      <c r="B80" s="1">
        <f>B79</f>
        <v/>
      </c>
      <c r="C80" t="n">
        <v>329.3</v>
      </c>
    </row>
    <row r="81">
      <c r="A81" s="9" t="n">
        <v>46049</v>
      </c>
      <c r="B81" s="1">
        <f>B80</f>
        <v/>
      </c>
      <c r="C81" t="n">
        <v>331.3</v>
      </c>
    </row>
    <row r="82">
      <c r="A82" s="9" t="n">
        <v>46050</v>
      </c>
      <c r="B82" s="1">
        <f>B81</f>
        <v/>
      </c>
      <c r="C82" t="n">
        <v>331.9</v>
      </c>
    </row>
    <row r="83">
      <c r="A83" s="9" t="n">
        <v>46051</v>
      </c>
      <c r="B83" s="1">
        <f>B82</f>
        <v/>
      </c>
      <c r="C83" t="n">
        <v>333.7</v>
      </c>
    </row>
    <row r="84">
      <c r="A84" s="9" t="n">
        <v>46052</v>
      </c>
      <c r="B84" s="1">
        <f>B83</f>
        <v/>
      </c>
      <c r="C84" t="n">
        <v>335.7</v>
      </c>
    </row>
    <row r="85">
      <c r="A85" s="9" t="n">
        <v>46055</v>
      </c>
      <c r="B85" s="1">
        <f>B84</f>
        <v/>
      </c>
      <c r="C85" t="n">
        <v>336.4</v>
      </c>
    </row>
    <row r="86">
      <c r="A86" s="9" t="n">
        <v>46056</v>
      </c>
      <c r="B86" s="1">
        <f>B85</f>
        <v/>
      </c>
      <c r="C86" t="n">
        <v>336.9</v>
      </c>
    </row>
    <row r="87">
      <c r="A87" s="9" t="n">
        <v>46057</v>
      </c>
      <c r="B87" s="1">
        <f>B86</f>
        <v/>
      </c>
      <c r="C87" t="n">
        <v>339.05</v>
      </c>
    </row>
    <row r="88">
      <c r="A88" s="9" t="n">
        <v>46058</v>
      </c>
      <c r="B88" s="1">
        <f>B87</f>
        <v/>
      </c>
      <c r="C88" t="n">
        <v>338.7</v>
      </c>
    </row>
    <row r="89">
      <c r="A89" s="9" t="n">
        <v>46059</v>
      </c>
      <c r="B89" s="1">
        <f>B88</f>
        <v/>
      </c>
      <c r="C89" t="n">
        <v>340.3</v>
      </c>
    </row>
    <row r="90">
      <c r="A90" s="9" t="n">
        <v>46062</v>
      </c>
      <c r="B90" s="1">
        <f>B89</f>
        <v/>
      </c>
      <c r="C90" t="n">
        <v>338.15</v>
      </c>
    </row>
    <row r="91">
      <c r="A91" s="9" t="n">
        <v>46063</v>
      </c>
      <c r="B91" s="1">
        <f>B90</f>
        <v/>
      </c>
      <c r="C91" t="n">
        <v>339.35</v>
      </c>
    </row>
    <row r="92">
      <c r="A92" s="9" t="n">
        <v>46064</v>
      </c>
      <c r="B92" s="1">
        <f>B91</f>
        <v/>
      </c>
      <c r="C92" t="n">
        <v>341.1</v>
      </c>
    </row>
    <row r="93">
      <c r="A93" s="9" t="n">
        <v>46065</v>
      </c>
      <c r="B93" s="1">
        <f>B92</f>
        <v/>
      </c>
      <c r="C93" t="n">
        <v>340.25</v>
      </c>
    </row>
    <row r="94">
      <c r="A94" s="9" t="n">
        <v>46066</v>
      </c>
      <c r="B94" s="1">
        <f>B93</f>
        <v/>
      </c>
      <c r="C94" t="n">
        <v>340</v>
      </c>
    </row>
    <row r="95">
      <c r="A95" s="9" t="n">
        <v>46071</v>
      </c>
      <c r="B95" s="1">
        <f>B94</f>
        <v/>
      </c>
      <c r="C95" t="n">
        <v>343.5</v>
      </c>
    </row>
    <row r="96">
      <c r="A96" s="9" t="n">
        <v>46072</v>
      </c>
      <c r="B96" s="1">
        <f>B95</f>
        <v/>
      </c>
      <c r="C96" t="n">
        <v>343.8</v>
      </c>
    </row>
    <row r="97">
      <c r="A97" s="9" t="n">
        <v>46073</v>
      </c>
      <c r="B97" s="1">
        <f>B96</f>
        <v/>
      </c>
      <c r="C97" t="n">
        <v>348.05</v>
      </c>
    </row>
    <row r="98">
      <c r="A98" s="9" t="n">
        <v>46076</v>
      </c>
      <c r="B98" s="1">
        <f>B97</f>
        <v/>
      </c>
      <c r="C98" t="n">
        <v>347.55</v>
      </c>
    </row>
    <row r="99">
      <c r="A99" s="9" t="n">
        <v>46077</v>
      </c>
      <c r="B99" s="1">
        <f>B98</f>
        <v/>
      </c>
      <c r="C99" t="n">
        <v>348.95</v>
      </c>
    </row>
    <row r="100">
      <c r="A100" s="9" t="n">
        <v>46078</v>
      </c>
      <c r="B100" s="1">
        <f>B99</f>
        <v/>
      </c>
      <c r="C100" t="n">
        <v>348.5</v>
      </c>
    </row>
    <row r="101">
      <c r="A101" s="9" t="n">
        <v>46079</v>
      </c>
      <c r="B101" s="1">
        <f>B100</f>
        <v/>
      </c>
      <c r="C101" t="n">
        <v>346.1</v>
      </c>
    </row>
    <row r="102">
      <c r="A102" s="9" t="n">
        <v>46080</v>
      </c>
      <c r="B102" s="1">
        <f>B101</f>
        <v/>
      </c>
      <c r="C102" t="n">
        <v>344.8</v>
      </c>
    </row>
    <row r="103">
      <c r="A103" s="9" t="n">
        <v>46083</v>
      </c>
      <c r="B103" s="1">
        <f>B102</f>
        <v/>
      </c>
      <c r="C103" t="n">
        <v>339.2</v>
      </c>
    </row>
    <row r="104">
      <c r="A104" s="9" t="n">
        <v>46084</v>
      </c>
      <c r="B104" s="1">
        <f>B103</f>
        <v/>
      </c>
      <c r="C104" t="n">
        <v>335</v>
      </c>
    </row>
    <row r="105">
      <c r="A105" s="9" t="n">
        <v>46085</v>
      </c>
      <c r="B105" s="1">
        <f>B104</f>
        <v/>
      </c>
      <c r="C105" t="n">
        <v>337.5</v>
      </c>
    </row>
    <row r="106">
      <c r="A106" s="9" t="n">
        <v>46086</v>
      </c>
      <c r="B106" s="1">
        <f>B105</f>
        <v/>
      </c>
      <c r="C106" t="n">
        <v>336.15</v>
      </c>
    </row>
    <row r="107">
      <c r="A107" s="9" t="n">
        <v>46087</v>
      </c>
      <c r="B107" s="1">
        <f>B106</f>
        <v/>
      </c>
      <c r="C107" t="n">
        <v>335.55</v>
      </c>
    </row>
    <row r="108">
      <c r="A108" s="9" t="n">
        <v>46090</v>
      </c>
      <c r="B108" s="1">
        <f>B107</f>
        <v/>
      </c>
      <c r="C108" t="n">
        <v>339.6</v>
      </c>
    </row>
    <row r="109">
      <c r="A109" s="9" t="n">
        <v>46091</v>
      </c>
      <c r="B109" s="1">
        <f>B108</f>
        <v/>
      </c>
      <c r="C109" t="n">
        <v>339.7</v>
      </c>
    </row>
    <row r="110">
      <c r="A110" s="9" t="n">
        <v>46092</v>
      </c>
      <c r="B110" s="1">
        <f>B109</f>
        <v/>
      </c>
      <c r="C110" t="n">
        <v>342.9</v>
      </c>
    </row>
    <row r="111">
      <c r="A111" s="9" t="n">
        <v>46093</v>
      </c>
      <c r="B111" s="1">
        <f>B110</f>
        <v/>
      </c>
      <c r="C111" t="n">
        <v>345.1</v>
      </c>
    </row>
    <row r="112">
      <c r="A112" s="9" t="n">
        <v>46094</v>
      </c>
      <c r="B112" s="1">
        <f>B111</f>
        <v/>
      </c>
      <c r="C112" t="n">
        <v>341.95</v>
      </c>
    </row>
    <row r="113">
      <c r="A113" s="9" t="n">
        <v>46097</v>
      </c>
      <c r="B113" s="1">
        <f>B112</f>
        <v/>
      </c>
      <c r="C113" t="n">
        <v>344.95</v>
      </c>
    </row>
    <row r="114">
      <c r="A114" s="9" t="n">
        <v>46098</v>
      </c>
      <c r="B114" s="1">
        <f>B113</f>
        <v/>
      </c>
      <c r="C114" t="n">
        <v>342.25</v>
      </c>
    </row>
    <row r="115">
      <c r="A115" s="9" t="n">
        <v>46099</v>
      </c>
      <c r="B115" s="1">
        <f>B114</f>
        <v/>
      </c>
      <c r="C115" t="n">
        <v>342.2</v>
      </c>
    </row>
    <row r="116">
      <c r="A116" s="9" t="n">
        <v>46100</v>
      </c>
      <c r="B116" s="1">
        <f>B115</f>
        <v/>
      </c>
      <c r="C116" t="n">
        <v>348.05</v>
      </c>
    </row>
    <row r="117">
      <c r="A117" s="9" t="n">
        <v>46101</v>
      </c>
      <c r="B117" s="1">
        <f>B116</f>
        <v/>
      </c>
      <c r="C117" t="n">
        <v>352.9</v>
      </c>
    </row>
    <row r="118">
      <c r="A118" s="9" t="n">
        <v>46104</v>
      </c>
      <c r="B118" s="1">
        <f>B117</f>
        <v/>
      </c>
      <c r="C118" t="n">
        <v>357.8</v>
      </c>
    </row>
    <row r="119">
      <c r="A119" s="9" t="n">
        <v>46105</v>
      </c>
      <c r="B119" s="1">
        <f>B118</f>
        <v/>
      </c>
      <c r="C119" t="n">
        <v>359</v>
      </c>
    </row>
    <row r="120">
      <c r="A120" s="9" t="n">
        <v>46106</v>
      </c>
      <c r="B120" s="1">
        <f>B119</f>
        <v/>
      </c>
      <c r="C120" t="n">
        <v>360.7</v>
      </c>
    </row>
    <row r="121">
      <c r="A121" s="9" t="n">
        <v>46107</v>
      </c>
      <c r="B121" s="1">
        <f>B120</f>
        <v/>
      </c>
      <c r="C121" t="n">
        <v>359.75</v>
      </c>
    </row>
    <row r="122">
      <c r="A122" s="9" t="n">
        <v>46108</v>
      </c>
      <c r="B122" s="1">
        <f>B121</f>
        <v/>
      </c>
      <c r="C122" t="n">
        <v>362.15</v>
      </c>
    </row>
    <row r="123">
      <c r="A123" s="9" t="n">
        <v>46111</v>
      </c>
      <c r="B123" s="1">
        <f>B122</f>
        <v/>
      </c>
      <c r="C123" t="n">
        <v>362.15</v>
      </c>
    </row>
    <row r="124">
      <c r="A124" s="9" t="n">
        <v>46112</v>
      </c>
      <c r="B124" s="1">
        <f>B123</f>
        <v/>
      </c>
      <c r="C124" t="n">
        <v>362.35</v>
      </c>
    </row>
    <row r="125">
      <c r="A125" s="9" t="n">
        <v>46113</v>
      </c>
      <c r="B125" s="1">
        <f>B134</f>
        <v/>
      </c>
      <c r="C125" t="n">
        <v>363.95</v>
      </c>
    </row>
    <row r="126">
      <c r="A126" s="9" t="n">
        <v>46114</v>
      </c>
      <c r="B126" s="1">
        <f>B135</f>
        <v/>
      </c>
      <c r="C126" t="n">
        <v>364</v>
      </c>
    </row>
    <row r="127">
      <c r="A127" s="9" t="n">
        <v>46118</v>
      </c>
      <c r="B127" s="1">
        <f>B136</f>
        <v/>
      </c>
      <c r="C127" t="n">
        <v>367.5</v>
      </c>
    </row>
    <row r="128">
      <c r="A128" s="9" t="n">
        <v>46119</v>
      </c>
      <c r="B128" s="1">
        <f>B137</f>
        <v/>
      </c>
      <c r="C128" t="n">
        <v>364.55</v>
      </c>
    </row>
    <row r="129">
      <c r="A129" s="9" t="n">
        <v>46120</v>
      </c>
      <c r="B129" s="1">
        <f>B138</f>
        <v/>
      </c>
      <c r="C129" t="n">
        <v>357.1</v>
      </c>
    </row>
    <row r="130">
      <c r="A130" s="9" t="n">
        <v>46121</v>
      </c>
      <c r="B130" s="1">
        <f>B139</f>
        <v/>
      </c>
      <c r="C130" t="n">
        <v>361.2</v>
      </c>
    </row>
    <row r="131">
      <c r="A131" s="9" t="n">
        <v>46122</v>
      </c>
      <c r="B131" s="1">
        <f>B140</f>
        <v/>
      </c>
      <c r="C131" t="n">
        <v>358.4</v>
      </c>
    </row>
    <row r="132">
      <c r="A132" s="9" t="n">
        <v>46125</v>
      </c>
      <c r="B132" s="1">
        <f>B141</f>
        <v/>
      </c>
      <c r="C132" t="n">
        <v>350.6</v>
      </c>
    </row>
    <row r="133">
      <c r="A133" s="9" t="n">
        <v>46126</v>
      </c>
      <c r="B133" s="1">
        <f>B142</f>
        <v/>
      </c>
      <c r="C133" t="n">
        <v>351.7</v>
      </c>
    </row>
    <row r="134">
      <c r="A134" s="9" t="n">
        <v>46127</v>
      </c>
      <c r="B134" s="1">
        <f>B143</f>
        <v/>
      </c>
      <c r="C134" t="n">
        <v>350.1</v>
      </c>
    </row>
    <row r="135">
      <c r="A135" s="9" t="n">
        <v>46128</v>
      </c>
      <c r="B135" s="1">
        <f>B144</f>
        <v/>
      </c>
      <c r="C135" t="n">
        <v>350.9</v>
      </c>
    </row>
    <row r="136">
      <c r="A136" s="9" t="n">
        <v>46129</v>
      </c>
      <c r="B136" s="1">
        <f>B135</f>
        <v/>
      </c>
      <c r="C136" t="n">
        <v>347.4</v>
      </c>
    </row>
    <row r="137">
      <c r="A137" s="9" t="n">
        <v>46132</v>
      </c>
      <c r="B137" s="1">
        <f>B136</f>
        <v/>
      </c>
      <c r="C137" t="n">
        <v>345.35</v>
      </c>
    </row>
    <row r="138">
      <c r="A138" s="9" t="n">
        <v>46134</v>
      </c>
      <c r="B138" s="1">
        <f>B137</f>
        <v/>
      </c>
      <c r="C138" t="n">
        <v>348.9</v>
      </c>
    </row>
    <row r="139">
      <c r="A139" s="9" t="n">
        <v>46135</v>
      </c>
      <c r="B139" s="1">
        <f>B138</f>
        <v/>
      </c>
      <c r="C139" t="n">
        <v>343.65</v>
      </c>
    </row>
    <row r="140">
      <c r="A140" s="9" t="n">
        <v>46136</v>
      </c>
      <c r="B140" s="1">
        <f>B139</f>
        <v/>
      </c>
      <c r="C140" t="n">
        <v>346.5</v>
      </c>
    </row>
    <row r="141">
      <c r="A141" s="9" t="n">
        <v>46139</v>
      </c>
      <c r="B141" s="1">
        <f>B140</f>
        <v/>
      </c>
      <c r="C141" t="n">
        <v>347.1</v>
      </c>
    </row>
    <row r="142">
      <c r="A142" s="9" t="n">
        <v>46140</v>
      </c>
      <c r="B142" s="1">
        <f>B141</f>
        <v/>
      </c>
      <c r="C142" t="n">
        <v>346.1</v>
      </c>
    </row>
    <row r="143">
      <c r="A143" s="9" t="n">
        <v>46141</v>
      </c>
      <c r="B143" s="1">
        <f>B142</f>
        <v/>
      </c>
      <c r="C143" t="n">
        <v>340.1</v>
      </c>
    </row>
    <row r="144">
      <c r="A144" s="9" t="n">
        <v>46142</v>
      </c>
      <c r="B144" s="1">
        <f>B143</f>
        <v/>
      </c>
      <c r="C144" t="n">
        <v>341.15</v>
      </c>
    </row>
    <row r="145">
      <c r="A145" s="9" t="n">
        <v>46146</v>
      </c>
      <c r="B145" s="1">
        <f>B144</f>
        <v/>
      </c>
      <c r="C145" t="n">
        <v>347.25</v>
      </c>
    </row>
    <row r="146">
      <c r="A146" s="9" t="n">
        <v>46147</v>
      </c>
      <c r="B146" s="1">
        <f>B145</f>
        <v/>
      </c>
      <c r="C146" t="n">
        <v>343.65</v>
      </c>
    </row>
    <row r="147">
      <c r="A147" s="9" t="n">
        <v>46148</v>
      </c>
      <c r="B147" s="1">
        <f>B146</f>
        <v/>
      </c>
      <c r="C147" t="n">
        <v>341.95</v>
      </c>
    </row>
    <row r="148">
      <c r="A148" s="9" t="n">
        <v>46149</v>
      </c>
      <c r="B148" s="1">
        <f>B147</f>
        <v/>
      </c>
      <c r="C148" t="n">
        <v>340.55</v>
      </c>
    </row>
    <row r="149">
      <c r="A149" s="9" t="n">
        <v>46150</v>
      </c>
      <c r="B149" s="1">
        <f>B148</f>
        <v/>
      </c>
      <c r="C149" t="n">
        <v>341.4</v>
      </c>
    </row>
    <row r="150">
      <c r="A150" s="9" t="n">
        <v>46153</v>
      </c>
      <c r="B150" s="1">
        <f>B149</f>
        <v/>
      </c>
      <c r="C150" t="n">
        <v>345.8</v>
      </c>
    </row>
    <row r="151">
      <c r="A151" s="9" t="n">
        <v>46154</v>
      </c>
      <c r="B151" s="1">
        <f>B150</f>
        <v/>
      </c>
      <c r="C151" t="n">
        <v>343.9</v>
      </c>
    </row>
    <row r="152">
      <c r="A152" s="9" t="n">
        <v>46155</v>
      </c>
      <c r="B152" s="1">
        <f>B151</f>
        <v/>
      </c>
      <c r="C152" t="n">
        <v>340.7</v>
      </c>
    </row>
    <row r="153">
      <c r="A153" s="9" t="n">
        <v>46156</v>
      </c>
      <c r="B153" s="1">
        <f>B152</f>
        <v/>
      </c>
      <c r="C153" t="n">
        <v>339.05</v>
      </c>
    </row>
    <row r="154">
      <c r="A154" s="9" t="n">
        <v>46157</v>
      </c>
      <c r="B154" s="1">
        <f>B153</f>
        <v/>
      </c>
      <c r="C154" t="n">
        <v>336.75</v>
      </c>
    </row>
    <row r="155">
      <c r="A155" s="9" t="n">
        <v>46160</v>
      </c>
      <c r="B155" s="1">
        <f>B154</f>
        <v/>
      </c>
      <c r="C155" t="n">
        <v>336.7</v>
      </c>
    </row>
    <row r="156">
      <c r="A156" s="9" t="n">
        <v>46161</v>
      </c>
      <c r="B156" s="1">
        <f>B155</f>
        <v/>
      </c>
      <c r="C156" t="n">
        <v>344.25</v>
      </c>
    </row>
    <row r="157">
      <c r="A157" s="9" t="n">
        <v>46162</v>
      </c>
      <c r="B157" s="1">
        <f>B156</f>
        <v/>
      </c>
      <c r="C157" t="n">
        <v>344.6</v>
      </c>
    </row>
    <row r="158">
      <c r="A158" s="9" t="n">
        <v>46163</v>
      </c>
      <c r="B158" s="1">
        <f>B157</f>
        <v/>
      </c>
      <c r="C158" t="n">
        <v>345.5</v>
      </c>
    </row>
    <row r="159">
      <c r="A159" s="9" t="n">
        <v>46164</v>
      </c>
      <c r="B159" s="1">
        <f>B158</f>
        <v/>
      </c>
      <c r="C159" t="n">
        <v>346.5</v>
      </c>
    </row>
    <row r="160">
      <c r="A160" s="9" t="n">
        <v>46167</v>
      </c>
      <c r="B160" s="1">
        <f>B159</f>
        <v/>
      </c>
      <c r="C160" t="n">
        <v>346.75</v>
      </c>
    </row>
    <row r="161">
      <c r="A161" s="9" t="n">
        <v>46168</v>
      </c>
      <c r="B161" s="1">
        <f>B160</f>
        <v/>
      </c>
      <c r="C161" t="n">
        <v>347.1</v>
      </c>
    </row>
    <row r="162">
      <c r="A162" s="9" t="n">
        <v>46169</v>
      </c>
      <c r="B162" s="1">
        <f>B161</f>
        <v/>
      </c>
      <c r="C162" t="n">
        <v>348.05</v>
      </c>
    </row>
    <row r="163">
      <c r="A163" s="9" t="n">
        <v>46170</v>
      </c>
      <c r="B163" s="1">
        <f>B162</f>
        <v/>
      </c>
      <c r="C163" t="n">
        <v>348.45</v>
      </c>
    </row>
    <row r="164">
      <c r="A164" s="9" t="n">
        <v>46171</v>
      </c>
      <c r="B164" s="1">
        <f>B163</f>
        <v/>
      </c>
      <c r="C164" t="n">
        <v>348.18</v>
      </c>
    </row>
    <row r="165">
      <c r="A165" s="9">
        <f>IF('S.H BOI GORDO'!A7215=""," ",'S.H BOI GORDO'!A7215)</f>
        <v/>
      </c>
      <c r="B165" s="1">
        <f>B174</f>
        <v/>
      </c>
    </row>
    <row r="166">
      <c r="A166" s="9">
        <f>IF('S.H BOI GORDO'!A7216=""," ",'S.H BOI GORDO'!A7216)</f>
        <v/>
      </c>
      <c r="B166" s="1">
        <f>B175</f>
        <v/>
      </c>
    </row>
    <row r="167">
      <c r="A167" s="9">
        <f>IF('S.H BOI GORDO'!A7217=""," ",'S.H BOI GORDO'!A7217)</f>
        <v/>
      </c>
      <c r="B167" s="1">
        <f>B176</f>
        <v/>
      </c>
    </row>
    <row r="168">
      <c r="A168" s="9">
        <f>IF('S.H BOI GORDO'!A7218=""," ",'S.H BOI GORDO'!A7218)</f>
        <v/>
      </c>
      <c r="B168" s="1">
        <f>B177</f>
        <v/>
      </c>
    </row>
    <row r="169">
      <c r="A169" s="9">
        <f>IF('S.H BOI GORDO'!A7219=""," ",'S.H BOI GORDO'!A7219)</f>
        <v/>
      </c>
      <c r="B169" s="1">
        <f>B178</f>
        <v/>
      </c>
    </row>
    <row r="170">
      <c r="A170" s="9">
        <f>IF('S.H BOI GORDO'!A7220=""," ",'S.H BOI GORDO'!A7220)</f>
        <v/>
      </c>
      <c r="B170" s="1">
        <f>B179</f>
        <v/>
      </c>
    </row>
    <row r="171">
      <c r="A171" s="9">
        <f>IF('S.H BOI GORDO'!A7221=""," ",'S.H BOI GORDO'!A7221)</f>
        <v/>
      </c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5.xml><?xml version="1.0" encoding="utf-8"?>
<worksheet xmlns="http://schemas.openxmlformats.org/spreadsheetml/2006/main">
  <sheetPr codeName="Planilha15">
    <outlinePr summaryBelow="1" summaryRight="1"/>
    <pageSetUpPr/>
  </sheetPr>
  <dimension ref="A1:C190"/>
  <sheetViews>
    <sheetView topLeftCell="A150" zoomScale="90" zoomScaleNormal="90" workbookViewId="0">
      <selection activeCell="A144" sqref="A144:XFD14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BGIM26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331</v>
      </c>
    </row>
    <row r="18">
      <c r="A18" s="9" t="n">
        <v>45987</v>
      </c>
      <c r="B18" s="1">
        <f>B17</f>
        <v/>
      </c>
      <c r="C18" s="1" t="n">
        <v>331.4</v>
      </c>
    </row>
    <row r="19">
      <c r="A19" s="9" t="n">
        <v>45988</v>
      </c>
      <c r="B19" s="1">
        <f>B18</f>
        <v/>
      </c>
      <c r="C19" s="1" t="n">
        <v>330.25</v>
      </c>
    </row>
    <row r="20">
      <c r="A20" s="9" t="n">
        <v>45989</v>
      </c>
      <c r="B20" s="1">
        <f>B19</f>
        <v/>
      </c>
      <c r="C20" s="1" t="n">
        <v>329.4</v>
      </c>
    </row>
    <row r="21">
      <c r="A21" s="9" t="n">
        <v>45992</v>
      </c>
      <c r="B21" s="1">
        <f>B20</f>
        <v/>
      </c>
      <c r="C21" s="1" t="n">
        <v>328.75</v>
      </c>
    </row>
    <row r="22">
      <c r="A22" s="9" t="n">
        <v>45993</v>
      </c>
      <c r="B22" s="1">
        <f>B21</f>
        <v/>
      </c>
      <c r="C22" s="1" t="n">
        <v>332.9</v>
      </c>
    </row>
    <row r="23">
      <c r="A23" s="9" t="n">
        <v>45994</v>
      </c>
      <c r="B23" s="1">
        <f>B22</f>
        <v/>
      </c>
      <c r="C23" s="1" t="n">
        <v>333.6</v>
      </c>
    </row>
    <row r="24">
      <c r="A24" s="9" t="n">
        <v>45995</v>
      </c>
      <c r="B24" s="1">
        <f>B23</f>
        <v/>
      </c>
      <c r="C24" s="1" t="n">
        <v>332.05</v>
      </c>
    </row>
    <row r="25">
      <c r="A25" s="2" t="n">
        <v>45996</v>
      </c>
      <c r="B25" s="1">
        <f>B24</f>
        <v/>
      </c>
      <c r="C25" s="1" t="n">
        <v>332.05</v>
      </c>
    </row>
    <row r="26">
      <c r="A26" s="9" t="n">
        <v>45999</v>
      </c>
      <c r="B26" s="1">
        <f>B25</f>
        <v/>
      </c>
      <c r="C26" s="1" t="n">
        <v>332.2</v>
      </c>
    </row>
    <row r="27">
      <c r="A27" s="9" t="n">
        <v>46000</v>
      </c>
      <c r="B27" s="1">
        <f>B26</f>
        <v/>
      </c>
      <c r="C27" s="1" t="n">
        <v>332.7</v>
      </c>
    </row>
    <row r="28">
      <c r="A28" s="9" t="n">
        <v>46001</v>
      </c>
      <c r="B28" s="1">
        <f>B27</f>
        <v/>
      </c>
      <c r="C28" s="1" t="n">
        <v>331.05</v>
      </c>
    </row>
    <row r="29">
      <c r="A29" s="9" t="n">
        <v>46002</v>
      </c>
      <c r="B29" s="1">
        <f>B28</f>
        <v/>
      </c>
      <c r="C29" s="1" t="n">
        <v>331.8</v>
      </c>
    </row>
    <row r="30">
      <c r="A30" s="9" t="n">
        <v>46003</v>
      </c>
      <c r="B30" s="1">
        <f>B29</f>
        <v/>
      </c>
      <c r="C30" s="1" t="n">
        <v>329.8</v>
      </c>
    </row>
    <row r="31">
      <c r="A31" s="9" t="n">
        <v>46006</v>
      </c>
      <c r="B31" s="1">
        <f>B30</f>
        <v/>
      </c>
      <c r="C31" t="n">
        <v>328.4</v>
      </c>
    </row>
    <row r="32">
      <c r="A32" s="9" t="n">
        <v>46007</v>
      </c>
      <c r="B32" s="1">
        <f>B31</f>
        <v/>
      </c>
      <c r="C32" t="n">
        <v>327.45</v>
      </c>
    </row>
    <row r="33">
      <c r="A33" s="9" t="n">
        <v>46008</v>
      </c>
      <c r="B33" s="1">
        <f>B32</f>
        <v/>
      </c>
      <c r="C33" t="n">
        <v>326.85</v>
      </c>
    </row>
    <row r="34">
      <c r="A34" s="4" t="n">
        <v>46009</v>
      </c>
      <c r="B34" s="1">
        <f>B33</f>
        <v/>
      </c>
      <c r="C34" t="n">
        <v>327.55</v>
      </c>
    </row>
    <row r="35">
      <c r="A35" s="9" t="n">
        <v>46010</v>
      </c>
      <c r="B35" s="1">
        <f>B34</f>
        <v/>
      </c>
      <c r="C35" t="n">
        <v>323.5</v>
      </c>
    </row>
    <row r="36">
      <c r="A36" s="9" t="n">
        <v>46013</v>
      </c>
      <c r="B36" s="1">
        <f>B35</f>
        <v/>
      </c>
      <c r="C36" t="n">
        <v>325.2</v>
      </c>
    </row>
    <row r="37">
      <c r="A37" s="9" t="n">
        <v>46014</v>
      </c>
      <c r="B37" s="1">
        <f>B36</f>
        <v/>
      </c>
      <c r="C37" t="n">
        <v>326.25</v>
      </c>
    </row>
    <row r="38">
      <c r="A38" s="9" t="n">
        <v>46017</v>
      </c>
      <c r="B38" s="1">
        <f>B37</f>
        <v/>
      </c>
      <c r="C38" t="n">
        <v>327.1</v>
      </c>
    </row>
    <row r="39">
      <c r="A39" s="9" t="n">
        <v>46020</v>
      </c>
      <c r="B39" s="1">
        <f>B38</f>
        <v/>
      </c>
      <c r="C39" t="n">
        <v>324.9</v>
      </c>
    </row>
    <row r="40">
      <c r="A40" s="9" t="n">
        <v>46021</v>
      </c>
      <c r="B40" s="1">
        <f>B39</f>
        <v/>
      </c>
      <c r="C40" t="n">
        <v>323.8</v>
      </c>
    </row>
    <row r="41">
      <c r="A41" s="9" t="n">
        <v>46024</v>
      </c>
      <c r="B41" s="1">
        <f>B40</f>
        <v/>
      </c>
      <c r="C41" t="n">
        <v>326.95</v>
      </c>
    </row>
    <row r="42">
      <c r="A42" s="9" t="n">
        <v>46027</v>
      </c>
      <c r="B42" s="1">
        <f>B41</f>
        <v/>
      </c>
      <c r="C42" t="n">
        <v>331.45</v>
      </c>
    </row>
    <row r="43">
      <c r="A43" s="9" t="n">
        <v>46028</v>
      </c>
      <c r="B43" s="1">
        <f>B42</f>
        <v/>
      </c>
      <c r="C43" t="n">
        <v>326.75</v>
      </c>
    </row>
    <row r="44">
      <c r="A44" s="9" t="n">
        <v>46029</v>
      </c>
      <c r="B44" s="1">
        <f>B43</f>
        <v/>
      </c>
      <c r="C44" t="n">
        <v>325.15</v>
      </c>
    </row>
    <row r="45">
      <c r="A45" s="9" t="n">
        <v>46030</v>
      </c>
      <c r="B45" s="1">
        <f>B44</f>
        <v/>
      </c>
      <c r="C45" t="n">
        <v>325.75</v>
      </c>
    </row>
    <row r="46">
      <c r="A46" s="9" t="n">
        <v>46031</v>
      </c>
      <c r="B46" s="1">
        <f>B45</f>
        <v/>
      </c>
      <c r="C46" t="n">
        <v>324.6</v>
      </c>
    </row>
    <row r="47">
      <c r="A47" s="9" t="n">
        <v>46034</v>
      </c>
      <c r="B47" s="1">
        <f>B46</f>
        <v/>
      </c>
      <c r="C47" t="n">
        <v>325.55</v>
      </c>
    </row>
    <row r="48">
      <c r="A48" s="9" t="n">
        <v>46035</v>
      </c>
      <c r="B48" s="1">
        <f>B47</f>
        <v/>
      </c>
      <c r="C48" t="n">
        <v>321.75</v>
      </c>
    </row>
    <row r="49">
      <c r="A49" s="9" t="n">
        <v>46036</v>
      </c>
      <c r="B49" s="1">
        <f>B48</f>
        <v/>
      </c>
      <c r="C49" t="n">
        <v>320.4</v>
      </c>
    </row>
    <row r="50">
      <c r="A50" s="9" t="n">
        <v>46037</v>
      </c>
      <c r="B50" s="1">
        <f>B49</f>
        <v/>
      </c>
      <c r="C50" t="n">
        <v>319.2</v>
      </c>
    </row>
    <row r="51">
      <c r="A51" s="9" t="n">
        <v>46038</v>
      </c>
      <c r="B51" s="1">
        <f>B50</f>
        <v/>
      </c>
      <c r="C51" t="n">
        <v>319.75</v>
      </c>
    </row>
    <row r="52">
      <c r="A52" s="9" t="n">
        <v>46041</v>
      </c>
      <c r="B52" s="1">
        <f>B51</f>
        <v/>
      </c>
      <c r="C52" t="n">
        <v>322.7</v>
      </c>
    </row>
    <row r="53">
      <c r="A53" s="9" t="n">
        <v>46042</v>
      </c>
      <c r="B53" s="1">
        <f>B52</f>
        <v/>
      </c>
      <c r="C53" t="n">
        <v>325.25</v>
      </c>
    </row>
    <row r="54">
      <c r="A54" s="4" t="n">
        <v>46043</v>
      </c>
      <c r="B54" s="1">
        <f>B53</f>
        <v/>
      </c>
      <c r="C54" t="n">
        <v>329.35</v>
      </c>
    </row>
    <row r="55">
      <c r="A55" s="4" t="n">
        <v>46044</v>
      </c>
      <c r="B55" s="1">
        <f>B54</f>
        <v/>
      </c>
      <c r="C55" t="n">
        <v>328.05</v>
      </c>
    </row>
    <row r="56">
      <c r="A56" s="9" t="n">
        <v>46045</v>
      </c>
      <c r="B56" s="1">
        <f>B55</f>
        <v/>
      </c>
      <c r="C56" t="n">
        <v>327.9</v>
      </c>
    </row>
    <row r="57">
      <c r="A57" s="9" t="n">
        <v>46048</v>
      </c>
      <c r="B57" s="1">
        <f>B56</f>
        <v/>
      </c>
      <c r="C57" t="n">
        <v>329.5</v>
      </c>
    </row>
    <row r="58">
      <c r="A58" s="9" t="n">
        <v>46049</v>
      </c>
      <c r="B58" s="1">
        <f>B57</f>
        <v/>
      </c>
      <c r="C58" t="n">
        <v>330.95</v>
      </c>
    </row>
    <row r="59">
      <c r="A59" s="9" t="n">
        <v>46050</v>
      </c>
      <c r="B59" s="1">
        <f>B58</f>
        <v/>
      </c>
      <c r="C59" t="n">
        <v>331.95</v>
      </c>
    </row>
    <row r="60">
      <c r="A60" s="9" t="n">
        <v>46051</v>
      </c>
      <c r="B60" s="1">
        <f>B59</f>
        <v/>
      </c>
      <c r="C60" t="n">
        <v>333.35</v>
      </c>
    </row>
    <row r="61">
      <c r="A61" s="9" t="n">
        <v>46052</v>
      </c>
      <c r="B61" s="1">
        <f>B60</f>
        <v/>
      </c>
      <c r="C61" t="n">
        <v>334.75</v>
      </c>
    </row>
    <row r="62">
      <c r="A62" s="9" t="n">
        <v>46055</v>
      </c>
      <c r="B62" s="1">
        <f>B61</f>
        <v/>
      </c>
      <c r="C62" t="n">
        <v>335.3</v>
      </c>
    </row>
    <row r="63">
      <c r="A63" s="9" t="n">
        <v>46056</v>
      </c>
      <c r="B63" s="1">
        <f>B62</f>
        <v/>
      </c>
      <c r="C63" t="n">
        <v>336.9</v>
      </c>
    </row>
    <row r="64">
      <c r="A64" s="9" t="n">
        <v>46057</v>
      </c>
      <c r="B64" s="1">
        <f>B63</f>
        <v/>
      </c>
      <c r="C64" t="n">
        <v>337.8</v>
      </c>
    </row>
    <row r="65">
      <c r="A65" s="9" t="n">
        <v>46058</v>
      </c>
      <c r="B65" s="1">
        <f>B64</f>
        <v/>
      </c>
      <c r="C65" t="n">
        <v>337.8</v>
      </c>
    </row>
    <row r="66">
      <c r="A66" s="9" t="n">
        <v>46059</v>
      </c>
      <c r="B66" s="1">
        <f>B65</f>
        <v/>
      </c>
      <c r="C66" t="n">
        <v>340.7</v>
      </c>
    </row>
    <row r="67">
      <c r="A67" s="9" t="n">
        <v>46062</v>
      </c>
      <c r="B67" s="1">
        <f>B66</f>
        <v/>
      </c>
      <c r="C67" t="n">
        <v>338.55</v>
      </c>
    </row>
    <row r="68">
      <c r="A68" s="9" t="n">
        <v>46063</v>
      </c>
      <c r="B68" s="1">
        <f>B67</f>
        <v/>
      </c>
      <c r="C68" t="n">
        <v>339.7</v>
      </c>
    </row>
    <row r="69">
      <c r="A69" s="9" t="n">
        <v>46064</v>
      </c>
      <c r="B69" s="1">
        <f>B68</f>
        <v/>
      </c>
      <c r="C69" t="n">
        <v>340.45</v>
      </c>
    </row>
    <row r="70">
      <c r="A70" s="9" t="n">
        <v>46065</v>
      </c>
      <c r="B70" s="1">
        <f>B69</f>
        <v/>
      </c>
      <c r="C70" t="n">
        <v>339.65</v>
      </c>
    </row>
    <row r="71">
      <c r="A71" s="9" t="n">
        <v>46066</v>
      </c>
      <c r="B71" s="1">
        <f>B70</f>
        <v/>
      </c>
      <c r="C71" t="n">
        <v>340.15</v>
      </c>
    </row>
    <row r="72">
      <c r="A72" s="9" t="n">
        <v>46071</v>
      </c>
      <c r="B72" s="1">
        <f>B71</f>
        <v/>
      </c>
      <c r="C72" t="n">
        <v>341.45</v>
      </c>
    </row>
    <row r="73">
      <c r="A73" s="9" t="n">
        <v>46072</v>
      </c>
      <c r="B73" s="1">
        <f>B72</f>
        <v/>
      </c>
      <c r="C73" t="n">
        <v>342.3</v>
      </c>
    </row>
    <row r="74">
      <c r="A74" s="9" t="n">
        <v>46073</v>
      </c>
      <c r="B74" s="1">
        <f>B73</f>
        <v/>
      </c>
      <c r="C74" t="n">
        <v>346.65</v>
      </c>
    </row>
    <row r="75">
      <c r="A75" s="9" t="n">
        <v>46076</v>
      </c>
      <c r="B75" s="1">
        <f>B74</f>
        <v/>
      </c>
      <c r="C75" t="n">
        <v>347.7</v>
      </c>
    </row>
    <row r="76">
      <c r="A76" s="9" t="n">
        <v>46077</v>
      </c>
      <c r="B76" s="1">
        <f>B75</f>
        <v/>
      </c>
      <c r="C76" t="n">
        <v>348.1</v>
      </c>
    </row>
    <row r="77">
      <c r="A77" s="9" t="n">
        <v>46078</v>
      </c>
      <c r="B77" s="1">
        <f>B76</f>
        <v/>
      </c>
      <c r="C77" t="n">
        <v>348.6</v>
      </c>
    </row>
    <row r="78">
      <c r="A78" s="9" t="n">
        <v>46079</v>
      </c>
      <c r="B78" s="1">
        <f>B77</f>
        <v/>
      </c>
      <c r="C78" t="n">
        <v>345.6</v>
      </c>
    </row>
    <row r="79">
      <c r="A79" s="9" t="n">
        <v>46080</v>
      </c>
      <c r="B79" s="1">
        <f>B78</f>
        <v/>
      </c>
      <c r="C79" t="n">
        <v>345</v>
      </c>
    </row>
    <row r="80">
      <c r="A80" s="9" t="n">
        <v>46083</v>
      </c>
      <c r="B80" s="1">
        <f>B79</f>
        <v/>
      </c>
      <c r="C80" t="n">
        <v>339.35</v>
      </c>
    </row>
    <row r="81">
      <c r="A81" s="9" t="n">
        <v>46084</v>
      </c>
      <c r="B81" s="1">
        <f>B80</f>
        <v/>
      </c>
      <c r="C81" t="n">
        <v>336</v>
      </c>
    </row>
    <row r="82">
      <c r="A82" s="9" t="n">
        <v>46085</v>
      </c>
      <c r="B82" s="1">
        <f>B81</f>
        <v/>
      </c>
      <c r="C82" t="n">
        <v>337.95</v>
      </c>
    </row>
    <row r="83">
      <c r="A83" s="9" t="n">
        <v>46086</v>
      </c>
      <c r="B83" s="1">
        <f>B82</f>
        <v/>
      </c>
      <c r="C83" t="n">
        <v>336.4</v>
      </c>
    </row>
    <row r="84">
      <c r="A84" s="9" t="n">
        <v>46087</v>
      </c>
      <c r="B84" s="1">
        <f>B83</f>
        <v/>
      </c>
      <c r="C84" t="n">
        <v>334.85</v>
      </c>
    </row>
    <row r="85">
      <c r="A85" s="9" t="n">
        <v>46090</v>
      </c>
      <c r="B85" s="1">
        <f>B84</f>
        <v/>
      </c>
      <c r="C85" t="n">
        <v>337.75</v>
      </c>
    </row>
    <row r="86">
      <c r="A86" s="9" t="n">
        <v>46091</v>
      </c>
      <c r="B86" s="1">
        <f>B85</f>
        <v/>
      </c>
      <c r="C86" t="n">
        <v>338.6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343.6</v>
      </c>
    </row>
    <row r="89">
      <c r="A89" s="9" t="n">
        <v>46094</v>
      </c>
      <c r="B89" s="1">
        <f>B88</f>
        <v/>
      </c>
      <c r="C89" t="n">
        <v>341.9</v>
      </c>
    </row>
    <row r="90">
      <c r="A90" s="9" t="n">
        <v>46097</v>
      </c>
      <c r="B90" s="1">
        <f>B89</f>
        <v/>
      </c>
      <c r="C90" t="n">
        <v>344.05</v>
      </c>
    </row>
    <row r="91">
      <c r="A91" s="9" t="n">
        <v>46098</v>
      </c>
      <c r="B91" s="1">
        <f>B90</f>
        <v/>
      </c>
      <c r="C91" t="n">
        <v>342.05</v>
      </c>
    </row>
    <row r="92">
      <c r="A92" s="9" t="n">
        <v>46099</v>
      </c>
      <c r="B92" s="1">
        <f>B91</f>
        <v/>
      </c>
      <c r="C92" t="n">
        <v>342.25</v>
      </c>
    </row>
    <row r="93">
      <c r="A93" s="9" t="n">
        <v>46100</v>
      </c>
      <c r="B93" s="1">
        <f>B92</f>
        <v/>
      </c>
      <c r="C93" t="n">
        <v>347.8</v>
      </c>
    </row>
    <row r="94">
      <c r="A94" s="9" t="n">
        <v>46101</v>
      </c>
      <c r="B94" s="1">
        <f>B93</f>
        <v/>
      </c>
      <c r="C94" t="n">
        <v>351.3</v>
      </c>
    </row>
    <row r="95">
      <c r="A95" s="9" t="n">
        <v>46104</v>
      </c>
      <c r="B95" s="1">
        <f>B94</f>
        <v/>
      </c>
      <c r="C95" t="n">
        <v>352</v>
      </c>
    </row>
    <row r="96">
      <c r="A96" s="9" t="n">
        <v>46105</v>
      </c>
      <c r="B96" s="1">
        <f>B95</f>
        <v/>
      </c>
      <c r="C96" t="n">
        <v>352.6</v>
      </c>
    </row>
    <row r="97">
      <c r="A97" s="9" t="n">
        <v>46106</v>
      </c>
      <c r="B97" s="1">
        <f>B96</f>
        <v/>
      </c>
      <c r="C97" t="n">
        <v>352.35</v>
      </c>
    </row>
    <row r="98">
      <c r="A98" s="9" t="n">
        <v>46107</v>
      </c>
      <c r="B98" s="1">
        <f>B97</f>
        <v/>
      </c>
      <c r="C98" t="n">
        <v>352.65</v>
      </c>
    </row>
    <row r="99">
      <c r="A99" s="9" t="n">
        <v>46108</v>
      </c>
      <c r="B99" s="1">
        <f>B98</f>
        <v/>
      </c>
      <c r="C99" t="n">
        <v>354.3</v>
      </c>
    </row>
    <row r="100">
      <c r="A100" s="9" t="n">
        <v>46111</v>
      </c>
      <c r="B100" s="1">
        <f>B99</f>
        <v/>
      </c>
      <c r="C100" t="n">
        <v>354.5</v>
      </c>
    </row>
    <row r="101">
      <c r="A101" s="9" t="n">
        <v>46112</v>
      </c>
      <c r="B101" s="1">
        <f>B100</f>
        <v/>
      </c>
      <c r="C101" t="n">
        <v>352.4</v>
      </c>
    </row>
    <row r="102">
      <c r="A102" s="9" t="n">
        <v>46113</v>
      </c>
      <c r="B102" s="1">
        <f>B111</f>
        <v/>
      </c>
      <c r="C102" t="n">
        <v>354.25</v>
      </c>
    </row>
    <row r="103">
      <c r="A103" s="9" t="n">
        <v>46114</v>
      </c>
      <c r="B103" s="1">
        <f>B112</f>
        <v/>
      </c>
      <c r="C103" t="n">
        <v>354.1</v>
      </c>
    </row>
    <row r="104">
      <c r="A104" s="9" t="n">
        <v>46118</v>
      </c>
      <c r="B104" s="1">
        <f>B113</f>
        <v/>
      </c>
      <c r="C104" t="n">
        <v>359.15</v>
      </c>
    </row>
    <row r="105">
      <c r="A105" s="9" t="n">
        <v>46119</v>
      </c>
      <c r="B105" s="1">
        <f>B114</f>
        <v/>
      </c>
      <c r="C105" t="n">
        <v>355.55</v>
      </c>
    </row>
    <row r="106">
      <c r="A106" s="9" t="n">
        <v>46120</v>
      </c>
      <c r="B106" s="1">
        <f>B115</f>
        <v/>
      </c>
      <c r="C106" t="n">
        <v>348.55</v>
      </c>
    </row>
    <row r="107">
      <c r="A107" s="9" t="n">
        <v>46121</v>
      </c>
      <c r="B107" s="1">
        <f>B116</f>
        <v/>
      </c>
      <c r="C107" t="n">
        <v>350.8</v>
      </c>
    </row>
    <row r="108">
      <c r="A108" s="9" t="n">
        <v>46122</v>
      </c>
      <c r="B108" s="1">
        <f>B117</f>
        <v/>
      </c>
      <c r="C108" t="n">
        <v>347.7</v>
      </c>
    </row>
    <row r="109">
      <c r="A109" s="9" t="n">
        <v>46125</v>
      </c>
      <c r="B109" s="1">
        <f>B118</f>
        <v/>
      </c>
      <c r="C109" t="n">
        <v>340.4</v>
      </c>
    </row>
    <row r="110">
      <c r="A110" s="9" t="n">
        <v>46126</v>
      </c>
      <c r="B110" s="1">
        <f>B119</f>
        <v/>
      </c>
      <c r="C110" t="n">
        <v>341.1</v>
      </c>
    </row>
    <row r="111">
      <c r="A111" s="9" t="n">
        <v>46127</v>
      </c>
      <c r="B111" s="1">
        <f>B120</f>
        <v/>
      </c>
      <c r="C111" t="n">
        <v>339.95</v>
      </c>
    </row>
    <row r="112">
      <c r="A112" s="9" t="n">
        <v>46128</v>
      </c>
      <c r="B112" s="1">
        <f>B121</f>
        <v/>
      </c>
      <c r="C112" t="n">
        <v>340</v>
      </c>
    </row>
    <row r="113">
      <c r="A113" s="9" t="n">
        <v>46129</v>
      </c>
      <c r="B113" s="1">
        <f>B112</f>
        <v/>
      </c>
      <c r="C113" t="n">
        <v>336.85</v>
      </c>
    </row>
    <row r="114">
      <c r="A114" s="9" t="n">
        <v>46132</v>
      </c>
      <c r="B114" s="1">
        <f>B113</f>
        <v/>
      </c>
      <c r="C114" t="n">
        <v>334.8</v>
      </c>
    </row>
    <row r="115">
      <c r="A115" s="9" t="n">
        <v>46134</v>
      </c>
      <c r="B115" s="1">
        <f>B114</f>
        <v/>
      </c>
      <c r="C115" t="n">
        <v>338.4</v>
      </c>
    </row>
    <row r="116">
      <c r="A116" s="9" t="n">
        <v>46135</v>
      </c>
      <c r="B116" s="1">
        <f>B115</f>
        <v/>
      </c>
      <c r="C116" t="n">
        <v>334.95</v>
      </c>
    </row>
    <row r="117">
      <c r="A117" s="9" t="n">
        <v>46136</v>
      </c>
      <c r="B117" s="1">
        <f>B116</f>
        <v/>
      </c>
      <c r="C117" t="n">
        <v>338.4</v>
      </c>
    </row>
    <row r="118">
      <c r="A118" s="9" t="n">
        <v>46139</v>
      </c>
      <c r="B118" s="1">
        <f>B117</f>
        <v/>
      </c>
      <c r="C118" t="n">
        <v>338.7</v>
      </c>
    </row>
    <row r="119">
      <c r="A119" s="9" t="n">
        <v>46140</v>
      </c>
      <c r="B119" s="1">
        <f>B118</f>
        <v/>
      </c>
      <c r="C119" t="n">
        <v>336.4</v>
      </c>
    </row>
    <row r="120">
      <c r="A120" s="9" t="n">
        <v>46141</v>
      </c>
      <c r="B120" s="1">
        <f>B119</f>
        <v/>
      </c>
      <c r="C120" t="n">
        <v>332.65</v>
      </c>
    </row>
    <row r="121">
      <c r="A121" s="9" t="n">
        <v>46142</v>
      </c>
      <c r="B121" s="1">
        <f>B120</f>
        <v/>
      </c>
      <c r="C121" t="n">
        <v>333.4</v>
      </c>
    </row>
    <row r="122">
      <c r="A122" s="9" t="n">
        <v>46146</v>
      </c>
      <c r="B122" s="1">
        <f>B121</f>
        <v/>
      </c>
      <c r="C122" t="n">
        <v>340.25</v>
      </c>
    </row>
    <row r="123">
      <c r="A123" s="9" t="n">
        <v>46147</v>
      </c>
      <c r="B123" s="1">
        <f>B122</f>
        <v/>
      </c>
      <c r="C123" t="n">
        <v>336.7</v>
      </c>
    </row>
    <row r="124">
      <c r="A124" s="9" t="n">
        <v>46148</v>
      </c>
      <c r="B124" s="1">
        <f>B123</f>
        <v/>
      </c>
      <c r="C124" t="n">
        <v>336.5</v>
      </c>
    </row>
    <row r="125">
      <c r="A125" s="9" t="n">
        <v>46149</v>
      </c>
      <c r="B125" s="1">
        <f>B124</f>
        <v/>
      </c>
      <c r="C125" t="n">
        <v>336</v>
      </c>
    </row>
    <row r="126">
      <c r="A126" s="9" t="n">
        <v>46150</v>
      </c>
      <c r="B126" s="1">
        <f>B125</f>
        <v/>
      </c>
      <c r="C126" t="n">
        <v>337.25</v>
      </c>
    </row>
    <row r="127">
      <c r="A127" s="9" t="n">
        <v>46153</v>
      </c>
      <c r="B127" s="1">
        <f>B126</f>
        <v/>
      </c>
      <c r="C127" t="n">
        <v>344.55</v>
      </c>
    </row>
    <row r="128">
      <c r="A128" s="9" t="n">
        <v>46154</v>
      </c>
      <c r="B128" s="1">
        <f>B127</f>
        <v/>
      </c>
      <c r="C128" t="n">
        <v>342.15</v>
      </c>
    </row>
    <row r="129">
      <c r="A129" s="9" t="n">
        <v>46155</v>
      </c>
      <c r="B129" s="1">
        <f>B128</f>
        <v/>
      </c>
      <c r="C129" t="n">
        <v>340</v>
      </c>
    </row>
    <row r="130">
      <c r="A130" s="9" t="n">
        <v>46156</v>
      </c>
      <c r="B130" s="1">
        <f>B129</f>
        <v/>
      </c>
      <c r="C130" t="n">
        <v>340.25</v>
      </c>
    </row>
    <row r="131">
      <c r="A131" s="9" t="n">
        <v>46157</v>
      </c>
      <c r="B131" s="1">
        <f>B130</f>
        <v/>
      </c>
      <c r="C131" t="n">
        <v>336.55</v>
      </c>
    </row>
    <row r="132">
      <c r="A132" s="9" t="n">
        <v>46160</v>
      </c>
      <c r="B132" s="1">
        <f>B131</f>
        <v/>
      </c>
      <c r="C132" t="n">
        <v>337.05</v>
      </c>
    </row>
    <row r="133">
      <c r="A133" s="9" t="n">
        <v>46161</v>
      </c>
      <c r="B133" s="1">
        <f>B132</f>
        <v/>
      </c>
      <c r="C133" t="n">
        <v>345.45</v>
      </c>
    </row>
    <row r="134">
      <c r="A134" s="9" t="n">
        <v>46162</v>
      </c>
      <c r="B134" s="1">
        <f>B133</f>
        <v/>
      </c>
      <c r="C134" t="n">
        <v>345</v>
      </c>
    </row>
    <row r="135">
      <c r="A135" s="9" t="n">
        <v>46163</v>
      </c>
      <c r="B135" s="1">
        <f>B134</f>
        <v/>
      </c>
      <c r="C135" t="n">
        <v>345.7</v>
      </c>
    </row>
    <row r="136">
      <c r="A136" s="9" t="n">
        <v>46164</v>
      </c>
      <c r="B136" s="1">
        <f>B135</f>
        <v/>
      </c>
      <c r="C136" t="n">
        <v>348.8</v>
      </c>
    </row>
    <row r="137">
      <c r="A137" s="9" t="n">
        <v>46167</v>
      </c>
      <c r="B137" s="1">
        <f>B136</f>
        <v/>
      </c>
      <c r="C137" t="n">
        <v>351.8</v>
      </c>
    </row>
    <row r="138">
      <c r="A138" s="9" t="n">
        <v>46168</v>
      </c>
      <c r="B138" s="1">
        <f>B137</f>
        <v/>
      </c>
      <c r="C138" t="n">
        <v>352.15</v>
      </c>
    </row>
    <row r="139">
      <c r="A139" s="9" t="n">
        <v>46169</v>
      </c>
      <c r="B139" s="1">
        <f>B138</f>
        <v/>
      </c>
      <c r="C139" t="n">
        <v>353.5</v>
      </c>
    </row>
    <row r="140">
      <c r="A140" s="9" t="n">
        <v>46170</v>
      </c>
      <c r="B140" s="1">
        <f>B139</f>
        <v/>
      </c>
      <c r="C140" t="n">
        <v>354.4</v>
      </c>
    </row>
    <row r="141">
      <c r="A141" s="9" t="n">
        <v>46171</v>
      </c>
      <c r="B141" s="1">
        <f>B140</f>
        <v/>
      </c>
      <c r="C141" t="n">
        <v>346.4</v>
      </c>
    </row>
    <row r="142">
      <c r="A142" s="9" t="n">
        <v>46174</v>
      </c>
      <c r="B142" s="1">
        <f>B141</f>
        <v/>
      </c>
      <c r="C142" t="n">
        <v>349.3</v>
      </c>
    </row>
    <row r="143">
      <c r="A143" s="9" t="n">
        <v>46175</v>
      </c>
      <c r="B143" s="1">
        <f>B142</f>
        <v/>
      </c>
      <c r="C143" t="n">
        <v>352.25</v>
      </c>
    </row>
    <row r="144">
      <c r="A144" s="9" t="n">
        <v>46176</v>
      </c>
      <c r="B144" s="1">
        <f>B143</f>
        <v/>
      </c>
      <c r="C144" t="n">
        <v>351.1</v>
      </c>
    </row>
    <row r="145">
      <c r="A145" s="9" t="n">
        <v>46178</v>
      </c>
      <c r="B145" s="1">
        <f>B144</f>
        <v/>
      </c>
      <c r="C145" t="n">
        <v>352.75</v>
      </c>
    </row>
    <row r="146">
      <c r="A146" s="9" t="n">
        <v>46181</v>
      </c>
      <c r="B146" s="1">
        <f>B145</f>
        <v/>
      </c>
      <c r="C146" t="n">
        <v>352.35</v>
      </c>
    </row>
    <row r="147">
      <c r="A147" s="9" t="n">
        <v>46182</v>
      </c>
      <c r="B147" s="1">
        <f>B146</f>
        <v/>
      </c>
      <c r="C147" t="n">
        <v>349.15</v>
      </c>
    </row>
    <row r="148">
      <c r="A148" s="9" t="n">
        <v>46183</v>
      </c>
      <c r="B148" s="1">
        <f>B147</f>
        <v/>
      </c>
      <c r="C148" t="n">
        <v>346.9</v>
      </c>
    </row>
    <row r="149">
      <c r="A149" s="9" t="n">
        <v>46184</v>
      </c>
      <c r="B149" s="1">
        <f>B148</f>
        <v/>
      </c>
      <c r="C149" t="n">
        <v>348.35</v>
      </c>
    </row>
    <row r="150">
      <c r="A150" s="9" t="n">
        <v>46185</v>
      </c>
      <c r="B150" s="1">
        <f>B149</f>
        <v/>
      </c>
      <c r="C150" t="n">
        <v>347.2</v>
      </c>
    </row>
    <row r="151">
      <c r="A151" s="9" t="n">
        <v>46188</v>
      </c>
      <c r="B151" s="1">
        <f>B150</f>
        <v/>
      </c>
      <c r="C151" t="n">
        <v>344.65</v>
      </c>
    </row>
    <row r="152">
      <c r="A152" s="9" t="n">
        <v>46189</v>
      </c>
      <c r="B152" s="1">
        <f>B151</f>
        <v/>
      </c>
      <c r="C152" t="n">
        <v>344.35</v>
      </c>
    </row>
    <row r="153">
      <c r="A153" s="9" t="n">
        <v>46190</v>
      </c>
      <c r="B153" s="1">
        <f>B152</f>
        <v/>
      </c>
      <c r="C153" t="n">
        <v>340.95</v>
      </c>
    </row>
    <row r="154">
      <c r="A154" s="9" t="n">
        <v>46191</v>
      </c>
      <c r="B154" s="1">
        <f>B153</f>
        <v/>
      </c>
      <c r="C154" t="n">
        <v>341.75</v>
      </c>
    </row>
    <row r="155">
      <c r="A155" s="9" t="n">
        <v>46192</v>
      </c>
      <c r="B155" s="1">
        <f>B154</f>
        <v/>
      </c>
      <c r="C155" t="n">
        <v>341.7</v>
      </c>
    </row>
    <row r="156">
      <c r="A156" s="9" t="n">
        <v>46195</v>
      </c>
      <c r="B156" s="1">
        <f>B155</f>
        <v/>
      </c>
      <c r="C156" t="n">
        <v>342.75</v>
      </c>
    </row>
    <row r="157">
      <c r="A157" s="9" t="n">
        <v>46196</v>
      </c>
      <c r="B157" s="1">
        <f>B156</f>
        <v/>
      </c>
      <c r="C157" t="n">
        <v>341.85</v>
      </c>
    </row>
    <row r="158">
      <c r="A158" s="9" t="n">
        <v>46197</v>
      </c>
      <c r="B158" s="1">
        <f>B157</f>
        <v/>
      </c>
      <c r="C158" t="n">
        <v>338.4</v>
      </c>
    </row>
    <row r="159">
      <c r="A159" s="9" t="n">
        <v>46198</v>
      </c>
      <c r="B159" s="1">
        <f>B158</f>
        <v/>
      </c>
      <c r="C159" t="n">
        <v>339</v>
      </c>
    </row>
    <row r="160">
      <c r="A160" s="9" t="n">
        <v>46199</v>
      </c>
      <c r="B160" s="1">
        <f>B159</f>
        <v/>
      </c>
      <c r="C160" t="n">
        <v>339.4</v>
      </c>
    </row>
    <row r="161">
      <c r="A161" s="9" t="n">
        <v>46202</v>
      </c>
      <c r="B161" s="1">
        <f>B160</f>
        <v/>
      </c>
      <c r="C161" t="n">
        <v>338.6</v>
      </c>
    </row>
    <row r="162">
      <c r="A162" s="9" t="n">
        <v>46203</v>
      </c>
      <c r="B162" s="1">
        <f>B161</f>
        <v/>
      </c>
      <c r="C162" t="n">
        <v>337.58</v>
      </c>
    </row>
    <row r="163">
      <c r="A163" s="9">
        <f>IF('S.H BOI GORDO'!A7236=""," ",'S.H BOI GORDO'!A7236)</f>
        <v/>
      </c>
      <c r="B163" s="1">
        <f>B172</f>
        <v/>
      </c>
    </row>
    <row r="164">
      <c r="A164" s="9">
        <f>IF('S.H BOI GORDO'!A7237=""," ",'S.H BOI GORDO'!A7237)</f>
        <v/>
      </c>
      <c r="B164" s="1">
        <f>B173</f>
        <v/>
      </c>
    </row>
    <row r="165">
      <c r="A165" s="9">
        <f>IF('S.H BOI GORDO'!A7238=""," ",'S.H BOI GORDO'!A7238)</f>
        <v/>
      </c>
      <c r="B165" s="1">
        <f>B174</f>
        <v/>
      </c>
    </row>
    <row r="166">
      <c r="A166" s="9">
        <f>IF('S.H BOI GORDO'!A7239=""," ",'S.H BOI GORDO'!A7239)</f>
        <v/>
      </c>
      <c r="B166" s="1">
        <f>B175</f>
        <v/>
      </c>
    </row>
    <row r="167">
      <c r="A167" s="9">
        <f>IF('S.H BOI GORDO'!A7240=""," ",'S.H BOI GORDO'!A7240)</f>
        <v/>
      </c>
      <c r="B167" s="1">
        <f>B176</f>
        <v/>
      </c>
    </row>
    <row r="168">
      <c r="A168" s="9">
        <f>IF('S.H BOI GORDO'!A7241=""," ",'S.H BOI GORDO'!A7241)</f>
        <v/>
      </c>
      <c r="B168" s="1">
        <f>B177</f>
        <v/>
      </c>
    </row>
    <row r="169">
      <c r="A169" s="9">
        <f>IF('S.H BOI GORDO'!A7242=""," ",'S.H BOI GORDO'!A7242)</f>
        <v/>
      </c>
      <c r="B169" s="1">
        <f>B178</f>
        <v/>
      </c>
    </row>
    <row r="170">
      <c r="A170" s="9">
        <f>IF('S.H BOI GORDO'!A7243=""," ",'S.H BOI GORDO'!A7243)</f>
        <v/>
      </c>
      <c r="B170" s="1">
        <f>B179</f>
        <v/>
      </c>
    </row>
    <row r="171">
      <c r="A171" s="9">
        <f>IF('S.H BOI GORDO'!A7244=""," ",'S.H BOI GORDO'!A7244)</f>
        <v/>
      </c>
      <c r="B171" s="1">
        <f>B180</f>
        <v/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6.xml><?xml version="1.0" encoding="utf-8"?>
<worksheet xmlns="http://schemas.openxmlformats.org/spreadsheetml/2006/main">
  <sheetPr codeName="Planilha16">
    <outlinePr summaryBelow="1" summaryRight="1"/>
    <pageSetUpPr/>
  </sheetPr>
  <dimension ref="A1:C190"/>
  <sheetViews>
    <sheetView topLeftCell="A151" zoomScale="90" zoomScaleNormal="90" workbookViewId="0">
      <selection activeCell="E159" sqref="E15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45964</v>
      </c>
      <c r="B2" s="1" t="inlineStr">
        <is>
          <t>BGIN26</t>
        </is>
      </c>
      <c r="C2" s="1" t="n">
        <v>342.45</v>
      </c>
    </row>
    <row r="3">
      <c r="A3" s="9" t="n">
        <v>45965</v>
      </c>
      <c r="B3" s="1">
        <f>B2</f>
        <v/>
      </c>
      <c r="C3" s="1" t="n">
        <v>342.65</v>
      </c>
    </row>
    <row r="4">
      <c r="A4" s="9" t="n">
        <v>45966</v>
      </c>
      <c r="B4" s="1">
        <f>B3</f>
        <v/>
      </c>
      <c r="C4" s="1" t="n">
        <v>341.2</v>
      </c>
    </row>
    <row r="5">
      <c r="A5" s="9" t="n">
        <v>45967</v>
      </c>
      <c r="B5" s="1">
        <f>B4</f>
        <v/>
      </c>
      <c r="C5" s="1" t="n">
        <v>330.75</v>
      </c>
    </row>
    <row r="6">
      <c r="A6" s="9" t="n">
        <v>45968</v>
      </c>
      <c r="B6" s="1">
        <f>B5</f>
        <v/>
      </c>
      <c r="C6" s="1" t="n">
        <v>333.5</v>
      </c>
    </row>
    <row r="7">
      <c r="A7" s="9" t="n">
        <v>45971</v>
      </c>
      <c r="B7" s="1">
        <f>B6</f>
        <v/>
      </c>
      <c r="C7" s="1" t="n">
        <v>332.45</v>
      </c>
    </row>
    <row r="8">
      <c r="A8" s="9" t="n">
        <v>45972</v>
      </c>
      <c r="B8" s="1">
        <f>B7</f>
        <v/>
      </c>
      <c r="C8" s="1" t="n">
        <v>332.55</v>
      </c>
    </row>
    <row r="9">
      <c r="A9" s="9" t="n">
        <v>45973</v>
      </c>
      <c r="B9" s="1">
        <f>B8</f>
        <v/>
      </c>
      <c r="C9" s="1" t="n">
        <v>331.5</v>
      </c>
    </row>
    <row r="10">
      <c r="A10" s="9" t="n">
        <v>45974</v>
      </c>
      <c r="B10" s="1">
        <f>B9</f>
        <v/>
      </c>
      <c r="C10" s="1" t="n">
        <v>331.15</v>
      </c>
    </row>
    <row r="11">
      <c r="A11" s="9" t="n">
        <v>45975</v>
      </c>
      <c r="B11" s="1">
        <f>B10</f>
        <v/>
      </c>
      <c r="C11" s="1" t="n">
        <v>329.4</v>
      </c>
    </row>
    <row r="12">
      <c r="A12" s="9" t="n">
        <v>45978</v>
      </c>
      <c r="B12" s="1">
        <f>B11</f>
        <v/>
      </c>
      <c r="C12" s="1" t="n">
        <v>327.7</v>
      </c>
    </row>
    <row r="13">
      <c r="A13" s="9" t="n">
        <v>45979</v>
      </c>
      <c r="B13" s="1">
        <f>B12</f>
        <v/>
      </c>
      <c r="C13" s="1" t="n">
        <v>328.15</v>
      </c>
    </row>
    <row r="14">
      <c r="A14" s="9" t="n">
        <v>45980</v>
      </c>
      <c r="B14" s="1">
        <f>B13</f>
        <v/>
      </c>
      <c r="C14" s="1" t="n">
        <v>325.15</v>
      </c>
    </row>
    <row r="15">
      <c r="A15" s="9" t="n">
        <v>45982</v>
      </c>
      <c r="B15" s="1">
        <f>B14</f>
        <v/>
      </c>
      <c r="C15" s="1" t="n">
        <v>335.75</v>
      </c>
    </row>
    <row r="16">
      <c r="A16" s="9" t="n">
        <v>45985</v>
      </c>
      <c r="B16" s="1">
        <f>B15</f>
        <v/>
      </c>
      <c r="C16" s="1" t="n">
        <v>329.2</v>
      </c>
    </row>
    <row r="17">
      <c r="A17" s="9" t="n">
        <v>45986</v>
      </c>
      <c r="B17" s="1">
        <f>B16</f>
        <v/>
      </c>
      <c r="C17" s="1" t="n">
        <v>334.75</v>
      </c>
    </row>
    <row r="18">
      <c r="A18" s="9" t="n">
        <v>45987</v>
      </c>
      <c r="B18" s="1">
        <f>B17</f>
        <v/>
      </c>
      <c r="C18" s="1" t="n">
        <v>334.75</v>
      </c>
    </row>
    <row r="19">
      <c r="A19" s="9" t="n">
        <v>45988</v>
      </c>
      <c r="B19" s="1">
        <f>B18</f>
        <v/>
      </c>
      <c r="C19" s="1" t="n">
        <v>333.6</v>
      </c>
    </row>
    <row r="20">
      <c r="A20" s="9" t="n">
        <v>45989</v>
      </c>
      <c r="B20" s="1">
        <f>B19</f>
        <v/>
      </c>
      <c r="C20" s="1" t="n">
        <v>339.75</v>
      </c>
    </row>
    <row r="21">
      <c r="A21" s="9" t="n">
        <v>45992</v>
      </c>
      <c r="B21" s="1">
        <f>B20</f>
        <v/>
      </c>
      <c r="C21" s="1" t="n">
        <v>340.5</v>
      </c>
    </row>
    <row r="22">
      <c r="A22" s="9" t="n">
        <v>45993</v>
      </c>
      <c r="B22" s="1">
        <f>B21</f>
        <v/>
      </c>
      <c r="C22" s="1" t="n">
        <v>342.1</v>
      </c>
    </row>
    <row r="23">
      <c r="A23" s="9" t="n">
        <v>45994</v>
      </c>
      <c r="B23" s="1">
        <f>B22</f>
        <v/>
      </c>
      <c r="C23" s="1" t="n">
        <v>341.2</v>
      </c>
    </row>
    <row r="24">
      <c r="A24" s="9" t="n">
        <v>45995</v>
      </c>
      <c r="B24" s="1">
        <f>B23</f>
        <v/>
      </c>
      <c r="C24" s="1" t="n">
        <v>340.35</v>
      </c>
    </row>
    <row r="25">
      <c r="A25" s="2" t="n">
        <v>45996</v>
      </c>
      <c r="B25" s="1">
        <f>B24</f>
        <v/>
      </c>
      <c r="C25" s="1" t="n">
        <v>341.05</v>
      </c>
    </row>
    <row r="26">
      <c r="A26" s="9" t="n">
        <v>45999</v>
      </c>
      <c r="B26" s="1">
        <f>B25</f>
        <v/>
      </c>
      <c r="C26" s="1" t="n">
        <v>340.65</v>
      </c>
    </row>
    <row r="27">
      <c r="A27" s="9" t="n">
        <v>46000</v>
      </c>
      <c r="B27" s="1">
        <f>B26</f>
        <v/>
      </c>
      <c r="C27" s="1" t="n">
        <v>335.65</v>
      </c>
    </row>
    <row r="28">
      <c r="A28" s="9" t="n">
        <v>46001</v>
      </c>
      <c r="B28" s="1">
        <f>B27</f>
        <v/>
      </c>
      <c r="C28" s="1" t="n">
        <v>336.6</v>
      </c>
    </row>
    <row r="29">
      <c r="A29" s="9" t="n">
        <v>46002</v>
      </c>
      <c r="B29" s="1">
        <f>B28</f>
        <v/>
      </c>
      <c r="C29" s="1" t="n">
        <v>337.05</v>
      </c>
    </row>
    <row r="30">
      <c r="A30" s="9" t="n">
        <v>46003</v>
      </c>
      <c r="B30" s="1">
        <f>B29</f>
        <v/>
      </c>
      <c r="C30" s="1" t="n">
        <v>335.05</v>
      </c>
    </row>
    <row r="31">
      <c r="A31" s="9" t="n">
        <v>46006</v>
      </c>
      <c r="B31" s="1">
        <f>B30</f>
        <v/>
      </c>
      <c r="C31" t="n">
        <v>336.45</v>
      </c>
    </row>
    <row r="32">
      <c r="A32" s="9" t="n">
        <v>46007</v>
      </c>
      <c r="B32" s="1">
        <f>B31</f>
        <v/>
      </c>
      <c r="C32" t="n">
        <v>335.8</v>
      </c>
    </row>
    <row r="33">
      <c r="A33" s="9" t="n">
        <v>46008</v>
      </c>
      <c r="B33" s="1">
        <f>B32</f>
        <v/>
      </c>
      <c r="C33" t="n">
        <v>333.85</v>
      </c>
    </row>
    <row r="34">
      <c r="A34" s="4" t="n">
        <v>46009</v>
      </c>
      <c r="B34" s="1">
        <f>B33</f>
        <v/>
      </c>
      <c r="C34" t="n">
        <v>334.5</v>
      </c>
    </row>
    <row r="35">
      <c r="A35" s="9" t="n">
        <v>46010</v>
      </c>
      <c r="B35" s="1">
        <f>B34</f>
        <v/>
      </c>
      <c r="C35" t="n">
        <v>332.8</v>
      </c>
    </row>
    <row r="36">
      <c r="A36" s="9" t="n">
        <v>46013</v>
      </c>
      <c r="B36" s="1">
        <f>B35</f>
        <v/>
      </c>
      <c r="C36" t="n">
        <v>332.2</v>
      </c>
    </row>
    <row r="37">
      <c r="A37" s="9" t="n">
        <v>46014</v>
      </c>
      <c r="B37" s="1">
        <f>B36</f>
        <v/>
      </c>
      <c r="C37" t="n">
        <v>333.25</v>
      </c>
    </row>
    <row r="38">
      <c r="A38" s="9" t="n">
        <v>46017</v>
      </c>
      <c r="B38" s="1">
        <f>B37</f>
        <v/>
      </c>
      <c r="C38" t="n">
        <v>334.1</v>
      </c>
    </row>
    <row r="39">
      <c r="A39" s="9" t="n">
        <v>46020</v>
      </c>
      <c r="B39" s="1">
        <f>B38</f>
        <v/>
      </c>
      <c r="C39" t="n">
        <v>330.55</v>
      </c>
    </row>
    <row r="40">
      <c r="A40" s="9" t="n">
        <v>46021</v>
      </c>
      <c r="B40" s="1">
        <f>B39</f>
        <v/>
      </c>
      <c r="C40" t="n">
        <v>332.8</v>
      </c>
    </row>
    <row r="41">
      <c r="A41" s="9" t="n">
        <v>46024</v>
      </c>
      <c r="B41" s="1">
        <f>B40</f>
        <v/>
      </c>
      <c r="C41" t="n">
        <v>332.05</v>
      </c>
    </row>
    <row r="42">
      <c r="A42" s="9" t="n">
        <v>46027</v>
      </c>
      <c r="B42" s="1">
        <f>B41</f>
        <v/>
      </c>
      <c r="C42" t="n">
        <v>332.95</v>
      </c>
    </row>
    <row r="43">
      <c r="A43" s="9" t="n">
        <v>46028</v>
      </c>
      <c r="B43" s="1">
        <f>B42</f>
        <v/>
      </c>
      <c r="C43" t="n">
        <v>328.05</v>
      </c>
    </row>
    <row r="44">
      <c r="A44" s="9" t="n">
        <v>46029</v>
      </c>
      <c r="B44" s="1">
        <f>B43</f>
        <v/>
      </c>
      <c r="C44" t="n">
        <v>328.4</v>
      </c>
    </row>
    <row r="45">
      <c r="A45" s="9" t="n">
        <v>46030</v>
      </c>
      <c r="B45" s="1">
        <f>B44</f>
        <v/>
      </c>
      <c r="C45" t="n">
        <v>326.7</v>
      </c>
    </row>
    <row r="46">
      <c r="A46" s="9" t="n">
        <v>46031</v>
      </c>
      <c r="B46" s="1">
        <f>B45</f>
        <v/>
      </c>
      <c r="C46" t="n">
        <v>325.55</v>
      </c>
    </row>
    <row r="47">
      <c r="A47" s="9" t="n">
        <v>46034</v>
      </c>
      <c r="B47" s="1">
        <f>B46</f>
        <v/>
      </c>
      <c r="C47" t="n">
        <v>325.3</v>
      </c>
    </row>
    <row r="48">
      <c r="A48" s="9" t="n">
        <v>46035</v>
      </c>
      <c r="B48" s="1">
        <f>B47</f>
        <v/>
      </c>
      <c r="C48" t="n">
        <v>321.85</v>
      </c>
    </row>
    <row r="49">
      <c r="A49" s="9" t="n">
        <v>46036</v>
      </c>
      <c r="B49" s="1">
        <f>B48</f>
        <v/>
      </c>
      <c r="C49" t="n">
        <v>322.2</v>
      </c>
    </row>
    <row r="50">
      <c r="A50" s="9" t="n">
        <v>46037</v>
      </c>
      <c r="B50" s="1">
        <f>B49</f>
        <v/>
      </c>
      <c r="C50" t="n">
        <v>321.6</v>
      </c>
    </row>
    <row r="51">
      <c r="A51" s="9" t="n">
        <v>46038</v>
      </c>
      <c r="B51" s="1">
        <f>B50</f>
        <v/>
      </c>
      <c r="C51" t="n">
        <v>323.35</v>
      </c>
    </row>
    <row r="52">
      <c r="A52" s="9" t="n">
        <v>46041</v>
      </c>
      <c r="B52" s="1">
        <f>B51</f>
        <v/>
      </c>
      <c r="C52" t="n">
        <v>325.6</v>
      </c>
    </row>
    <row r="53">
      <c r="A53" s="9" t="n">
        <v>46042</v>
      </c>
      <c r="B53" s="1">
        <f>B52</f>
        <v/>
      </c>
      <c r="C53" t="n">
        <v>326.8</v>
      </c>
    </row>
    <row r="54">
      <c r="A54" s="4" t="n">
        <v>46043</v>
      </c>
      <c r="B54" s="1">
        <f>B53</f>
        <v/>
      </c>
      <c r="C54" t="n">
        <v>330.05</v>
      </c>
    </row>
    <row r="55">
      <c r="A55" s="4" t="n">
        <v>46044</v>
      </c>
      <c r="B55" s="1">
        <f>B54</f>
        <v/>
      </c>
      <c r="C55" t="n">
        <v>328.5</v>
      </c>
    </row>
    <row r="56">
      <c r="A56" s="9" t="n">
        <v>46045</v>
      </c>
      <c r="B56" s="1">
        <f>B55</f>
        <v/>
      </c>
      <c r="C56" t="n">
        <v>328.4</v>
      </c>
    </row>
    <row r="57">
      <c r="A57" s="9" t="n">
        <v>46048</v>
      </c>
      <c r="B57" s="1">
        <f>B56</f>
        <v/>
      </c>
      <c r="C57" t="n">
        <v>332.05</v>
      </c>
    </row>
    <row r="58">
      <c r="A58" s="9" t="n">
        <v>46049</v>
      </c>
      <c r="B58" s="1">
        <f>B57</f>
        <v/>
      </c>
      <c r="C58" t="n">
        <v>333.6</v>
      </c>
    </row>
    <row r="59">
      <c r="A59" s="9" t="n">
        <v>46050</v>
      </c>
      <c r="B59" s="1">
        <f>B58</f>
        <v/>
      </c>
      <c r="C59" t="n">
        <v>334.15</v>
      </c>
    </row>
    <row r="60">
      <c r="A60" s="9" t="n">
        <v>46051</v>
      </c>
      <c r="B60" s="1">
        <f>B59</f>
        <v/>
      </c>
      <c r="C60" t="n">
        <v>335.45</v>
      </c>
    </row>
    <row r="61">
      <c r="A61" s="9" t="n">
        <v>46052</v>
      </c>
      <c r="B61" s="1">
        <f>B60</f>
        <v/>
      </c>
      <c r="C61" t="n">
        <v>337.35</v>
      </c>
    </row>
    <row r="62">
      <c r="A62" s="9" t="n">
        <v>46055</v>
      </c>
      <c r="B62" s="1">
        <f>B61</f>
        <v/>
      </c>
      <c r="C62" t="n">
        <v>337.5</v>
      </c>
    </row>
    <row r="63">
      <c r="A63" s="9" t="n">
        <v>46056</v>
      </c>
      <c r="B63" s="1">
        <f>B62</f>
        <v/>
      </c>
      <c r="C63" t="n">
        <v>337.25</v>
      </c>
    </row>
    <row r="64">
      <c r="A64" s="9" t="n">
        <v>46057</v>
      </c>
      <c r="B64" s="1">
        <f>B63</f>
        <v/>
      </c>
      <c r="C64" t="n">
        <v>339.75</v>
      </c>
    </row>
    <row r="65">
      <c r="A65" s="9" t="n">
        <v>46058</v>
      </c>
      <c r="B65" s="1">
        <f>B64</f>
        <v/>
      </c>
      <c r="C65" t="n">
        <v>339.85</v>
      </c>
    </row>
    <row r="66">
      <c r="A66" s="9" t="n">
        <v>46059</v>
      </c>
      <c r="B66" s="1">
        <f>B65</f>
        <v/>
      </c>
      <c r="C66" t="n">
        <v>341.4</v>
      </c>
    </row>
    <row r="67">
      <c r="A67" s="9" t="n">
        <v>46062</v>
      </c>
      <c r="B67" s="1">
        <f>B66</f>
        <v/>
      </c>
      <c r="C67" t="n">
        <v>338.45</v>
      </c>
    </row>
    <row r="68">
      <c r="A68" s="9" t="n">
        <v>46063</v>
      </c>
      <c r="B68" s="1">
        <f>B67</f>
        <v/>
      </c>
      <c r="C68" t="n">
        <v>339.2</v>
      </c>
    </row>
    <row r="69">
      <c r="A69" s="9" t="n">
        <v>46064</v>
      </c>
      <c r="B69" s="1">
        <f>B68</f>
        <v/>
      </c>
      <c r="C69" t="n">
        <v>341.2</v>
      </c>
    </row>
    <row r="70">
      <c r="A70" s="9" t="n">
        <v>46065</v>
      </c>
      <c r="B70" s="1">
        <f>B69</f>
        <v/>
      </c>
      <c r="C70" t="n">
        <v>340.25</v>
      </c>
    </row>
    <row r="71">
      <c r="A71" s="9" t="n">
        <v>46066</v>
      </c>
      <c r="B71" s="1">
        <f>B70</f>
        <v/>
      </c>
      <c r="C71" t="n">
        <v>340.65</v>
      </c>
    </row>
    <row r="72">
      <c r="A72" s="9" t="n">
        <v>46071</v>
      </c>
      <c r="B72" s="1">
        <f>B71</f>
        <v/>
      </c>
      <c r="C72" t="n">
        <v>342</v>
      </c>
    </row>
    <row r="73">
      <c r="A73" s="9" t="n">
        <v>46072</v>
      </c>
      <c r="B73" s="1">
        <f>B72</f>
        <v/>
      </c>
      <c r="C73" t="n">
        <v>343.8</v>
      </c>
    </row>
    <row r="74">
      <c r="A74" s="9" t="n">
        <v>46073</v>
      </c>
      <c r="B74" s="1">
        <f>B73</f>
        <v/>
      </c>
      <c r="C74" t="n">
        <v>346.75</v>
      </c>
    </row>
    <row r="75">
      <c r="A75" s="9" t="n">
        <v>46076</v>
      </c>
      <c r="B75" s="1">
        <f>B74</f>
        <v/>
      </c>
      <c r="C75" t="n">
        <v>347.25</v>
      </c>
    </row>
    <row r="76">
      <c r="A76" s="9" t="n">
        <v>46077</v>
      </c>
      <c r="B76" s="1">
        <f>B75</f>
        <v/>
      </c>
      <c r="C76" t="n">
        <v>348.25</v>
      </c>
    </row>
    <row r="77">
      <c r="A77" s="9" t="n">
        <v>46078</v>
      </c>
      <c r="B77" s="1">
        <f>B76</f>
        <v/>
      </c>
      <c r="C77" t="n">
        <v>348.2</v>
      </c>
    </row>
    <row r="78">
      <c r="A78" s="9" t="n">
        <v>46079</v>
      </c>
      <c r="B78" s="1">
        <f>B77</f>
        <v/>
      </c>
      <c r="C78" t="n">
        <v>345</v>
      </c>
    </row>
    <row r="79">
      <c r="A79" s="9" t="n">
        <v>46080</v>
      </c>
      <c r="B79" s="1">
        <f>B78</f>
        <v/>
      </c>
      <c r="C79" t="n">
        <v>344.05</v>
      </c>
    </row>
    <row r="80">
      <c r="A80" s="9" t="n">
        <v>46083</v>
      </c>
      <c r="B80" s="1">
        <f>B79</f>
        <v/>
      </c>
      <c r="C80" t="n">
        <v>338.05</v>
      </c>
    </row>
    <row r="81">
      <c r="A81" s="9" t="n">
        <v>46084</v>
      </c>
      <c r="B81" s="1">
        <f>B80</f>
        <v/>
      </c>
      <c r="C81" t="n">
        <v>336.45</v>
      </c>
    </row>
    <row r="82">
      <c r="A82" s="9" t="n">
        <v>46085</v>
      </c>
      <c r="B82" s="1">
        <f>B81</f>
        <v/>
      </c>
      <c r="C82" t="n">
        <v>339.45</v>
      </c>
    </row>
    <row r="83">
      <c r="A83" s="9" t="n">
        <v>46086</v>
      </c>
      <c r="B83" s="1">
        <f>B82</f>
        <v/>
      </c>
      <c r="C83" t="n">
        <v>339</v>
      </c>
    </row>
    <row r="84">
      <c r="A84" s="9" t="n">
        <v>46087</v>
      </c>
      <c r="B84" s="1">
        <f>B83</f>
        <v/>
      </c>
      <c r="C84" t="n">
        <v>336.65</v>
      </c>
    </row>
    <row r="85">
      <c r="A85" s="9" t="n">
        <v>46090</v>
      </c>
      <c r="B85" s="1">
        <f>B84</f>
        <v/>
      </c>
      <c r="C85" t="n">
        <v>339.7</v>
      </c>
    </row>
    <row r="86">
      <c r="A86" s="9" t="n">
        <v>46091</v>
      </c>
      <c r="B86" s="1">
        <f>B85</f>
        <v/>
      </c>
      <c r="C86" t="n">
        <v>339.7</v>
      </c>
    </row>
    <row r="87">
      <c r="A87" s="9" t="n">
        <v>46092</v>
      </c>
      <c r="B87" s="1">
        <f>B86</f>
        <v/>
      </c>
      <c r="C87" t="n">
        <v>341.9</v>
      </c>
    </row>
    <row r="88">
      <c r="A88" s="9" t="n">
        <v>46093</v>
      </c>
      <c r="B88" s="1">
        <f>B87</f>
        <v/>
      </c>
      <c r="C88" t="n">
        <v>342.45</v>
      </c>
    </row>
    <row r="89">
      <c r="A89" s="9" t="n">
        <v>46094</v>
      </c>
      <c r="B89" s="1">
        <f>B88</f>
        <v/>
      </c>
      <c r="C89" t="n">
        <v>340.4</v>
      </c>
    </row>
    <row r="90">
      <c r="A90" s="9" t="n">
        <v>46097</v>
      </c>
      <c r="B90" s="1">
        <f>B89</f>
        <v/>
      </c>
      <c r="C90" t="n">
        <v>341.8</v>
      </c>
    </row>
    <row r="91">
      <c r="A91" s="9" t="n">
        <v>46098</v>
      </c>
      <c r="B91" s="1">
        <f>B90</f>
        <v/>
      </c>
      <c r="C91" t="n">
        <v>339.9</v>
      </c>
    </row>
    <row r="92">
      <c r="A92" s="9" t="n">
        <v>46099</v>
      </c>
      <c r="B92" s="1">
        <f>B91</f>
        <v/>
      </c>
      <c r="C92" t="n">
        <v>341.65</v>
      </c>
    </row>
    <row r="93">
      <c r="A93" s="9" t="n">
        <v>46100</v>
      </c>
      <c r="B93" s="1">
        <f>B92</f>
        <v/>
      </c>
      <c r="C93" t="n">
        <v>345.8</v>
      </c>
    </row>
    <row r="94">
      <c r="A94" s="9" t="n">
        <v>46101</v>
      </c>
      <c r="B94" s="1">
        <f>B93</f>
        <v/>
      </c>
      <c r="C94" t="n">
        <v>349.2</v>
      </c>
    </row>
    <row r="95">
      <c r="A95" s="9" t="n">
        <v>46104</v>
      </c>
      <c r="B95" s="1">
        <f>B94</f>
        <v/>
      </c>
      <c r="C95" t="n">
        <v>348.95</v>
      </c>
    </row>
    <row r="96">
      <c r="A96" s="9" t="n">
        <v>46105</v>
      </c>
      <c r="B96" s="1">
        <f>B95</f>
        <v/>
      </c>
      <c r="C96" t="n">
        <v>349.8</v>
      </c>
    </row>
    <row r="97">
      <c r="A97" s="9" t="n">
        <v>46107</v>
      </c>
      <c r="B97" s="1">
        <f>B96</f>
        <v/>
      </c>
      <c r="C97" t="n">
        <v>351.5</v>
      </c>
    </row>
    <row r="98">
      <c r="A98" s="9" t="n">
        <v>46108</v>
      </c>
      <c r="B98" s="1">
        <f>B97</f>
        <v/>
      </c>
      <c r="C98" t="n">
        <v>352.6</v>
      </c>
    </row>
    <row r="99">
      <c r="A99" s="9" t="n">
        <v>46111</v>
      </c>
      <c r="B99" s="1">
        <f>B98</f>
        <v/>
      </c>
      <c r="C99" t="n">
        <v>352.25</v>
      </c>
    </row>
    <row r="100">
      <c r="A100" s="9" t="n">
        <v>46112</v>
      </c>
      <c r="B100" s="1">
        <f>B99</f>
        <v/>
      </c>
      <c r="C100" t="n">
        <v>350.85</v>
      </c>
    </row>
    <row r="101">
      <c r="A101" s="9" t="n">
        <v>46113</v>
      </c>
      <c r="B101" s="1">
        <f>B110</f>
        <v/>
      </c>
      <c r="C101" t="n">
        <v>351.2</v>
      </c>
    </row>
    <row r="102">
      <c r="A102" s="9" t="n">
        <v>46114</v>
      </c>
      <c r="B102" s="1">
        <f>B111</f>
        <v/>
      </c>
      <c r="C102" t="n">
        <v>349.5</v>
      </c>
    </row>
    <row r="103">
      <c r="A103" s="9" t="n">
        <v>46118</v>
      </c>
      <c r="B103" s="1">
        <f>B112</f>
        <v/>
      </c>
      <c r="C103" t="n">
        <v>352.85</v>
      </c>
    </row>
    <row r="104">
      <c r="A104" s="9" t="n">
        <v>46119</v>
      </c>
      <c r="B104" s="1">
        <f>B113</f>
        <v/>
      </c>
      <c r="C104" t="n">
        <v>348.75</v>
      </c>
    </row>
    <row r="105">
      <c r="A105" s="9" t="n">
        <v>46120</v>
      </c>
      <c r="B105" s="1">
        <f>B114</f>
        <v/>
      </c>
      <c r="C105" t="n">
        <v>342.35</v>
      </c>
    </row>
    <row r="106">
      <c r="A106" s="9" t="n">
        <v>46121</v>
      </c>
      <c r="B106" s="1">
        <f>B115</f>
        <v/>
      </c>
      <c r="C106" t="n">
        <v>344.55</v>
      </c>
    </row>
    <row r="107">
      <c r="A107" s="9" t="n">
        <v>46122</v>
      </c>
      <c r="B107" s="1">
        <f>B116</f>
        <v/>
      </c>
      <c r="C107" t="n">
        <v>341.95</v>
      </c>
    </row>
    <row r="108">
      <c r="A108" s="9" t="n">
        <v>46125</v>
      </c>
      <c r="B108" s="1">
        <f>B117</f>
        <v/>
      </c>
      <c r="C108" t="n">
        <v>334.6</v>
      </c>
    </row>
    <row r="109">
      <c r="A109" s="9" t="n">
        <v>46126</v>
      </c>
      <c r="B109" s="1">
        <f>B118</f>
        <v/>
      </c>
      <c r="C109" t="n">
        <v>336.4</v>
      </c>
    </row>
    <row r="110">
      <c r="A110" s="9" t="n">
        <v>46127</v>
      </c>
      <c r="B110" s="1">
        <f>B119</f>
        <v/>
      </c>
      <c r="C110" t="n">
        <v>336.45</v>
      </c>
    </row>
    <row r="111">
      <c r="A111" s="9" t="n">
        <v>46128</v>
      </c>
      <c r="B111" s="1">
        <f>B120</f>
        <v/>
      </c>
      <c r="C111" t="n">
        <v>337.8</v>
      </c>
    </row>
    <row r="112">
      <c r="A112" s="9" t="n">
        <v>46129</v>
      </c>
      <c r="B112" s="1">
        <f>B111</f>
        <v/>
      </c>
      <c r="C112" t="n">
        <v>335.15</v>
      </c>
    </row>
    <row r="113">
      <c r="A113" s="9" t="n">
        <v>46132</v>
      </c>
      <c r="B113" s="1">
        <f>B112</f>
        <v/>
      </c>
      <c r="C113" t="n">
        <v>334.95</v>
      </c>
    </row>
    <row r="114">
      <c r="A114" s="9" t="n">
        <v>46134</v>
      </c>
      <c r="B114" s="1">
        <f>B113</f>
        <v/>
      </c>
      <c r="C114" t="n">
        <v>338.85</v>
      </c>
    </row>
    <row r="115">
      <c r="A115" s="9" t="n">
        <v>46135</v>
      </c>
      <c r="B115" s="1">
        <f>B114</f>
        <v/>
      </c>
      <c r="C115" t="n">
        <v>338.25</v>
      </c>
    </row>
    <row r="116">
      <c r="A116" s="9" t="n">
        <v>46136</v>
      </c>
      <c r="B116" s="1">
        <f>B115</f>
        <v/>
      </c>
      <c r="C116" t="n">
        <v>341.8</v>
      </c>
    </row>
    <row r="117">
      <c r="A117" s="9" t="n">
        <v>46139</v>
      </c>
      <c r="B117" s="1">
        <f>B116</f>
        <v/>
      </c>
      <c r="C117" t="n">
        <v>340.3</v>
      </c>
    </row>
    <row r="118">
      <c r="A118" s="9" t="n">
        <v>46140</v>
      </c>
      <c r="B118" s="1">
        <f>B117</f>
        <v/>
      </c>
      <c r="C118" t="n">
        <v>337.35</v>
      </c>
    </row>
    <row r="119">
      <c r="A119" s="9" t="n">
        <v>46141</v>
      </c>
      <c r="B119" s="1">
        <f>B118</f>
        <v/>
      </c>
      <c r="C119" t="n">
        <v>334.25</v>
      </c>
    </row>
    <row r="120">
      <c r="A120" s="9" t="n">
        <v>46142</v>
      </c>
      <c r="B120" s="1">
        <f>B119</f>
        <v/>
      </c>
      <c r="C120" t="n">
        <v>334.45</v>
      </c>
    </row>
    <row r="121">
      <c r="A121" s="9" t="n">
        <v>46146</v>
      </c>
      <c r="B121" s="1">
        <f>B120</f>
        <v/>
      </c>
      <c r="C121" t="n">
        <v>340.5</v>
      </c>
    </row>
    <row r="122">
      <c r="A122" s="9" t="n">
        <v>46147</v>
      </c>
      <c r="B122" s="1">
        <f>B121</f>
        <v/>
      </c>
      <c r="C122" t="n">
        <v>336.1</v>
      </c>
    </row>
    <row r="123">
      <c r="A123" s="9" t="n">
        <v>46148</v>
      </c>
      <c r="B123" s="1">
        <f>B122</f>
        <v/>
      </c>
      <c r="C123" t="n">
        <v>336.15</v>
      </c>
    </row>
    <row r="124">
      <c r="A124" s="9" t="n">
        <v>46149</v>
      </c>
      <c r="B124" s="1">
        <f>B123</f>
        <v/>
      </c>
      <c r="C124" t="n">
        <v>337.05</v>
      </c>
    </row>
    <row r="125">
      <c r="A125" s="9" t="n">
        <v>46150</v>
      </c>
      <c r="B125" s="1">
        <f>B124</f>
        <v/>
      </c>
      <c r="C125" t="n">
        <v>337.3</v>
      </c>
    </row>
    <row r="126">
      <c r="A126" s="9" t="n">
        <v>46153</v>
      </c>
      <c r="B126" s="1">
        <f>B125</f>
        <v/>
      </c>
      <c r="C126" t="n">
        <v>344.4</v>
      </c>
    </row>
    <row r="127">
      <c r="A127" s="9" t="n">
        <v>46154</v>
      </c>
      <c r="B127" s="1">
        <f>B126</f>
        <v/>
      </c>
      <c r="C127" t="n">
        <v>342.7</v>
      </c>
    </row>
    <row r="128">
      <c r="A128" s="9" t="n">
        <v>46155</v>
      </c>
      <c r="B128" s="1">
        <f>B127</f>
        <v/>
      </c>
      <c r="C128" t="n">
        <v>339.8</v>
      </c>
    </row>
    <row r="129">
      <c r="A129" s="9" t="n">
        <v>46156</v>
      </c>
      <c r="B129" s="1">
        <f>B128</f>
        <v/>
      </c>
      <c r="C129" t="n">
        <v>341.1</v>
      </c>
    </row>
    <row r="130">
      <c r="A130" s="9" t="n">
        <v>46157</v>
      </c>
      <c r="B130" s="1">
        <f>B129</f>
        <v/>
      </c>
      <c r="C130" t="n">
        <v>337.65</v>
      </c>
    </row>
    <row r="131">
      <c r="A131" s="9" t="n">
        <v>46160</v>
      </c>
      <c r="B131" s="1">
        <f>B130</f>
        <v/>
      </c>
      <c r="C131" t="n">
        <v>338.2</v>
      </c>
    </row>
    <row r="132">
      <c r="A132" s="9" t="n">
        <v>46161</v>
      </c>
      <c r="B132" s="1">
        <f>B131</f>
        <v/>
      </c>
      <c r="C132" t="n">
        <v>344.6</v>
      </c>
    </row>
    <row r="133">
      <c r="A133" s="9" t="n">
        <v>46162</v>
      </c>
      <c r="B133" s="1">
        <f>B132</f>
        <v/>
      </c>
      <c r="C133" t="n">
        <v>344.7</v>
      </c>
    </row>
    <row r="134">
      <c r="A134" s="9" t="n">
        <v>46163</v>
      </c>
      <c r="B134" s="1">
        <f>B133</f>
        <v/>
      </c>
      <c r="C134" t="n">
        <v>344.8</v>
      </c>
    </row>
    <row r="135">
      <c r="A135" s="9" t="n">
        <v>46164</v>
      </c>
      <c r="B135" s="1">
        <f>B134</f>
        <v/>
      </c>
      <c r="C135" t="n">
        <v>347.1</v>
      </c>
    </row>
    <row r="136">
      <c r="A136" s="9" t="n">
        <v>46167</v>
      </c>
      <c r="B136" s="1">
        <f>B135</f>
        <v/>
      </c>
      <c r="C136" t="n">
        <v>348.4</v>
      </c>
    </row>
    <row r="137">
      <c r="A137" s="9" t="n">
        <v>46168</v>
      </c>
      <c r="B137" s="1">
        <f>B136</f>
        <v/>
      </c>
      <c r="C137" t="n">
        <v>346.55</v>
      </c>
    </row>
    <row r="138">
      <c r="A138" s="9" t="n">
        <v>46169</v>
      </c>
      <c r="B138" s="1">
        <f>B137</f>
        <v/>
      </c>
      <c r="C138" t="n">
        <v>346.85</v>
      </c>
    </row>
    <row r="139">
      <c r="A139" s="9" t="n">
        <v>46170</v>
      </c>
      <c r="B139" s="1">
        <f>B138</f>
        <v/>
      </c>
      <c r="C139" t="n">
        <v>347.9</v>
      </c>
    </row>
    <row r="140">
      <c r="A140" s="9" t="n">
        <v>46171</v>
      </c>
      <c r="B140" s="1">
        <f>B139</f>
        <v/>
      </c>
      <c r="C140" t="n">
        <v>339.25</v>
      </c>
    </row>
    <row r="141">
      <c r="A141" s="9" t="n">
        <v>46174</v>
      </c>
      <c r="B141" s="1">
        <f>B140</f>
        <v/>
      </c>
      <c r="C141" t="n">
        <v>342.2</v>
      </c>
    </row>
    <row r="142">
      <c r="A142" s="9" t="n">
        <v>46175</v>
      </c>
      <c r="B142" s="1">
        <f>B141</f>
        <v/>
      </c>
      <c r="C142" t="n">
        <v>344.8</v>
      </c>
    </row>
    <row r="143">
      <c r="A143" s="9" t="n">
        <v>46176</v>
      </c>
      <c r="B143" s="1">
        <f>B142</f>
        <v/>
      </c>
      <c r="C143" t="n">
        <v>343.05</v>
      </c>
    </row>
    <row r="144">
      <c r="A144" s="9" t="n">
        <v>46178</v>
      </c>
      <c r="B144" s="1">
        <f>B143</f>
        <v/>
      </c>
      <c r="C144" t="n">
        <v>344</v>
      </c>
    </row>
    <row r="145">
      <c r="A145" s="9" t="n">
        <v>46181</v>
      </c>
      <c r="B145" s="1">
        <f>B144</f>
        <v/>
      </c>
      <c r="C145" t="n">
        <v>343</v>
      </c>
    </row>
    <row r="146">
      <c r="A146" s="9" t="n">
        <v>46182</v>
      </c>
      <c r="B146" s="1">
        <f>B145</f>
        <v/>
      </c>
      <c r="C146" t="n">
        <v>339.85</v>
      </c>
    </row>
    <row r="147">
      <c r="A147" s="9" t="n">
        <v>46183</v>
      </c>
      <c r="B147" s="1">
        <f>B146</f>
        <v/>
      </c>
      <c r="C147" t="n">
        <v>335.85</v>
      </c>
    </row>
    <row r="148">
      <c r="A148" s="9" t="n">
        <v>46184</v>
      </c>
      <c r="B148" s="1">
        <f>B147</f>
        <v/>
      </c>
      <c r="C148" t="n">
        <v>337.9</v>
      </c>
    </row>
    <row r="149">
      <c r="A149" s="9" t="n">
        <v>46185</v>
      </c>
      <c r="B149" s="1">
        <f>B148</f>
        <v/>
      </c>
      <c r="C149" t="n">
        <v>337.5</v>
      </c>
    </row>
    <row r="150">
      <c r="A150" s="9" t="n">
        <v>46188</v>
      </c>
      <c r="B150" s="1">
        <f>B149</f>
        <v/>
      </c>
      <c r="C150" t="n">
        <v>333.95</v>
      </c>
    </row>
    <row r="151">
      <c r="A151" s="9" t="n">
        <v>46189</v>
      </c>
      <c r="B151" s="1">
        <f>B150</f>
        <v/>
      </c>
      <c r="C151" t="n">
        <v>335.8</v>
      </c>
    </row>
    <row r="152">
      <c r="A152" s="9" t="n">
        <v>46190</v>
      </c>
      <c r="B152" s="1">
        <f>B151</f>
        <v/>
      </c>
      <c r="C152" t="n">
        <v>332.8</v>
      </c>
    </row>
    <row r="153">
      <c r="A153" s="9" t="n">
        <v>46191</v>
      </c>
      <c r="B153" s="1">
        <f>B152</f>
        <v/>
      </c>
      <c r="C153" t="n">
        <v>333.2</v>
      </c>
    </row>
    <row r="154">
      <c r="A154" s="9" t="n">
        <v>46192</v>
      </c>
      <c r="B154" s="1">
        <f>B153</f>
        <v/>
      </c>
      <c r="C154" t="n">
        <v>333.15</v>
      </c>
    </row>
    <row r="155">
      <c r="A155" s="9" t="n">
        <v>46195</v>
      </c>
      <c r="B155" s="1">
        <f>B154</f>
        <v/>
      </c>
      <c r="C155" t="n">
        <v>337.7</v>
      </c>
    </row>
    <row r="156">
      <c r="A156" s="9" t="n">
        <v>46196</v>
      </c>
      <c r="B156" s="1">
        <f>B155</f>
        <v/>
      </c>
      <c r="C156" t="n">
        <v>336.4</v>
      </c>
    </row>
    <row r="157">
      <c r="A157" s="9" t="n">
        <v>46197</v>
      </c>
      <c r="B157" s="1">
        <f>B156</f>
        <v/>
      </c>
      <c r="C157" t="n">
        <v>332.4</v>
      </c>
    </row>
    <row r="158">
      <c r="A158" s="9" t="n">
        <v>46198</v>
      </c>
      <c r="B158" s="1">
        <f>B157</f>
        <v/>
      </c>
      <c r="C158" t="n">
        <v>333.65</v>
      </c>
    </row>
    <row r="159">
      <c r="A159" s="9" t="n">
        <v>46199</v>
      </c>
      <c r="B159" s="1">
        <f>B158</f>
        <v/>
      </c>
      <c r="C159" t="n">
        <v>333.55</v>
      </c>
    </row>
    <row r="160">
      <c r="A160" s="9" t="n">
        <v>46202</v>
      </c>
      <c r="B160" s="1">
        <f>B159</f>
        <v/>
      </c>
      <c r="C160" t="n">
        <v>333.25</v>
      </c>
    </row>
    <row r="161">
      <c r="A161" s="9" t="n">
        <v>46203</v>
      </c>
      <c r="B161" s="1">
        <f>B160</f>
        <v/>
      </c>
      <c r="C161" t="n">
        <v>330.1</v>
      </c>
    </row>
    <row r="162">
      <c r="A162" s="9" t="n">
        <v>46204</v>
      </c>
      <c r="B162" s="1">
        <f>B161</f>
        <v/>
      </c>
      <c r="C162" t="n">
        <v>330.25</v>
      </c>
    </row>
    <row r="163">
      <c r="A163" s="9" t="n">
        <v>46205</v>
      </c>
      <c r="B163" s="1">
        <f>B162</f>
        <v/>
      </c>
      <c r="C163" t="n">
        <v>329.8</v>
      </c>
    </row>
    <row r="164">
      <c r="A164" s="9" t="n">
        <v>46206</v>
      </c>
      <c r="B164" s="1">
        <f>B163</f>
        <v/>
      </c>
      <c r="C164" t="n">
        <v>327.7</v>
      </c>
    </row>
    <row r="165">
      <c r="A165" s="9" t="n">
        <v>46209</v>
      </c>
      <c r="B165" s="1">
        <f>B164</f>
        <v/>
      </c>
      <c r="C165" t="n">
        <v>328.8</v>
      </c>
    </row>
    <row r="166">
      <c r="A166" s="9" t="n">
        <v>46210</v>
      </c>
      <c r="B166" s="1">
        <f>B165</f>
        <v/>
      </c>
      <c r="C166" t="n">
        <v>331.2</v>
      </c>
    </row>
    <row r="167">
      <c r="A167" s="9" t="n">
        <v>46211</v>
      </c>
      <c r="B167" s="1">
        <f>B166</f>
        <v/>
      </c>
      <c r="C167" t="n">
        <v>329.1</v>
      </c>
    </row>
    <row r="168">
      <c r="A168" s="9" t="n">
        <v>46212</v>
      </c>
      <c r="B168" s="1">
        <f>B167</f>
        <v/>
      </c>
      <c r="C168" t="n">
        <v>330.3</v>
      </c>
    </row>
    <row r="169">
      <c r="A169" s="9" t="n">
        <v>46213</v>
      </c>
      <c r="B169" s="1">
        <f>B168</f>
        <v/>
      </c>
      <c r="C169" t="n">
        <v>330.1</v>
      </c>
    </row>
    <row r="170">
      <c r="A170" s="9" t="n">
        <v>46216</v>
      </c>
      <c r="B170" s="1">
        <f>B169</f>
        <v/>
      </c>
      <c r="C170" t="n">
        <v>329.8</v>
      </c>
    </row>
    <row r="171">
      <c r="A171" s="9" t="n">
        <v>46217</v>
      </c>
      <c r="B171" s="1">
        <f>B170</f>
        <v/>
      </c>
      <c r="C171" t="n">
        <v>333.05</v>
      </c>
    </row>
    <row r="172">
      <c r="A172" s="9">
        <f>IF('S.H BOI GORDO'!A7245=""," ",'S.H BOI GORDO'!A7245)</f>
        <v/>
      </c>
      <c r="B172" s="1">
        <f>B181</f>
        <v/>
      </c>
    </row>
    <row r="173">
      <c r="A173" s="9">
        <f>IF('S.H BOI GORDO'!A7246=""," ",'S.H BOI GORDO'!A7246)</f>
        <v/>
      </c>
      <c r="B173" s="1">
        <f>B182</f>
        <v/>
      </c>
    </row>
    <row r="174">
      <c r="A174" s="9">
        <f>IF('S.H BOI GORDO'!A7247=""," ",'S.H BOI GORDO'!A7247)</f>
        <v/>
      </c>
      <c r="B174" s="1">
        <f>B183</f>
        <v/>
      </c>
    </row>
    <row r="175">
      <c r="A175" s="9">
        <f>IF('S.H BOI GORDO'!A7248=""," ",'S.H BOI GORDO'!A7248)</f>
        <v/>
      </c>
      <c r="B175" s="1">
        <f>B184</f>
        <v/>
      </c>
    </row>
    <row r="176">
      <c r="A176" s="9">
        <f>IF('S.H BOI GORDO'!A7249=""," ",'S.H BOI GORDO'!A7249)</f>
        <v/>
      </c>
      <c r="B176" s="1">
        <f>B185</f>
        <v/>
      </c>
    </row>
    <row r="177">
      <c r="A177" s="9">
        <f>IF('S.H BOI GORDO'!A7250=""," ",'S.H BOI GORDO'!A7250)</f>
        <v/>
      </c>
      <c r="B177" s="1">
        <f>B186</f>
        <v/>
      </c>
    </row>
    <row r="178">
      <c r="A178" s="9">
        <f>IF('S.H BOI GORDO'!A7251=""," ",'S.H BOI GORDO'!A7251)</f>
        <v/>
      </c>
      <c r="B178" s="1">
        <f>B187</f>
        <v/>
      </c>
    </row>
    <row r="179">
      <c r="A179" s="9">
        <f>IF('S.H BOI GORDO'!A7252=""," ",'S.H BOI GORDO'!A7252)</f>
        <v/>
      </c>
      <c r="B179" s="1">
        <f>B188</f>
        <v/>
      </c>
    </row>
    <row r="180">
      <c r="A180" s="9">
        <f>IF('S.H BOI GORDO'!A7253=""," ",'S.H BOI GORDO'!A7253)</f>
        <v/>
      </c>
      <c r="B180" s="1">
        <f>B189</f>
        <v/>
      </c>
    </row>
    <row r="181">
      <c r="A181" s="9">
        <f>IF('S.H BOI GORDO'!A7254=""," ",'S.H BOI GORDO'!A7254)</f>
        <v/>
      </c>
      <c r="B181" s="1">
        <f>B190</f>
        <v/>
      </c>
    </row>
    <row r="182">
      <c r="A182" s="9">
        <f>IF('S.H BOI GORDO'!A7255=""," ",'S.H BOI GORDO'!A7255)</f>
        <v/>
      </c>
      <c r="B182" s="1">
        <f>B191</f>
        <v/>
      </c>
    </row>
    <row r="183">
      <c r="A183" s="9">
        <f>IF('S.H BOI GORDO'!A7256=""," ",'S.H BOI GORDO'!A7256)</f>
        <v/>
      </c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7.xml><?xml version="1.0" encoding="utf-8"?>
<worksheet xmlns="http://schemas.openxmlformats.org/spreadsheetml/2006/main">
  <sheetPr codeName="Planilha17">
    <outlinePr summaryBelow="1" summaryRight="1"/>
    <pageSetUpPr/>
  </sheetPr>
  <dimension ref="A1:C191"/>
  <sheetViews>
    <sheetView topLeftCell="A52" zoomScale="90" zoomScaleNormal="90" workbookViewId="0">
      <selection activeCell="A70" sqref="A70:XFD70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45992</v>
      </c>
      <c r="B2" s="1" t="inlineStr">
        <is>
          <t>BGIQ26</t>
        </is>
      </c>
      <c r="C2" s="1" t="n">
        <v>343.95</v>
      </c>
    </row>
    <row r="3">
      <c r="A3" s="9" t="n">
        <v>45993</v>
      </c>
      <c r="B3" s="20">
        <f>B2</f>
        <v/>
      </c>
      <c r="C3" s="1" t="n">
        <v>345.55</v>
      </c>
    </row>
    <row r="4">
      <c r="A4" s="9" t="n">
        <v>45994</v>
      </c>
      <c r="B4" s="20">
        <f>B3</f>
        <v/>
      </c>
      <c r="C4" s="1" t="n">
        <v>344.65</v>
      </c>
    </row>
    <row r="5">
      <c r="A5" s="9" t="n">
        <v>45995</v>
      </c>
      <c r="B5" s="20">
        <f>B4</f>
        <v/>
      </c>
      <c r="C5" s="1" t="n">
        <v>337.75</v>
      </c>
    </row>
    <row r="6">
      <c r="A6" s="9" t="n">
        <v>45996</v>
      </c>
      <c r="B6" s="20">
        <f>B5</f>
        <v/>
      </c>
      <c r="C6" s="1" t="n">
        <v>338.45</v>
      </c>
    </row>
    <row r="7">
      <c r="A7" s="9" t="n">
        <v>45999</v>
      </c>
      <c r="B7" s="20">
        <f>B6</f>
        <v/>
      </c>
      <c r="C7" s="1" t="n">
        <v>338.05</v>
      </c>
    </row>
    <row r="8">
      <c r="A8" s="9" t="n">
        <v>46000</v>
      </c>
      <c r="B8" s="20">
        <f>B7</f>
        <v/>
      </c>
      <c r="C8" s="1" t="n">
        <v>337.15</v>
      </c>
    </row>
    <row r="9">
      <c r="A9" s="9" t="n">
        <v>46001</v>
      </c>
      <c r="B9" s="20">
        <f>B8</f>
        <v/>
      </c>
      <c r="C9" s="1" t="n">
        <v>337.8</v>
      </c>
    </row>
    <row r="10">
      <c r="A10" s="9" t="n">
        <v>46002</v>
      </c>
      <c r="B10" s="20">
        <f>B9</f>
        <v/>
      </c>
      <c r="C10" s="1" t="n">
        <v>338.55</v>
      </c>
    </row>
    <row r="11">
      <c r="A11" s="9" t="n">
        <v>46003</v>
      </c>
      <c r="B11" s="20">
        <f>B10</f>
        <v/>
      </c>
      <c r="C11" s="1" t="n">
        <v>336.55</v>
      </c>
    </row>
    <row r="12">
      <c r="A12" s="9" t="n">
        <v>46006</v>
      </c>
      <c r="B12" s="20">
        <f>B11</f>
        <v/>
      </c>
      <c r="C12" t="n">
        <v>337.95</v>
      </c>
    </row>
    <row r="13">
      <c r="A13" s="9" t="n">
        <v>46007</v>
      </c>
      <c r="B13" s="20">
        <f>B12</f>
        <v/>
      </c>
      <c r="C13" t="n">
        <v>337.3</v>
      </c>
    </row>
    <row r="14">
      <c r="A14" s="9" t="n">
        <v>46008</v>
      </c>
      <c r="B14" s="20">
        <f>B13</f>
        <v/>
      </c>
      <c r="C14" t="n">
        <v>335.35</v>
      </c>
    </row>
    <row r="15">
      <c r="A15" s="4" t="n">
        <v>46009</v>
      </c>
      <c r="B15" s="20">
        <f>B14</f>
        <v/>
      </c>
      <c r="C15" t="n">
        <v>336.05</v>
      </c>
    </row>
    <row r="16">
      <c r="A16" s="9" t="n">
        <v>46010</v>
      </c>
      <c r="B16" s="20">
        <f>B15</f>
        <v/>
      </c>
      <c r="C16" t="n">
        <v>334.35</v>
      </c>
    </row>
    <row r="17">
      <c r="A17" s="9" t="n">
        <v>46013</v>
      </c>
      <c r="B17" s="20">
        <f>B16</f>
        <v/>
      </c>
      <c r="C17" t="n">
        <v>333.75</v>
      </c>
    </row>
    <row r="18">
      <c r="A18" s="9" t="n">
        <v>46014</v>
      </c>
      <c r="B18" s="20">
        <f>B17</f>
        <v/>
      </c>
      <c r="C18" t="n">
        <v>334.8</v>
      </c>
    </row>
    <row r="19">
      <c r="A19" s="9" t="n">
        <v>46017</v>
      </c>
      <c r="B19" s="20">
        <f>B18</f>
        <v/>
      </c>
      <c r="C19" t="n">
        <v>335.65</v>
      </c>
    </row>
    <row r="20">
      <c r="A20" s="9" t="n">
        <v>46020</v>
      </c>
      <c r="B20" s="20">
        <f>B19</f>
        <v/>
      </c>
      <c r="C20" t="n">
        <v>332.1</v>
      </c>
    </row>
    <row r="21">
      <c r="A21" s="9" t="n">
        <v>46021</v>
      </c>
      <c r="B21" s="20">
        <f>B20</f>
        <v/>
      </c>
      <c r="C21" t="n">
        <v>334.35</v>
      </c>
    </row>
    <row r="22">
      <c r="A22" s="9" t="n">
        <v>46024</v>
      </c>
      <c r="B22" s="20">
        <f>B21</f>
        <v/>
      </c>
      <c r="C22" t="n">
        <v>333.6</v>
      </c>
    </row>
    <row r="23">
      <c r="A23" s="9" t="n">
        <v>46027</v>
      </c>
      <c r="B23" s="20">
        <f>B22</f>
        <v/>
      </c>
      <c r="C23" t="n">
        <v>334.5</v>
      </c>
    </row>
    <row r="24">
      <c r="A24" s="9" t="n">
        <v>46028</v>
      </c>
      <c r="B24" s="20">
        <f>B23</f>
        <v/>
      </c>
      <c r="C24" t="n">
        <v>329.6</v>
      </c>
    </row>
    <row r="25">
      <c r="A25" s="2" t="n">
        <v>46029</v>
      </c>
      <c r="B25" s="20">
        <f>B24</f>
        <v/>
      </c>
      <c r="C25" t="n">
        <v>329.95</v>
      </c>
    </row>
    <row r="26">
      <c r="A26" s="9" t="n">
        <v>46030</v>
      </c>
      <c r="B26" s="20">
        <f>B25</f>
        <v/>
      </c>
      <c r="C26" t="n">
        <v>328.25</v>
      </c>
    </row>
    <row r="27">
      <c r="A27" s="9" t="n">
        <v>46031</v>
      </c>
      <c r="B27" s="20">
        <f>B26</f>
        <v/>
      </c>
      <c r="C27" t="n">
        <v>327.1</v>
      </c>
    </row>
    <row r="28">
      <c r="A28" s="9" t="n">
        <v>46034</v>
      </c>
      <c r="B28" s="20">
        <f>B27</f>
        <v/>
      </c>
      <c r="C28" t="n">
        <v>327.05</v>
      </c>
    </row>
    <row r="29">
      <c r="A29" s="9" t="n">
        <v>46035</v>
      </c>
      <c r="B29" s="20">
        <f>B28</f>
        <v/>
      </c>
      <c r="C29" t="n">
        <v>323.6</v>
      </c>
    </row>
    <row r="30">
      <c r="A30" s="9" t="n">
        <v>46036</v>
      </c>
      <c r="B30" s="20">
        <f>B29</f>
        <v/>
      </c>
      <c r="C30" t="n">
        <v>323.75</v>
      </c>
    </row>
    <row r="31">
      <c r="A31" s="9" t="n">
        <v>46037</v>
      </c>
      <c r="B31" s="20">
        <f>B30</f>
        <v/>
      </c>
      <c r="C31" t="n">
        <v>323.15</v>
      </c>
    </row>
    <row r="32">
      <c r="A32" s="9" t="n">
        <v>46038</v>
      </c>
      <c r="B32" s="20">
        <f>B31</f>
        <v/>
      </c>
      <c r="C32" t="n">
        <v>324.9</v>
      </c>
    </row>
    <row r="33">
      <c r="A33" s="9" t="n">
        <v>46041</v>
      </c>
      <c r="B33" s="20">
        <f>B32</f>
        <v/>
      </c>
      <c r="C33" t="n">
        <v>328.35</v>
      </c>
    </row>
    <row r="34">
      <c r="A34" s="9" t="n">
        <v>46042</v>
      </c>
      <c r="B34" s="20">
        <f>B33</f>
        <v/>
      </c>
      <c r="C34" t="n">
        <v>329.55</v>
      </c>
    </row>
    <row r="35">
      <c r="A35" s="4" t="n">
        <v>46043</v>
      </c>
      <c r="B35" s="20">
        <f>B34</f>
        <v/>
      </c>
      <c r="C35" t="n">
        <v>330.65</v>
      </c>
    </row>
    <row r="36">
      <c r="A36" s="4" t="n">
        <v>46044</v>
      </c>
      <c r="B36" s="20">
        <f>B35</f>
        <v/>
      </c>
      <c r="C36" t="n">
        <v>329.1</v>
      </c>
    </row>
    <row r="37">
      <c r="A37" s="9" t="n">
        <v>46045</v>
      </c>
      <c r="B37" s="20">
        <f>B36</f>
        <v/>
      </c>
      <c r="C37" t="n">
        <v>329</v>
      </c>
    </row>
    <row r="38">
      <c r="A38" s="9" t="n">
        <v>46048</v>
      </c>
      <c r="B38" s="20">
        <f>B37</f>
        <v/>
      </c>
      <c r="C38" t="n">
        <v>330.4</v>
      </c>
    </row>
    <row r="39">
      <c r="A39" s="9" t="n">
        <v>46049</v>
      </c>
      <c r="B39" s="20">
        <f>B38</f>
        <v/>
      </c>
      <c r="C39" t="n">
        <v>333.2</v>
      </c>
    </row>
    <row r="40">
      <c r="A40" s="9" t="n">
        <v>46050</v>
      </c>
      <c r="B40" s="20">
        <f>B39</f>
        <v/>
      </c>
      <c r="C40" t="n">
        <v>333.95</v>
      </c>
    </row>
    <row r="41">
      <c r="A41" s="9" t="n">
        <v>46051</v>
      </c>
      <c r="B41" s="20">
        <f>B40</f>
        <v/>
      </c>
      <c r="C41" t="n">
        <v>336.85</v>
      </c>
    </row>
    <row r="42">
      <c r="A42" s="9" t="n">
        <v>46052</v>
      </c>
      <c r="B42" s="20">
        <f>B41</f>
        <v/>
      </c>
      <c r="C42" t="n">
        <v>339</v>
      </c>
    </row>
    <row r="43">
      <c r="A43" s="9" t="n">
        <v>46055</v>
      </c>
      <c r="B43" s="20">
        <f>B42</f>
        <v/>
      </c>
      <c r="C43" t="n">
        <v>339.6</v>
      </c>
    </row>
    <row r="44">
      <c r="A44" s="9" t="n">
        <v>46056</v>
      </c>
      <c r="B44" s="20">
        <f>B43</f>
        <v/>
      </c>
      <c r="C44" t="n">
        <v>339.35</v>
      </c>
    </row>
    <row r="45">
      <c r="A45" s="9" t="n">
        <v>46057</v>
      </c>
      <c r="B45" s="20">
        <f>B44</f>
        <v/>
      </c>
      <c r="C45" t="n">
        <v>340.9</v>
      </c>
    </row>
    <row r="46">
      <c r="A46" s="9" t="n">
        <v>46058</v>
      </c>
      <c r="B46" s="20">
        <f>B45</f>
        <v/>
      </c>
      <c r="C46" t="n">
        <v>341.35</v>
      </c>
    </row>
    <row r="47">
      <c r="A47" s="9" t="n">
        <v>46059</v>
      </c>
      <c r="B47" s="20">
        <f>B46</f>
        <v/>
      </c>
      <c r="C47" t="n">
        <v>341.85</v>
      </c>
    </row>
    <row r="48">
      <c r="A48" s="9" t="n">
        <v>46062</v>
      </c>
      <c r="B48" s="20">
        <f>B47</f>
        <v/>
      </c>
      <c r="C48" t="n">
        <v>340.9</v>
      </c>
    </row>
    <row r="49">
      <c r="A49" s="9" t="n">
        <v>46063</v>
      </c>
      <c r="B49" s="20">
        <f>B48</f>
        <v/>
      </c>
      <c r="C49" t="n">
        <v>342.2</v>
      </c>
    </row>
    <row r="50">
      <c r="A50" s="9" t="n">
        <v>46064</v>
      </c>
      <c r="B50" s="20">
        <f>B49</f>
        <v/>
      </c>
      <c r="C50" t="n">
        <v>341.9</v>
      </c>
    </row>
    <row r="51">
      <c r="A51" s="9" t="n">
        <v>46065</v>
      </c>
      <c r="B51" s="20">
        <f>B50</f>
        <v/>
      </c>
      <c r="C51" t="n">
        <v>341.35</v>
      </c>
    </row>
    <row r="52">
      <c r="A52" s="9" t="n">
        <v>46066</v>
      </c>
      <c r="B52" s="20">
        <f>B51</f>
        <v/>
      </c>
      <c r="C52" t="n">
        <v>341.55</v>
      </c>
    </row>
    <row r="53">
      <c r="A53" s="9" t="n">
        <v>46071</v>
      </c>
      <c r="B53" s="20">
        <f>B52</f>
        <v/>
      </c>
      <c r="C53" t="n">
        <v>343</v>
      </c>
    </row>
    <row r="54">
      <c r="A54" s="9" t="n">
        <v>46072</v>
      </c>
      <c r="B54" s="20">
        <f>B53</f>
        <v/>
      </c>
      <c r="C54" t="n">
        <v>343</v>
      </c>
    </row>
    <row r="55">
      <c r="A55" s="9" t="n">
        <v>46073</v>
      </c>
      <c r="B55" s="20">
        <f>B54</f>
        <v/>
      </c>
      <c r="C55" t="n">
        <v>346.75</v>
      </c>
    </row>
    <row r="56">
      <c r="A56" s="9" t="n">
        <v>46076</v>
      </c>
      <c r="B56" s="20">
        <f>B55</f>
        <v/>
      </c>
      <c r="C56" t="n">
        <v>348.6</v>
      </c>
    </row>
    <row r="57">
      <c r="A57" s="9" t="n">
        <v>46077</v>
      </c>
      <c r="B57" s="20">
        <f>B56</f>
        <v/>
      </c>
      <c r="C57" t="n">
        <v>349.2</v>
      </c>
    </row>
    <row r="58">
      <c r="A58" s="9" t="n">
        <v>46078</v>
      </c>
      <c r="B58" s="20">
        <f>B57</f>
        <v/>
      </c>
      <c r="C58" t="n">
        <v>349</v>
      </c>
    </row>
    <row r="59">
      <c r="A59" s="9" t="n">
        <v>46079</v>
      </c>
      <c r="B59" s="20">
        <f>B58</f>
        <v/>
      </c>
      <c r="C59" t="n">
        <v>346.6</v>
      </c>
    </row>
    <row r="60">
      <c r="A60" s="9" t="n">
        <v>46080</v>
      </c>
      <c r="B60" s="20">
        <f>B59</f>
        <v/>
      </c>
      <c r="C60" t="n">
        <v>344.45</v>
      </c>
    </row>
    <row r="61">
      <c r="A61" s="9" t="n">
        <v>46083</v>
      </c>
      <c r="B61" s="20">
        <f>B60</f>
        <v/>
      </c>
      <c r="C61" t="n">
        <v>338.15</v>
      </c>
    </row>
    <row r="62">
      <c r="A62" s="9" t="n">
        <v>46084</v>
      </c>
      <c r="B62" s="20">
        <f>B61</f>
        <v/>
      </c>
      <c r="C62" t="n">
        <v>336.4</v>
      </c>
    </row>
    <row r="63">
      <c r="A63" s="9" t="n">
        <v>46085</v>
      </c>
      <c r="B63" s="20">
        <f>B62</f>
        <v/>
      </c>
      <c r="C63" t="n">
        <v>340.65</v>
      </c>
    </row>
    <row r="64">
      <c r="A64" s="9" t="n">
        <v>46086</v>
      </c>
      <c r="B64" s="20">
        <f>B63</f>
        <v/>
      </c>
      <c r="C64" t="n">
        <v>340.6</v>
      </c>
    </row>
    <row r="65">
      <c r="A65" s="9" t="n">
        <v>46087</v>
      </c>
      <c r="B65" s="20">
        <f>B64</f>
        <v/>
      </c>
      <c r="C65" t="n">
        <v>337.95</v>
      </c>
    </row>
    <row r="66">
      <c r="A66" s="9" t="n">
        <v>46090</v>
      </c>
      <c r="B66" s="20">
        <f>B65</f>
        <v/>
      </c>
      <c r="C66" t="n">
        <v>339.95</v>
      </c>
    </row>
    <row r="67">
      <c r="A67" s="9" t="n">
        <v>46091</v>
      </c>
      <c r="B67" s="20">
        <f>B66</f>
        <v/>
      </c>
      <c r="C67" t="n">
        <v>339.7</v>
      </c>
    </row>
    <row r="68">
      <c r="A68" s="9" t="n">
        <v>46092</v>
      </c>
      <c r="B68" s="20">
        <f>B67</f>
        <v/>
      </c>
      <c r="C68" t="n">
        <v>341.75</v>
      </c>
    </row>
    <row r="69">
      <c r="A69" s="9" t="n">
        <v>46093</v>
      </c>
      <c r="B69" s="20">
        <f>B68</f>
        <v/>
      </c>
      <c r="C69" t="n">
        <v>342.4</v>
      </c>
    </row>
    <row r="70">
      <c r="A70" s="9" t="n">
        <v>46094</v>
      </c>
      <c r="B70" s="20">
        <f>B69</f>
        <v/>
      </c>
      <c r="C70" t="n">
        <v>341.05</v>
      </c>
    </row>
    <row r="71">
      <c r="A71" s="9" t="n">
        <v>46097</v>
      </c>
      <c r="B71" s="20">
        <f>B70</f>
        <v/>
      </c>
      <c r="C71" t="n">
        <v>342.2</v>
      </c>
    </row>
    <row r="72">
      <c r="A72" s="9" t="n">
        <v>46098</v>
      </c>
      <c r="B72" s="20">
        <f>B71</f>
        <v/>
      </c>
      <c r="C72" t="n">
        <v>339.35</v>
      </c>
    </row>
    <row r="73">
      <c r="A73" s="9" t="n">
        <v>46099</v>
      </c>
      <c r="B73" s="20">
        <f>B72</f>
        <v/>
      </c>
      <c r="C73" t="n">
        <v>341.2</v>
      </c>
    </row>
    <row r="74">
      <c r="A74" s="9" t="n">
        <v>46100</v>
      </c>
      <c r="B74" s="20">
        <f>B73</f>
        <v/>
      </c>
      <c r="C74" t="n">
        <v>344.65</v>
      </c>
    </row>
    <row r="75">
      <c r="A75" s="9" t="n">
        <v>46101</v>
      </c>
      <c r="B75" s="20">
        <f>B74</f>
        <v/>
      </c>
      <c r="C75" t="n">
        <v>348.1</v>
      </c>
    </row>
    <row r="76">
      <c r="A76" s="9" t="n">
        <v>46104</v>
      </c>
      <c r="B76" s="20">
        <f>B75</f>
        <v/>
      </c>
      <c r="C76" t="n">
        <v>347.35</v>
      </c>
    </row>
    <row r="77">
      <c r="A77" s="9" t="n">
        <v>46105</v>
      </c>
      <c r="B77" s="20">
        <f>B76</f>
        <v/>
      </c>
      <c r="C77" t="n">
        <v>347.55</v>
      </c>
    </row>
    <row r="78">
      <c r="A78" s="9" t="n">
        <v>46106</v>
      </c>
      <c r="B78" s="20">
        <f>B77</f>
        <v/>
      </c>
      <c r="C78" t="n">
        <v>347.5</v>
      </c>
    </row>
    <row r="79">
      <c r="A79" s="9" t="n">
        <v>46107</v>
      </c>
      <c r="B79" s="20">
        <f>B78</f>
        <v/>
      </c>
      <c r="C79" t="n">
        <v>348.7</v>
      </c>
    </row>
    <row r="80">
      <c r="A80" s="9" t="n">
        <v>46108</v>
      </c>
      <c r="B80" s="20">
        <f>B79</f>
        <v/>
      </c>
      <c r="C80" t="n">
        <v>349.6</v>
      </c>
    </row>
    <row r="81">
      <c r="A81" s="9" t="n">
        <v>46111</v>
      </c>
      <c r="B81" s="20">
        <f>B80</f>
        <v/>
      </c>
      <c r="C81" t="n">
        <v>350.2</v>
      </c>
    </row>
    <row r="82">
      <c r="A82" s="9" t="n">
        <v>46112</v>
      </c>
      <c r="B82" s="20">
        <f>B81</f>
        <v/>
      </c>
      <c r="C82" t="n">
        <v>348.95</v>
      </c>
    </row>
    <row r="83">
      <c r="A83" s="9" t="n">
        <v>46113</v>
      </c>
      <c r="B83" s="20">
        <f>B91</f>
        <v/>
      </c>
      <c r="C83" t="n">
        <v>349.1</v>
      </c>
    </row>
    <row r="84">
      <c r="A84" s="9" t="n">
        <v>46114</v>
      </c>
      <c r="B84" s="20">
        <f>B92</f>
        <v/>
      </c>
      <c r="C84" t="n">
        <v>348</v>
      </c>
    </row>
    <row r="85">
      <c r="A85" s="9" t="n">
        <v>46118</v>
      </c>
      <c r="B85" s="20">
        <f>B93</f>
        <v/>
      </c>
      <c r="C85" t="n">
        <v>350.2</v>
      </c>
    </row>
    <row r="86">
      <c r="A86" s="9" t="n">
        <v>46120</v>
      </c>
      <c r="B86" s="20">
        <f>B94</f>
        <v/>
      </c>
      <c r="C86" t="n">
        <v>343.65</v>
      </c>
    </row>
    <row r="87">
      <c r="A87" s="9" t="n">
        <v>46121</v>
      </c>
      <c r="B87" s="20">
        <f>B95</f>
        <v/>
      </c>
      <c r="C87" t="n">
        <v>345.8</v>
      </c>
    </row>
    <row r="88">
      <c r="A88" s="9" t="n">
        <v>46122</v>
      </c>
      <c r="B88" s="20">
        <f>B96</f>
        <v/>
      </c>
      <c r="C88" t="n">
        <v>342.6</v>
      </c>
    </row>
    <row r="89">
      <c r="A89" s="9" t="n">
        <v>46125</v>
      </c>
      <c r="B89" s="20">
        <f>B97</f>
        <v/>
      </c>
      <c r="C89" t="n">
        <v>336.4</v>
      </c>
    </row>
    <row r="90">
      <c r="A90" s="9" t="n">
        <v>46126</v>
      </c>
      <c r="B90" s="20">
        <f>B98</f>
        <v/>
      </c>
      <c r="C90" t="n">
        <v>338.55</v>
      </c>
    </row>
    <row r="91">
      <c r="A91" s="9" t="n">
        <v>46127</v>
      </c>
      <c r="B91" s="20">
        <f>B99</f>
        <v/>
      </c>
      <c r="C91" t="n">
        <v>337.3</v>
      </c>
    </row>
    <row r="92">
      <c r="A92" s="9" t="n">
        <v>46128</v>
      </c>
      <c r="B92" s="20">
        <f>B100</f>
        <v/>
      </c>
      <c r="C92" t="n">
        <v>338.15</v>
      </c>
    </row>
    <row r="93">
      <c r="A93" s="9" t="n">
        <v>46129</v>
      </c>
      <c r="B93" s="20">
        <f>B92</f>
        <v/>
      </c>
      <c r="C93" t="n">
        <v>336.05</v>
      </c>
    </row>
    <row r="94">
      <c r="A94" s="9" t="n">
        <v>46132</v>
      </c>
      <c r="B94" s="20">
        <f>B93</f>
        <v/>
      </c>
      <c r="C94" t="n">
        <v>336.65</v>
      </c>
    </row>
    <row r="95">
      <c r="A95" s="9" t="n">
        <v>46134</v>
      </c>
      <c r="B95" s="20">
        <f>B94</f>
        <v/>
      </c>
      <c r="C95" t="n">
        <v>339.35</v>
      </c>
    </row>
    <row r="96">
      <c r="A96" s="9" t="n">
        <v>46135</v>
      </c>
      <c r="B96" s="20">
        <f>B95</f>
        <v/>
      </c>
      <c r="C96" t="n">
        <v>339.3</v>
      </c>
    </row>
    <row r="97">
      <c r="A97" s="9" t="n">
        <v>46136</v>
      </c>
      <c r="B97" s="20">
        <f>B96</f>
        <v/>
      </c>
      <c r="C97" t="n">
        <v>342.4</v>
      </c>
    </row>
    <row r="98">
      <c r="A98" s="9" t="n">
        <v>46139</v>
      </c>
      <c r="B98" s="20">
        <f>B97</f>
        <v/>
      </c>
      <c r="C98" t="n">
        <v>340.55</v>
      </c>
    </row>
    <row r="99">
      <c r="A99" s="9" t="n">
        <v>46140</v>
      </c>
      <c r="B99" s="20">
        <f>B98</f>
        <v/>
      </c>
      <c r="C99" t="n">
        <v>337.35</v>
      </c>
    </row>
    <row r="100">
      <c r="A100" s="9" t="n">
        <v>46141</v>
      </c>
      <c r="B100" s="20">
        <f>B99</f>
        <v/>
      </c>
      <c r="C100" t="n">
        <v>334.8</v>
      </c>
    </row>
    <row r="101">
      <c r="A101" s="9" t="n">
        <v>46142</v>
      </c>
      <c r="B101" s="20">
        <f>B100</f>
        <v/>
      </c>
      <c r="C101" t="n">
        <v>334.8</v>
      </c>
    </row>
    <row r="102">
      <c r="A102" s="9" t="n">
        <v>46146</v>
      </c>
      <c r="B102" s="20">
        <f>B101</f>
        <v/>
      </c>
      <c r="C102" t="n">
        <v>340.95</v>
      </c>
    </row>
    <row r="103">
      <c r="A103" s="9" t="n">
        <v>46147</v>
      </c>
      <c r="B103" s="20">
        <f>B102</f>
        <v/>
      </c>
      <c r="C103" t="n">
        <v>336.85</v>
      </c>
    </row>
    <row r="104">
      <c r="A104" s="9" t="n">
        <v>46148</v>
      </c>
      <c r="B104" s="20">
        <f>B103</f>
        <v/>
      </c>
      <c r="C104" t="n">
        <v>337.25</v>
      </c>
    </row>
    <row r="105">
      <c r="A105" s="9" t="n">
        <v>46149</v>
      </c>
      <c r="B105" s="20">
        <f>B104</f>
        <v/>
      </c>
      <c r="C105" t="n">
        <v>337.75</v>
      </c>
    </row>
    <row r="106">
      <c r="A106" s="9" t="n">
        <v>46150</v>
      </c>
      <c r="B106" s="20">
        <f>B105</f>
        <v/>
      </c>
      <c r="C106" t="n">
        <v>337.35</v>
      </c>
    </row>
    <row r="107">
      <c r="A107" s="9" t="n">
        <v>46153</v>
      </c>
      <c r="B107" s="20">
        <f>B106</f>
        <v/>
      </c>
      <c r="C107" t="n">
        <v>342.45</v>
      </c>
    </row>
    <row r="108">
      <c r="A108" s="9" t="n">
        <v>46154</v>
      </c>
      <c r="B108" s="20">
        <f>B107</f>
        <v/>
      </c>
      <c r="C108" t="n">
        <v>340.8</v>
      </c>
    </row>
    <row r="109">
      <c r="A109" s="9" t="n">
        <v>46155</v>
      </c>
      <c r="B109" s="20">
        <f>B108</f>
        <v/>
      </c>
      <c r="C109" t="n">
        <v>339</v>
      </c>
    </row>
    <row r="110">
      <c r="A110" s="9" t="n">
        <v>46156</v>
      </c>
      <c r="B110" s="20">
        <f>B109</f>
        <v/>
      </c>
      <c r="C110" t="n">
        <v>340.85</v>
      </c>
    </row>
    <row r="111">
      <c r="A111" s="9" t="n">
        <v>46157</v>
      </c>
      <c r="B111" s="20">
        <f>B110</f>
        <v/>
      </c>
      <c r="C111" t="n">
        <v>338.1</v>
      </c>
    </row>
    <row r="112">
      <c r="A112" s="9" t="n">
        <v>46160</v>
      </c>
      <c r="B112" s="20">
        <f>B111</f>
        <v/>
      </c>
      <c r="C112" t="n">
        <v>338.9</v>
      </c>
    </row>
    <row r="113">
      <c r="A113" s="9" t="n">
        <v>46161</v>
      </c>
      <c r="B113" s="20">
        <f>B112</f>
        <v/>
      </c>
      <c r="C113" t="n">
        <v>344.85</v>
      </c>
    </row>
    <row r="114">
      <c r="A114" s="9" t="n">
        <v>46162</v>
      </c>
      <c r="B114" s="20">
        <f>B113</f>
        <v/>
      </c>
      <c r="C114" t="n">
        <v>344.5</v>
      </c>
    </row>
    <row r="115">
      <c r="A115" s="24" t="n">
        <v>46163</v>
      </c>
      <c r="B115" s="20">
        <f>B114</f>
        <v/>
      </c>
      <c r="C115" t="n">
        <v>344.25</v>
      </c>
    </row>
    <row r="116">
      <c r="A116" s="24" t="n">
        <v>46164</v>
      </c>
      <c r="B116" s="20">
        <f>B115</f>
        <v/>
      </c>
      <c r="C116" t="n">
        <v>345.15</v>
      </c>
    </row>
    <row r="117">
      <c r="A117" s="24" t="n">
        <v>46167</v>
      </c>
      <c r="B117" s="20">
        <f>B116</f>
        <v/>
      </c>
      <c r="C117" t="n">
        <v>346.1</v>
      </c>
    </row>
    <row r="118">
      <c r="A118" s="24" t="n">
        <v>46168</v>
      </c>
      <c r="B118" s="20">
        <f>B117</f>
        <v/>
      </c>
      <c r="C118" t="n">
        <v>344.55</v>
      </c>
    </row>
    <row r="119">
      <c r="A119" s="24" t="n">
        <v>46169</v>
      </c>
      <c r="B119" s="20">
        <f>B118</f>
        <v/>
      </c>
      <c r="C119" t="n">
        <v>345.05</v>
      </c>
    </row>
    <row r="120">
      <c r="A120" s="24" t="n">
        <v>46170</v>
      </c>
      <c r="B120" s="20">
        <f>B119</f>
        <v/>
      </c>
      <c r="C120" t="n">
        <v>343.95</v>
      </c>
    </row>
    <row r="121">
      <c r="A121" s="24" t="n">
        <v>46171</v>
      </c>
      <c r="B121" s="20">
        <f>B120</f>
        <v/>
      </c>
      <c r="C121" t="n">
        <v>338.2</v>
      </c>
    </row>
    <row r="122">
      <c r="A122" s="24" t="n">
        <v>46174</v>
      </c>
      <c r="B122" s="20">
        <f>B121</f>
        <v/>
      </c>
      <c r="C122" t="n">
        <v>340.25</v>
      </c>
    </row>
    <row r="123">
      <c r="A123" s="24" t="n">
        <v>46175</v>
      </c>
      <c r="B123" s="20">
        <f>B122</f>
        <v/>
      </c>
      <c r="C123" t="n">
        <v>343.6</v>
      </c>
    </row>
    <row r="124">
      <c r="A124" s="24" t="n">
        <v>46176</v>
      </c>
      <c r="B124" s="20">
        <f>B123</f>
        <v/>
      </c>
      <c r="C124" t="n">
        <v>342.85</v>
      </c>
    </row>
    <row r="125">
      <c r="A125" s="24" t="n">
        <v>46178</v>
      </c>
      <c r="B125" s="20">
        <f>B124</f>
        <v/>
      </c>
      <c r="C125" t="n">
        <v>342.65</v>
      </c>
    </row>
    <row r="126">
      <c r="A126" s="24" t="n">
        <v>46181</v>
      </c>
      <c r="B126" s="20">
        <f>B125</f>
        <v/>
      </c>
      <c r="C126" t="n">
        <v>341.45</v>
      </c>
    </row>
    <row r="127">
      <c r="A127" s="24" t="n">
        <v>46182</v>
      </c>
      <c r="B127" s="20">
        <f>B126</f>
        <v/>
      </c>
      <c r="C127" t="n">
        <v>338</v>
      </c>
    </row>
    <row r="128">
      <c r="A128" s="24" t="n">
        <v>46183</v>
      </c>
      <c r="B128" s="20">
        <f>B127</f>
        <v/>
      </c>
      <c r="C128" t="n">
        <v>335.7</v>
      </c>
    </row>
    <row r="129">
      <c r="A129" s="24" t="n">
        <v>46184</v>
      </c>
      <c r="B129" s="20">
        <f>B128</f>
        <v/>
      </c>
      <c r="C129" t="n">
        <v>337.6</v>
      </c>
    </row>
    <row r="130">
      <c r="A130" s="24" t="n">
        <v>46185</v>
      </c>
      <c r="B130" s="20">
        <f>B129</f>
        <v/>
      </c>
      <c r="C130" t="n">
        <v>337.2</v>
      </c>
    </row>
    <row r="131">
      <c r="A131" s="24" t="n">
        <v>46188</v>
      </c>
      <c r="B131" s="20">
        <f>B130</f>
        <v/>
      </c>
      <c r="C131" t="n">
        <v>334.95</v>
      </c>
    </row>
    <row r="132">
      <c r="A132" s="24" t="n">
        <v>46189</v>
      </c>
      <c r="B132" s="20">
        <f>B131</f>
        <v/>
      </c>
      <c r="C132" t="n">
        <v>336.75</v>
      </c>
    </row>
    <row r="133">
      <c r="A133" s="24" t="n">
        <v>46190</v>
      </c>
      <c r="B133" s="20">
        <f>B132</f>
        <v/>
      </c>
      <c r="C133" t="n">
        <v>334.1</v>
      </c>
    </row>
    <row r="134">
      <c r="A134" s="24" t="n">
        <v>46191</v>
      </c>
      <c r="B134" s="20">
        <f>B133</f>
        <v/>
      </c>
      <c r="C134" t="n">
        <v>335.35</v>
      </c>
    </row>
    <row r="135">
      <c r="A135" s="24" t="n">
        <v>46192</v>
      </c>
      <c r="B135" s="20">
        <f>B134</f>
        <v/>
      </c>
      <c r="C135" t="n">
        <v>335.6</v>
      </c>
    </row>
    <row r="136">
      <c r="A136" s="24" t="n">
        <v>46195</v>
      </c>
      <c r="B136" s="20">
        <f>B135</f>
        <v/>
      </c>
      <c r="C136" t="n">
        <v>339.7</v>
      </c>
    </row>
    <row r="137">
      <c r="A137" s="24" t="n">
        <v>46196</v>
      </c>
      <c r="B137" s="20">
        <f>B136</f>
        <v/>
      </c>
      <c r="C137" t="n">
        <v>338.05</v>
      </c>
    </row>
    <row r="138">
      <c r="A138" s="24" t="n">
        <v>46197</v>
      </c>
      <c r="B138" s="20">
        <f>B137</f>
        <v/>
      </c>
      <c r="C138" t="n">
        <v>334.8</v>
      </c>
    </row>
    <row r="139">
      <c r="A139" s="24" t="n">
        <v>46198</v>
      </c>
      <c r="B139" s="20">
        <f>B138</f>
        <v/>
      </c>
      <c r="C139" t="n">
        <v>335.95</v>
      </c>
    </row>
    <row r="140">
      <c r="A140" s="24" t="n">
        <v>46199</v>
      </c>
      <c r="B140" s="20">
        <f>B139</f>
        <v/>
      </c>
      <c r="C140" t="n">
        <v>336.1</v>
      </c>
    </row>
    <row r="141">
      <c r="A141" s="24" t="n">
        <v>46202</v>
      </c>
      <c r="B141" s="20">
        <f>B140</f>
        <v/>
      </c>
      <c r="C141" t="n">
        <v>335.9</v>
      </c>
    </row>
    <row r="142">
      <c r="A142" s="24" t="n">
        <v>46203</v>
      </c>
      <c r="B142" s="20">
        <f>B141</f>
        <v/>
      </c>
      <c r="C142" t="n">
        <v>333.15</v>
      </c>
    </row>
    <row r="143">
      <c r="A143" s="24" t="n">
        <v>46204</v>
      </c>
      <c r="B143" s="20">
        <f>B142</f>
        <v/>
      </c>
      <c r="C143" t="n">
        <v>331.95</v>
      </c>
    </row>
    <row r="144">
      <c r="A144" s="24" t="n">
        <v>46205</v>
      </c>
      <c r="B144" s="20">
        <f>B143</f>
        <v/>
      </c>
      <c r="C144" t="n">
        <v>331.65</v>
      </c>
    </row>
    <row r="145">
      <c r="A145" s="24" t="n">
        <v>46206</v>
      </c>
      <c r="B145" s="20">
        <f>B144</f>
        <v/>
      </c>
      <c r="C145" t="n">
        <v>331.85</v>
      </c>
    </row>
    <row r="146">
      <c r="A146" s="24" t="n">
        <v>46209</v>
      </c>
      <c r="B146" s="20">
        <f>B145</f>
        <v/>
      </c>
      <c r="C146" t="n">
        <v>333.2</v>
      </c>
    </row>
    <row r="147">
      <c r="A147" s="24" t="n">
        <v>46210</v>
      </c>
      <c r="B147" s="20">
        <f>B146</f>
        <v/>
      </c>
      <c r="C147" t="n">
        <v>338.9</v>
      </c>
    </row>
    <row r="148">
      <c r="A148" s="24" t="n">
        <v>46211</v>
      </c>
      <c r="B148" s="20">
        <f>B147</f>
        <v/>
      </c>
      <c r="C148" t="n">
        <v>334.6</v>
      </c>
    </row>
    <row r="149">
      <c r="A149" s="24" t="n">
        <v>46212</v>
      </c>
      <c r="B149" s="20">
        <f>B148</f>
        <v/>
      </c>
      <c r="C149" t="n">
        <v>336.05</v>
      </c>
    </row>
    <row r="150">
      <c r="A150" s="24" t="n">
        <v>46213</v>
      </c>
      <c r="B150" s="20">
        <f>B149</f>
        <v/>
      </c>
      <c r="C150" t="n">
        <v>335.75</v>
      </c>
    </row>
    <row r="151">
      <c r="A151" s="24" t="n">
        <v>46216</v>
      </c>
      <c r="B151" s="20">
        <f>B150</f>
        <v/>
      </c>
      <c r="C151" t="n">
        <v>336.9</v>
      </c>
    </row>
    <row r="152">
      <c r="A152" s="67" t="n">
        <v>46217</v>
      </c>
      <c r="B152" s="20">
        <f>B151</f>
        <v/>
      </c>
      <c r="C152" t="n">
        <v>340.15</v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8.xml><?xml version="1.0" encoding="utf-8"?>
<worksheet xmlns="http://schemas.openxmlformats.org/spreadsheetml/2006/main">
  <sheetPr codeName="Planilha18">
    <outlinePr summaryBelow="1" summaryRight="1"/>
    <pageSetUpPr/>
  </sheetPr>
  <dimension ref="A1:C191"/>
  <sheetViews>
    <sheetView topLeftCell="A118" zoomScale="90" zoomScaleNormal="90" workbookViewId="0">
      <selection activeCell="E124" sqref="E124"/>
    </sheetView>
  </sheetViews>
  <sheetFormatPr baseColWidth="8" defaultRowHeight="15" outlineLevelCol="0"/>
  <cols>
    <col width="18.285156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BGIU26</t>
        </is>
      </c>
      <c r="C2" t="n">
        <v>340.45</v>
      </c>
    </row>
    <row r="3">
      <c r="A3" s="9" t="n">
        <v>46027</v>
      </c>
      <c r="B3" s="1">
        <f>B2</f>
        <v/>
      </c>
      <c r="C3" t="n">
        <v>341.35</v>
      </c>
    </row>
    <row r="4">
      <c r="A4" s="9" t="n">
        <v>46028</v>
      </c>
      <c r="B4" s="1">
        <f>B3</f>
        <v/>
      </c>
      <c r="C4" t="n">
        <v>336.45</v>
      </c>
    </row>
    <row r="5">
      <c r="A5" s="9" t="n">
        <v>46029</v>
      </c>
      <c r="B5" s="1">
        <f>B4</f>
        <v/>
      </c>
      <c r="C5" t="n">
        <v>336.8</v>
      </c>
    </row>
    <row r="6">
      <c r="A6" s="9" t="n">
        <v>46030</v>
      </c>
      <c r="B6" s="1">
        <f>B5</f>
        <v/>
      </c>
      <c r="C6" t="n">
        <v>336.95</v>
      </c>
    </row>
    <row r="7">
      <c r="A7" s="9" t="n">
        <v>46031</v>
      </c>
      <c r="B7" s="1">
        <f>B6</f>
        <v/>
      </c>
      <c r="C7" t="n">
        <v>335.8</v>
      </c>
    </row>
    <row r="8">
      <c r="A8" s="9" t="n">
        <v>46034</v>
      </c>
      <c r="B8" s="1">
        <f>B7</f>
        <v/>
      </c>
      <c r="C8" t="n">
        <v>335.55</v>
      </c>
    </row>
    <row r="9">
      <c r="A9" s="9" t="n">
        <v>46035</v>
      </c>
      <c r="B9" s="1">
        <f>B8</f>
        <v/>
      </c>
      <c r="C9" t="n">
        <v>332.1</v>
      </c>
    </row>
    <row r="10">
      <c r="A10" s="9" t="n">
        <v>46036</v>
      </c>
      <c r="B10" s="1">
        <f>B9</f>
        <v/>
      </c>
      <c r="C10" t="n">
        <v>332.25</v>
      </c>
    </row>
    <row r="11">
      <c r="A11" s="9" t="n">
        <v>46037</v>
      </c>
      <c r="B11" s="1">
        <f>B10</f>
        <v/>
      </c>
      <c r="C11" t="n">
        <v>331.65</v>
      </c>
    </row>
    <row r="12">
      <c r="A12" s="9" t="n">
        <v>46038</v>
      </c>
      <c r="B12" s="1">
        <f>B11</f>
        <v/>
      </c>
      <c r="C12" t="n">
        <v>333.4</v>
      </c>
    </row>
    <row r="13">
      <c r="A13" s="9" t="n">
        <v>46041</v>
      </c>
      <c r="B13" s="1">
        <f>B12</f>
        <v/>
      </c>
      <c r="C13" t="n">
        <v>335.55</v>
      </c>
    </row>
    <row r="14">
      <c r="A14" s="9" t="n">
        <v>46042</v>
      </c>
      <c r="B14" s="1">
        <f>B13</f>
        <v/>
      </c>
      <c r="C14" t="n">
        <v>335.3</v>
      </c>
    </row>
    <row r="15">
      <c r="A15" s="4" t="n">
        <v>46043</v>
      </c>
      <c r="B15" s="1">
        <f>B14</f>
        <v/>
      </c>
      <c r="C15" t="n">
        <v>335.9</v>
      </c>
    </row>
    <row r="16">
      <c r="A16" s="4" t="n">
        <v>46044</v>
      </c>
      <c r="B16" s="1">
        <f>B15</f>
        <v/>
      </c>
      <c r="C16" t="n">
        <v>334.35</v>
      </c>
    </row>
    <row r="17">
      <c r="A17" s="9" t="n">
        <v>46045</v>
      </c>
      <c r="B17" s="1">
        <f>B16</f>
        <v/>
      </c>
      <c r="C17" t="n">
        <v>334.25</v>
      </c>
    </row>
    <row r="18">
      <c r="A18" s="9" t="n">
        <v>46048</v>
      </c>
      <c r="B18" s="1">
        <f>B17</f>
        <v/>
      </c>
      <c r="C18" t="n">
        <v>335.2</v>
      </c>
    </row>
    <row r="19">
      <c r="A19" s="9" t="n">
        <v>46049</v>
      </c>
      <c r="B19" s="1">
        <f>B18</f>
        <v/>
      </c>
      <c r="C19" t="n">
        <v>337.4</v>
      </c>
    </row>
    <row r="20">
      <c r="A20" s="9" t="n">
        <v>46050</v>
      </c>
      <c r="B20" s="1">
        <f>B19</f>
        <v/>
      </c>
      <c r="C20" t="n">
        <v>338.15</v>
      </c>
    </row>
    <row r="21">
      <c r="A21" s="9" t="n">
        <v>46051</v>
      </c>
      <c r="B21" s="1">
        <f>B20</f>
        <v/>
      </c>
      <c r="C21" t="n">
        <v>338.2</v>
      </c>
    </row>
    <row r="22">
      <c r="A22" s="9" t="n">
        <v>46052</v>
      </c>
      <c r="B22" s="1">
        <f>B21</f>
        <v/>
      </c>
      <c r="C22" t="n">
        <v>339.8</v>
      </c>
    </row>
    <row r="23">
      <c r="A23" s="9" t="n">
        <v>46055</v>
      </c>
      <c r="B23" s="1">
        <f>B22</f>
        <v/>
      </c>
      <c r="C23" t="n">
        <v>340.9</v>
      </c>
    </row>
    <row r="24">
      <c r="A24" s="9" t="n">
        <v>46056</v>
      </c>
      <c r="B24" s="1">
        <f>B23</f>
        <v/>
      </c>
      <c r="C24" t="n">
        <v>340.25</v>
      </c>
    </row>
    <row r="25">
      <c r="A25" s="9" t="n">
        <v>46057</v>
      </c>
      <c r="B25" s="1">
        <f>B24</f>
        <v/>
      </c>
      <c r="C25" t="n">
        <v>341.5</v>
      </c>
    </row>
    <row r="26">
      <c r="A26" s="9" t="n">
        <v>46058</v>
      </c>
      <c r="B26" s="1">
        <f>B25</f>
        <v/>
      </c>
      <c r="C26" t="n">
        <v>343.6</v>
      </c>
    </row>
    <row r="27">
      <c r="A27" s="9" t="n">
        <v>46059</v>
      </c>
      <c r="B27" s="1">
        <f>B26</f>
        <v/>
      </c>
      <c r="C27" t="n">
        <v>344.35</v>
      </c>
    </row>
    <row r="28">
      <c r="A28" s="9" t="n">
        <v>46062</v>
      </c>
      <c r="B28" s="1">
        <f>B27</f>
        <v/>
      </c>
      <c r="C28" t="n">
        <v>342.45</v>
      </c>
    </row>
    <row r="29">
      <c r="A29" s="9" t="n">
        <v>46063</v>
      </c>
      <c r="B29" s="1">
        <f>B28</f>
        <v/>
      </c>
      <c r="C29" t="n">
        <v>344.5</v>
      </c>
    </row>
    <row r="30">
      <c r="A30" s="9" t="n">
        <v>46064</v>
      </c>
      <c r="B30" s="1">
        <f>B29</f>
        <v/>
      </c>
      <c r="C30" t="n">
        <v>344.15</v>
      </c>
    </row>
    <row r="31">
      <c r="A31" s="9" t="n">
        <v>46065</v>
      </c>
      <c r="B31" s="1">
        <f>B30</f>
        <v/>
      </c>
      <c r="C31" t="n">
        <v>343.75</v>
      </c>
    </row>
    <row r="32">
      <c r="A32" s="9" t="n">
        <v>46066</v>
      </c>
      <c r="B32" s="1">
        <f>B31</f>
        <v/>
      </c>
      <c r="C32" t="n">
        <v>343.6</v>
      </c>
    </row>
    <row r="33">
      <c r="A33" s="9" t="n">
        <v>46071</v>
      </c>
      <c r="B33" s="1">
        <f>B32</f>
        <v/>
      </c>
      <c r="C33" t="n">
        <v>344.2</v>
      </c>
    </row>
    <row r="34">
      <c r="A34" s="9" t="n">
        <v>46072</v>
      </c>
      <c r="B34" s="1">
        <f>B33</f>
        <v/>
      </c>
      <c r="C34" t="n">
        <v>344.7</v>
      </c>
    </row>
    <row r="35">
      <c r="A35" s="9" t="n">
        <v>46073</v>
      </c>
      <c r="B35" s="1">
        <f>B34</f>
        <v/>
      </c>
      <c r="C35" t="n">
        <v>346.9</v>
      </c>
    </row>
    <row r="36">
      <c r="A36" s="9" t="n">
        <v>46076</v>
      </c>
      <c r="B36" s="1">
        <f>B35</f>
        <v/>
      </c>
      <c r="C36" t="n">
        <v>348.15</v>
      </c>
    </row>
    <row r="37">
      <c r="A37" s="9" t="n">
        <v>46077</v>
      </c>
      <c r="B37" s="1">
        <f>B36</f>
        <v/>
      </c>
      <c r="C37" t="n">
        <v>350.1</v>
      </c>
    </row>
    <row r="38">
      <c r="A38" s="9" t="n">
        <v>46078</v>
      </c>
      <c r="B38" s="1">
        <f>B37</f>
        <v/>
      </c>
      <c r="C38" t="n">
        <v>350.1</v>
      </c>
    </row>
    <row r="39">
      <c r="A39" s="9" t="n">
        <v>46079</v>
      </c>
      <c r="B39" s="1">
        <f>B38</f>
        <v/>
      </c>
      <c r="C39" t="n">
        <v>347.7</v>
      </c>
    </row>
    <row r="40">
      <c r="A40" s="9" t="n">
        <v>46080</v>
      </c>
      <c r="B40" s="1">
        <f>B39</f>
        <v/>
      </c>
      <c r="C40" t="n">
        <v>346.55</v>
      </c>
    </row>
    <row r="41">
      <c r="A41" s="9" t="n">
        <v>46083</v>
      </c>
      <c r="B41" s="1">
        <f>B40</f>
        <v/>
      </c>
      <c r="C41" t="n">
        <v>340.3</v>
      </c>
    </row>
    <row r="42">
      <c r="A42" s="9" t="n">
        <v>46084</v>
      </c>
      <c r="B42" s="1">
        <f>B41</f>
        <v/>
      </c>
      <c r="C42" t="n">
        <v>337.5</v>
      </c>
    </row>
    <row r="43">
      <c r="A43" s="9" t="n">
        <v>46085</v>
      </c>
      <c r="B43" s="1">
        <f>B42</f>
        <v/>
      </c>
      <c r="C43" t="n">
        <v>341.3</v>
      </c>
    </row>
    <row r="44">
      <c r="A44" s="9" t="n">
        <v>46086</v>
      </c>
      <c r="B44" s="1">
        <f>B43</f>
        <v/>
      </c>
      <c r="C44" t="n">
        <v>341.3</v>
      </c>
    </row>
    <row r="45">
      <c r="A45" s="9" t="n">
        <v>46087</v>
      </c>
      <c r="B45" s="1">
        <f>B44</f>
        <v/>
      </c>
      <c r="C45" t="n">
        <v>338.85</v>
      </c>
    </row>
    <row r="46">
      <c r="A46" s="9" t="n">
        <v>46090</v>
      </c>
      <c r="B46" s="1">
        <f>B45</f>
        <v/>
      </c>
      <c r="C46" t="n">
        <v>340.85</v>
      </c>
    </row>
    <row r="47">
      <c r="A47" s="9" t="n">
        <v>46091</v>
      </c>
      <c r="B47" s="1">
        <f>B46</f>
        <v/>
      </c>
      <c r="C47" t="n">
        <v>340.15</v>
      </c>
    </row>
    <row r="48">
      <c r="A48" s="9" t="n">
        <v>46092</v>
      </c>
      <c r="B48" s="1">
        <f>B47</f>
        <v/>
      </c>
      <c r="C48" t="n">
        <v>341.85</v>
      </c>
    </row>
    <row r="49">
      <c r="A49" s="9" t="n">
        <v>46093</v>
      </c>
      <c r="B49" s="1">
        <f>B48</f>
        <v/>
      </c>
      <c r="C49" t="n">
        <v>343.4</v>
      </c>
    </row>
    <row r="50">
      <c r="A50" s="9" t="n">
        <v>46094</v>
      </c>
      <c r="B50" s="1">
        <f>B49</f>
        <v/>
      </c>
      <c r="C50" t="n">
        <v>341.1</v>
      </c>
    </row>
    <row r="51">
      <c r="A51" s="9" t="n">
        <v>46097</v>
      </c>
      <c r="B51" s="1">
        <f>B50</f>
        <v/>
      </c>
      <c r="C51" t="n">
        <v>341.8</v>
      </c>
    </row>
    <row r="52">
      <c r="A52" s="9" t="n">
        <v>46098</v>
      </c>
      <c r="B52" s="1">
        <f>B51</f>
        <v/>
      </c>
      <c r="C52" t="n">
        <v>340.05</v>
      </c>
    </row>
    <row r="53">
      <c r="A53" s="9" t="n">
        <v>46099</v>
      </c>
      <c r="B53" s="1">
        <f>B52</f>
        <v/>
      </c>
      <c r="C53" t="n">
        <v>340.75</v>
      </c>
    </row>
    <row r="54">
      <c r="A54" s="9" t="n">
        <v>46100</v>
      </c>
      <c r="B54" s="1">
        <f>B53</f>
        <v/>
      </c>
      <c r="C54" t="n">
        <v>343.65</v>
      </c>
    </row>
    <row r="55">
      <c r="A55" s="9" t="n">
        <v>46101</v>
      </c>
      <c r="B55" s="1">
        <f>B54</f>
        <v/>
      </c>
      <c r="C55" t="n">
        <v>346.85</v>
      </c>
    </row>
    <row r="56">
      <c r="A56" s="9" t="n">
        <v>46104</v>
      </c>
      <c r="B56" s="1">
        <f>B55</f>
        <v/>
      </c>
      <c r="C56" t="n">
        <v>346.45</v>
      </c>
    </row>
    <row r="57">
      <c r="A57" s="9" t="n">
        <v>46105</v>
      </c>
      <c r="B57" s="1">
        <f>B56</f>
        <v/>
      </c>
      <c r="C57" t="n">
        <v>347.75</v>
      </c>
    </row>
    <row r="58">
      <c r="A58" s="9" t="n">
        <v>46107</v>
      </c>
      <c r="B58" s="1">
        <f>B57</f>
        <v/>
      </c>
      <c r="C58" t="n">
        <v>348.85</v>
      </c>
    </row>
    <row r="59">
      <c r="A59" s="9" t="n">
        <v>46108</v>
      </c>
      <c r="B59" s="1">
        <f>B58</f>
        <v/>
      </c>
      <c r="C59" t="n">
        <v>350.15</v>
      </c>
    </row>
    <row r="60">
      <c r="A60" s="9" t="n">
        <v>46111</v>
      </c>
      <c r="B60" s="1">
        <f>B59</f>
        <v/>
      </c>
      <c r="C60" t="n">
        <v>351.95</v>
      </c>
    </row>
    <row r="61">
      <c r="A61" s="9" t="n">
        <v>46112</v>
      </c>
      <c r="B61" s="1">
        <f>B60</f>
        <v/>
      </c>
      <c r="C61" t="n">
        <v>350.45</v>
      </c>
    </row>
    <row r="62">
      <c r="A62" s="9" t="n">
        <v>46113</v>
      </c>
      <c r="B62" s="1">
        <f>B70</f>
        <v/>
      </c>
      <c r="C62" t="n">
        <v>350.3</v>
      </c>
    </row>
    <row r="63">
      <c r="A63" s="9" t="n">
        <v>46114</v>
      </c>
      <c r="B63" s="1">
        <f>B71</f>
        <v/>
      </c>
      <c r="C63" t="n">
        <v>349.8</v>
      </c>
    </row>
    <row r="64">
      <c r="A64" s="9" t="n">
        <v>46118</v>
      </c>
      <c r="B64" s="1">
        <f>B72</f>
        <v/>
      </c>
      <c r="C64" t="n">
        <v>351.5</v>
      </c>
    </row>
    <row r="65">
      <c r="A65" s="9" t="n">
        <v>46120</v>
      </c>
      <c r="B65" s="1">
        <f>B73</f>
        <v/>
      </c>
      <c r="C65" t="n">
        <v>346.65</v>
      </c>
    </row>
    <row r="66">
      <c r="A66" s="9" t="n">
        <v>46121</v>
      </c>
      <c r="B66" s="1">
        <f>B74</f>
        <v/>
      </c>
      <c r="C66" t="n">
        <v>346.7</v>
      </c>
    </row>
    <row r="67">
      <c r="A67" s="9" t="n">
        <v>46122</v>
      </c>
      <c r="B67" s="1">
        <f>B75</f>
        <v/>
      </c>
      <c r="C67" t="n">
        <v>344.45</v>
      </c>
    </row>
    <row r="68">
      <c r="A68" s="9" t="n">
        <v>46125</v>
      </c>
      <c r="B68" s="1">
        <f>B76</f>
        <v/>
      </c>
      <c r="C68" t="n">
        <v>341.55</v>
      </c>
    </row>
    <row r="69">
      <c r="A69" s="9" t="n">
        <v>46126</v>
      </c>
      <c r="B69" s="1">
        <f>B77</f>
        <v/>
      </c>
      <c r="C69" t="n">
        <v>341.45</v>
      </c>
    </row>
    <row r="70">
      <c r="A70" s="9" t="n">
        <v>46127</v>
      </c>
      <c r="B70" s="1">
        <f>B78</f>
        <v/>
      </c>
      <c r="C70" t="n">
        <v>340.55</v>
      </c>
    </row>
    <row r="71">
      <c r="A71" s="9" t="n">
        <v>46128</v>
      </c>
      <c r="B71" s="1">
        <f>B79</f>
        <v/>
      </c>
      <c r="C71" t="n">
        <v>341.15</v>
      </c>
    </row>
    <row r="72">
      <c r="A72" s="9" t="n">
        <v>46129</v>
      </c>
      <c r="B72" s="1">
        <f>B71</f>
        <v/>
      </c>
      <c r="C72" t="n">
        <v>339.5</v>
      </c>
    </row>
    <row r="73">
      <c r="A73" s="9" t="n">
        <v>46132</v>
      </c>
      <c r="B73" s="1">
        <f>B72</f>
        <v/>
      </c>
      <c r="C73" t="n">
        <v>338.65</v>
      </c>
    </row>
    <row r="74">
      <c r="A74" s="9" t="n">
        <v>46134</v>
      </c>
      <c r="B74" s="1">
        <f>B73</f>
        <v/>
      </c>
      <c r="C74" t="n">
        <v>341.9</v>
      </c>
    </row>
    <row r="75">
      <c r="A75" s="9" t="n">
        <v>46135</v>
      </c>
      <c r="B75" s="1">
        <f>B74</f>
        <v/>
      </c>
      <c r="C75" t="n">
        <v>341.15</v>
      </c>
    </row>
    <row r="76">
      <c r="A76" s="9" t="n">
        <v>46136</v>
      </c>
      <c r="B76" s="1">
        <f>B75</f>
        <v/>
      </c>
      <c r="C76" t="n">
        <v>346.05</v>
      </c>
    </row>
    <row r="77">
      <c r="A77" s="9" t="n">
        <v>46139</v>
      </c>
      <c r="B77" s="1">
        <f>B76</f>
        <v/>
      </c>
      <c r="C77" t="n">
        <v>345.2</v>
      </c>
    </row>
    <row r="78">
      <c r="A78" s="9" t="n">
        <v>46140</v>
      </c>
      <c r="B78" s="1">
        <f>B77</f>
        <v/>
      </c>
      <c r="C78" t="n">
        <v>342.9</v>
      </c>
    </row>
    <row r="79">
      <c r="A79" s="9" t="n">
        <v>46141</v>
      </c>
      <c r="B79" s="1">
        <f>B78</f>
        <v/>
      </c>
      <c r="C79" t="n">
        <v>342.45</v>
      </c>
    </row>
    <row r="80">
      <c r="A80" s="9" t="n">
        <v>46142</v>
      </c>
      <c r="B80" s="1">
        <f>B79</f>
        <v/>
      </c>
      <c r="C80" t="n">
        <v>343.3</v>
      </c>
    </row>
    <row r="81">
      <c r="A81" s="9" t="n">
        <v>46146</v>
      </c>
      <c r="B81" s="1">
        <f>B80</f>
        <v/>
      </c>
      <c r="C81" t="n">
        <v>347.4</v>
      </c>
    </row>
    <row r="82">
      <c r="A82" s="9" t="n">
        <v>46147</v>
      </c>
      <c r="B82" s="1">
        <f>B81</f>
        <v/>
      </c>
      <c r="C82" t="n">
        <v>345.3</v>
      </c>
    </row>
    <row r="83">
      <c r="A83" s="9" t="n">
        <v>46148</v>
      </c>
      <c r="B83" s="1">
        <f>B82</f>
        <v/>
      </c>
      <c r="C83" t="n">
        <v>344.2</v>
      </c>
    </row>
    <row r="84">
      <c r="A84" s="9" t="n">
        <v>46149</v>
      </c>
      <c r="B84" s="1">
        <f>B83</f>
        <v/>
      </c>
      <c r="C84" t="n">
        <v>343.3</v>
      </c>
    </row>
    <row r="85">
      <c r="A85" s="9" t="n">
        <v>46150</v>
      </c>
      <c r="B85" s="1">
        <f>B84</f>
        <v/>
      </c>
      <c r="C85" t="n">
        <v>342.3</v>
      </c>
    </row>
    <row r="86">
      <c r="A86" s="9" t="n">
        <v>46153</v>
      </c>
      <c r="B86" s="1">
        <f>B85</f>
        <v/>
      </c>
      <c r="C86" t="n">
        <v>345.3</v>
      </c>
    </row>
    <row r="87">
      <c r="A87" s="9" t="n">
        <v>46154</v>
      </c>
      <c r="B87" s="1">
        <f>B86</f>
        <v/>
      </c>
      <c r="C87" t="n">
        <v>345.05</v>
      </c>
    </row>
    <row r="88">
      <c r="A88" s="9" t="n">
        <v>46155</v>
      </c>
      <c r="B88" s="1">
        <f>B87</f>
        <v/>
      </c>
      <c r="C88" t="n">
        <v>342.95</v>
      </c>
    </row>
    <row r="89">
      <c r="A89" s="9" t="n">
        <v>46156</v>
      </c>
      <c r="B89" s="1">
        <f>B88</f>
        <v/>
      </c>
      <c r="C89" t="n">
        <v>343.55</v>
      </c>
    </row>
    <row r="90">
      <c r="A90" s="9" t="n">
        <v>46157</v>
      </c>
      <c r="B90" s="1">
        <f>B89</f>
        <v/>
      </c>
      <c r="C90" t="n">
        <v>342.5</v>
      </c>
    </row>
    <row r="91">
      <c r="A91" s="9" t="n">
        <v>46160</v>
      </c>
      <c r="B91" s="1">
        <f>B90</f>
        <v/>
      </c>
      <c r="C91" t="n">
        <v>342.9</v>
      </c>
    </row>
    <row r="92">
      <c r="A92" s="9" t="n">
        <v>46161</v>
      </c>
      <c r="B92" s="1">
        <f>B91</f>
        <v/>
      </c>
      <c r="C92" t="n">
        <v>346.2</v>
      </c>
    </row>
    <row r="93">
      <c r="A93" s="9" t="n">
        <v>46162</v>
      </c>
      <c r="B93" s="1">
        <f>B92</f>
        <v/>
      </c>
      <c r="C93" t="n">
        <v>346.35</v>
      </c>
    </row>
    <row r="94">
      <c r="A94" s="9" t="n">
        <v>46163</v>
      </c>
      <c r="B94" s="1">
        <f>B93</f>
        <v/>
      </c>
      <c r="C94" t="n">
        <v>346.2</v>
      </c>
    </row>
    <row r="95">
      <c r="A95" s="9" t="n">
        <v>46164</v>
      </c>
      <c r="B95" s="1">
        <f>B94</f>
        <v/>
      </c>
      <c r="C95" t="n">
        <v>346.65</v>
      </c>
    </row>
    <row r="96">
      <c r="A96" s="9" t="n">
        <v>46167</v>
      </c>
      <c r="B96" s="1">
        <f>B95</f>
        <v/>
      </c>
      <c r="C96" t="n">
        <v>347.55</v>
      </c>
    </row>
    <row r="97">
      <c r="A97" s="9" t="n">
        <v>46168</v>
      </c>
      <c r="B97" s="1">
        <f>B96</f>
        <v/>
      </c>
      <c r="C97" t="n">
        <v>346.7</v>
      </c>
    </row>
    <row r="98">
      <c r="A98" s="9" t="n">
        <v>46169</v>
      </c>
      <c r="B98" s="1">
        <f>B97</f>
        <v/>
      </c>
      <c r="C98" t="n">
        <v>346.15</v>
      </c>
    </row>
    <row r="99">
      <c r="A99" s="9" t="n">
        <v>46170</v>
      </c>
      <c r="B99" s="1">
        <f>B98</f>
        <v/>
      </c>
      <c r="C99" t="n">
        <v>345.15</v>
      </c>
    </row>
    <row r="100">
      <c r="A100" s="9" t="n">
        <v>46171</v>
      </c>
      <c r="B100" s="1">
        <f>B99</f>
        <v/>
      </c>
      <c r="C100" t="n">
        <v>340.95</v>
      </c>
    </row>
    <row r="101">
      <c r="A101" s="9" t="n">
        <v>46174</v>
      </c>
      <c r="B101" s="1">
        <f>B100</f>
        <v/>
      </c>
      <c r="C101" t="n">
        <v>341</v>
      </c>
    </row>
    <row r="102">
      <c r="A102" s="9" t="n">
        <v>46175</v>
      </c>
      <c r="B102" s="1">
        <f>B101</f>
        <v/>
      </c>
      <c r="C102" t="n">
        <v>344.75</v>
      </c>
    </row>
    <row r="103">
      <c r="A103" s="9" t="n">
        <v>46176</v>
      </c>
      <c r="B103" s="1">
        <f>B102</f>
        <v/>
      </c>
      <c r="C103" t="n">
        <v>345.4</v>
      </c>
    </row>
    <row r="104">
      <c r="A104" s="9" t="n">
        <v>46178</v>
      </c>
      <c r="B104" s="1">
        <f>B103</f>
        <v/>
      </c>
      <c r="C104" t="n">
        <v>345.9</v>
      </c>
    </row>
    <row r="105">
      <c r="A105" s="9" t="n">
        <v>46181</v>
      </c>
      <c r="B105" s="1">
        <f>B104</f>
        <v/>
      </c>
      <c r="C105" t="n">
        <v>345</v>
      </c>
    </row>
    <row r="106">
      <c r="A106" s="9" t="n">
        <v>46182</v>
      </c>
      <c r="B106" s="1">
        <f>B105</f>
        <v/>
      </c>
      <c r="C106" t="n">
        <v>341.3</v>
      </c>
    </row>
    <row r="107">
      <c r="A107" s="9" t="n">
        <v>46183</v>
      </c>
      <c r="B107" s="1">
        <f>B106</f>
        <v/>
      </c>
      <c r="C107" t="n">
        <v>338.15</v>
      </c>
    </row>
    <row r="108">
      <c r="A108" s="9" t="n">
        <v>46184</v>
      </c>
      <c r="B108" s="1">
        <f>B107</f>
        <v/>
      </c>
      <c r="C108" t="n">
        <v>339.5</v>
      </c>
    </row>
    <row r="109">
      <c r="A109" s="9" t="n">
        <v>46185</v>
      </c>
      <c r="B109" s="1">
        <f>B108</f>
        <v/>
      </c>
      <c r="C109" t="n">
        <v>339.35</v>
      </c>
    </row>
    <row r="110">
      <c r="A110" s="9" t="n">
        <v>46188</v>
      </c>
      <c r="B110" s="1">
        <f>B109</f>
        <v/>
      </c>
      <c r="C110" t="n">
        <v>337.35</v>
      </c>
    </row>
    <row r="111">
      <c r="A111" s="9" t="n">
        <v>46189</v>
      </c>
      <c r="B111" s="1">
        <f>B110</f>
        <v/>
      </c>
      <c r="C111" t="n">
        <v>339.1</v>
      </c>
    </row>
    <row r="112">
      <c r="A112" s="9" t="n">
        <v>46190</v>
      </c>
      <c r="B112" s="1">
        <f>B111</f>
        <v/>
      </c>
      <c r="C112" t="n">
        <v>336.65</v>
      </c>
    </row>
    <row r="113">
      <c r="A113" s="9" t="n">
        <v>46191</v>
      </c>
      <c r="B113" s="1">
        <f>B112</f>
        <v/>
      </c>
      <c r="C113" t="n">
        <v>337.2</v>
      </c>
    </row>
    <row r="114">
      <c r="A114" s="9" t="n">
        <v>46192</v>
      </c>
      <c r="B114" s="1">
        <f>B113</f>
        <v/>
      </c>
      <c r="C114" t="n">
        <v>338.55</v>
      </c>
    </row>
    <row r="115">
      <c r="A115" s="24" t="n">
        <v>46195</v>
      </c>
      <c r="B115" s="1">
        <f>B114</f>
        <v/>
      </c>
      <c r="C115" t="n">
        <v>342.9</v>
      </c>
    </row>
    <row r="116">
      <c r="A116" s="24" t="n">
        <v>46196</v>
      </c>
      <c r="B116" s="1">
        <f>B115</f>
        <v/>
      </c>
      <c r="C116" t="n">
        <v>340.3</v>
      </c>
    </row>
    <row r="117">
      <c r="A117" s="24" t="n">
        <v>46197</v>
      </c>
      <c r="B117" s="1">
        <f>B116</f>
        <v/>
      </c>
      <c r="C117" t="n">
        <v>338</v>
      </c>
    </row>
    <row r="118">
      <c r="A118" s="24" t="n">
        <v>46198</v>
      </c>
      <c r="B118" s="1">
        <f>B117</f>
        <v/>
      </c>
      <c r="C118" t="n">
        <v>338.3</v>
      </c>
    </row>
    <row r="119">
      <c r="A119" s="24" t="n">
        <v>46199</v>
      </c>
      <c r="B119" s="1">
        <f>B118</f>
        <v/>
      </c>
      <c r="C119" t="n">
        <v>337.5</v>
      </c>
    </row>
    <row r="120">
      <c r="A120" s="24" t="n">
        <v>46202</v>
      </c>
      <c r="B120" s="1">
        <f>B119</f>
        <v/>
      </c>
      <c r="C120" t="n">
        <v>337.15</v>
      </c>
    </row>
    <row r="121">
      <c r="A121" s="24" t="n">
        <v>46203</v>
      </c>
      <c r="B121" s="1">
        <f>B120</f>
        <v/>
      </c>
      <c r="C121" t="n">
        <v>334.65</v>
      </c>
    </row>
    <row r="122">
      <c r="A122" s="24" t="n">
        <v>46204</v>
      </c>
      <c r="B122" s="1">
        <f>B121</f>
        <v/>
      </c>
      <c r="C122" t="n">
        <v>335.35</v>
      </c>
    </row>
    <row r="123">
      <c r="A123" s="24" t="n">
        <v>46205</v>
      </c>
      <c r="B123" s="1">
        <f>B122</f>
        <v/>
      </c>
      <c r="C123" t="n">
        <v>335.3</v>
      </c>
    </row>
    <row r="124">
      <c r="A124" s="24" t="n">
        <v>46206</v>
      </c>
      <c r="B124" s="1">
        <f>B123</f>
        <v/>
      </c>
      <c r="C124" t="n">
        <v>335.9</v>
      </c>
    </row>
    <row r="125">
      <c r="A125" s="24" t="n">
        <v>46209</v>
      </c>
      <c r="B125" s="1">
        <f>B124</f>
        <v/>
      </c>
      <c r="C125" t="n">
        <v>336.7</v>
      </c>
    </row>
    <row r="126">
      <c r="A126" s="24" t="n">
        <v>46210</v>
      </c>
      <c r="B126" s="1">
        <f>B125</f>
        <v/>
      </c>
      <c r="C126" t="n">
        <v>342</v>
      </c>
    </row>
    <row r="127">
      <c r="A127" s="24" t="n">
        <v>46211</v>
      </c>
      <c r="B127" s="1">
        <f>B126</f>
        <v/>
      </c>
      <c r="C127" t="n">
        <v>338.9</v>
      </c>
    </row>
    <row r="128">
      <c r="A128" s="24" t="n">
        <v>46212</v>
      </c>
      <c r="B128" s="1">
        <f>B127</f>
        <v/>
      </c>
      <c r="C128" t="n">
        <v>340.8</v>
      </c>
    </row>
    <row r="129">
      <c r="A129" s="24" t="n">
        <v>46213</v>
      </c>
      <c r="B129" s="1">
        <f>B128</f>
        <v/>
      </c>
      <c r="C129" t="n">
        <v>340.95</v>
      </c>
    </row>
    <row r="130">
      <c r="A130" s="24" t="n">
        <v>46216</v>
      </c>
      <c r="B130" s="1">
        <f>B129</f>
        <v/>
      </c>
      <c r="C130" t="n">
        <v>343.05</v>
      </c>
    </row>
    <row r="131">
      <c r="A131" s="67" t="n">
        <v>46217</v>
      </c>
      <c r="B131" s="1">
        <f>B130</f>
        <v/>
      </c>
      <c r="C131" t="n">
        <v>345.95</v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19.xml><?xml version="1.0" encoding="utf-8"?>
<worksheet xmlns="http://schemas.openxmlformats.org/spreadsheetml/2006/main">
  <sheetPr codeName="Planilha19">
    <outlinePr summaryBelow="1" summaryRight="1"/>
    <pageSetUpPr/>
  </sheetPr>
  <dimension ref="A1:C190"/>
  <sheetViews>
    <sheetView topLeftCell="A34" zoomScale="90" zoomScaleNormal="90" workbookViewId="0">
      <selection activeCell="A50" sqref="A50:XFD50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46024</v>
      </c>
      <c r="B2" s="1" t="inlineStr">
        <is>
          <t>BGIV26</t>
        </is>
      </c>
      <c r="C2" t="n">
        <v>344.9</v>
      </c>
    </row>
    <row r="3">
      <c r="A3" s="9" t="n">
        <v>46027</v>
      </c>
      <c r="B3" s="1">
        <f>B2</f>
        <v/>
      </c>
      <c r="C3" t="n">
        <v>345.8</v>
      </c>
    </row>
    <row r="4">
      <c r="A4" s="9" t="n">
        <v>46028</v>
      </c>
      <c r="B4" s="1">
        <f>B3</f>
        <v/>
      </c>
      <c r="C4" t="n">
        <v>340.9</v>
      </c>
    </row>
    <row r="5">
      <c r="A5" s="9" t="n">
        <v>46029</v>
      </c>
      <c r="B5" s="1">
        <f>B4</f>
        <v/>
      </c>
      <c r="C5" t="n">
        <v>341.25</v>
      </c>
    </row>
    <row r="6">
      <c r="A6" s="9" t="n">
        <v>46030</v>
      </c>
      <c r="B6" s="1">
        <f>B5</f>
        <v/>
      </c>
      <c r="C6" t="n">
        <v>339.55</v>
      </c>
    </row>
    <row r="7">
      <c r="A7" s="9" t="n">
        <v>46031</v>
      </c>
      <c r="B7" s="1">
        <f>B6</f>
        <v/>
      </c>
      <c r="C7" t="n">
        <v>338.4</v>
      </c>
    </row>
    <row r="8">
      <c r="A8" s="9" t="n">
        <v>46034</v>
      </c>
      <c r="B8" s="1">
        <f>B7</f>
        <v/>
      </c>
      <c r="C8" t="n">
        <v>338.15</v>
      </c>
    </row>
    <row r="9">
      <c r="A9" s="9" t="n">
        <v>46035</v>
      </c>
      <c r="B9" s="1">
        <f>B8</f>
        <v/>
      </c>
      <c r="C9" t="n">
        <v>334.7</v>
      </c>
    </row>
    <row r="10">
      <c r="A10" s="9" t="n">
        <v>46036</v>
      </c>
      <c r="B10" s="1">
        <f>B9</f>
        <v/>
      </c>
      <c r="C10" t="n">
        <v>334.85</v>
      </c>
    </row>
    <row r="11">
      <c r="A11" s="9" t="n">
        <v>46037</v>
      </c>
      <c r="B11" s="1">
        <f>B10</f>
        <v/>
      </c>
      <c r="C11" t="n">
        <v>334.25</v>
      </c>
    </row>
    <row r="12">
      <c r="A12" s="9" t="n">
        <v>46038</v>
      </c>
      <c r="B12" s="1">
        <f>B11</f>
        <v/>
      </c>
      <c r="C12" t="n">
        <v>336</v>
      </c>
    </row>
    <row r="13">
      <c r="A13" s="9" t="n">
        <v>46041</v>
      </c>
      <c r="B13" s="1">
        <f>B12</f>
        <v/>
      </c>
      <c r="C13" t="n">
        <v>338.25</v>
      </c>
    </row>
    <row r="14">
      <c r="A14" s="9" t="n">
        <v>46042</v>
      </c>
      <c r="B14" s="1">
        <f>B13</f>
        <v/>
      </c>
      <c r="C14" t="n">
        <v>339.45</v>
      </c>
    </row>
    <row r="15">
      <c r="A15" s="4" t="n">
        <v>46043</v>
      </c>
      <c r="B15" s="1">
        <f>B14</f>
        <v/>
      </c>
      <c r="C15" t="n">
        <v>340.55</v>
      </c>
    </row>
    <row r="16">
      <c r="A16" s="4" t="n">
        <v>46044</v>
      </c>
      <c r="B16" s="1">
        <f>B15</f>
        <v/>
      </c>
      <c r="C16" t="n">
        <v>339</v>
      </c>
    </row>
    <row r="17">
      <c r="A17" s="9" t="n">
        <v>46045</v>
      </c>
      <c r="B17" s="1">
        <f>B16</f>
        <v/>
      </c>
      <c r="C17" t="n">
        <v>338.9</v>
      </c>
    </row>
    <row r="18">
      <c r="A18" s="9" t="n">
        <v>46048</v>
      </c>
      <c r="B18" s="1">
        <f>B17</f>
        <v/>
      </c>
      <c r="C18" t="n">
        <v>340.3</v>
      </c>
    </row>
    <row r="19">
      <c r="A19" s="9" t="n">
        <v>46049</v>
      </c>
      <c r="B19" s="1">
        <f>B18</f>
        <v/>
      </c>
      <c r="C19" t="n">
        <v>342.85</v>
      </c>
    </row>
    <row r="20">
      <c r="A20" s="9" t="n">
        <v>46050</v>
      </c>
      <c r="B20" s="1">
        <f>B19</f>
        <v/>
      </c>
      <c r="C20" t="n">
        <v>343.35</v>
      </c>
    </row>
    <row r="21">
      <c r="A21" s="9" t="n">
        <v>46051</v>
      </c>
      <c r="B21" s="1">
        <f>B20</f>
        <v/>
      </c>
      <c r="C21" t="n">
        <v>344.65</v>
      </c>
    </row>
    <row r="22">
      <c r="A22" s="9" t="n">
        <v>46052</v>
      </c>
      <c r="B22" s="1">
        <f>B21</f>
        <v/>
      </c>
      <c r="C22" t="n">
        <v>346.8</v>
      </c>
    </row>
    <row r="23">
      <c r="A23" s="9" t="n">
        <v>46055</v>
      </c>
      <c r="B23" s="1">
        <f>B22</f>
        <v/>
      </c>
      <c r="C23" t="n">
        <v>346.95</v>
      </c>
    </row>
    <row r="24">
      <c r="A24" s="9" t="n">
        <v>46056</v>
      </c>
      <c r="B24" s="1">
        <f>B23</f>
        <v/>
      </c>
      <c r="C24" t="n">
        <v>346.7</v>
      </c>
    </row>
    <row r="25">
      <c r="A25" s="9" t="n">
        <v>46057</v>
      </c>
      <c r="B25" s="1">
        <f>B24</f>
        <v/>
      </c>
      <c r="C25" t="n">
        <v>347.65</v>
      </c>
    </row>
    <row r="26">
      <c r="A26" s="9" t="n">
        <v>46058</v>
      </c>
      <c r="B26" s="1">
        <f>B25</f>
        <v/>
      </c>
      <c r="C26" t="n">
        <v>348.4</v>
      </c>
    </row>
    <row r="27">
      <c r="A27" s="9" t="n">
        <v>46059</v>
      </c>
      <c r="B27" s="1">
        <f>B26</f>
        <v/>
      </c>
      <c r="C27" t="n">
        <v>348.9</v>
      </c>
    </row>
    <row r="28">
      <c r="A28" s="9" t="n">
        <v>46062</v>
      </c>
      <c r="B28" s="1">
        <f>B27</f>
        <v/>
      </c>
      <c r="C28" t="n">
        <v>347.95</v>
      </c>
    </row>
    <row r="29">
      <c r="A29" s="9" t="n">
        <v>46063</v>
      </c>
      <c r="B29" s="1">
        <f>B28</f>
        <v/>
      </c>
      <c r="C29" t="n">
        <v>349.25</v>
      </c>
    </row>
    <row r="30">
      <c r="A30" s="9" t="n">
        <v>46064</v>
      </c>
      <c r="B30" s="1">
        <f>B29</f>
        <v/>
      </c>
      <c r="C30" t="n">
        <v>349.3</v>
      </c>
    </row>
    <row r="31">
      <c r="A31" s="9" t="n">
        <v>46065</v>
      </c>
      <c r="B31" s="1">
        <f>B30</f>
        <v/>
      </c>
      <c r="C31" t="n">
        <v>348.25</v>
      </c>
    </row>
    <row r="32">
      <c r="A32" s="9" t="n">
        <v>46066</v>
      </c>
      <c r="B32" s="1">
        <f>B31</f>
        <v/>
      </c>
      <c r="C32" t="n">
        <v>348.15</v>
      </c>
    </row>
    <row r="33">
      <c r="A33" s="9" t="n">
        <v>46071</v>
      </c>
      <c r="B33" s="1">
        <f>B32</f>
        <v/>
      </c>
      <c r="C33" t="n">
        <v>349.6</v>
      </c>
    </row>
    <row r="34">
      <c r="A34" s="9" t="n">
        <v>46072</v>
      </c>
      <c r="B34" s="1">
        <f>B33</f>
        <v/>
      </c>
      <c r="C34" t="n">
        <v>349.6</v>
      </c>
    </row>
    <row r="35">
      <c r="A35" s="9" t="n">
        <v>46073</v>
      </c>
      <c r="B35" s="1">
        <f>B34</f>
        <v/>
      </c>
      <c r="C35" t="n">
        <v>352.15</v>
      </c>
    </row>
    <row r="36">
      <c r="A36" s="9" t="n">
        <v>46076</v>
      </c>
      <c r="B36" s="1">
        <f>B35</f>
        <v/>
      </c>
      <c r="C36" t="n">
        <v>352.45</v>
      </c>
    </row>
    <row r="37">
      <c r="A37" s="9" t="n">
        <v>46077</v>
      </c>
      <c r="B37" s="1">
        <f>B36</f>
        <v/>
      </c>
      <c r="C37" t="n">
        <v>356.4</v>
      </c>
    </row>
    <row r="38">
      <c r="A38" s="9" t="n">
        <v>46078</v>
      </c>
      <c r="B38" s="1">
        <f>B37</f>
        <v/>
      </c>
      <c r="C38" t="n">
        <v>355.4</v>
      </c>
    </row>
    <row r="39">
      <c r="A39" s="9" t="n">
        <v>46079</v>
      </c>
      <c r="B39" s="1">
        <f>B38</f>
        <v/>
      </c>
      <c r="C39" t="n">
        <v>353</v>
      </c>
    </row>
    <row r="40">
      <c r="A40" s="9" t="n">
        <v>46080</v>
      </c>
      <c r="B40" s="1">
        <f>B39</f>
        <v/>
      </c>
      <c r="C40" t="n">
        <v>351.1</v>
      </c>
    </row>
    <row r="41">
      <c r="A41" s="9" t="n">
        <v>46083</v>
      </c>
      <c r="B41" s="1">
        <f>B40</f>
        <v/>
      </c>
      <c r="C41" t="n">
        <v>346.6</v>
      </c>
    </row>
    <row r="42">
      <c r="A42" s="9" t="n">
        <v>46084</v>
      </c>
      <c r="B42" s="1">
        <f>B41</f>
        <v/>
      </c>
      <c r="C42" t="n">
        <v>343.1</v>
      </c>
    </row>
    <row r="43">
      <c r="A43" s="9" t="n">
        <v>46085</v>
      </c>
      <c r="B43" s="1">
        <f>B42</f>
        <v/>
      </c>
      <c r="C43" t="n">
        <v>345</v>
      </c>
    </row>
    <row r="44">
      <c r="A44" s="9" t="n">
        <v>46086</v>
      </c>
      <c r="B44" s="1">
        <f>B43</f>
        <v/>
      </c>
      <c r="C44" t="n">
        <v>344.7</v>
      </c>
    </row>
    <row r="45">
      <c r="A45" s="9" t="n">
        <v>46087</v>
      </c>
      <c r="B45" s="1">
        <f>B44</f>
        <v/>
      </c>
      <c r="C45" t="n">
        <v>343</v>
      </c>
    </row>
    <row r="46">
      <c r="A46" s="9" t="n">
        <v>46090</v>
      </c>
      <c r="B46" s="1">
        <f>B45</f>
        <v/>
      </c>
      <c r="C46" t="n">
        <v>345.15</v>
      </c>
    </row>
    <row r="47">
      <c r="A47" s="9" t="n">
        <v>46091</v>
      </c>
      <c r="B47" s="1">
        <f>B46</f>
        <v/>
      </c>
      <c r="C47" t="n">
        <v>345.05</v>
      </c>
    </row>
    <row r="48">
      <c r="A48" s="9" t="n">
        <v>46092</v>
      </c>
      <c r="B48" s="1">
        <f>B47</f>
        <v/>
      </c>
      <c r="C48" t="n">
        <v>347.1</v>
      </c>
    </row>
    <row r="49">
      <c r="A49" s="9" t="n">
        <v>46093</v>
      </c>
      <c r="B49" s="1">
        <f>B48</f>
        <v/>
      </c>
      <c r="C49" t="n">
        <v>348.3</v>
      </c>
    </row>
    <row r="50">
      <c r="A50" s="9" t="n">
        <v>46094</v>
      </c>
      <c r="B50" s="1">
        <f>B49</f>
        <v/>
      </c>
      <c r="C50" t="n">
        <v>345.35</v>
      </c>
    </row>
    <row r="51">
      <c r="A51" s="9" t="n">
        <v>46097</v>
      </c>
      <c r="B51" s="1">
        <f>B50</f>
        <v/>
      </c>
      <c r="C51" t="n">
        <v>345.95</v>
      </c>
    </row>
    <row r="52">
      <c r="A52" s="9" t="n">
        <v>46098</v>
      </c>
      <c r="B52" s="1">
        <f>B51</f>
        <v/>
      </c>
      <c r="C52" t="n">
        <v>343.1</v>
      </c>
    </row>
    <row r="53">
      <c r="A53" s="9" t="n">
        <v>46099</v>
      </c>
      <c r="B53" s="1">
        <f>B52</f>
        <v/>
      </c>
      <c r="C53" t="n">
        <v>344</v>
      </c>
    </row>
    <row r="54">
      <c r="A54" s="9" t="n">
        <v>46100</v>
      </c>
      <c r="B54" s="1">
        <f>B53</f>
        <v/>
      </c>
      <c r="C54" t="n">
        <v>348.65</v>
      </c>
    </row>
    <row r="55">
      <c r="A55" s="9" t="n">
        <v>46101</v>
      </c>
      <c r="B55" s="1">
        <f>B54</f>
        <v/>
      </c>
      <c r="C55" t="n">
        <v>352.1</v>
      </c>
    </row>
    <row r="56">
      <c r="A56" s="9" t="n">
        <v>46104</v>
      </c>
      <c r="B56" s="1">
        <f>B55</f>
        <v/>
      </c>
      <c r="C56" t="n">
        <v>352</v>
      </c>
    </row>
    <row r="57">
      <c r="A57" s="9" t="n">
        <v>46105</v>
      </c>
      <c r="B57" s="1">
        <f>B56</f>
        <v/>
      </c>
      <c r="C57" t="n">
        <v>354.8</v>
      </c>
    </row>
    <row r="58">
      <c r="A58" s="9" t="n">
        <v>46107</v>
      </c>
      <c r="B58" s="1">
        <f>B57</f>
        <v/>
      </c>
      <c r="C58" t="n">
        <v>355.1</v>
      </c>
    </row>
    <row r="59">
      <c r="A59" s="9" t="n">
        <v>46108</v>
      </c>
      <c r="B59" s="1">
        <f>B58</f>
        <v/>
      </c>
      <c r="C59" t="n">
        <v>355.9</v>
      </c>
    </row>
    <row r="60">
      <c r="A60" s="9" t="n">
        <v>46111</v>
      </c>
      <c r="B60" s="1">
        <f>B59</f>
        <v/>
      </c>
      <c r="C60" t="n">
        <v>356.05</v>
      </c>
    </row>
    <row r="61">
      <c r="A61" s="9" t="n">
        <v>46112</v>
      </c>
      <c r="B61" s="1">
        <f>B60</f>
        <v/>
      </c>
      <c r="C61" t="n">
        <v>355.85</v>
      </c>
    </row>
    <row r="62">
      <c r="A62" s="9" t="n">
        <v>46113</v>
      </c>
      <c r="B62" s="1">
        <f>B71</f>
        <v/>
      </c>
      <c r="C62" t="n">
        <v>355.95</v>
      </c>
    </row>
    <row r="63">
      <c r="A63" s="9" t="n">
        <v>46114</v>
      </c>
      <c r="B63" s="1">
        <f>B72</f>
        <v/>
      </c>
      <c r="C63" t="n">
        <v>355.5</v>
      </c>
    </row>
    <row r="64">
      <c r="A64" s="9" t="n">
        <v>46118</v>
      </c>
      <c r="B64" s="1">
        <f>B73</f>
        <v/>
      </c>
      <c r="C64" t="n">
        <v>356.65</v>
      </c>
    </row>
    <row r="65">
      <c r="A65" s="9" t="n">
        <v>46119</v>
      </c>
      <c r="B65" s="1">
        <f>B74</f>
        <v/>
      </c>
      <c r="C65" t="n">
        <v>355.65</v>
      </c>
    </row>
    <row r="66">
      <c r="A66" s="9" t="n">
        <v>46120</v>
      </c>
      <c r="B66" s="1">
        <f>B75</f>
        <v/>
      </c>
      <c r="C66" t="n">
        <v>350.7</v>
      </c>
    </row>
    <row r="67">
      <c r="A67" s="9" t="n">
        <v>46121</v>
      </c>
      <c r="B67" s="1">
        <f>B76</f>
        <v/>
      </c>
      <c r="C67" t="n">
        <v>353.15</v>
      </c>
    </row>
    <row r="68">
      <c r="A68" s="9" t="n">
        <v>46122</v>
      </c>
      <c r="B68" s="1">
        <f>B77</f>
        <v/>
      </c>
      <c r="C68" t="n">
        <v>352.05</v>
      </c>
    </row>
    <row r="69">
      <c r="A69" s="9" t="n">
        <v>46125</v>
      </c>
      <c r="B69" s="1">
        <f>B78</f>
        <v/>
      </c>
      <c r="C69" t="n">
        <v>349.4</v>
      </c>
    </row>
    <row r="70">
      <c r="A70" s="9" t="n">
        <v>46126</v>
      </c>
      <c r="B70" s="1">
        <f>B79</f>
        <v/>
      </c>
      <c r="C70" t="n">
        <v>348.95</v>
      </c>
    </row>
    <row r="71">
      <c r="A71" s="9" t="n">
        <v>46127</v>
      </c>
      <c r="B71" s="1">
        <f>B80</f>
        <v/>
      </c>
      <c r="C71" t="n">
        <v>347.8</v>
      </c>
    </row>
    <row r="72">
      <c r="A72" s="9" t="n">
        <v>46128</v>
      </c>
      <c r="B72" s="1">
        <f>B81</f>
        <v/>
      </c>
      <c r="C72" t="n">
        <v>348.15</v>
      </c>
    </row>
    <row r="73">
      <c r="A73" s="9" t="n">
        <v>46129</v>
      </c>
      <c r="B73" s="1">
        <f>B72</f>
        <v/>
      </c>
      <c r="C73" t="n">
        <v>346.7</v>
      </c>
    </row>
    <row r="74">
      <c r="A74" s="9" t="n">
        <v>46132</v>
      </c>
      <c r="B74" s="1">
        <f>B73</f>
        <v/>
      </c>
      <c r="C74" t="n">
        <v>345.55</v>
      </c>
    </row>
    <row r="75">
      <c r="A75" s="9" t="n">
        <v>46134</v>
      </c>
      <c r="B75" s="1">
        <f>B74</f>
        <v/>
      </c>
      <c r="C75" t="n">
        <v>348.1</v>
      </c>
    </row>
    <row r="76">
      <c r="A76" s="9" t="n">
        <v>46135</v>
      </c>
      <c r="B76" s="1">
        <f>B75</f>
        <v/>
      </c>
      <c r="C76" t="n">
        <v>346.5</v>
      </c>
    </row>
    <row r="77">
      <c r="A77" s="9" t="n">
        <v>46136</v>
      </c>
      <c r="B77" s="1">
        <f>B76</f>
        <v/>
      </c>
      <c r="C77" t="n">
        <v>350.5</v>
      </c>
    </row>
    <row r="78">
      <c r="A78" s="9" t="n">
        <v>46139</v>
      </c>
      <c r="B78" s="1">
        <f>B77</f>
        <v/>
      </c>
      <c r="C78" t="n">
        <v>350.6</v>
      </c>
    </row>
    <row r="79">
      <c r="A79" s="9" t="n">
        <v>46140</v>
      </c>
      <c r="B79" s="1">
        <f>B78</f>
        <v/>
      </c>
      <c r="C79" t="n">
        <v>349.55</v>
      </c>
    </row>
    <row r="80">
      <c r="A80" s="9" t="n">
        <v>46141</v>
      </c>
      <c r="B80" s="1">
        <f>B79</f>
        <v/>
      </c>
      <c r="C80" t="n">
        <v>347.8</v>
      </c>
    </row>
    <row r="81">
      <c r="A81" s="9" t="n">
        <v>46142</v>
      </c>
      <c r="B81" s="1">
        <f>B80</f>
        <v/>
      </c>
      <c r="C81" t="n">
        <v>351.15</v>
      </c>
    </row>
    <row r="82">
      <c r="A82" s="9" t="n">
        <v>46146</v>
      </c>
      <c r="B82" s="1">
        <f>B81</f>
        <v/>
      </c>
      <c r="C82" t="n">
        <v>355.35</v>
      </c>
    </row>
    <row r="83">
      <c r="A83" s="9" t="n">
        <v>46147</v>
      </c>
      <c r="B83" s="1">
        <f>B82</f>
        <v/>
      </c>
      <c r="C83" t="n">
        <v>351.15</v>
      </c>
    </row>
    <row r="84">
      <c r="A84" s="9" t="n">
        <v>46148</v>
      </c>
      <c r="B84" s="1">
        <f>B83</f>
        <v/>
      </c>
      <c r="C84" t="n">
        <v>351.2</v>
      </c>
    </row>
    <row r="85">
      <c r="A85" s="9" t="n">
        <v>46149</v>
      </c>
      <c r="B85" s="1">
        <f>B84</f>
        <v/>
      </c>
      <c r="C85" t="n">
        <v>349.35</v>
      </c>
    </row>
    <row r="86">
      <c r="A86" s="9" t="n">
        <v>46150</v>
      </c>
      <c r="B86" s="1">
        <f>B85</f>
        <v/>
      </c>
      <c r="C86" t="n">
        <v>349.7</v>
      </c>
    </row>
    <row r="87">
      <c r="A87" s="9" t="n">
        <v>46153</v>
      </c>
      <c r="B87" s="1">
        <f>B86</f>
        <v/>
      </c>
      <c r="C87" t="n">
        <v>352.55</v>
      </c>
    </row>
    <row r="88">
      <c r="A88" s="9" t="n">
        <v>46154</v>
      </c>
      <c r="B88" s="1">
        <f>B87</f>
        <v/>
      </c>
      <c r="C88" t="n">
        <v>352.95</v>
      </c>
    </row>
    <row r="89">
      <c r="A89" s="9" t="n">
        <v>46155</v>
      </c>
      <c r="B89" s="1">
        <f>B88</f>
        <v/>
      </c>
      <c r="C89" t="n">
        <v>350.65</v>
      </c>
    </row>
    <row r="90">
      <c r="A90" s="9" t="n">
        <v>46156</v>
      </c>
      <c r="B90" s="1">
        <f>B89</f>
        <v/>
      </c>
      <c r="C90" t="n">
        <v>351.3</v>
      </c>
    </row>
    <row r="91">
      <c r="A91" s="9" t="n">
        <v>46157</v>
      </c>
      <c r="B91" s="1">
        <f>B90</f>
        <v/>
      </c>
      <c r="C91" t="n">
        <v>350.8</v>
      </c>
    </row>
    <row r="92">
      <c r="A92" s="9" t="n">
        <v>46160</v>
      </c>
      <c r="B92" s="1">
        <f>B91</f>
        <v/>
      </c>
      <c r="C92" t="n">
        <v>351</v>
      </c>
    </row>
    <row r="93">
      <c r="A93" s="9" t="n">
        <v>46161</v>
      </c>
      <c r="B93" s="1">
        <f>B92</f>
        <v/>
      </c>
      <c r="C93" t="n">
        <v>354.85</v>
      </c>
    </row>
    <row r="94">
      <c r="A94" s="9" t="n">
        <v>46162</v>
      </c>
      <c r="B94" s="1">
        <f>B93</f>
        <v/>
      </c>
      <c r="C94" t="n">
        <v>354.85</v>
      </c>
    </row>
    <row r="95">
      <c r="A95" s="9" t="n">
        <v>46163</v>
      </c>
      <c r="B95" s="1">
        <f>B94</f>
        <v/>
      </c>
      <c r="C95" t="n">
        <v>354.5</v>
      </c>
    </row>
    <row r="96">
      <c r="A96" s="9" t="n">
        <v>46164</v>
      </c>
      <c r="B96" s="1">
        <f>B95</f>
        <v/>
      </c>
      <c r="C96" t="n">
        <v>354.65</v>
      </c>
    </row>
    <row r="97">
      <c r="A97" s="9" t="n">
        <v>46167</v>
      </c>
      <c r="B97" s="1">
        <f>B96</f>
        <v/>
      </c>
      <c r="C97" t="n">
        <v>355.7</v>
      </c>
    </row>
    <row r="98">
      <c r="A98" s="9" t="n">
        <v>46168</v>
      </c>
      <c r="B98" s="1">
        <f>B97</f>
        <v/>
      </c>
      <c r="C98" t="n">
        <v>355.7</v>
      </c>
    </row>
    <row r="99">
      <c r="A99" s="9" t="n">
        <v>46169</v>
      </c>
      <c r="B99" s="1">
        <f>B98</f>
        <v/>
      </c>
      <c r="C99" t="n">
        <v>354.85</v>
      </c>
    </row>
    <row r="100">
      <c r="A100" s="9" t="n">
        <v>46170</v>
      </c>
      <c r="B100" s="1">
        <f>B99</f>
        <v/>
      </c>
      <c r="C100" t="n">
        <v>353.4</v>
      </c>
    </row>
    <row r="101">
      <c r="A101" s="9" t="n">
        <v>46171</v>
      </c>
      <c r="B101" s="1">
        <f>B100</f>
        <v/>
      </c>
      <c r="C101" t="n">
        <v>349.05</v>
      </c>
    </row>
    <row r="102">
      <c r="A102" s="9" t="n">
        <v>46174</v>
      </c>
      <c r="B102" s="1">
        <f>B101</f>
        <v/>
      </c>
      <c r="C102" t="n">
        <v>349.55</v>
      </c>
    </row>
    <row r="103">
      <c r="A103" s="9" t="n">
        <v>46175</v>
      </c>
      <c r="B103" s="1">
        <f>B102</f>
        <v/>
      </c>
      <c r="C103" t="n">
        <v>352.75</v>
      </c>
    </row>
    <row r="104">
      <c r="A104" s="9" t="n">
        <v>46176</v>
      </c>
      <c r="B104" s="1">
        <f>B103</f>
        <v/>
      </c>
      <c r="C104" t="n">
        <v>353.75</v>
      </c>
    </row>
    <row r="105">
      <c r="A105" s="9" t="n">
        <v>46178</v>
      </c>
      <c r="B105" s="1">
        <f>B104</f>
        <v/>
      </c>
      <c r="C105" t="n">
        <v>354.65</v>
      </c>
    </row>
    <row r="106">
      <c r="A106" s="9" t="n">
        <v>46181</v>
      </c>
      <c r="B106" s="1">
        <f>B105</f>
        <v/>
      </c>
      <c r="C106" t="n">
        <v>353.95</v>
      </c>
    </row>
    <row r="107">
      <c r="A107" s="9" t="n">
        <v>46182</v>
      </c>
      <c r="B107" s="1">
        <f>B106</f>
        <v/>
      </c>
      <c r="C107" t="n">
        <v>350.6</v>
      </c>
    </row>
    <row r="108">
      <c r="A108" s="9" t="n">
        <v>46183</v>
      </c>
      <c r="B108" s="1">
        <f>B107</f>
        <v/>
      </c>
      <c r="C108" t="n">
        <v>347.05</v>
      </c>
    </row>
    <row r="109">
      <c r="A109" s="9" t="n">
        <v>46184</v>
      </c>
      <c r="B109" s="1">
        <f>B108</f>
        <v/>
      </c>
      <c r="C109" t="n">
        <v>349.15</v>
      </c>
    </row>
    <row r="110">
      <c r="A110" s="9" t="n">
        <v>46185</v>
      </c>
      <c r="B110" s="1">
        <f>B109</f>
        <v/>
      </c>
      <c r="C110" t="n">
        <v>348.85</v>
      </c>
    </row>
    <row r="111">
      <c r="A111" s="9" t="n">
        <v>46188</v>
      </c>
      <c r="B111" s="1">
        <f>B110</f>
        <v/>
      </c>
      <c r="C111" t="n">
        <v>346.55</v>
      </c>
    </row>
    <row r="112">
      <c r="A112" s="24" t="n">
        <v>46189</v>
      </c>
      <c r="B112" s="1">
        <f>B111</f>
        <v/>
      </c>
      <c r="C112" t="n">
        <v>347.8</v>
      </c>
    </row>
    <row r="113">
      <c r="A113" s="24" t="n">
        <v>46190</v>
      </c>
      <c r="B113" s="1">
        <f>B112</f>
        <v/>
      </c>
      <c r="C113" t="n">
        <v>345.95</v>
      </c>
    </row>
    <row r="114">
      <c r="A114" s="24" t="n">
        <v>46191</v>
      </c>
      <c r="B114" s="1">
        <f>B113</f>
        <v/>
      </c>
      <c r="C114" t="n">
        <v>346.9</v>
      </c>
    </row>
    <row r="115">
      <c r="A115" s="24" t="n">
        <v>46192</v>
      </c>
      <c r="B115" s="1">
        <f>B114</f>
        <v/>
      </c>
      <c r="C115" t="n">
        <v>348</v>
      </c>
    </row>
    <row r="116">
      <c r="A116" s="24" t="n">
        <v>46195</v>
      </c>
      <c r="B116" s="1">
        <f>B115</f>
        <v/>
      </c>
      <c r="C116" t="n">
        <v>351.8</v>
      </c>
    </row>
    <row r="117">
      <c r="A117" s="24" t="n">
        <v>46196</v>
      </c>
      <c r="B117" s="1">
        <f>B116</f>
        <v/>
      </c>
      <c r="C117" t="n">
        <v>349.05</v>
      </c>
    </row>
    <row r="118">
      <c r="A118" s="24" t="n">
        <v>46197</v>
      </c>
      <c r="B118" s="1">
        <f>B117</f>
        <v/>
      </c>
      <c r="C118" t="n">
        <v>347.2</v>
      </c>
    </row>
    <row r="119">
      <c r="A119" s="24" t="n">
        <v>46198</v>
      </c>
      <c r="B119" s="1">
        <f>B118</f>
        <v/>
      </c>
      <c r="C119" t="n">
        <v>345.55</v>
      </c>
    </row>
    <row r="120">
      <c r="A120" s="24" t="n">
        <v>46199</v>
      </c>
      <c r="B120" s="1">
        <f>B119</f>
        <v/>
      </c>
      <c r="C120" t="n">
        <v>345.1</v>
      </c>
    </row>
    <row r="121">
      <c r="A121" s="24" t="n">
        <v>46202</v>
      </c>
      <c r="B121" s="1">
        <f>B120</f>
        <v/>
      </c>
      <c r="C121" t="n">
        <v>345.05</v>
      </c>
    </row>
    <row r="122">
      <c r="A122" s="24" t="n">
        <v>46203</v>
      </c>
      <c r="B122" s="1">
        <f>B121</f>
        <v/>
      </c>
      <c r="C122" t="n">
        <v>342.45</v>
      </c>
    </row>
    <row r="123">
      <c r="A123" s="24" t="n">
        <v>46204</v>
      </c>
      <c r="B123" s="1">
        <f>B122</f>
        <v/>
      </c>
      <c r="C123" t="n">
        <v>343.5</v>
      </c>
    </row>
    <row r="124">
      <c r="A124" s="24" t="n">
        <v>46205</v>
      </c>
      <c r="B124" s="1">
        <f>B123</f>
        <v/>
      </c>
      <c r="C124" t="n">
        <v>343.2</v>
      </c>
    </row>
    <row r="125">
      <c r="A125" s="24" t="n">
        <v>46206</v>
      </c>
      <c r="B125" s="1">
        <f>B124</f>
        <v/>
      </c>
      <c r="C125" t="n">
        <v>344.25</v>
      </c>
    </row>
    <row r="126">
      <c r="A126" s="24" t="n">
        <v>46209</v>
      </c>
      <c r="B126" s="1">
        <f>B125</f>
        <v/>
      </c>
      <c r="C126" t="n">
        <v>345.6</v>
      </c>
    </row>
    <row r="127">
      <c r="A127" s="24" t="n">
        <v>46210</v>
      </c>
      <c r="B127" s="1">
        <f>B126</f>
        <v/>
      </c>
      <c r="C127" t="n">
        <v>350.05</v>
      </c>
    </row>
    <row r="128">
      <c r="A128" s="24" t="n">
        <v>46211</v>
      </c>
      <c r="B128" s="1">
        <f>B127</f>
        <v/>
      </c>
      <c r="C128" t="n">
        <v>347.9</v>
      </c>
    </row>
    <row r="129">
      <c r="A129" s="24" t="n">
        <v>46212</v>
      </c>
      <c r="B129" s="1">
        <f>B128</f>
        <v/>
      </c>
      <c r="C129" t="n">
        <v>350.1</v>
      </c>
    </row>
    <row r="130">
      <c r="A130" s="24" t="n">
        <v>46213</v>
      </c>
      <c r="B130" s="1">
        <f>B129</f>
        <v/>
      </c>
      <c r="C130" t="n">
        <v>350.45</v>
      </c>
    </row>
    <row r="131">
      <c r="A131" s="24" t="n">
        <v>46216</v>
      </c>
      <c r="B131" s="1">
        <f>B130</f>
        <v/>
      </c>
      <c r="C131" t="n">
        <v>352.4</v>
      </c>
    </row>
    <row r="132">
      <c r="A132" s="67" t="n">
        <v>46217</v>
      </c>
      <c r="B132" s="1">
        <f>B131</f>
        <v/>
      </c>
      <c r="C132" t="n">
        <v>355.3</v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0.xml><?xml version="1.0" encoding="utf-8"?>
<worksheet xmlns="http://schemas.openxmlformats.org/spreadsheetml/2006/main">
  <sheetPr codeName="Planilha20">
    <outlinePr summaryBelow="1" summaryRight="1"/>
    <pageSetUpPr/>
  </sheetPr>
  <dimension ref="A1:C190"/>
  <sheetViews>
    <sheetView zoomScale="90" zoomScaleNormal="90" workbookViewId="0">
      <selection activeCell="C10" sqref="C10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46076</v>
      </c>
      <c r="B2" s="1" t="inlineStr">
        <is>
          <t>BGIX26</t>
        </is>
      </c>
      <c r="C2" t="n">
        <v>352.45</v>
      </c>
    </row>
    <row r="3">
      <c r="A3" s="9" t="n">
        <v>46077</v>
      </c>
      <c r="B3" s="1">
        <f>B2</f>
        <v/>
      </c>
      <c r="C3" t="n">
        <v>356.4</v>
      </c>
    </row>
    <row r="4">
      <c r="A4" s="9" t="n">
        <v>46078</v>
      </c>
      <c r="B4" s="1">
        <f>B3</f>
        <v/>
      </c>
      <c r="C4" t="n">
        <v>355.4</v>
      </c>
    </row>
    <row r="5">
      <c r="A5" s="9" t="n">
        <v>46079</v>
      </c>
      <c r="B5" s="1">
        <f>B4</f>
        <v/>
      </c>
      <c r="C5" t="n">
        <v>355.4</v>
      </c>
    </row>
    <row r="6">
      <c r="A6" s="9" t="n">
        <v>46080</v>
      </c>
      <c r="B6" s="1">
        <f>B5</f>
        <v/>
      </c>
      <c r="C6" t="n">
        <v>352</v>
      </c>
    </row>
    <row r="7">
      <c r="A7" s="9" t="n">
        <v>46083</v>
      </c>
      <c r="B7" s="1">
        <f>B6</f>
        <v/>
      </c>
      <c r="C7" t="n">
        <v>347.5</v>
      </c>
    </row>
    <row r="8">
      <c r="A8" s="9" t="n">
        <v>46084</v>
      </c>
      <c r="B8" s="1">
        <f>B7</f>
        <v/>
      </c>
      <c r="C8" t="n">
        <v>344</v>
      </c>
    </row>
    <row r="9">
      <c r="A9" s="9" t="n">
        <v>46085</v>
      </c>
      <c r="B9" s="1">
        <f>B8</f>
        <v/>
      </c>
      <c r="C9" t="n">
        <v>345.9</v>
      </c>
    </row>
    <row r="10">
      <c r="A10" s="9" t="n">
        <v>46086</v>
      </c>
      <c r="B10" s="1">
        <f>B9</f>
        <v/>
      </c>
      <c r="C10" t="n">
        <v>346.45</v>
      </c>
    </row>
    <row r="11">
      <c r="A11" s="9" t="n">
        <v>46087</v>
      </c>
      <c r="B11" s="1">
        <f>B10</f>
        <v/>
      </c>
      <c r="C11" t="n">
        <v>345.2</v>
      </c>
    </row>
    <row r="12">
      <c r="A12" s="9" t="n">
        <v>46090</v>
      </c>
      <c r="B12" s="1">
        <f>B11</f>
        <v/>
      </c>
      <c r="C12" t="n">
        <v>345.65</v>
      </c>
    </row>
    <row r="13">
      <c r="A13" s="9" t="n">
        <v>46091</v>
      </c>
      <c r="B13" s="1">
        <f>B12</f>
        <v/>
      </c>
      <c r="C13" t="n">
        <v>345.3</v>
      </c>
    </row>
    <row r="14">
      <c r="A14" s="9" t="n">
        <v>46092</v>
      </c>
      <c r="B14" s="1">
        <f>B13</f>
        <v/>
      </c>
      <c r="C14" t="n">
        <v>347.05</v>
      </c>
    </row>
    <row r="15">
      <c r="A15" s="9" t="n">
        <v>46093</v>
      </c>
      <c r="B15" s="1">
        <f>B14</f>
        <v/>
      </c>
      <c r="C15" t="n">
        <v>348.5</v>
      </c>
    </row>
    <row r="16">
      <c r="A16" s="9" t="n">
        <v>46094</v>
      </c>
      <c r="B16" s="1">
        <f>B15</f>
        <v/>
      </c>
      <c r="C16" t="n">
        <v>345.55</v>
      </c>
    </row>
    <row r="17">
      <c r="A17" s="9" t="n">
        <v>46097</v>
      </c>
      <c r="B17" s="1">
        <f>B16</f>
        <v/>
      </c>
      <c r="C17" t="n">
        <v>345.15</v>
      </c>
    </row>
    <row r="18">
      <c r="A18" s="9" t="n">
        <v>46098</v>
      </c>
      <c r="B18" s="1">
        <f>B17</f>
        <v/>
      </c>
      <c r="C18" t="n">
        <v>343.4</v>
      </c>
    </row>
    <row r="19">
      <c r="A19" s="9" t="n">
        <v>46099</v>
      </c>
      <c r="B19" s="1">
        <f>B18</f>
        <v/>
      </c>
      <c r="C19" t="n">
        <v>344.45</v>
      </c>
    </row>
    <row r="20">
      <c r="A20" s="9" t="n">
        <v>46100</v>
      </c>
      <c r="B20" s="1">
        <f>B19</f>
        <v/>
      </c>
      <c r="C20" t="n">
        <v>348.7</v>
      </c>
    </row>
    <row r="21">
      <c r="A21" s="9" t="n">
        <v>46101</v>
      </c>
      <c r="B21" s="1">
        <f>B20</f>
        <v/>
      </c>
      <c r="C21" t="n">
        <v>352.9</v>
      </c>
    </row>
    <row r="22">
      <c r="A22" s="9" t="n">
        <v>46104</v>
      </c>
      <c r="B22" s="1">
        <f>B21</f>
        <v/>
      </c>
      <c r="C22" t="n">
        <v>353.1</v>
      </c>
    </row>
    <row r="23">
      <c r="A23" s="9" t="n">
        <v>46105</v>
      </c>
      <c r="B23" s="1">
        <f>B22</f>
        <v/>
      </c>
      <c r="C23" t="n">
        <v>354.7</v>
      </c>
    </row>
    <row r="24">
      <c r="A24" s="9" t="n">
        <v>46107</v>
      </c>
      <c r="B24" s="1">
        <f>B23</f>
        <v/>
      </c>
      <c r="C24" t="n">
        <v>355.75</v>
      </c>
    </row>
    <row r="25">
      <c r="A25" s="9" t="n">
        <v>46108</v>
      </c>
      <c r="B25" s="1">
        <f>B24</f>
        <v/>
      </c>
      <c r="C25" t="n">
        <v>356.05</v>
      </c>
    </row>
    <row r="26">
      <c r="A26" s="9" t="n">
        <v>46111</v>
      </c>
      <c r="B26" s="1">
        <f>B25</f>
        <v/>
      </c>
      <c r="C26" t="n">
        <v>356.65</v>
      </c>
    </row>
    <row r="27">
      <c r="A27" s="24" t="n">
        <v>46112</v>
      </c>
      <c r="B27" s="1">
        <f>B26</f>
        <v/>
      </c>
      <c r="C27" t="n">
        <v>356.25</v>
      </c>
    </row>
    <row r="28">
      <c r="A28" s="9" t="n">
        <v>46113</v>
      </c>
      <c r="B28" s="1">
        <f>B37</f>
        <v/>
      </c>
      <c r="C28" t="n">
        <v>356.1</v>
      </c>
    </row>
    <row r="29">
      <c r="A29" s="9" t="n">
        <v>46114</v>
      </c>
      <c r="B29" s="1">
        <f>B38</f>
        <v/>
      </c>
      <c r="C29" t="n">
        <v>355.95</v>
      </c>
    </row>
    <row r="30">
      <c r="A30" s="9" t="n">
        <v>46118</v>
      </c>
      <c r="B30" s="1">
        <f>B39</f>
        <v/>
      </c>
      <c r="C30" t="n">
        <v>357</v>
      </c>
    </row>
    <row r="31">
      <c r="A31" s="9" t="n">
        <v>46119</v>
      </c>
      <c r="B31" s="1">
        <f>B40</f>
        <v/>
      </c>
      <c r="C31" t="n">
        <v>356.5</v>
      </c>
    </row>
    <row r="32">
      <c r="A32" s="9" t="n">
        <v>46120</v>
      </c>
      <c r="B32" s="1">
        <f>B41</f>
        <v/>
      </c>
      <c r="C32" t="n">
        <v>351.8</v>
      </c>
    </row>
    <row r="33">
      <c r="A33" s="9" t="n">
        <v>46121</v>
      </c>
      <c r="B33" s="1">
        <f>B42</f>
        <v/>
      </c>
      <c r="C33" t="n">
        <v>354.4</v>
      </c>
    </row>
    <row r="34">
      <c r="A34" s="9" t="n">
        <v>46122</v>
      </c>
      <c r="B34" s="1">
        <f>B43</f>
        <v/>
      </c>
      <c r="C34" t="n">
        <v>353.55</v>
      </c>
    </row>
    <row r="35">
      <c r="A35" s="9" t="n">
        <v>46125</v>
      </c>
      <c r="B35" s="1">
        <f>B44</f>
        <v/>
      </c>
      <c r="C35" t="n">
        <v>350.3</v>
      </c>
    </row>
    <row r="36">
      <c r="A36" s="9" t="n">
        <v>46126</v>
      </c>
      <c r="B36" s="1">
        <f>B45</f>
        <v/>
      </c>
      <c r="C36" t="n">
        <v>350.85</v>
      </c>
    </row>
    <row r="37">
      <c r="A37" s="9" t="n">
        <v>46127</v>
      </c>
      <c r="B37" s="1">
        <f>B46</f>
        <v/>
      </c>
      <c r="C37" t="n">
        <v>348.75</v>
      </c>
    </row>
    <row r="38">
      <c r="A38" s="9" t="n">
        <v>46128</v>
      </c>
      <c r="B38" s="1">
        <f>B47</f>
        <v/>
      </c>
      <c r="C38" t="n">
        <v>349.4</v>
      </c>
    </row>
    <row r="39">
      <c r="A39" s="9" t="n">
        <v>46129</v>
      </c>
      <c r="B39" s="1">
        <f>B38</f>
        <v/>
      </c>
      <c r="C39" t="n">
        <v>347.65</v>
      </c>
    </row>
    <row r="40">
      <c r="A40" s="9" t="n">
        <v>46132</v>
      </c>
      <c r="B40" s="1">
        <f>B39</f>
        <v/>
      </c>
      <c r="C40" t="n">
        <v>346.75</v>
      </c>
    </row>
    <row r="41">
      <c r="A41" s="9" t="n">
        <v>46134</v>
      </c>
      <c r="B41" s="1">
        <f>B40</f>
        <v/>
      </c>
      <c r="C41" t="n">
        <v>349.9</v>
      </c>
    </row>
    <row r="42">
      <c r="A42" s="9" t="n">
        <v>46135</v>
      </c>
      <c r="B42" s="1">
        <f>B41</f>
        <v/>
      </c>
      <c r="C42" t="n">
        <v>347.55</v>
      </c>
    </row>
    <row r="43">
      <c r="A43" s="9" t="n">
        <v>46136</v>
      </c>
      <c r="B43" s="1">
        <f>B42</f>
        <v/>
      </c>
      <c r="C43" t="n">
        <v>350.9</v>
      </c>
    </row>
    <row r="44">
      <c r="A44" s="9" t="n">
        <v>46139</v>
      </c>
      <c r="B44" s="1">
        <f>B43</f>
        <v/>
      </c>
      <c r="C44" t="n">
        <v>351.15</v>
      </c>
    </row>
    <row r="45">
      <c r="A45" s="9" t="n">
        <v>46140</v>
      </c>
      <c r="B45" s="1">
        <f>B44</f>
        <v/>
      </c>
      <c r="C45" t="n">
        <v>349.6</v>
      </c>
    </row>
    <row r="46">
      <c r="A46" s="9" t="n">
        <v>46141</v>
      </c>
      <c r="B46" s="1">
        <f>B45</f>
        <v/>
      </c>
      <c r="C46" t="n">
        <v>348.5</v>
      </c>
    </row>
    <row r="47">
      <c r="A47" s="9" t="n">
        <v>46142</v>
      </c>
      <c r="B47" s="1">
        <f>B46</f>
        <v/>
      </c>
      <c r="C47" t="n">
        <v>352.35</v>
      </c>
    </row>
    <row r="48">
      <c r="A48" s="9" t="n">
        <v>46146</v>
      </c>
      <c r="B48" s="1">
        <f>B47</f>
        <v/>
      </c>
      <c r="C48" t="n">
        <v>355.8</v>
      </c>
    </row>
    <row r="49">
      <c r="A49" s="9" t="n">
        <v>46147</v>
      </c>
      <c r="B49" s="1">
        <f>B48</f>
        <v/>
      </c>
      <c r="C49" t="n">
        <v>352.05</v>
      </c>
    </row>
    <row r="50">
      <c r="A50" s="9" t="n">
        <v>46148</v>
      </c>
      <c r="B50" s="1">
        <f>B49</f>
        <v/>
      </c>
      <c r="C50" t="n">
        <v>352</v>
      </c>
    </row>
    <row r="51">
      <c r="A51" s="9" t="n">
        <v>46149</v>
      </c>
      <c r="B51" s="1">
        <f>B50</f>
        <v/>
      </c>
      <c r="C51" t="n">
        <v>350.9</v>
      </c>
    </row>
    <row r="52">
      <c r="A52" s="9" t="n">
        <v>46150</v>
      </c>
      <c r="B52" s="1">
        <f>B51</f>
        <v/>
      </c>
      <c r="C52" t="n">
        <v>350.65</v>
      </c>
    </row>
    <row r="53">
      <c r="A53" s="9" t="n">
        <v>46153</v>
      </c>
      <c r="B53" s="1">
        <f>B52</f>
        <v/>
      </c>
      <c r="C53" t="n">
        <v>353.65</v>
      </c>
    </row>
    <row r="54">
      <c r="A54" s="9" t="n">
        <v>46154</v>
      </c>
      <c r="B54" s="1">
        <f>B53</f>
        <v/>
      </c>
      <c r="C54" t="n">
        <v>353.95</v>
      </c>
    </row>
    <row r="55">
      <c r="A55" s="9" t="n">
        <v>46155</v>
      </c>
      <c r="B55" s="1">
        <f>B54</f>
        <v/>
      </c>
      <c r="C55" t="n">
        <v>352.05</v>
      </c>
    </row>
    <row r="56">
      <c r="A56" s="9" t="n">
        <v>46156</v>
      </c>
      <c r="B56" s="1">
        <f>B55</f>
        <v/>
      </c>
      <c r="C56" t="n">
        <v>352.25</v>
      </c>
    </row>
    <row r="57">
      <c r="A57" s="9" t="n">
        <v>46157</v>
      </c>
      <c r="B57" s="1">
        <f>B56</f>
        <v/>
      </c>
      <c r="C57" t="n">
        <v>351.75</v>
      </c>
    </row>
    <row r="58">
      <c r="A58" s="9" t="n">
        <v>46160</v>
      </c>
      <c r="B58" s="1">
        <f>B57</f>
        <v/>
      </c>
      <c r="C58" t="n">
        <v>352</v>
      </c>
    </row>
    <row r="59">
      <c r="A59" s="9" t="n">
        <v>46161</v>
      </c>
      <c r="B59" s="1">
        <f>B58</f>
        <v/>
      </c>
      <c r="C59" t="n">
        <v>356.1</v>
      </c>
    </row>
    <row r="60">
      <c r="A60" s="9" t="n">
        <v>46162</v>
      </c>
      <c r="B60" s="1">
        <f>B59</f>
        <v/>
      </c>
      <c r="C60" t="n">
        <v>356.05</v>
      </c>
    </row>
    <row r="61">
      <c r="A61" s="9" t="n">
        <v>46163</v>
      </c>
      <c r="B61" s="1">
        <f>B60</f>
        <v/>
      </c>
      <c r="C61" t="n">
        <v>356.1</v>
      </c>
    </row>
    <row r="62">
      <c r="A62" s="9" t="n">
        <v>46164</v>
      </c>
      <c r="B62" s="1">
        <f>B61</f>
        <v/>
      </c>
      <c r="C62" t="n">
        <v>355.85</v>
      </c>
    </row>
    <row r="63">
      <c r="A63" s="9" t="n">
        <v>46167</v>
      </c>
      <c r="B63" s="1">
        <f>B62</f>
        <v/>
      </c>
      <c r="C63" t="n">
        <v>357.7</v>
      </c>
    </row>
    <row r="64">
      <c r="A64" s="9" t="n">
        <v>46168</v>
      </c>
      <c r="B64" s="1">
        <f>B63</f>
        <v/>
      </c>
      <c r="C64" t="n">
        <v>356.95</v>
      </c>
    </row>
    <row r="65">
      <c r="A65" s="9" t="n">
        <v>46169</v>
      </c>
      <c r="B65" s="1">
        <f>B64</f>
        <v/>
      </c>
      <c r="C65" t="n">
        <v>357.35</v>
      </c>
    </row>
    <row r="66">
      <c r="A66" s="9" t="n">
        <v>46170</v>
      </c>
      <c r="B66" s="1">
        <f>B65</f>
        <v/>
      </c>
      <c r="C66" t="n">
        <v>356.75</v>
      </c>
    </row>
    <row r="67">
      <c r="A67" s="9" t="n">
        <v>46171</v>
      </c>
      <c r="B67" s="1">
        <f>B66</f>
        <v/>
      </c>
      <c r="C67" t="n">
        <v>353.45</v>
      </c>
    </row>
    <row r="68">
      <c r="A68" s="9" t="n">
        <v>46174</v>
      </c>
      <c r="B68" s="1">
        <f>B67</f>
        <v/>
      </c>
      <c r="C68" t="n">
        <v>353.5</v>
      </c>
    </row>
    <row r="69">
      <c r="A69" s="9" t="n">
        <v>46175</v>
      </c>
      <c r="B69" s="1">
        <f>B68</f>
        <v/>
      </c>
      <c r="C69" t="n">
        <v>355.1</v>
      </c>
    </row>
    <row r="70">
      <c r="A70" s="9" t="n">
        <v>46176</v>
      </c>
      <c r="B70" s="1">
        <f>B69</f>
        <v/>
      </c>
      <c r="C70" t="n">
        <v>355.15</v>
      </c>
    </row>
    <row r="71">
      <c r="A71" s="9" t="n">
        <v>46178</v>
      </c>
      <c r="B71" s="1">
        <f>B70</f>
        <v/>
      </c>
      <c r="C71" t="n">
        <v>357.4</v>
      </c>
    </row>
    <row r="72">
      <c r="A72" s="9" t="n">
        <v>46181</v>
      </c>
      <c r="B72" s="1">
        <f>B71</f>
        <v/>
      </c>
      <c r="C72" t="n">
        <v>356.5</v>
      </c>
    </row>
    <row r="73">
      <c r="A73" s="9" t="n">
        <v>46182</v>
      </c>
      <c r="B73" s="1">
        <f>B72</f>
        <v/>
      </c>
      <c r="C73" t="n">
        <v>354.85</v>
      </c>
    </row>
    <row r="74">
      <c r="A74" s="9" t="n">
        <v>46183</v>
      </c>
      <c r="B74" s="1">
        <f>B73</f>
        <v/>
      </c>
      <c r="C74" t="n">
        <v>349.9</v>
      </c>
    </row>
    <row r="75">
      <c r="A75" s="9" t="n">
        <v>46184</v>
      </c>
      <c r="B75" s="1">
        <f>B74</f>
        <v/>
      </c>
      <c r="C75" t="n">
        <v>351.2</v>
      </c>
    </row>
    <row r="76">
      <c r="A76" s="9" t="n">
        <v>46185</v>
      </c>
      <c r="B76" s="1">
        <f>B75</f>
        <v/>
      </c>
      <c r="C76" t="n">
        <v>350.55</v>
      </c>
    </row>
    <row r="77">
      <c r="A77" s="9" t="n">
        <v>46188</v>
      </c>
      <c r="B77" s="1">
        <f>B76</f>
        <v/>
      </c>
      <c r="C77" t="n">
        <v>350.3</v>
      </c>
    </row>
    <row r="78">
      <c r="A78" s="9" t="n">
        <v>46189</v>
      </c>
      <c r="B78" s="1">
        <f>B77</f>
        <v/>
      </c>
      <c r="C78" t="n">
        <v>351.5</v>
      </c>
    </row>
    <row r="79">
      <c r="A79" s="9" t="n">
        <v>46190</v>
      </c>
      <c r="B79" s="1">
        <f>B78</f>
        <v/>
      </c>
      <c r="C79" t="n">
        <v>350</v>
      </c>
    </row>
    <row r="80">
      <c r="A80" s="9" t="n">
        <v>46191</v>
      </c>
      <c r="B80" s="1">
        <f>B79</f>
        <v/>
      </c>
      <c r="C80" t="n">
        <v>351.8</v>
      </c>
    </row>
    <row r="81">
      <c r="A81" s="9" t="n">
        <v>46192</v>
      </c>
      <c r="B81" s="1">
        <f>B80</f>
        <v/>
      </c>
      <c r="C81" t="n">
        <v>352.25</v>
      </c>
    </row>
    <row r="82">
      <c r="A82" s="9" t="n">
        <v>46195</v>
      </c>
      <c r="B82" s="1">
        <f>B81</f>
        <v/>
      </c>
      <c r="C82" t="n">
        <v>354.85</v>
      </c>
    </row>
    <row r="83">
      <c r="A83" s="9" t="n">
        <v>46196</v>
      </c>
      <c r="B83" s="1">
        <f>B82</f>
        <v/>
      </c>
      <c r="C83" t="n">
        <v>353.4</v>
      </c>
    </row>
    <row r="84">
      <c r="A84" s="9" t="n">
        <v>46197</v>
      </c>
      <c r="B84" s="1">
        <f>B83</f>
        <v/>
      </c>
      <c r="C84" t="n">
        <v>352.05</v>
      </c>
    </row>
    <row r="85">
      <c r="A85" s="9" t="n">
        <v>46198</v>
      </c>
      <c r="B85" s="1">
        <f>B84</f>
        <v/>
      </c>
      <c r="C85" t="n">
        <v>350.35</v>
      </c>
    </row>
    <row r="86">
      <c r="A86" s="9" t="n">
        <v>46199</v>
      </c>
      <c r="B86" s="1">
        <f>B85</f>
        <v/>
      </c>
      <c r="C86" t="n">
        <v>349</v>
      </c>
    </row>
    <row r="87">
      <c r="A87" s="9" t="n">
        <v>46202</v>
      </c>
      <c r="B87" s="1">
        <f>B86</f>
        <v/>
      </c>
      <c r="C87" t="n">
        <v>349.55</v>
      </c>
    </row>
    <row r="88">
      <c r="A88" s="9" t="n">
        <v>46203</v>
      </c>
      <c r="B88" s="1">
        <f>B87</f>
        <v/>
      </c>
      <c r="C88" t="n">
        <v>347.85</v>
      </c>
    </row>
    <row r="89">
      <c r="A89" s="9" t="n">
        <v>46204</v>
      </c>
      <c r="B89" s="1">
        <f>B88</f>
        <v/>
      </c>
      <c r="C89" t="n">
        <v>348.85</v>
      </c>
    </row>
    <row r="90">
      <c r="A90" s="9" t="n">
        <v>46205</v>
      </c>
      <c r="B90" s="1">
        <f>B89</f>
        <v/>
      </c>
      <c r="C90" t="n">
        <v>348.7</v>
      </c>
    </row>
    <row r="91">
      <c r="A91" s="9" t="n">
        <v>46206</v>
      </c>
      <c r="B91" s="1">
        <f>B90</f>
        <v/>
      </c>
      <c r="C91" t="n">
        <v>349.45</v>
      </c>
    </row>
    <row r="92">
      <c r="A92" s="9" t="n">
        <v>46209</v>
      </c>
      <c r="B92" s="1">
        <f>B91</f>
        <v/>
      </c>
      <c r="C92" t="n">
        <v>351.15</v>
      </c>
    </row>
    <row r="93">
      <c r="A93" s="9" t="n">
        <v>46210</v>
      </c>
      <c r="B93" s="1">
        <f>B92</f>
        <v/>
      </c>
      <c r="C93" t="n">
        <v>354.3</v>
      </c>
    </row>
    <row r="94">
      <c r="A94" s="9" t="n">
        <v>46211</v>
      </c>
      <c r="B94" s="1">
        <f>B93</f>
        <v/>
      </c>
      <c r="C94" t="n">
        <v>352.5</v>
      </c>
    </row>
    <row r="95">
      <c r="A95" s="9" t="n">
        <v>46212</v>
      </c>
      <c r="B95" s="1">
        <f>B94</f>
        <v/>
      </c>
      <c r="C95" t="n">
        <v>353.9</v>
      </c>
    </row>
    <row r="96">
      <c r="A96" s="9" t="n">
        <v>46213</v>
      </c>
      <c r="B96" s="1">
        <f>B95</f>
        <v/>
      </c>
      <c r="C96" t="n">
        <v>353.4</v>
      </c>
    </row>
    <row r="97">
      <c r="A97" s="9" t="n">
        <v>46216</v>
      </c>
      <c r="B97" s="1">
        <f>B96</f>
        <v/>
      </c>
      <c r="C97" t="n">
        <v>355.35</v>
      </c>
    </row>
    <row r="98">
      <c r="A98" s="9" t="n">
        <v>46217</v>
      </c>
      <c r="B98" s="1">
        <f>B97</f>
        <v/>
      </c>
      <c r="C98" t="n">
        <v>357.95</v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1.xml><?xml version="1.0" encoding="utf-8"?>
<worksheet xmlns="http://schemas.openxmlformats.org/spreadsheetml/2006/main">
  <sheetPr codeName="Planilha21">
    <outlinePr summaryBelow="1" summaryRight="1"/>
    <pageSetUpPr/>
  </sheetPr>
  <dimension ref="A1:C191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BGIZ26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353.1</v>
      </c>
    </row>
    <row r="20">
      <c r="A20" s="9" t="n">
        <v>46107</v>
      </c>
      <c r="B20" s="1">
        <f>B19</f>
        <v/>
      </c>
      <c r="C20" t="n">
        <v>353.4</v>
      </c>
    </row>
    <row r="21">
      <c r="A21" s="9" t="n">
        <v>46108</v>
      </c>
      <c r="B21" s="1">
        <f>B20</f>
        <v/>
      </c>
      <c r="C21" t="n">
        <v>354.2</v>
      </c>
    </row>
    <row r="22">
      <c r="A22" s="9" t="n">
        <v>46111</v>
      </c>
      <c r="B22" s="1">
        <f>B21</f>
        <v/>
      </c>
      <c r="C22" t="n">
        <v>354.35</v>
      </c>
    </row>
    <row r="23">
      <c r="A23" s="9" t="n">
        <v>46112</v>
      </c>
      <c r="B23" s="1">
        <f>B22</f>
        <v/>
      </c>
      <c r="C23" t="n">
        <v>358</v>
      </c>
    </row>
    <row r="24">
      <c r="A24" s="9" t="n">
        <v>46113</v>
      </c>
      <c r="B24" s="1">
        <f>B32</f>
        <v/>
      </c>
      <c r="C24" t="n">
        <v>358.1</v>
      </c>
    </row>
    <row r="25">
      <c r="A25" s="9" t="n">
        <v>46114</v>
      </c>
      <c r="B25" s="1">
        <f>B33</f>
        <v/>
      </c>
      <c r="C25" t="n">
        <v>357.65</v>
      </c>
    </row>
    <row r="26">
      <c r="A26" s="9" t="n">
        <v>46118</v>
      </c>
      <c r="B26" s="1">
        <f>B34</f>
        <v/>
      </c>
      <c r="C26" t="n">
        <v>358.8</v>
      </c>
    </row>
    <row r="27">
      <c r="A27" s="9" t="n">
        <v>46120</v>
      </c>
      <c r="B27" s="1">
        <f>B35</f>
        <v/>
      </c>
      <c r="C27" t="n">
        <v>353.3</v>
      </c>
    </row>
    <row r="28">
      <c r="A28" s="9" t="n">
        <v>46121</v>
      </c>
      <c r="B28" s="1">
        <f>B36</f>
        <v/>
      </c>
      <c r="C28" t="n">
        <v>355.75</v>
      </c>
    </row>
    <row r="29">
      <c r="A29" s="9" t="n">
        <v>46122</v>
      </c>
      <c r="B29" s="1">
        <f>B37</f>
        <v/>
      </c>
      <c r="C29" t="n">
        <v>354.65</v>
      </c>
    </row>
    <row r="30">
      <c r="A30" s="9" t="n">
        <v>46125</v>
      </c>
      <c r="B30" s="1">
        <f>B38</f>
        <v/>
      </c>
      <c r="C30" t="n">
        <v>352</v>
      </c>
    </row>
    <row r="31">
      <c r="A31" s="9" t="n">
        <v>46126</v>
      </c>
      <c r="B31" s="1">
        <f>B39</f>
        <v/>
      </c>
      <c r="C31" t="n">
        <v>352.65</v>
      </c>
    </row>
    <row r="32">
      <c r="A32" s="9" t="n">
        <v>46127</v>
      </c>
      <c r="B32" s="1">
        <f>B40</f>
        <v/>
      </c>
      <c r="C32" t="n">
        <v>351.5</v>
      </c>
    </row>
    <row r="33">
      <c r="A33" s="9" t="n">
        <v>46128</v>
      </c>
      <c r="B33" s="1">
        <f>B41</f>
        <v/>
      </c>
      <c r="C33" t="n">
        <v>351.85</v>
      </c>
    </row>
    <row r="34">
      <c r="A34" s="9" t="n">
        <v>46129</v>
      </c>
      <c r="B34" s="1">
        <f>B33</f>
        <v/>
      </c>
      <c r="C34" t="n">
        <v>350.4</v>
      </c>
    </row>
    <row r="35">
      <c r="A35" s="9" t="n">
        <v>46132</v>
      </c>
      <c r="B35" s="1">
        <f>B34</f>
        <v/>
      </c>
      <c r="C35" t="n">
        <v>349.6</v>
      </c>
    </row>
    <row r="36">
      <c r="A36" s="9" t="n">
        <v>46134</v>
      </c>
      <c r="B36" s="1">
        <f>B35</f>
        <v/>
      </c>
      <c r="C36" t="n">
        <v>352.15</v>
      </c>
    </row>
    <row r="37">
      <c r="A37" s="9" t="n">
        <v>46135</v>
      </c>
      <c r="B37" s="1">
        <f>B36</f>
        <v/>
      </c>
      <c r="C37" t="n">
        <v>350.55</v>
      </c>
    </row>
    <row r="38">
      <c r="A38" s="9" t="n">
        <v>46136</v>
      </c>
      <c r="B38" s="1">
        <f>B37</f>
        <v/>
      </c>
      <c r="C38" t="n">
        <v>354.55</v>
      </c>
    </row>
    <row r="39">
      <c r="A39" s="9" t="n">
        <v>46139</v>
      </c>
      <c r="B39" s="1">
        <f>B38</f>
        <v/>
      </c>
      <c r="C39" t="n">
        <v>354.65</v>
      </c>
    </row>
    <row r="40">
      <c r="A40" s="9" t="n">
        <v>46140</v>
      </c>
      <c r="B40" s="1">
        <f>B39</f>
        <v/>
      </c>
      <c r="C40" t="n">
        <v>353.6</v>
      </c>
    </row>
    <row r="41">
      <c r="A41" s="9" t="n">
        <v>46141</v>
      </c>
      <c r="B41" s="1">
        <f>B40</f>
        <v/>
      </c>
      <c r="C41" t="n">
        <v>351.85</v>
      </c>
    </row>
    <row r="42">
      <c r="A42" s="9" t="n">
        <v>46142</v>
      </c>
      <c r="B42" s="1">
        <f>B41</f>
        <v/>
      </c>
      <c r="C42" t="n">
        <v>355.2</v>
      </c>
    </row>
    <row r="43">
      <c r="A43" s="9" t="n">
        <v>46146</v>
      </c>
      <c r="B43" s="1">
        <f>B42</f>
        <v/>
      </c>
      <c r="C43" t="n">
        <v>359.4</v>
      </c>
    </row>
    <row r="44">
      <c r="A44" s="9" t="n">
        <v>46147</v>
      </c>
      <c r="B44" s="1">
        <f>B43</f>
        <v/>
      </c>
      <c r="C44" t="n">
        <v>353.35</v>
      </c>
    </row>
    <row r="45">
      <c r="A45" s="9" t="n">
        <v>46148</v>
      </c>
      <c r="B45" s="1">
        <f>B44</f>
        <v/>
      </c>
      <c r="C45" t="n">
        <v>353.4</v>
      </c>
    </row>
    <row r="46">
      <c r="A46" s="9" t="n">
        <v>46149</v>
      </c>
      <c r="B46" s="1">
        <f>B45</f>
        <v/>
      </c>
      <c r="C46" t="n">
        <v>351.55</v>
      </c>
    </row>
    <row r="47">
      <c r="A47" s="9" t="n">
        <v>46150</v>
      </c>
      <c r="B47" s="1">
        <f>B46</f>
        <v/>
      </c>
      <c r="C47" t="n">
        <v>351.9</v>
      </c>
    </row>
    <row r="48">
      <c r="A48" s="9" t="n">
        <v>46153</v>
      </c>
      <c r="B48" s="1">
        <f>B47</f>
        <v/>
      </c>
      <c r="C48" t="n">
        <v>354.1</v>
      </c>
    </row>
    <row r="49">
      <c r="A49" s="9" t="n">
        <v>46154</v>
      </c>
      <c r="B49" s="1">
        <f>B48</f>
        <v/>
      </c>
      <c r="C49" t="n">
        <v>354.9</v>
      </c>
    </row>
    <row r="50">
      <c r="A50" s="9" t="n">
        <v>46155</v>
      </c>
      <c r="B50" s="1">
        <f>B49</f>
        <v/>
      </c>
      <c r="C50" t="n">
        <v>354.1</v>
      </c>
    </row>
    <row r="51">
      <c r="A51" s="9" t="n">
        <v>46156</v>
      </c>
      <c r="B51" s="1">
        <f>B50</f>
        <v/>
      </c>
      <c r="C51" t="n">
        <v>354.15</v>
      </c>
    </row>
    <row r="52">
      <c r="A52" s="9" t="n">
        <v>46157</v>
      </c>
      <c r="B52" s="1">
        <f>B51</f>
        <v/>
      </c>
      <c r="C52" t="n">
        <v>354.15</v>
      </c>
    </row>
    <row r="53">
      <c r="A53" s="9" t="n">
        <v>46160</v>
      </c>
      <c r="B53" s="1">
        <f>B52</f>
        <v/>
      </c>
      <c r="C53" t="n">
        <v>352.9</v>
      </c>
    </row>
    <row r="54">
      <c r="A54" s="9" t="n">
        <v>46161</v>
      </c>
      <c r="B54" s="1">
        <f>B53</f>
        <v/>
      </c>
      <c r="C54" t="n">
        <v>356.65</v>
      </c>
    </row>
    <row r="55">
      <c r="A55" s="9" t="n">
        <v>46162</v>
      </c>
      <c r="B55" s="1">
        <f>B54</f>
        <v/>
      </c>
      <c r="C55" t="n">
        <v>356.65</v>
      </c>
    </row>
    <row r="56">
      <c r="A56" s="9" t="n">
        <v>46163</v>
      </c>
      <c r="B56" s="1">
        <f>B55</f>
        <v/>
      </c>
      <c r="C56" t="n">
        <v>356.9</v>
      </c>
    </row>
    <row r="57">
      <c r="A57" s="9" t="n">
        <v>46164</v>
      </c>
      <c r="B57" s="1">
        <f>B56</f>
        <v/>
      </c>
      <c r="C57" t="n">
        <v>357.05</v>
      </c>
    </row>
    <row r="58">
      <c r="A58" s="9" t="n">
        <v>46167</v>
      </c>
      <c r="B58" s="1">
        <f>B57</f>
        <v/>
      </c>
      <c r="C58" t="n">
        <v>358.5</v>
      </c>
    </row>
    <row r="59">
      <c r="A59" s="9" t="n">
        <v>46168</v>
      </c>
      <c r="B59" s="1">
        <f>B58</f>
        <v/>
      </c>
      <c r="C59" t="n">
        <v>357.6</v>
      </c>
    </row>
    <row r="60">
      <c r="A60" s="9" t="n">
        <v>46169</v>
      </c>
      <c r="B60" s="1">
        <f>B59</f>
        <v/>
      </c>
      <c r="C60" t="n">
        <v>358.1</v>
      </c>
    </row>
    <row r="61">
      <c r="A61" s="9" t="n">
        <v>46170</v>
      </c>
      <c r="B61" s="1">
        <f>B60</f>
        <v/>
      </c>
      <c r="C61" t="n">
        <v>357.9</v>
      </c>
    </row>
    <row r="62">
      <c r="A62" s="9" t="n">
        <v>46171</v>
      </c>
      <c r="B62" s="1">
        <f>B61</f>
        <v/>
      </c>
      <c r="C62" t="n">
        <v>355.35</v>
      </c>
    </row>
    <row r="63">
      <c r="A63" s="9" t="n">
        <v>46174</v>
      </c>
      <c r="B63" s="1">
        <f>B62</f>
        <v/>
      </c>
      <c r="C63" t="n">
        <v>354.55</v>
      </c>
    </row>
    <row r="64">
      <c r="A64" s="9" t="n">
        <v>46175</v>
      </c>
      <c r="B64" s="1">
        <f>B63</f>
        <v/>
      </c>
      <c r="C64" t="n">
        <v>355.75</v>
      </c>
    </row>
    <row r="65">
      <c r="A65" s="9" t="n">
        <v>46176</v>
      </c>
      <c r="B65" s="1">
        <f>B64</f>
        <v/>
      </c>
      <c r="C65" t="n">
        <v>355.2</v>
      </c>
    </row>
    <row r="66">
      <c r="A66" s="9" t="n">
        <v>46178</v>
      </c>
      <c r="B66" s="1">
        <f>B65</f>
        <v/>
      </c>
      <c r="C66" t="n">
        <v>357.25</v>
      </c>
    </row>
    <row r="67">
      <c r="A67" s="9" t="n">
        <v>46181</v>
      </c>
      <c r="B67" s="1">
        <f>B66</f>
        <v/>
      </c>
      <c r="C67" t="n">
        <v>356.4</v>
      </c>
    </row>
    <row r="68">
      <c r="A68" s="9" t="n">
        <v>46182</v>
      </c>
      <c r="B68" s="1">
        <f>B67</f>
        <v/>
      </c>
      <c r="C68" t="n">
        <v>354.65</v>
      </c>
    </row>
    <row r="69">
      <c r="A69" s="9" t="n">
        <v>46183</v>
      </c>
      <c r="B69" s="1">
        <f>B68</f>
        <v/>
      </c>
      <c r="C69" t="n">
        <v>350.95</v>
      </c>
    </row>
    <row r="70">
      <c r="A70" s="9" t="n">
        <v>46184</v>
      </c>
      <c r="B70" s="1">
        <f>B69</f>
        <v/>
      </c>
      <c r="C70" t="n">
        <v>351.75</v>
      </c>
    </row>
    <row r="71">
      <c r="A71" s="9" t="n">
        <v>46185</v>
      </c>
      <c r="B71" s="1">
        <f>B70</f>
        <v/>
      </c>
      <c r="C71" t="n">
        <v>350.95</v>
      </c>
    </row>
    <row r="72">
      <c r="A72" s="9" t="n">
        <v>46188</v>
      </c>
      <c r="B72" s="1">
        <f>B71</f>
        <v/>
      </c>
      <c r="C72" t="n">
        <v>351.5</v>
      </c>
    </row>
    <row r="73">
      <c r="A73" s="9" t="n">
        <v>46189</v>
      </c>
      <c r="B73" s="1">
        <f>B72</f>
        <v/>
      </c>
      <c r="C73" t="n">
        <v>355.05</v>
      </c>
    </row>
    <row r="74">
      <c r="A74" s="9" t="n">
        <v>46190</v>
      </c>
      <c r="B74" s="1">
        <f>B73</f>
        <v/>
      </c>
      <c r="C74" t="n">
        <v>354.6</v>
      </c>
    </row>
    <row r="75">
      <c r="A75" s="9" t="n">
        <v>46191</v>
      </c>
      <c r="B75" s="1">
        <f>B74</f>
        <v/>
      </c>
      <c r="C75" t="n">
        <v>357.15</v>
      </c>
    </row>
    <row r="76">
      <c r="A76" s="9" t="n">
        <v>46192</v>
      </c>
      <c r="B76" s="1">
        <f>B75</f>
        <v/>
      </c>
      <c r="C76" t="n">
        <v>358.1</v>
      </c>
    </row>
    <row r="77">
      <c r="A77" s="9" t="n">
        <v>46195</v>
      </c>
      <c r="B77" s="1">
        <f>B76</f>
        <v/>
      </c>
      <c r="C77" t="n">
        <v>359.05</v>
      </c>
    </row>
    <row r="78">
      <c r="A78" s="9" t="n">
        <v>46196</v>
      </c>
      <c r="B78" s="1">
        <f>B77</f>
        <v/>
      </c>
      <c r="C78" t="n">
        <v>358.25</v>
      </c>
    </row>
    <row r="79">
      <c r="A79" s="9" t="n">
        <v>46197</v>
      </c>
      <c r="B79" s="1">
        <f>B78</f>
        <v/>
      </c>
      <c r="C79" t="n">
        <v>355.1</v>
      </c>
    </row>
    <row r="80">
      <c r="A80" s="9" t="n">
        <v>46198</v>
      </c>
      <c r="B80" s="1">
        <f>B79</f>
        <v/>
      </c>
      <c r="C80" t="n">
        <v>351.85</v>
      </c>
    </row>
    <row r="81">
      <c r="A81" s="9" t="n">
        <v>46199</v>
      </c>
      <c r="B81" s="1">
        <f>B80</f>
        <v/>
      </c>
      <c r="C81" t="n">
        <v>351.3</v>
      </c>
    </row>
    <row r="82">
      <c r="A82" s="9" t="n">
        <v>46202</v>
      </c>
      <c r="B82" s="1">
        <f>B81</f>
        <v/>
      </c>
      <c r="C82" t="n">
        <v>353</v>
      </c>
    </row>
    <row r="83">
      <c r="A83" s="9" t="n">
        <v>46203</v>
      </c>
      <c r="B83" s="1">
        <f>B82</f>
        <v/>
      </c>
      <c r="C83" t="n">
        <v>350.5</v>
      </c>
    </row>
    <row r="84">
      <c r="A84" s="9" t="n">
        <v>46204</v>
      </c>
      <c r="B84" s="1">
        <f>B83</f>
        <v/>
      </c>
      <c r="C84" t="n">
        <v>350.45</v>
      </c>
    </row>
    <row r="85">
      <c r="A85" s="9" t="n">
        <v>46205</v>
      </c>
      <c r="B85" s="1">
        <f>B84</f>
        <v/>
      </c>
      <c r="C85" t="n">
        <v>351.5</v>
      </c>
    </row>
    <row r="86">
      <c r="A86" s="9" t="n">
        <v>46206</v>
      </c>
      <c r="B86" s="1">
        <f>B85</f>
        <v/>
      </c>
      <c r="C86" t="n">
        <v>354.5</v>
      </c>
    </row>
    <row r="87">
      <c r="A87" s="9" t="n">
        <v>46209</v>
      </c>
      <c r="B87" s="1">
        <f>B86</f>
        <v/>
      </c>
      <c r="C87" t="n">
        <v>354.05</v>
      </c>
    </row>
    <row r="88">
      <c r="A88" s="9" t="n">
        <v>46210</v>
      </c>
      <c r="B88" s="1">
        <f>B87</f>
        <v/>
      </c>
      <c r="C88" t="n">
        <v>356.55</v>
      </c>
    </row>
    <row r="89">
      <c r="A89" s="9" t="n">
        <v>46211</v>
      </c>
      <c r="B89" s="1">
        <f>B88</f>
        <v/>
      </c>
      <c r="C89" t="n">
        <v>354.5</v>
      </c>
    </row>
    <row r="90">
      <c r="A90" s="9" t="n">
        <v>46212</v>
      </c>
      <c r="B90" s="1">
        <f>B89</f>
        <v/>
      </c>
      <c r="C90" t="n">
        <v>355.7</v>
      </c>
    </row>
    <row r="91">
      <c r="A91" s="9" t="n">
        <v>46213</v>
      </c>
      <c r="B91" s="1">
        <f>B90</f>
        <v/>
      </c>
      <c r="C91" t="n">
        <v>354.75</v>
      </c>
    </row>
    <row r="92">
      <c r="A92" s="9" t="n">
        <v>46216</v>
      </c>
      <c r="B92" s="1">
        <f>B91</f>
        <v/>
      </c>
      <c r="C92" t="n">
        <v>357.1</v>
      </c>
    </row>
    <row r="93">
      <c r="A93" s="9" t="n">
        <v>46217</v>
      </c>
      <c r="B93" s="1">
        <f>B92</f>
        <v/>
      </c>
      <c r="C93" t="n">
        <v>359.15</v>
      </c>
    </row>
    <row r="94">
      <c r="A94" s="9">
        <f>IF('S.H BOI GORDO'!A7202=""," ",'S.H BOI GORDO'!A7202)</f>
        <v/>
      </c>
      <c r="B94" s="1">
        <f>B102</f>
        <v/>
      </c>
    </row>
    <row r="95">
      <c r="A95" s="9">
        <f>IF('S.H BOI GORDO'!A7203=""," ",'S.H BOI GORDO'!A7203)</f>
        <v/>
      </c>
      <c r="B95" s="1">
        <f>B103</f>
        <v/>
      </c>
    </row>
    <row r="96">
      <c r="A96" s="9">
        <f>IF('S.H BOI GORDO'!A7204=""," ",'S.H BOI GORDO'!A7204)</f>
        <v/>
      </c>
      <c r="B96" s="1">
        <f>B104</f>
        <v/>
      </c>
    </row>
    <row r="97">
      <c r="A97" s="9">
        <f>IF('S.H BOI GORDO'!A7205=""," ",'S.H BOI GORDO'!A7205)</f>
        <v/>
      </c>
      <c r="B97" s="1">
        <f>B105</f>
        <v/>
      </c>
    </row>
    <row r="98">
      <c r="A98" s="9">
        <f>IF('S.H BOI GORDO'!A7206=""," ",'S.H BOI GORDO'!A7206)</f>
        <v/>
      </c>
      <c r="B98" s="1">
        <f>B106</f>
        <v/>
      </c>
    </row>
    <row r="99">
      <c r="A99" s="9">
        <f>IF('S.H BOI GORDO'!A7207=""," ",'S.H BOI GORDO'!A7207)</f>
        <v/>
      </c>
      <c r="B99" s="1">
        <f>B107</f>
        <v/>
      </c>
    </row>
    <row r="100">
      <c r="A100" s="9">
        <f>IF('S.H BOI GORDO'!A7208=""," ",'S.H BOI GORDO'!A7208)</f>
        <v/>
      </c>
      <c r="B100" s="1">
        <f>B108</f>
        <v/>
      </c>
    </row>
    <row r="101">
      <c r="A101" s="9">
        <f>IF('S.H BOI GORDO'!A7209=""," ",'S.H BOI GORDO'!A7209)</f>
        <v/>
      </c>
      <c r="B101" s="1">
        <f>B109</f>
        <v/>
      </c>
    </row>
    <row r="102">
      <c r="A102" s="9">
        <f>IF('S.H BOI GORDO'!A7210=""," ",'S.H BOI GORDO'!A7210)</f>
        <v/>
      </c>
      <c r="B102" s="1">
        <f>B110</f>
        <v/>
      </c>
    </row>
    <row r="103">
      <c r="A103" s="9">
        <f>IF('S.H BOI GORDO'!A7211=""," ",'S.H BOI GORDO'!A7211)</f>
        <v/>
      </c>
      <c r="B103" s="1">
        <f>B111</f>
        <v/>
      </c>
    </row>
    <row r="104">
      <c r="A104" s="9">
        <f>IF('S.H BOI GORDO'!A7212=""," ",'S.H BOI GORDO'!A7212)</f>
        <v/>
      </c>
      <c r="B104" s="1">
        <f>B112</f>
        <v/>
      </c>
    </row>
    <row r="105">
      <c r="A105" s="9">
        <f>IF('S.H BOI GORDO'!A7213=""," ",'S.H BOI GORDO'!A7213)</f>
        <v/>
      </c>
      <c r="B105" s="1">
        <f>B113</f>
        <v/>
      </c>
    </row>
    <row r="106">
      <c r="A106" s="9">
        <f>IF('S.H BOI GORDO'!A7214=""," ",'S.H BOI GORDO'!A7214)</f>
        <v/>
      </c>
      <c r="B106" s="1">
        <f>B114</f>
        <v/>
      </c>
    </row>
    <row r="107">
      <c r="A107" s="9">
        <f>IF('S.H BOI GORDO'!A7215=""," ",'S.H BOI GORDO'!A7215)</f>
        <v/>
      </c>
      <c r="B107" s="1">
        <f>B115</f>
        <v/>
      </c>
    </row>
    <row r="108">
      <c r="A108" s="9">
        <f>IF('S.H BOI GORDO'!A7216=""," ",'S.H BOI GORDO'!A7216)</f>
        <v/>
      </c>
      <c r="B108" s="1">
        <f>B116</f>
        <v/>
      </c>
    </row>
    <row r="109">
      <c r="A109" s="9">
        <f>IF('S.H BOI GORDO'!A7217=""," ",'S.H BOI GORDO'!A7217)</f>
        <v/>
      </c>
      <c r="B109" s="1">
        <f>B117</f>
        <v/>
      </c>
    </row>
    <row r="110">
      <c r="A110" s="9">
        <f>IF('S.H BOI GORDO'!A7218=""," ",'S.H BOI GORDO'!A7218)</f>
        <v/>
      </c>
      <c r="B110" s="1">
        <f>B118</f>
        <v/>
      </c>
    </row>
    <row r="111">
      <c r="A111" s="9">
        <f>IF('S.H BOI GORDO'!A7219=""," ",'S.H BOI GORDO'!A7219)</f>
        <v/>
      </c>
      <c r="B111" s="1">
        <f>B119</f>
        <v/>
      </c>
    </row>
    <row r="112">
      <c r="A112" s="9">
        <f>IF('S.H BOI GORDO'!A7220=""," ",'S.H BOI GORDO'!A7220)</f>
        <v/>
      </c>
      <c r="B112" s="1">
        <f>B120</f>
        <v/>
      </c>
    </row>
    <row r="113">
      <c r="A113" s="9">
        <f>IF('S.H BOI GORDO'!A7221=""," ",'S.H BOI GORDO'!A7221)</f>
        <v/>
      </c>
      <c r="B113" s="1">
        <f>B121</f>
        <v/>
      </c>
    </row>
    <row r="114">
      <c r="A114" s="9">
        <f>IF('S.H BOI GORDO'!A7222=""," ",'S.H BOI GORDO'!A7222)</f>
        <v/>
      </c>
      <c r="B114" s="1">
        <f>B122</f>
        <v/>
      </c>
    </row>
    <row r="115">
      <c r="A115" s="9">
        <f>IF('S.H BOI GORDO'!A7223=""," ",'S.H BOI GORDO'!A7223)</f>
        <v/>
      </c>
      <c r="B115" s="1">
        <f>B123</f>
        <v/>
      </c>
    </row>
    <row r="116">
      <c r="B116" s="1">
        <f>B124</f>
        <v/>
      </c>
    </row>
    <row r="117">
      <c r="B117" s="1">
        <f>B125</f>
        <v/>
      </c>
    </row>
    <row r="118">
      <c r="B118" s="1">
        <f>B126</f>
        <v/>
      </c>
    </row>
    <row r="119">
      <c r="B119" s="1">
        <f>B127</f>
        <v/>
      </c>
    </row>
    <row r="120">
      <c r="B120" s="1">
        <f>B128</f>
        <v/>
      </c>
    </row>
    <row r="121">
      <c r="B121" s="1">
        <f>B129</f>
        <v/>
      </c>
    </row>
    <row r="122">
      <c r="B122" s="1">
        <f>B130</f>
        <v/>
      </c>
    </row>
    <row r="123">
      <c r="B123" s="1">
        <f>B131</f>
        <v/>
      </c>
    </row>
    <row r="124">
      <c r="B124" s="1">
        <f>B132</f>
        <v/>
      </c>
    </row>
    <row r="125">
      <c r="B125" s="1">
        <f>B133</f>
        <v/>
      </c>
    </row>
    <row r="126">
      <c r="B126" s="1">
        <f>B134</f>
        <v/>
      </c>
    </row>
    <row r="127">
      <c r="B127" s="1">
        <f>B135</f>
        <v/>
      </c>
    </row>
    <row r="128">
      <c r="B128" s="1">
        <f>B136</f>
        <v/>
      </c>
    </row>
    <row r="129">
      <c r="B129" s="1">
        <f>B137</f>
        <v/>
      </c>
    </row>
    <row r="130">
      <c r="B130" s="1">
        <f>B138</f>
        <v/>
      </c>
    </row>
    <row r="131">
      <c r="B131" s="1">
        <f>B139</f>
        <v/>
      </c>
    </row>
    <row r="132">
      <c r="B132" s="1">
        <f>B140</f>
        <v/>
      </c>
    </row>
    <row r="133">
      <c r="B133" s="1">
        <f>B141</f>
        <v/>
      </c>
    </row>
    <row r="134">
      <c r="B134" s="1">
        <f>B142</f>
        <v/>
      </c>
    </row>
    <row r="135">
      <c r="B135" s="1">
        <f>B143</f>
        <v/>
      </c>
    </row>
    <row r="136">
      <c r="B136" s="1">
        <f>B144</f>
        <v/>
      </c>
    </row>
    <row r="137">
      <c r="B137" s="1">
        <f>B145</f>
        <v/>
      </c>
    </row>
    <row r="138">
      <c r="B138" s="1">
        <f>B146</f>
        <v/>
      </c>
    </row>
    <row r="139">
      <c r="B139" s="1">
        <f>B147</f>
        <v/>
      </c>
    </row>
    <row r="140">
      <c r="B140" s="1">
        <f>B148</f>
        <v/>
      </c>
    </row>
    <row r="141">
      <c r="B141" s="1">
        <f>B149</f>
        <v/>
      </c>
    </row>
    <row r="142">
      <c r="B142" s="1">
        <f>B150</f>
        <v/>
      </c>
    </row>
    <row r="143">
      <c r="B143" s="1">
        <f>B151</f>
        <v/>
      </c>
    </row>
    <row r="144">
      <c r="B144" s="1">
        <f>B152</f>
        <v/>
      </c>
    </row>
    <row r="145">
      <c r="B145" s="1">
        <f>B153</f>
        <v/>
      </c>
    </row>
    <row r="146">
      <c r="B146" s="1">
        <f>B154</f>
        <v/>
      </c>
    </row>
    <row r="147">
      <c r="B147" s="1">
        <f>B155</f>
        <v/>
      </c>
    </row>
    <row r="148">
      <c r="B148" s="1">
        <f>B156</f>
        <v/>
      </c>
    </row>
    <row r="149">
      <c r="B149" s="1">
        <f>B157</f>
        <v/>
      </c>
    </row>
    <row r="150">
      <c r="B150" s="1">
        <f>B158</f>
        <v/>
      </c>
    </row>
    <row r="151">
      <c r="B151" s="1">
        <f>B159</f>
        <v/>
      </c>
    </row>
    <row r="152">
      <c r="B152" s="1">
        <f>B160</f>
        <v/>
      </c>
    </row>
    <row r="153">
      <c r="B153" s="1">
        <f>B161</f>
        <v/>
      </c>
    </row>
    <row r="154">
      <c r="B154" s="1">
        <f>B162</f>
        <v/>
      </c>
    </row>
    <row r="155">
      <c r="B155" s="1">
        <f>B163</f>
        <v/>
      </c>
    </row>
    <row r="156">
      <c r="B156" s="1">
        <f>B164</f>
        <v/>
      </c>
    </row>
    <row r="157">
      <c r="B157" s="1">
        <f>B165</f>
        <v/>
      </c>
    </row>
    <row r="158">
      <c r="B158" s="1">
        <f>B166</f>
        <v/>
      </c>
    </row>
    <row r="159">
      <c r="B159" s="1">
        <f>B167</f>
        <v/>
      </c>
    </row>
    <row r="160">
      <c r="B160" s="1">
        <f>B168</f>
        <v/>
      </c>
    </row>
    <row r="161">
      <c r="B161" s="1">
        <f>B169</f>
        <v/>
      </c>
    </row>
    <row r="162">
      <c r="B162" s="1">
        <f>B170</f>
        <v/>
      </c>
    </row>
    <row r="163">
      <c r="B163" s="1">
        <f>B171</f>
        <v/>
      </c>
    </row>
    <row r="164">
      <c r="B164" s="1">
        <f>B172</f>
        <v/>
      </c>
    </row>
    <row r="165">
      <c r="B165" s="1">
        <f>B173</f>
        <v/>
      </c>
    </row>
    <row r="166">
      <c r="B166" s="1">
        <f>B174</f>
        <v/>
      </c>
    </row>
    <row r="167">
      <c r="B167" s="1">
        <f>B175</f>
        <v/>
      </c>
    </row>
    <row r="168">
      <c r="B168" s="1">
        <f>B176</f>
        <v/>
      </c>
    </row>
    <row r="169">
      <c r="B169" s="1">
        <f>B177</f>
        <v/>
      </c>
    </row>
    <row r="170">
      <c r="B170" s="1">
        <f>B178</f>
        <v/>
      </c>
    </row>
    <row r="171">
      <c r="B171" s="1">
        <f>B179</f>
        <v/>
      </c>
    </row>
    <row r="172">
      <c r="B172" s="1">
        <f>B180</f>
        <v/>
      </c>
    </row>
    <row r="173">
      <c r="B173" s="1">
        <f>B181</f>
        <v/>
      </c>
    </row>
    <row r="174">
      <c r="B174" s="1">
        <f>B182</f>
        <v/>
      </c>
    </row>
    <row r="175">
      <c r="B175" s="1">
        <f>B183</f>
        <v/>
      </c>
    </row>
    <row r="176">
      <c r="B176" s="1">
        <f>B184</f>
        <v/>
      </c>
    </row>
    <row r="177">
      <c r="B177" s="1">
        <f>B185</f>
        <v/>
      </c>
    </row>
    <row r="178">
      <c r="B178" s="1">
        <f>B186</f>
        <v/>
      </c>
    </row>
    <row r="179">
      <c r="B179" s="1">
        <f>B187</f>
        <v/>
      </c>
    </row>
    <row r="180">
      <c r="B180" s="1">
        <f>B188</f>
        <v/>
      </c>
    </row>
    <row r="181">
      <c r="B181" s="1">
        <f>B189</f>
        <v/>
      </c>
    </row>
    <row r="182">
      <c r="B182" s="1">
        <f>B190</f>
        <v/>
      </c>
    </row>
    <row r="183">
      <c r="B183" s="1">
        <f>B191</f>
        <v/>
      </c>
    </row>
    <row r="184">
      <c r="B184" s="1">
        <f>B192</f>
        <v/>
      </c>
    </row>
    <row r="185">
      <c r="B185" s="1">
        <f>B193</f>
        <v/>
      </c>
    </row>
    <row r="186">
      <c r="B186" s="1">
        <f>B194</f>
        <v/>
      </c>
    </row>
    <row r="187">
      <c r="B187" s="1">
        <f>B195</f>
        <v/>
      </c>
    </row>
    <row r="188">
      <c r="B188" s="1">
        <f>B196</f>
        <v/>
      </c>
    </row>
    <row r="189">
      <c r="B189" s="1">
        <f>B197</f>
        <v/>
      </c>
    </row>
    <row r="190">
      <c r="B190" s="1">
        <f>B198</f>
        <v/>
      </c>
    </row>
    <row r="191">
      <c r="B191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2.xml><?xml version="1.0" encoding="utf-8"?>
<worksheet xmlns="http://schemas.openxmlformats.org/spreadsheetml/2006/main">
  <sheetPr codeName="Planilha22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BGIF27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352.05</v>
      </c>
    </row>
    <row r="50">
      <c r="A50" s="9" t="n">
        <v>46153</v>
      </c>
      <c r="B50" s="1">
        <f>B49</f>
        <v/>
      </c>
      <c r="C50" t="n">
        <v>354.9</v>
      </c>
    </row>
    <row r="51">
      <c r="A51" s="9" t="n">
        <v>46154</v>
      </c>
      <c r="B51" s="1">
        <f>B50</f>
        <v/>
      </c>
      <c r="C51" t="n">
        <v>355.3</v>
      </c>
    </row>
    <row r="52">
      <c r="A52" s="9" t="n">
        <v>46155</v>
      </c>
      <c r="B52" s="1">
        <f>B51</f>
        <v/>
      </c>
      <c r="C52" t="n">
        <v>353</v>
      </c>
    </row>
    <row r="53">
      <c r="A53" s="9" t="n">
        <v>46156</v>
      </c>
      <c r="B53" s="1">
        <f>B52</f>
        <v/>
      </c>
      <c r="C53" t="n">
        <v>353.65</v>
      </c>
    </row>
    <row r="54">
      <c r="A54" s="9" t="n">
        <v>46157</v>
      </c>
      <c r="B54" s="1">
        <f>B53</f>
        <v/>
      </c>
      <c r="C54" t="n">
        <v>353.15</v>
      </c>
    </row>
    <row r="55">
      <c r="A55" s="9" t="n">
        <v>46160</v>
      </c>
      <c r="B55" s="1">
        <f>B54</f>
        <v/>
      </c>
      <c r="C55" t="n">
        <v>353.35</v>
      </c>
    </row>
    <row r="56">
      <c r="A56" s="9" t="n">
        <v>46161</v>
      </c>
      <c r="B56" s="1">
        <f>B55</f>
        <v/>
      </c>
      <c r="C56" t="n">
        <v>355.8</v>
      </c>
    </row>
    <row r="57">
      <c r="A57" s="9" t="n">
        <v>46162</v>
      </c>
      <c r="B57" s="1">
        <f>B56</f>
        <v/>
      </c>
      <c r="C57" t="n">
        <v>355.8</v>
      </c>
    </row>
    <row r="58">
      <c r="A58" s="9" t="n">
        <v>46163</v>
      </c>
      <c r="B58" s="1">
        <f>B57</f>
        <v/>
      </c>
      <c r="C58" t="n">
        <v>355.45</v>
      </c>
    </row>
    <row r="59">
      <c r="A59" s="9" t="n">
        <v>46164</v>
      </c>
      <c r="B59" s="1">
        <f>B58</f>
        <v/>
      </c>
      <c r="C59" t="n">
        <v>355.6</v>
      </c>
    </row>
    <row r="60">
      <c r="A60" s="9" t="n">
        <v>46167</v>
      </c>
      <c r="B60" s="1">
        <f>B59</f>
        <v/>
      </c>
      <c r="C60" t="n">
        <v>357</v>
      </c>
    </row>
    <row r="61">
      <c r="A61" s="9" t="n">
        <v>46168</v>
      </c>
      <c r="B61" s="1">
        <f>B60</f>
        <v/>
      </c>
      <c r="C61" t="n">
        <v>357</v>
      </c>
    </row>
    <row r="62">
      <c r="A62" s="9" t="n">
        <v>46169</v>
      </c>
      <c r="B62" s="1">
        <f>B61</f>
        <v/>
      </c>
      <c r="C62" t="n">
        <v>356.15</v>
      </c>
    </row>
    <row r="63">
      <c r="A63" s="9" t="n">
        <v>46170</v>
      </c>
      <c r="B63" s="1">
        <f>B62</f>
        <v/>
      </c>
      <c r="C63" t="n">
        <v>355.15</v>
      </c>
    </row>
    <row r="64">
      <c r="A64" s="9" t="n">
        <v>46171</v>
      </c>
      <c r="B64" s="1">
        <f>B63</f>
        <v/>
      </c>
      <c r="C64" t="n">
        <v>354.95</v>
      </c>
    </row>
    <row r="65">
      <c r="A65" s="9" t="n">
        <v>46174</v>
      </c>
      <c r="B65" s="1">
        <f>B64</f>
        <v/>
      </c>
      <c r="C65" t="n">
        <v>355.45</v>
      </c>
    </row>
    <row r="66">
      <c r="A66" s="9" t="n">
        <v>46175</v>
      </c>
      <c r="B66" s="1">
        <f>B65</f>
        <v/>
      </c>
      <c r="C66" t="n">
        <v>356.8</v>
      </c>
    </row>
    <row r="67">
      <c r="A67" s="9" t="n">
        <v>46176</v>
      </c>
      <c r="B67" s="1">
        <f>B66</f>
        <v/>
      </c>
      <c r="C67" t="n">
        <v>356.7</v>
      </c>
    </row>
    <row r="68">
      <c r="A68" s="9" t="n">
        <v>46178</v>
      </c>
      <c r="B68" s="1">
        <f>B67</f>
        <v/>
      </c>
      <c r="C68" t="n">
        <v>355.95</v>
      </c>
    </row>
    <row r="69">
      <c r="A69" s="9" t="n">
        <v>46181</v>
      </c>
      <c r="B69" s="1">
        <f>B68</f>
        <v/>
      </c>
      <c r="C69" t="n">
        <v>357.4</v>
      </c>
    </row>
    <row r="70">
      <c r="A70" s="9" t="n">
        <v>46182</v>
      </c>
      <c r="B70" s="1">
        <f>B69</f>
        <v/>
      </c>
      <c r="C70" t="n">
        <v>357</v>
      </c>
    </row>
    <row r="71">
      <c r="A71" s="9" t="n">
        <v>46183</v>
      </c>
      <c r="B71" s="1">
        <f>B70</f>
        <v/>
      </c>
      <c r="C71" t="n">
        <v>353.45</v>
      </c>
    </row>
    <row r="72">
      <c r="A72" s="9" t="n">
        <v>46184</v>
      </c>
      <c r="B72" s="1">
        <f>B71</f>
        <v/>
      </c>
      <c r="C72" t="n">
        <v>355.55</v>
      </c>
    </row>
    <row r="73">
      <c r="A73" s="9" t="n">
        <v>46185</v>
      </c>
      <c r="B73" s="1">
        <f>B72</f>
        <v/>
      </c>
      <c r="C73" t="n">
        <v>355.25</v>
      </c>
    </row>
    <row r="74">
      <c r="A74" s="9" t="n">
        <v>46188</v>
      </c>
      <c r="B74" s="1">
        <f>B73</f>
        <v/>
      </c>
      <c r="C74" t="n">
        <v>352.95</v>
      </c>
    </row>
    <row r="75">
      <c r="A75" s="9" t="n">
        <v>46189</v>
      </c>
      <c r="B75" s="1">
        <f>B74</f>
        <v/>
      </c>
      <c r="C75" t="n">
        <v>354.35</v>
      </c>
    </row>
    <row r="76">
      <c r="A76" s="9" t="n">
        <v>46190</v>
      </c>
      <c r="B76" s="1">
        <f>B75</f>
        <v/>
      </c>
      <c r="C76" t="n">
        <v>352.5</v>
      </c>
    </row>
    <row r="77">
      <c r="A77" s="9" t="n">
        <v>46191</v>
      </c>
      <c r="B77" s="1">
        <f>B76</f>
        <v/>
      </c>
      <c r="C77" t="n">
        <v>353.45</v>
      </c>
    </row>
    <row r="78">
      <c r="A78" s="9" t="n">
        <v>46192</v>
      </c>
      <c r="B78" s="1">
        <f>B77</f>
        <v/>
      </c>
      <c r="C78" t="n">
        <v>357.95</v>
      </c>
    </row>
    <row r="79">
      <c r="A79" s="9" t="n">
        <v>46195</v>
      </c>
      <c r="B79" s="1">
        <f>B78</f>
        <v/>
      </c>
      <c r="C79" t="n">
        <v>359.65</v>
      </c>
    </row>
    <row r="80">
      <c r="A80" s="9" t="n">
        <v>46196</v>
      </c>
      <c r="B80" s="1">
        <f>B79</f>
        <v/>
      </c>
      <c r="C80" t="n">
        <v>360.4</v>
      </c>
    </row>
    <row r="81">
      <c r="A81" s="9" t="n">
        <v>46197</v>
      </c>
      <c r="B81" s="1">
        <f>B80</f>
        <v/>
      </c>
      <c r="C81" t="n">
        <v>358.55</v>
      </c>
    </row>
    <row r="82">
      <c r="A82" s="9" t="n">
        <v>46198</v>
      </c>
      <c r="B82" s="1">
        <f>B81</f>
        <v/>
      </c>
      <c r="C82" t="n">
        <v>356.9</v>
      </c>
    </row>
    <row r="83">
      <c r="A83" s="9" t="n">
        <v>46199</v>
      </c>
      <c r="B83" s="1">
        <f>B82</f>
        <v/>
      </c>
      <c r="C83" t="n">
        <v>358.85</v>
      </c>
    </row>
    <row r="84">
      <c r="A84" s="9" t="n">
        <v>46202</v>
      </c>
      <c r="B84" s="1">
        <f>B83</f>
        <v/>
      </c>
      <c r="C84" t="n">
        <v>360</v>
      </c>
    </row>
    <row r="85">
      <c r="A85" s="9" t="n">
        <v>46203</v>
      </c>
      <c r="B85" s="1">
        <f>B84</f>
        <v/>
      </c>
      <c r="C85" t="n">
        <v>358.15</v>
      </c>
    </row>
    <row r="86">
      <c r="A86" s="9" t="n">
        <v>46204</v>
      </c>
      <c r="B86" s="1">
        <f>B85</f>
        <v/>
      </c>
      <c r="C86" t="n">
        <v>357.85</v>
      </c>
    </row>
    <row r="87">
      <c r="A87" s="9" t="n">
        <v>46205</v>
      </c>
      <c r="B87" s="1">
        <f>B86</f>
        <v/>
      </c>
      <c r="C87" t="n">
        <v>358</v>
      </c>
    </row>
    <row r="88">
      <c r="A88" s="9" t="n">
        <v>46206</v>
      </c>
      <c r="B88" s="1">
        <f>B87</f>
        <v/>
      </c>
      <c r="C88" t="n">
        <v>360.65</v>
      </c>
    </row>
    <row r="89">
      <c r="A89" s="9" t="n">
        <v>46209</v>
      </c>
      <c r="B89" s="1">
        <f>B88</f>
        <v/>
      </c>
      <c r="C89" t="n">
        <v>362.5</v>
      </c>
    </row>
    <row r="90">
      <c r="A90" s="9" t="n">
        <v>46210</v>
      </c>
      <c r="B90" s="1">
        <f>B89</f>
        <v/>
      </c>
      <c r="C90" t="n">
        <v>365.45</v>
      </c>
    </row>
    <row r="91">
      <c r="A91" s="9" t="n">
        <v>46211</v>
      </c>
      <c r="B91" s="1">
        <f>B90</f>
        <v/>
      </c>
      <c r="C91" t="n">
        <v>363.95</v>
      </c>
    </row>
    <row r="92">
      <c r="A92" s="9" t="n">
        <v>46212</v>
      </c>
      <c r="B92" s="1">
        <f>B91</f>
        <v/>
      </c>
      <c r="C92" t="n">
        <v>364</v>
      </c>
    </row>
    <row r="93">
      <c r="A93" s="9" t="n">
        <v>46213</v>
      </c>
      <c r="B93" s="1">
        <f>B92</f>
        <v/>
      </c>
      <c r="C93" t="n">
        <v>362.4</v>
      </c>
    </row>
    <row r="94">
      <c r="A94" s="9" t="n">
        <v>46216</v>
      </c>
      <c r="B94" s="1">
        <f>B93</f>
        <v/>
      </c>
      <c r="C94" t="n">
        <v>364.45</v>
      </c>
    </row>
    <row r="95">
      <c r="A95" s="9" t="n">
        <v>46217</v>
      </c>
      <c r="B95" s="1">
        <f>B94</f>
        <v/>
      </c>
      <c r="C95" t="n">
        <v>366.45</v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3.xml><?xml version="1.0" encoding="utf-8"?>
<worksheet xmlns="http://schemas.openxmlformats.org/spreadsheetml/2006/main">
  <sheetPr codeName="Planilha23">
    <outlinePr summaryBelow="1" summaryRight="1"/>
    <pageSetUpPr/>
  </sheetPr>
  <dimension ref="A1:C190"/>
  <sheetViews>
    <sheetView zoomScale="90" zoomScaleNormal="90" workbookViewId="0">
      <selection activeCell="C6" sqref="C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BGIG27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B34</f>
        <v/>
      </c>
      <c r="C25" t="n">
        <v>356.85</v>
      </c>
    </row>
    <row r="26">
      <c r="A26" s="9" t="n">
        <v>46114</v>
      </c>
      <c r="B26" s="1">
        <f>B35</f>
        <v/>
      </c>
      <c r="C26" t="n">
        <v>356.4</v>
      </c>
    </row>
    <row r="27">
      <c r="A27" s="9" t="n">
        <v>46118</v>
      </c>
      <c r="B27" s="1">
        <f>B36</f>
        <v/>
      </c>
      <c r="C27" t="n">
        <v>357.55</v>
      </c>
    </row>
    <row r="28">
      <c r="A28" s="9" t="n">
        <v>46119</v>
      </c>
      <c r="B28" s="1">
        <f>B37</f>
        <v/>
      </c>
      <c r="C28" t="n">
        <v>356.55</v>
      </c>
    </row>
    <row r="29">
      <c r="A29" s="9" t="n">
        <v>46120</v>
      </c>
      <c r="B29" s="1">
        <f>B38</f>
        <v/>
      </c>
      <c r="C29" t="n">
        <v>351.6</v>
      </c>
    </row>
    <row r="30">
      <c r="A30" s="9" t="n">
        <v>46121</v>
      </c>
      <c r="B30" s="1">
        <f>B39</f>
        <v/>
      </c>
      <c r="C30" t="n">
        <v>354.05</v>
      </c>
    </row>
    <row r="31">
      <c r="A31" s="9" t="n">
        <v>46122</v>
      </c>
      <c r="B31" s="1">
        <f>B40</f>
        <v/>
      </c>
      <c r="C31" t="n">
        <v>352.95</v>
      </c>
    </row>
    <row r="32">
      <c r="A32" s="9" t="n">
        <v>46125</v>
      </c>
      <c r="B32" s="1">
        <f>B41</f>
        <v/>
      </c>
      <c r="C32" t="n">
        <v>350.3</v>
      </c>
    </row>
    <row r="33">
      <c r="A33" s="9" t="n">
        <v>46126</v>
      </c>
      <c r="B33" s="1">
        <f>B42</f>
        <v/>
      </c>
      <c r="C33" t="n">
        <v>349.85</v>
      </c>
    </row>
    <row r="34">
      <c r="A34" s="9" t="n">
        <v>46127</v>
      </c>
      <c r="B34" s="1">
        <f>B43</f>
        <v/>
      </c>
      <c r="C34" t="n">
        <v>348.7</v>
      </c>
    </row>
    <row r="35">
      <c r="A35" s="9" t="n">
        <v>46128</v>
      </c>
      <c r="B35" s="1">
        <f>B44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356.2</v>
      </c>
    </row>
    <row r="71">
      <c r="A71" s="9" t="n">
        <v>46183</v>
      </c>
      <c r="B71" s="1">
        <f>B70</f>
        <v/>
      </c>
      <c r="C71" t="n">
        <v>352.65</v>
      </c>
    </row>
    <row r="72">
      <c r="A72" s="9" t="n">
        <v>46184</v>
      </c>
      <c r="B72" s="1">
        <f>B71</f>
        <v/>
      </c>
      <c r="C72" t="n">
        <v>354.75</v>
      </c>
    </row>
    <row r="73">
      <c r="A73" s="9" t="n">
        <v>46185</v>
      </c>
      <c r="B73" s="1">
        <f>B72</f>
        <v/>
      </c>
      <c r="C73" t="n">
        <v>354.45</v>
      </c>
    </row>
    <row r="74">
      <c r="A74" s="9" t="n">
        <v>46188</v>
      </c>
      <c r="B74" s="1">
        <f>B73</f>
        <v/>
      </c>
      <c r="C74" t="n">
        <v>352.15</v>
      </c>
    </row>
    <row r="75">
      <c r="A75" s="9" t="n">
        <v>46189</v>
      </c>
      <c r="B75" s="1">
        <f>B74</f>
        <v/>
      </c>
      <c r="C75" t="n">
        <v>353.55</v>
      </c>
    </row>
    <row r="76">
      <c r="A76" s="9" t="n">
        <v>46190</v>
      </c>
      <c r="B76" s="1">
        <f>B75</f>
        <v/>
      </c>
      <c r="C76" t="n">
        <v>351.7</v>
      </c>
    </row>
    <row r="77">
      <c r="A77" s="9" t="n">
        <v>46191</v>
      </c>
      <c r="B77" s="1">
        <f>B76</f>
        <v/>
      </c>
      <c r="C77" t="n">
        <v>352.65</v>
      </c>
    </row>
    <row r="78">
      <c r="A78" s="9" t="n">
        <v>46192</v>
      </c>
      <c r="B78" s="1">
        <f>B77</f>
        <v/>
      </c>
      <c r="C78" t="n">
        <v>356.55</v>
      </c>
    </row>
    <row r="79">
      <c r="A79" s="9" t="n">
        <v>46195</v>
      </c>
      <c r="B79" s="1">
        <f>B78</f>
        <v/>
      </c>
      <c r="C79" t="n">
        <v>357.55</v>
      </c>
    </row>
    <row r="80">
      <c r="A80" s="9" t="n">
        <v>46196</v>
      </c>
      <c r="B80" s="1">
        <f>B79</f>
        <v/>
      </c>
      <c r="C80" t="n">
        <v>357.55</v>
      </c>
    </row>
    <row r="81">
      <c r="A81" s="9" t="n">
        <v>46197</v>
      </c>
      <c r="B81" s="1">
        <f>B80</f>
        <v/>
      </c>
      <c r="C81" t="n">
        <v>355.7</v>
      </c>
    </row>
    <row r="82">
      <c r="A82" s="9" t="n">
        <v>46198</v>
      </c>
      <c r="B82" s="1">
        <f>B81</f>
        <v/>
      </c>
      <c r="C82" t="n">
        <v>354.05</v>
      </c>
    </row>
    <row r="83">
      <c r="A83" s="9" t="n">
        <v>46199</v>
      </c>
      <c r="B83" s="1">
        <f>B82</f>
        <v/>
      </c>
      <c r="C83" t="n">
        <v>356</v>
      </c>
    </row>
    <row r="84">
      <c r="A84" s="9" t="n">
        <v>46202</v>
      </c>
      <c r="B84" s="1">
        <f>B83</f>
        <v/>
      </c>
      <c r="C84" t="n">
        <v>357.55</v>
      </c>
    </row>
    <row r="85">
      <c r="A85" s="9" t="n">
        <v>46203</v>
      </c>
      <c r="B85" s="1">
        <f>B84</f>
        <v/>
      </c>
      <c r="C85" t="n">
        <v>355.7</v>
      </c>
    </row>
    <row r="86">
      <c r="A86" s="9" t="n">
        <v>46204</v>
      </c>
      <c r="B86" s="1">
        <f>B85</f>
        <v/>
      </c>
      <c r="C86" t="n">
        <v>355.95</v>
      </c>
    </row>
    <row r="87">
      <c r="A87" s="9" t="n">
        <v>46205</v>
      </c>
      <c r="B87" s="1">
        <f>B86</f>
        <v/>
      </c>
      <c r="C87" t="n">
        <v>356.1</v>
      </c>
    </row>
    <row r="88">
      <c r="A88" s="9" t="n">
        <v>46206</v>
      </c>
      <c r="B88" s="1">
        <f>B87</f>
        <v/>
      </c>
      <c r="C88" t="n">
        <v>358.2</v>
      </c>
    </row>
    <row r="89">
      <c r="A89" s="9" t="n">
        <v>46209</v>
      </c>
      <c r="B89" s="1">
        <f>B88</f>
        <v/>
      </c>
      <c r="C89" t="n">
        <v>360.05</v>
      </c>
    </row>
    <row r="90">
      <c r="A90" s="9" t="n">
        <v>46210</v>
      </c>
      <c r="B90" s="1">
        <f>B89</f>
        <v/>
      </c>
      <c r="C90" t="n">
        <v>363.2</v>
      </c>
    </row>
    <row r="91">
      <c r="A91" s="9" t="n">
        <v>46211</v>
      </c>
      <c r="B91" s="1">
        <f>B90</f>
        <v/>
      </c>
      <c r="C91" t="n">
        <v>361.15</v>
      </c>
    </row>
    <row r="92">
      <c r="A92" s="9" t="n">
        <v>46212</v>
      </c>
      <c r="B92" s="1">
        <f>B91</f>
        <v/>
      </c>
      <c r="C92" t="n">
        <v>363.95</v>
      </c>
    </row>
    <row r="93">
      <c r="A93" s="9" t="n">
        <v>46213</v>
      </c>
      <c r="B93" s="1">
        <f>B92</f>
        <v/>
      </c>
      <c r="C93" t="n">
        <v>364.1</v>
      </c>
    </row>
    <row r="94">
      <c r="A94" s="9" t="n">
        <v>46216</v>
      </c>
      <c r="B94" s="1">
        <f>B93</f>
        <v/>
      </c>
      <c r="C94" t="n">
        <v>365.1</v>
      </c>
    </row>
    <row r="95">
      <c r="A95" s="9" t="n">
        <v>46217</v>
      </c>
      <c r="B95" s="1">
        <f>B94</f>
        <v/>
      </c>
      <c r="C95" t="n">
        <v>366.95</v>
      </c>
    </row>
    <row r="96">
      <c r="A96" s="9">
        <f>IF('S.H BOI GORDO'!A7207=""," ",'S.H BOI GORDO'!A7207)</f>
        <v/>
      </c>
      <c r="B96" s="1">
        <f>B105</f>
        <v/>
      </c>
    </row>
    <row r="97">
      <c r="A97" s="9">
        <f>IF('S.H BOI GORDO'!A7208=""," ",'S.H BOI GORDO'!A7208)</f>
        <v/>
      </c>
      <c r="B97" s="1">
        <f>B106</f>
        <v/>
      </c>
    </row>
    <row r="98">
      <c r="A98" s="9">
        <f>IF('S.H BOI GORDO'!A7209=""," ",'S.H BOI GORDO'!A7209)</f>
        <v/>
      </c>
      <c r="B98" s="1">
        <f>B107</f>
        <v/>
      </c>
    </row>
    <row r="99">
      <c r="A99" s="9">
        <f>IF('S.H BOI GORDO'!A7210=""," ",'S.H BOI GORDO'!A7210)</f>
        <v/>
      </c>
      <c r="B99" s="1">
        <f>B108</f>
        <v/>
      </c>
    </row>
    <row r="100">
      <c r="A100" s="9">
        <f>IF('S.H BOI GORDO'!A7211=""," ",'S.H BOI GORDO'!A7211)</f>
        <v/>
      </c>
      <c r="B100" s="1">
        <f>B109</f>
        <v/>
      </c>
    </row>
    <row r="101">
      <c r="A101" s="9">
        <f>IF('S.H BOI GORDO'!A7212=""," ",'S.H BOI GORDO'!A7212)</f>
        <v/>
      </c>
      <c r="B101" s="1">
        <f>B110</f>
        <v/>
      </c>
    </row>
    <row r="102">
      <c r="A102" s="9">
        <f>IF('S.H BOI GORDO'!A7213=""," ",'S.H BOI GORDO'!A7213)</f>
        <v/>
      </c>
      <c r="B102" s="1">
        <f>B111</f>
        <v/>
      </c>
    </row>
    <row r="103">
      <c r="A103" s="9">
        <f>IF('S.H BOI GORDO'!A7214=""," ",'S.H BOI GORDO'!A7214)</f>
        <v/>
      </c>
      <c r="B103" s="1">
        <f>B112</f>
        <v/>
      </c>
    </row>
    <row r="104">
      <c r="A104" s="9">
        <f>IF('S.H BOI GORDO'!A7215=""," ",'S.H BOI GORDO'!A7215)</f>
        <v/>
      </c>
      <c r="B104" s="1">
        <f>B113</f>
        <v/>
      </c>
    </row>
    <row r="105">
      <c r="A105" s="9">
        <f>IF('S.H BOI GORDO'!A7216=""," ",'S.H BOI GORDO'!A7216)</f>
        <v/>
      </c>
      <c r="B105" s="1">
        <f>B114</f>
        <v/>
      </c>
    </row>
    <row r="106">
      <c r="A106" s="9">
        <f>IF('S.H BOI GORDO'!A7217=""," ",'S.H BOI GORDO'!A7217)</f>
        <v/>
      </c>
      <c r="B106" s="1">
        <f>B115</f>
        <v/>
      </c>
    </row>
    <row r="107">
      <c r="A107" s="9">
        <f>IF('S.H BOI GORDO'!A7218=""," ",'S.H BOI GORDO'!A7218)</f>
        <v/>
      </c>
      <c r="B107" s="1">
        <f>B116</f>
        <v/>
      </c>
    </row>
    <row r="108">
      <c r="A108" s="9">
        <f>IF('S.H BOI GORDO'!A7219=""," ",'S.H BOI GORDO'!A7219)</f>
        <v/>
      </c>
      <c r="B108" s="1">
        <f>B117</f>
        <v/>
      </c>
    </row>
    <row r="109">
      <c r="A109" s="9">
        <f>IF('S.H BOI GORDO'!A7220=""," ",'S.H BOI GORDO'!A7220)</f>
        <v/>
      </c>
      <c r="B109" s="1">
        <f>B118</f>
        <v/>
      </c>
    </row>
    <row r="110">
      <c r="A110" s="9">
        <f>IF('S.H BOI GORDO'!A7221=""," ",'S.H BOI GORDO'!A7221)</f>
        <v/>
      </c>
      <c r="B110" s="1">
        <f>B119</f>
        <v/>
      </c>
    </row>
    <row r="111">
      <c r="A111" s="9">
        <f>IF('S.H BOI GORDO'!A7222=""," ",'S.H BOI GORDO'!A7222)</f>
        <v/>
      </c>
      <c r="B111" s="1">
        <f>B120</f>
        <v/>
      </c>
    </row>
    <row r="112">
      <c r="A112" s="9">
        <f>IF('S.H BOI GORDO'!A7223=""," ",'S.H BOI GORDO'!A7223)</f>
        <v/>
      </c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4.xml><?xml version="1.0" encoding="utf-8"?>
<worksheet xmlns="http://schemas.openxmlformats.org/spreadsheetml/2006/main">
  <sheetPr codeName="Planilha24">
    <outlinePr summaryBelow="1" summaryRight="1"/>
    <pageSetUpPr/>
  </sheetPr>
  <dimension ref="A1:C190"/>
  <sheetViews>
    <sheetView topLeftCell="A28" zoomScale="90" zoomScaleNormal="90" workbookViewId="0">
      <selection activeCell="F33" sqref="F3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46080</v>
      </c>
      <c r="B2" s="1" t="inlineStr">
        <is>
          <t>BGIH27</t>
        </is>
      </c>
      <c r="C2" t="n">
        <v>352</v>
      </c>
    </row>
    <row r="3">
      <c r="A3" s="9" t="n">
        <v>46083</v>
      </c>
      <c r="B3" s="1">
        <f>B2</f>
        <v/>
      </c>
      <c r="C3" t="n">
        <v>347.5</v>
      </c>
    </row>
    <row r="4">
      <c r="A4" s="9" t="n">
        <v>46084</v>
      </c>
      <c r="B4" s="1">
        <f>B3</f>
        <v/>
      </c>
      <c r="C4" t="n">
        <v>344</v>
      </c>
    </row>
    <row r="5">
      <c r="A5" s="9" t="n">
        <v>46085</v>
      </c>
      <c r="B5" s="1">
        <f>B4</f>
        <v/>
      </c>
      <c r="C5" t="n">
        <v>345.9</v>
      </c>
    </row>
    <row r="6">
      <c r="A6" s="9" t="n">
        <v>46086</v>
      </c>
      <c r="B6" s="1">
        <f>B5</f>
        <v/>
      </c>
      <c r="C6" t="n">
        <v>345.6</v>
      </c>
    </row>
    <row r="7">
      <c r="A7" s="4" t="n">
        <v>46087</v>
      </c>
      <c r="B7" s="1">
        <f>B6</f>
        <v/>
      </c>
      <c r="C7" t="n">
        <v>343.9</v>
      </c>
    </row>
    <row r="8">
      <c r="A8" s="9" t="n">
        <v>46090</v>
      </c>
      <c r="B8" s="1">
        <f>B7</f>
        <v/>
      </c>
      <c r="C8" t="n">
        <v>346.05</v>
      </c>
    </row>
    <row r="9">
      <c r="A9" s="9" t="n">
        <v>46091</v>
      </c>
      <c r="B9" s="1">
        <f>B8</f>
        <v/>
      </c>
      <c r="C9" t="n">
        <v>345.95</v>
      </c>
    </row>
    <row r="10">
      <c r="A10" s="9" t="n">
        <v>46092</v>
      </c>
      <c r="B10" s="1">
        <f>B9</f>
        <v/>
      </c>
      <c r="C10" t="n">
        <v>348</v>
      </c>
    </row>
    <row r="11">
      <c r="A11" s="9" t="n">
        <v>46093</v>
      </c>
      <c r="B11" s="1">
        <f>B10</f>
        <v/>
      </c>
      <c r="C11" t="n">
        <v>349.2</v>
      </c>
    </row>
    <row r="12">
      <c r="A12" s="9" t="n">
        <v>46094</v>
      </c>
      <c r="B12" s="1">
        <f>B11</f>
        <v/>
      </c>
      <c r="C12" t="n">
        <v>346.25</v>
      </c>
    </row>
    <row r="13">
      <c r="A13" s="9" t="n">
        <v>46097</v>
      </c>
      <c r="B13" s="1">
        <f>B12</f>
        <v/>
      </c>
      <c r="C13" t="n">
        <v>346.85</v>
      </c>
    </row>
    <row r="14">
      <c r="A14" s="9" t="n">
        <v>46098</v>
      </c>
      <c r="B14" s="1">
        <f>B13</f>
        <v/>
      </c>
      <c r="C14" t="n">
        <v>344</v>
      </c>
    </row>
    <row r="15">
      <c r="A15" s="9" t="n">
        <v>46099</v>
      </c>
      <c r="B15" s="1">
        <f>B14</f>
        <v/>
      </c>
      <c r="C15" t="n">
        <v>344.9</v>
      </c>
    </row>
    <row r="16">
      <c r="A16" s="9" t="n">
        <v>46100</v>
      </c>
      <c r="B16" s="1">
        <f>B15</f>
        <v/>
      </c>
      <c r="C16" t="n">
        <v>349.55</v>
      </c>
    </row>
    <row r="17">
      <c r="A17" s="9" t="n">
        <v>46101</v>
      </c>
      <c r="B17" s="1">
        <f>B16</f>
        <v/>
      </c>
      <c r="C17" t="n">
        <v>353</v>
      </c>
    </row>
    <row r="18">
      <c r="A18" s="9" t="n">
        <v>46104</v>
      </c>
      <c r="B18" s="1">
        <f>B17</f>
        <v/>
      </c>
      <c r="C18" t="n">
        <v>352.9</v>
      </c>
    </row>
    <row r="19">
      <c r="A19" s="9" t="n">
        <v>46105</v>
      </c>
      <c r="B19" s="1">
        <f>B18</f>
        <v/>
      </c>
      <c r="C19" t="n">
        <v>355.7</v>
      </c>
    </row>
    <row r="20">
      <c r="A20" s="9" t="n">
        <v>46106</v>
      </c>
      <c r="B20" s="1">
        <f>B19</f>
        <v/>
      </c>
      <c r="C20" t="n">
        <v>355.5</v>
      </c>
    </row>
    <row r="21">
      <c r="A21" s="9" t="n">
        <v>46107</v>
      </c>
      <c r="B21" s="1">
        <f>B20</f>
        <v/>
      </c>
      <c r="C21" t="n">
        <v>356</v>
      </c>
    </row>
    <row r="22">
      <c r="A22" s="9" t="n">
        <v>46108</v>
      </c>
      <c r="B22" s="1">
        <f>B21</f>
        <v/>
      </c>
      <c r="C22" t="n">
        <v>356.8</v>
      </c>
    </row>
    <row r="23">
      <c r="A23" s="9" t="n">
        <v>46111</v>
      </c>
      <c r="B23" s="1">
        <f>B22</f>
        <v/>
      </c>
      <c r="C23" t="n">
        <v>356.95</v>
      </c>
    </row>
    <row r="24">
      <c r="A24" s="9" t="n">
        <v>46112</v>
      </c>
      <c r="B24" s="1">
        <f>B23</f>
        <v/>
      </c>
      <c r="C24" t="n">
        <v>356.75</v>
      </c>
    </row>
    <row r="25">
      <c r="A25" s="9" t="n">
        <v>46113</v>
      </c>
      <c r="B25" s="1">
        <f>B24</f>
        <v/>
      </c>
      <c r="C25" t="n">
        <v>356.85</v>
      </c>
    </row>
    <row r="26">
      <c r="A26" s="9" t="n">
        <v>46114</v>
      </c>
      <c r="B26" s="1">
        <f>B25</f>
        <v/>
      </c>
      <c r="C26" t="n">
        <v>356.4</v>
      </c>
    </row>
    <row r="27">
      <c r="A27" s="9" t="n">
        <v>46118</v>
      </c>
      <c r="B27" s="1">
        <f>B26</f>
        <v/>
      </c>
      <c r="C27" t="n">
        <v>357.55</v>
      </c>
    </row>
    <row r="28">
      <c r="A28" s="9" t="n">
        <v>46119</v>
      </c>
      <c r="B28" s="1">
        <f>B27</f>
        <v/>
      </c>
      <c r="C28" t="n">
        <v>356.55</v>
      </c>
    </row>
    <row r="29">
      <c r="A29" s="9" t="n">
        <v>46120</v>
      </c>
      <c r="B29" s="1">
        <f>B28</f>
        <v/>
      </c>
      <c r="C29" t="n">
        <v>351.6</v>
      </c>
    </row>
    <row r="30">
      <c r="A30" s="9" t="n">
        <v>46121</v>
      </c>
      <c r="B30" s="1">
        <f>B29</f>
        <v/>
      </c>
      <c r="C30" t="n">
        <v>354.05</v>
      </c>
    </row>
    <row r="31">
      <c r="A31" s="9" t="n">
        <v>46122</v>
      </c>
      <c r="B31" s="1">
        <f>B30</f>
        <v/>
      </c>
      <c r="C31" t="n">
        <v>352.95</v>
      </c>
    </row>
    <row r="32">
      <c r="A32" s="9" t="n">
        <v>46125</v>
      </c>
      <c r="B32" s="1">
        <f>B31</f>
        <v/>
      </c>
      <c r="C32" t="n">
        <v>350.3</v>
      </c>
    </row>
    <row r="33">
      <c r="A33" s="9" t="n">
        <v>46126</v>
      </c>
      <c r="B33" s="1">
        <f>B32</f>
        <v/>
      </c>
      <c r="C33" t="n">
        <v>349.85</v>
      </c>
    </row>
    <row r="34">
      <c r="A34" s="9" t="n">
        <v>46127</v>
      </c>
      <c r="B34" s="1">
        <f>B33</f>
        <v/>
      </c>
      <c r="C34" t="n">
        <v>348.7</v>
      </c>
    </row>
    <row r="35">
      <c r="A35" s="9" t="n">
        <v>46128</v>
      </c>
      <c r="B35" s="1">
        <f>B34</f>
        <v/>
      </c>
      <c r="C35" t="n">
        <v>349.05</v>
      </c>
    </row>
    <row r="36">
      <c r="A36" s="9" t="n">
        <v>46129</v>
      </c>
      <c r="B36" s="1">
        <f>B35</f>
        <v/>
      </c>
      <c r="C36" t="n">
        <v>347.6</v>
      </c>
    </row>
    <row r="37">
      <c r="A37" s="9" t="n">
        <v>46132</v>
      </c>
      <c r="B37" s="1">
        <f>B36</f>
        <v/>
      </c>
      <c r="C37" t="n">
        <v>346.45</v>
      </c>
    </row>
    <row r="38">
      <c r="A38" s="9" t="n">
        <v>46134</v>
      </c>
      <c r="B38" s="1">
        <f>B37</f>
        <v/>
      </c>
      <c r="C38" t="n">
        <v>349</v>
      </c>
    </row>
    <row r="39">
      <c r="A39" s="9" t="n">
        <v>46135</v>
      </c>
      <c r="B39" s="1">
        <f>B38</f>
        <v/>
      </c>
      <c r="C39" t="n">
        <v>347.4</v>
      </c>
    </row>
    <row r="40">
      <c r="A40" s="9" t="n">
        <v>46136</v>
      </c>
      <c r="B40" s="1">
        <f>B39</f>
        <v/>
      </c>
      <c r="C40" t="n">
        <v>351.4</v>
      </c>
    </row>
    <row r="41">
      <c r="A41" s="9" t="n">
        <v>46139</v>
      </c>
      <c r="B41" s="1">
        <f>B40</f>
        <v/>
      </c>
      <c r="C41" t="n">
        <v>351.5</v>
      </c>
    </row>
    <row r="42">
      <c r="A42" s="9" t="n">
        <v>46140</v>
      </c>
      <c r="B42" s="1">
        <f>B41</f>
        <v/>
      </c>
      <c r="C42" t="n">
        <v>350.45</v>
      </c>
    </row>
    <row r="43">
      <c r="A43" s="9" t="n">
        <v>46141</v>
      </c>
      <c r="B43" s="1">
        <f>B42</f>
        <v/>
      </c>
      <c r="C43" t="n">
        <v>348.7</v>
      </c>
    </row>
    <row r="44">
      <c r="A44" s="9" t="n">
        <v>46142</v>
      </c>
      <c r="B44" s="1">
        <f>B43</f>
        <v/>
      </c>
      <c r="C44" t="n">
        <v>352.05</v>
      </c>
    </row>
    <row r="45">
      <c r="A45" s="9" t="n">
        <v>46146</v>
      </c>
      <c r="B45" s="1">
        <f>B44</f>
        <v/>
      </c>
      <c r="C45" t="n">
        <v>356.25</v>
      </c>
    </row>
    <row r="46">
      <c r="A46" s="9" t="n">
        <v>46147</v>
      </c>
      <c r="B46" s="1">
        <f>B45</f>
        <v/>
      </c>
      <c r="C46" t="n">
        <v>352.05</v>
      </c>
    </row>
    <row r="47">
      <c r="A47" s="9" t="n">
        <v>46148</v>
      </c>
      <c r="B47" s="1">
        <f>B46</f>
        <v/>
      </c>
      <c r="C47" t="n">
        <v>352.1</v>
      </c>
    </row>
    <row r="48">
      <c r="A48" s="9" t="n">
        <v>46149</v>
      </c>
      <c r="B48" s="1">
        <f>B47</f>
        <v/>
      </c>
      <c r="C48" t="n">
        <v>350.25</v>
      </c>
    </row>
    <row r="49">
      <c r="A49" s="9" t="n">
        <v>46150</v>
      </c>
      <c r="B49" s="1">
        <f>B48</f>
        <v/>
      </c>
      <c r="C49" t="n">
        <v>350.6</v>
      </c>
    </row>
    <row r="50">
      <c r="A50" s="9" t="n">
        <v>46153</v>
      </c>
      <c r="B50" s="1">
        <f>B49</f>
        <v/>
      </c>
      <c r="C50" t="n">
        <v>353.45</v>
      </c>
    </row>
    <row r="51">
      <c r="A51" s="9" t="n">
        <v>46154</v>
      </c>
      <c r="B51" s="1">
        <f>B50</f>
        <v/>
      </c>
      <c r="C51" t="n">
        <v>353.85</v>
      </c>
    </row>
    <row r="52">
      <c r="A52" s="9" t="n">
        <v>46155</v>
      </c>
      <c r="B52" s="1">
        <f>B51</f>
        <v/>
      </c>
      <c r="C52" t="n">
        <v>351.55</v>
      </c>
    </row>
    <row r="53">
      <c r="A53" s="9" t="n">
        <v>46156</v>
      </c>
      <c r="B53" s="1">
        <f>B52</f>
        <v/>
      </c>
      <c r="C53" t="n">
        <v>352.2</v>
      </c>
    </row>
    <row r="54">
      <c r="A54" s="9" t="n">
        <v>46157</v>
      </c>
      <c r="B54" s="1">
        <f>B53</f>
        <v/>
      </c>
      <c r="C54" t="n">
        <v>351.7</v>
      </c>
    </row>
    <row r="55">
      <c r="A55" s="9" t="n">
        <v>46160</v>
      </c>
      <c r="B55" s="1">
        <f>B54</f>
        <v/>
      </c>
      <c r="C55" t="n">
        <v>351.9</v>
      </c>
    </row>
    <row r="56">
      <c r="A56" s="9" t="n">
        <v>46161</v>
      </c>
      <c r="B56" s="1">
        <f>B55</f>
        <v/>
      </c>
      <c r="C56" t="n">
        <v>354.35</v>
      </c>
    </row>
    <row r="57">
      <c r="A57" s="9" t="n">
        <v>46162</v>
      </c>
      <c r="B57" s="1">
        <f>B56</f>
        <v/>
      </c>
      <c r="C57" t="n">
        <v>354.35</v>
      </c>
    </row>
    <row r="58">
      <c r="A58" s="9" t="n">
        <v>46163</v>
      </c>
      <c r="B58" s="1">
        <f>B57</f>
        <v/>
      </c>
      <c r="C58" t="n">
        <v>354</v>
      </c>
    </row>
    <row r="59">
      <c r="A59" s="9" t="n">
        <v>46164</v>
      </c>
      <c r="B59" s="1">
        <f>B58</f>
        <v/>
      </c>
      <c r="C59" t="n">
        <v>354.15</v>
      </c>
    </row>
    <row r="60">
      <c r="A60" s="9" t="n">
        <v>46167</v>
      </c>
      <c r="B60" s="1">
        <f>B59</f>
        <v/>
      </c>
      <c r="C60" t="n">
        <v>355.2</v>
      </c>
    </row>
    <row r="61">
      <c r="A61" s="9" t="n">
        <v>46168</v>
      </c>
      <c r="B61" s="1">
        <f>B60</f>
        <v/>
      </c>
      <c r="C61" t="n">
        <v>355.2</v>
      </c>
    </row>
    <row r="62">
      <c r="A62" s="9" t="n">
        <v>46169</v>
      </c>
      <c r="B62" s="1">
        <f>B61</f>
        <v/>
      </c>
      <c r="C62" t="n">
        <v>354.35</v>
      </c>
    </row>
    <row r="63">
      <c r="A63" s="9" t="n">
        <v>46170</v>
      </c>
      <c r="B63" s="1">
        <f>B62</f>
        <v/>
      </c>
      <c r="C63" t="n">
        <v>352.9</v>
      </c>
    </row>
    <row r="64">
      <c r="A64" s="9" t="n">
        <v>46171</v>
      </c>
      <c r="B64" s="1">
        <f>B63</f>
        <v/>
      </c>
      <c r="C64" t="n">
        <v>352.7</v>
      </c>
    </row>
    <row r="65">
      <c r="A65" s="9" t="n">
        <v>46174</v>
      </c>
      <c r="B65" s="1">
        <f>B64</f>
        <v/>
      </c>
      <c r="C65" t="n">
        <v>353.2</v>
      </c>
    </row>
    <row r="66">
      <c r="A66" s="9" t="n">
        <v>46175</v>
      </c>
      <c r="B66" s="1">
        <f>B65</f>
        <v/>
      </c>
      <c r="C66" t="n">
        <v>356.4</v>
      </c>
    </row>
    <row r="67">
      <c r="A67" s="9" t="n">
        <v>46176</v>
      </c>
      <c r="B67" s="1">
        <f>B66</f>
        <v/>
      </c>
      <c r="C67" t="n">
        <v>357.4</v>
      </c>
    </row>
    <row r="68">
      <c r="A68" s="9" t="n">
        <v>46178</v>
      </c>
      <c r="B68" s="1">
        <f>B67</f>
        <v/>
      </c>
      <c r="C68" t="n">
        <v>356.65</v>
      </c>
    </row>
    <row r="69">
      <c r="A69" s="9" t="n">
        <v>46181</v>
      </c>
      <c r="B69" s="1">
        <f>B68</f>
        <v/>
      </c>
      <c r="C69" t="n">
        <v>358.1</v>
      </c>
    </row>
    <row r="70">
      <c r="A70" s="9" t="n">
        <v>46182</v>
      </c>
      <c r="B70" s="1">
        <f>B69</f>
        <v/>
      </c>
      <c r="C70" t="n">
        <v>357.7</v>
      </c>
    </row>
    <row r="71">
      <c r="A71" s="9" t="n">
        <v>46183</v>
      </c>
      <c r="B71" s="1">
        <f>B70</f>
        <v/>
      </c>
      <c r="C71" t="n">
        <v>354.15</v>
      </c>
    </row>
    <row r="72">
      <c r="A72" s="9" t="n">
        <v>46184</v>
      </c>
      <c r="B72" s="1">
        <f>B71</f>
        <v/>
      </c>
      <c r="C72" t="n">
        <v>356.25</v>
      </c>
    </row>
    <row r="73">
      <c r="A73" s="9" t="n">
        <v>46185</v>
      </c>
      <c r="B73" s="1">
        <f>B72</f>
        <v/>
      </c>
      <c r="C73" t="n">
        <v>355.95</v>
      </c>
    </row>
    <row r="74">
      <c r="A74" s="9" t="n">
        <v>46188</v>
      </c>
      <c r="B74" s="1">
        <f>B73</f>
        <v/>
      </c>
      <c r="C74" t="n">
        <v>353.65</v>
      </c>
    </row>
    <row r="75">
      <c r="A75" s="9" t="n">
        <v>46189</v>
      </c>
      <c r="B75" s="1">
        <f>B74</f>
        <v/>
      </c>
      <c r="C75" t="n">
        <v>355.05</v>
      </c>
    </row>
    <row r="76">
      <c r="A76" s="9" t="n">
        <v>46190</v>
      </c>
      <c r="B76" s="1">
        <f>B75</f>
        <v/>
      </c>
      <c r="C76" t="n">
        <v>353.2</v>
      </c>
    </row>
    <row r="77">
      <c r="A77" s="9" t="n">
        <v>46191</v>
      </c>
      <c r="B77" s="1">
        <f>B76</f>
        <v/>
      </c>
      <c r="C77" t="n">
        <v>354.15</v>
      </c>
    </row>
    <row r="78">
      <c r="A78" s="9" t="n">
        <v>46192</v>
      </c>
      <c r="B78" s="1">
        <f>B77</f>
        <v/>
      </c>
      <c r="C78" t="n">
        <v>358.65</v>
      </c>
    </row>
    <row r="79">
      <c r="A79" s="9" t="n">
        <v>46195</v>
      </c>
      <c r="B79" s="1">
        <f>B78</f>
        <v/>
      </c>
      <c r="C79" t="n">
        <v>360.35</v>
      </c>
    </row>
    <row r="80">
      <c r="A80" s="9" t="n">
        <v>46196</v>
      </c>
      <c r="B80" s="1">
        <f>B79</f>
        <v/>
      </c>
      <c r="C80" t="n">
        <v>361.1</v>
      </c>
    </row>
    <row r="81">
      <c r="A81" s="9" t="n">
        <v>46197</v>
      </c>
      <c r="B81" s="1">
        <f>B80</f>
        <v/>
      </c>
      <c r="C81" t="n">
        <v>359.25</v>
      </c>
    </row>
    <row r="82">
      <c r="A82" s="9" t="n">
        <v>46198</v>
      </c>
      <c r="B82" s="1">
        <f>B81</f>
        <v/>
      </c>
      <c r="C82" t="n">
        <v>357.6</v>
      </c>
    </row>
    <row r="83">
      <c r="A83" s="9" t="n">
        <v>46199</v>
      </c>
      <c r="B83" s="1">
        <f>B82</f>
        <v/>
      </c>
      <c r="C83" t="n">
        <v>359.55</v>
      </c>
    </row>
    <row r="84">
      <c r="A84" s="9" t="n">
        <v>46202</v>
      </c>
      <c r="B84" s="1">
        <f>B83</f>
        <v/>
      </c>
      <c r="C84" t="n">
        <v>360.7</v>
      </c>
    </row>
    <row r="85">
      <c r="A85" s="9" t="n">
        <v>46203</v>
      </c>
      <c r="B85" s="1">
        <f>B84</f>
        <v/>
      </c>
      <c r="C85" t="n">
        <v>358.85</v>
      </c>
    </row>
    <row r="86">
      <c r="A86" s="9" t="n">
        <v>46204</v>
      </c>
      <c r="B86" s="1">
        <f>B85</f>
        <v/>
      </c>
      <c r="C86" t="n">
        <v>358.55</v>
      </c>
    </row>
    <row r="87">
      <c r="A87" s="9" t="n">
        <v>46205</v>
      </c>
      <c r="B87" s="1">
        <f>B86</f>
        <v/>
      </c>
      <c r="C87" t="n">
        <v>358.7</v>
      </c>
    </row>
    <row r="88">
      <c r="A88" s="9" t="n">
        <v>46206</v>
      </c>
      <c r="B88" s="1">
        <f>B87</f>
        <v/>
      </c>
      <c r="C88" t="n">
        <v>361.35</v>
      </c>
    </row>
    <row r="89">
      <c r="A89" s="9" t="n">
        <v>46209</v>
      </c>
      <c r="B89" s="1">
        <f>B88</f>
        <v/>
      </c>
      <c r="C89" t="n">
        <v>363.2</v>
      </c>
    </row>
    <row r="90">
      <c r="A90" s="9" t="n">
        <v>46210</v>
      </c>
      <c r="B90" s="1">
        <f>B89</f>
        <v/>
      </c>
      <c r="C90" t="n">
        <v>366.15</v>
      </c>
    </row>
    <row r="91">
      <c r="A91" s="9" t="n">
        <v>46211</v>
      </c>
      <c r="B91" s="1">
        <f>B90</f>
        <v/>
      </c>
      <c r="C91" t="n">
        <v>364.65</v>
      </c>
    </row>
    <row r="92">
      <c r="A92" s="9" t="n">
        <v>46212</v>
      </c>
      <c r="B92" s="1">
        <f>B91</f>
        <v/>
      </c>
      <c r="C92" t="n">
        <v>364.7</v>
      </c>
    </row>
    <row r="93">
      <c r="A93" s="9" t="n">
        <v>46213</v>
      </c>
      <c r="B93" s="1">
        <f>B92</f>
        <v/>
      </c>
      <c r="C93" t="n">
        <v>363.1</v>
      </c>
    </row>
    <row r="94">
      <c r="A94" s="9" t="n">
        <v>46216</v>
      </c>
      <c r="B94" s="1">
        <f>B93</f>
        <v/>
      </c>
      <c r="C94" t="n">
        <v>365.15</v>
      </c>
    </row>
    <row r="95">
      <c r="A95" s="9" t="n">
        <v>46217</v>
      </c>
      <c r="B95" s="1">
        <f>B94</f>
        <v/>
      </c>
      <c r="C95" t="n">
        <v>367.15</v>
      </c>
    </row>
    <row r="96">
      <c r="A96" s="9">
        <f>IF('S.H BOI GORDO'!A7207=""," ",'S.H BOI GORDO'!A7207)</f>
        <v/>
      </c>
      <c r="B96" s="1">
        <f>B95</f>
        <v/>
      </c>
    </row>
    <row r="97">
      <c r="A97" s="9">
        <f>IF('S.H BOI GORDO'!A7208=""," ",'S.H BOI GORDO'!A7208)</f>
        <v/>
      </c>
      <c r="B97" s="1">
        <f>B96</f>
        <v/>
      </c>
    </row>
    <row r="98">
      <c r="A98" s="9">
        <f>IF('S.H BOI GORDO'!A7209=""," ",'S.H BOI GORDO'!A7209)</f>
        <v/>
      </c>
      <c r="B98" s="1">
        <f>B97</f>
        <v/>
      </c>
    </row>
    <row r="99">
      <c r="A99" s="9">
        <f>IF('S.H BOI GORDO'!A7210=""," ",'S.H BOI GORDO'!A7210)</f>
        <v/>
      </c>
      <c r="B99" s="1">
        <f>B98</f>
        <v/>
      </c>
    </row>
    <row r="100">
      <c r="A100" s="9">
        <f>IF('S.H BOI GORDO'!A7211=""," ",'S.H BOI GORDO'!A7211)</f>
        <v/>
      </c>
      <c r="B100" s="1">
        <f>B99</f>
        <v/>
      </c>
    </row>
    <row r="101">
      <c r="A101" s="9">
        <f>IF('S.H BOI GORDO'!A7212=""," ",'S.H BOI GORDO'!A7212)</f>
        <v/>
      </c>
      <c r="B101" s="1">
        <f>B100</f>
        <v/>
      </c>
    </row>
    <row r="102">
      <c r="A102" s="9">
        <f>IF('S.H BOI GORDO'!A7213=""," ",'S.H BOI GORDO'!A7213)</f>
        <v/>
      </c>
      <c r="B102" s="1">
        <f>B101</f>
        <v/>
      </c>
    </row>
    <row r="103">
      <c r="A103" s="9">
        <f>IF('S.H BOI GORDO'!A7214=""," ",'S.H BOI GORDO'!A7214)</f>
        <v/>
      </c>
      <c r="B103" s="1">
        <f>B102</f>
        <v/>
      </c>
    </row>
    <row r="104">
      <c r="A104" s="9">
        <f>IF('S.H BOI GORDO'!A7215=""," ",'S.H BOI GORDO'!A7215)</f>
        <v/>
      </c>
      <c r="B104" s="1">
        <f>B103</f>
        <v/>
      </c>
    </row>
    <row r="105">
      <c r="A105" s="9">
        <f>IF('S.H BOI GORDO'!A7216=""," ",'S.H BOI GORDO'!A7216)</f>
        <v/>
      </c>
      <c r="B105" s="1">
        <f>B104</f>
        <v/>
      </c>
    </row>
    <row r="106">
      <c r="A106" s="9">
        <f>IF('S.H BOI GORDO'!A7217=""," ",'S.H BOI GORDO'!A7217)</f>
        <v/>
      </c>
      <c r="B106" s="1">
        <f>B105</f>
        <v/>
      </c>
    </row>
    <row r="107">
      <c r="A107" s="9">
        <f>IF('S.H BOI GORDO'!A7218=""," ",'S.H BOI GORDO'!A7218)</f>
        <v/>
      </c>
      <c r="B107" s="1">
        <f>B106</f>
        <v/>
      </c>
    </row>
    <row r="108">
      <c r="A108" s="9">
        <f>IF('S.H BOI GORDO'!A7219=""," ",'S.H BOI GORDO'!A7219)</f>
        <v/>
      </c>
      <c r="B108" s="1">
        <f>B107</f>
        <v/>
      </c>
    </row>
    <row r="109">
      <c r="A109" s="9">
        <f>IF('S.H BOI GORDO'!A7220=""," ",'S.H BOI GORDO'!A7220)</f>
        <v/>
      </c>
      <c r="B109" s="1">
        <f>B108</f>
        <v/>
      </c>
    </row>
    <row r="110">
      <c r="A110" s="9">
        <f>IF('S.H BOI GORDO'!A7221=""," ",'S.H BOI GORDO'!A7221)</f>
        <v/>
      </c>
      <c r="B110" s="1">
        <f>B109</f>
        <v/>
      </c>
    </row>
    <row r="111">
      <c r="A111" s="9">
        <f>IF('S.H BOI GORDO'!A7222=""," ",'S.H BOI GORDO'!A7222)</f>
        <v/>
      </c>
      <c r="B111" s="1">
        <f>B110</f>
        <v/>
      </c>
    </row>
    <row r="112">
      <c r="A112" s="9">
        <f>IF('S.H BOI GORDO'!A7223=""," ",'S.H BOI GORDO'!A7223)</f>
        <v/>
      </c>
      <c r="B112" s="1">
        <f>B111</f>
        <v/>
      </c>
    </row>
    <row r="113">
      <c r="B113" s="1">
        <f>B112</f>
        <v/>
      </c>
    </row>
    <row r="114">
      <c r="B114" s="1">
        <f>B113</f>
        <v/>
      </c>
    </row>
    <row r="115">
      <c r="B115" s="1">
        <f>B114</f>
        <v/>
      </c>
    </row>
    <row r="116">
      <c r="B116" s="1">
        <f>B115</f>
        <v/>
      </c>
    </row>
    <row r="117">
      <c r="B117" s="1">
        <f>B116</f>
        <v/>
      </c>
    </row>
    <row r="118">
      <c r="B118" s="1">
        <f>B117</f>
        <v/>
      </c>
    </row>
    <row r="119">
      <c r="B119" s="1">
        <f>B118</f>
        <v/>
      </c>
    </row>
    <row r="120">
      <c r="B120" s="1">
        <f>B119</f>
        <v/>
      </c>
    </row>
    <row r="121">
      <c r="B121" s="1">
        <f>B120</f>
        <v/>
      </c>
    </row>
    <row r="122">
      <c r="B122" s="1">
        <f>B121</f>
        <v/>
      </c>
    </row>
    <row r="123">
      <c r="B123" s="1">
        <f>B122</f>
        <v/>
      </c>
    </row>
    <row r="124">
      <c r="B124" s="1">
        <f>B123</f>
        <v/>
      </c>
    </row>
    <row r="125">
      <c r="B125" s="1">
        <f>B124</f>
        <v/>
      </c>
    </row>
    <row r="126">
      <c r="B126" s="1">
        <f>B125</f>
        <v/>
      </c>
    </row>
    <row r="127">
      <c r="B127" s="1">
        <f>B126</f>
        <v/>
      </c>
    </row>
    <row r="128">
      <c r="B128" s="1">
        <f>B127</f>
        <v/>
      </c>
    </row>
    <row r="129">
      <c r="B129" s="1">
        <f>B128</f>
        <v/>
      </c>
    </row>
    <row r="130">
      <c r="B130" s="1">
        <f>B129</f>
        <v/>
      </c>
    </row>
    <row r="131">
      <c r="B131" s="1">
        <f>B130</f>
        <v/>
      </c>
    </row>
    <row r="132">
      <c r="B132" s="1">
        <f>B131</f>
        <v/>
      </c>
    </row>
    <row r="133">
      <c r="B133" s="1">
        <f>B132</f>
        <v/>
      </c>
    </row>
    <row r="134">
      <c r="B134" s="1">
        <f>B133</f>
        <v/>
      </c>
    </row>
    <row r="135">
      <c r="B135" s="1">
        <f>B134</f>
        <v/>
      </c>
    </row>
    <row r="136">
      <c r="B136" s="1">
        <f>B135</f>
        <v/>
      </c>
    </row>
    <row r="137">
      <c r="B137" s="1">
        <f>B136</f>
        <v/>
      </c>
    </row>
    <row r="138">
      <c r="B138" s="1">
        <f>B137</f>
        <v/>
      </c>
    </row>
    <row r="139">
      <c r="B139" s="1">
        <f>B138</f>
        <v/>
      </c>
    </row>
    <row r="140">
      <c r="B140" s="1">
        <f>B139</f>
        <v/>
      </c>
    </row>
    <row r="141">
      <c r="B141" s="1">
        <f>B140</f>
        <v/>
      </c>
    </row>
    <row r="142">
      <c r="B142" s="1">
        <f>B141</f>
        <v/>
      </c>
    </row>
    <row r="143">
      <c r="B143" s="1">
        <f>B142</f>
        <v/>
      </c>
    </row>
    <row r="144">
      <c r="B144" s="1">
        <f>B143</f>
        <v/>
      </c>
    </row>
    <row r="145">
      <c r="B145" s="1">
        <f>B144</f>
        <v/>
      </c>
    </row>
    <row r="146">
      <c r="B146" s="1">
        <f>B145</f>
        <v/>
      </c>
    </row>
    <row r="147">
      <c r="B147" s="1">
        <f>B146</f>
        <v/>
      </c>
    </row>
    <row r="148">
      <c r="B148" s="1">
        <f>B147</f>
        <v/>
      </c>
    </row>
    <row r="149">
      <c r="B149" s="1">
        <f>B148</f>
        <v/>
      </c>
    </row>
    <row r="150">
      <c r="B150" s="1">
        <f>B149</f>
        <v/>
      </c>
    </row>
    <row r="151">
      <c r="B151" s="1">
        <f>B150</f>
        <v/>
      </c>
    </row>
    <row r="152">
      <c r="B152" s="1">
        <f>B151</f>
        <v/>
      </c>
    </row>
    <row r="153">
      <c r="B153" s="1">
        <f>B152</f>
        <v/>
      </c>
    </row>
    <row r="154">
      <c r="B154" s="1">
        <f>B153</f>
        <v/>
      </c>
    </row>
    <row r="155">
      <c r="B155" s="1">
        <f>B154</f>
        <v/>
      </c>
    </row>
    <row r="156">
      <c r="B156" s="1">
        <f>B155</f>
        <v/>
      </c>
    </row>
    <row r="157">
      <c r="B157" s="1">
        <f>B156</f>
        <v/>
      </c>
    </row>
    <row r="158">
      <c r="B158" s="1">
        <f>B157</f>
        <v/>
      </c>
    </row>
    <row r="159">
      <c r="B159" s="1">
        <f>B158</f>
        <v/>
      </c>
    </row>
    <row r="160">
      <c r="B160" s="1">
        <f>B159</f>
        <v/>
      </c>
    </row>
    <row r="161">
      <c r="B161" s="1">
        <f>B160</f>
        <v/>
      </c>
    </row>
    <row r="162">
      <c r="B162" s="1">
        <f>B161</f>
        <v/>
      </c>
    </row>
    <row r="163">
      <c r="B163" s="1">
        <f>B162</f>
        <v/>
      </c>
    </row>
    <row r="164">
      <c r="B164" s="1">
        <f>B163</f>
        <v/>
      </c>
    </row>
    <row r="165">
      <c r="B165" s="1">
        <f>B164</f>
        <v/>
      </c>
    </row>
    <row r="166">
      <c r="B166" s="1">
        <f>B165</f>
        <v/>
      </c>
    </row>
    <row r="167">
      <c r="B167" s="1">
        <f>B166</f>
        <v/>
      </c>
    </row>
    <row r="168">
      <c r="B168" s="1">
        <f>B167</f>
        <v/>
      </c>
    </row>
    <row r="169">
      <c r="B169" s="1">
        <f>B168</f>
        <v/>
      </c>
    </row>
    <row r="170">
      <c r="B170" s="1">
        <f>B169</f>
        <v/>
      </c>
    </row>
    <row r="171"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25.xml><?xml version="1.0" encoding="utf-8"?>
<worksheet xmlns="http://schemas.openxmlformats.org/spreadsheetml/2006/main">
  <sheetPr codeName="Planilha25">
    <outlinePr summaryBelow="1" summaryRight="1"/>
    <pageSetUpPr/>
  </sheetPr>
  <dimension ref="A1:C90"/>
  <sheetViews>
    <sheetView workbookViewId="0">
      <selection activeCell="L9" sqref="L9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ETHM26</t>
        </is>
      </c>
      <c r="C2" t="n">
        <v>2355</v>
      </c>
    </row>
    <row r="3">
      <c r="A3" s="9" t="n">
        <v>46196</v>
      </c>
      <c r="B3" s="1" t="inlineStr">
        <is>
          <t>ETHM26</t>
        </is>
      </c>
      <c r="C3" t="n">
        <v>2380</v>
      </c>
    </row>
    <row r="4">
      <c r="A4" s="9" t="n">
        <v>46197</v>
      </c>
      <c r="B4" s="1" t="inlineStr">
        <is>
          <t>ETHM26</t>
        </is>
      </c>
      <c r="C4" t="n">
        <v>2375</v>
      </c>
    </row>
    <row r="5">
      <c r="A5" s="9" t="n">
        <v>46198</v>
      </c>
      <c r="B5">
        <f>B4</f>
        <v/>
      </c>
      <c r="C5" t="n">
        <v>2390</v>
      </c>
    </row>
    <row r="6">
      <c r="A6" s="9" t="n">
        <v>46199</v>
      </c>
      <c r="B6">
        <f>B5</f>
        <v/>
      </c>
      <c r="C6" t="n">
        <v>2370</v>
      </c>
    </row>
    <row r="7">
      <c r="A7" s="9" t="n">
        <v>46202</v>
      </c>
      <c r="B7">
        <f>B6</f>
        <v/>
      </c>
      <c r="C7" t="n">
        <v>2381.5</v>
      </c>
    </row>
    <row r="8">
      <c r="A8" s="9" t="n">
        <v>46203</v>
      </c>
      <c r="B8">
        <f>B7</f>
        <v/>
      </c>
      <c r="C8" t="n">
        <v>2376</v>
      </c>
    </row>
    <row r="9">
      <c r="A9" s="9" t="n"/>
    </row>
    <row r="10">
      <c r="A10" s="9" t="n"/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6.xml><?xml version="1.0" encoding="utf-8"?>
<worksheet xmlns="http://schemas.openxmlformats.org/spreadsheetml/2006/main">
  <sheetPr codeName="Planilha2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ETHN26</t>
        </is>
      </c>
      <c r="C2" t="n">
        <v>2375</v>
      </c>
    </row>
    <row r="3">
      <c r="A3" s="9" t="n">
        <v>46196</v>
      </c>
      <c r="B3" s="1" t="inlineStr">
        <is>
          <t>ETHN26</t>
        </is>
      </c>
      <c r="C3" t="n">
        <v>2375</v>
      </c>
    </row>
    <row r="4">
      <c r="A4" s="9" t="n">
        <v>46197</v>
      </c>
      <c r="B4" s="1" t="inlineStr">
        <is>
          <t>ETHN26</t>
        </is>
      </c>
      <c r="C4" t="n">
        <v>2384.5</v>
      </c>
    </row>
    <row r="5">
      <c r="A5" s="9" t="n">
        <v>46198</v>
      </c>
      <c r="B5">
        <f>B4</f>
        <v/>
      </c>
      <c r="C5" t="n">
        <v>2385</v>
      </c>
    </row>
    <row r="6">
      <c r="A6" s="9" t="n">
        <v>46199</v>
      </c>
      <c r="B6">
        <f>B5</f>
        <v/>
      </c>
      <c r="C6" t="n">
        <v>2380</v>
      </c>
    </row>
    <row r="7">
      <c r="A7" s="9" t="n">
        <v>46202</v>
      </c>
      <c r="B7">
        <f>B6</f>
        <v/>
      </c>
      <c r="C7" t="n">
        <v>2391.5</v>
      </c>
    </row>
    <row r="8">
      <c r="A8" s="9" t="n">
        <v>46203</v>
      </c>
      <c r="B8">
        <f>B7</f>
        <v/>
      </c>
      <c r="C8" t="n">
        <v>2385</v>
      </c>
    </row>
    <row r="9">
      <c r="A9" s="9" t="n">
        <v>46204</v>
      </c>
      <c r="B9">
        <f>B8</f>
        <v/>
      </c>
      <c r="C9" t="n">
        <v>2380.5</v>
      </c>
    </row>
    <row r="10">
      <c r="A10" s="9" t="n">
        <v>46205</v>
      </c>
      <c r="B10">
        <f>B9</f>
        <v/>
      </c>
      <c r="C10" t="n">
        <v>2384</v>
      </c>
    </row>
    <row r="11">
      <c r="A11" s="9" t="n">
        <v>46206</v>
      </c>
      <c r="B11">
        <f>B10</f>
        <v/>
      </c>
      <c r="C11" t="n">
        <v>2365.5</v>
      </c>
    </row>
    <row r="12">
      <c r="A12" s="9" t="n">
        <v>46209</v>
      </c>
      <c r="B12">
        <f>B11</f>
        <v/>
      </c>
      <c r="C12" t="n">
        <v>2355.5</v>
      </c>
    </row>
    <row r="13">
      <c r="A13" s="9" t="n">
        <v>46210</v>
      </c>
      <c r="B13">
        <f>B12</f>
        <v/>
      </c>
      <c r="C13" t="n">
        <v>2309</v>
      </c>
    </row>
    <row r="14">
      <c r="A14" s="9" t="n">
        <v>46211</v>
      </c>
      <c r="B14">
        <f>B13</f>
        <v/>
      </c>
      <c r="C14" t="n">
        <v>2298</v>
      </c>
    </row>
    <row r="15">
      <c r="A15" s="9" t="n">
        <v>46212</v>
      </c>
      <c r="B15">
        <f>B14</f>
        <v/>
      </c>
      <c r="C15" t="n">
        <v>2282.5</v>
      </c>
    </row>
    <row r="16">
      <c r="A16" s="9" t="n">
        <v>46213</v>
      </c>
      <c r="B16">
        <f>B15</f>
        <v/>
      </c>
      <c r="C16" t="n">
        <v>2312.5</v>
      </c>
    </row>
    <row r="17">
      <c r="A17" s="9" t="n">
        <v>46216</v>
      </c>
      <c r="B17">
        <f>B16</f>
        <v/>
      </c>
      <c r="C17" t="n">
        <v>2305</v>
      </c>
    </row>
    <row r="18">
      <c r="A18" s="9" t="n">
        <v>46217</v>
      </c>
      <c r="B18">
        <f>B17</f>
        <v/>
      </c>
      <c r="C18" t="n">
        <v>2325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7.xml><?xml version="1.0" encoding="utf-8"?>
<worksheet xmlns="http://schemas.openxmlformats.org/spreadsheetml/2006/main">
  <sheetPr codeName="Planilha2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ETHQ26</t>
        </is>
      </c>
      <c r="C2" t="n">
        <v>2378</v>
      </c>
    </row>
    <row r="3">
      <c r="A3" s="9" t="n">
        <v>46196</v>
      </c>
      <c r="B3" s="1" t="inlineStr">
        <is>
          <t>ETHQ26</t>
        </is>
      </c>
      <c r="C3" t="n">
        <v>2375</v>
      </c>
    </row>
    <row r="4">
      <c r="A4" s="9" t="n">
        <v>46197</v>
      </c>
      <c r="B4" s="1" t="inlineStr">
        <is>
          <t>ETHQ26</t>
        </is>
      </c>
      <c r="C4" t="n">
        <v>2395</v>
      </c>
    </row>
    <row r="5">
      <c r="A5" s="9" t="n">
        <v>46198</v>
      </c>
      <c r="B5">
        <f>B4</f>
        <v/>
      </c>
      <c r="C5" t="n">
        <v>2400</v>
      </c>
    </row>
    <row r="6">
      <c r="A6" s="9" t="n">
        <v>46199</v>
      </c>
      <c r="B6">
        <f>B5</f>
        <v/>
      </c>
      <c r="C6" t="n">
        <v>2395</v>
      </c>
    </row>
    <row r="7">
      <c r="A7" s="9" t="n">
        <v>46202</v>
      </c>
      <c r="B7">
        <f>B6</f>
        <v/>
      </c>
      <c r="C7" t="n">
        <v>2406.5</v>
      </c>
    </row>
    <row r="8">
      <c r="A8" s="9" t="n">
        <v>46203</v>
      </c>
      <c r="B8">
        <f>B7</f>
        <v/>
      </c>
      <c r="C8" t="n">
        <v>2400</v>
      </c>
    </row>
    <row r="9">
      <c r="A9" s="9" t="n">
        <v>46204</v>
      </c>
      <c r="B9">
        <f>B8</f>
        <v/>
      </c>
      <c r="C9" t="n">
        <v>2395.5</v>
      </c>
    </row>
    <row r="10">
      <c r="A10" s="9" t="n">
        <v>46205</v>
      </c>
      <c r="B10">
        <f>B9</f>
        <v/>
      </c>
      <c r="C10" t="n">
        <v>2399</v>
      </c>
    </row>
    <row r="11">
      <c r="A11" s="9" t="n">
        <v>46206</v>
      </c>
      <c r="B11">
        <f>B10</f>
        <v/>
      </c>
      <c r="C11" t="n">
        <v>2380</v>
      </c>
    </row>
    <row r="12">
      <c r="A12" s="9" t="n">
        <v>46209</v>
      </c>
      <c r="B12">
        <f>B11</f>
        <v/>
      </c>
      <c r="C12" t="n">
        <v>2370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2307.5</v>
      </c>
    </row>
    <row r="15">
      <c r="A15" s="9" t="n">
        <v>46212</v>
      </c>
      <c r="B15">
        <f>B14</f>
        <v/>
      </c>
      <c r="C15" t="n">
        <v>2300</v>
      </c>
    </row>
    <row r="16">
      <c r="A16" s="9" t="n">
        <v>46213</v>
      </c>
      <c r="B16">
        <f>B15</f>
        <v/>
      </c>
      <c r="C16" t="n">
        <v>2330</v>
      </c>
    </row>
    <row r="17">
      <c r="A17" s="9" t="n">
        <v>46216</v>
      </c>
      <c r="B17">
        <f>B16</f>
        <v/>
      </c>
      <c r="C17" t="n">
        <v>2322.5</v>
      </c>
    </row>
    <row r="18">
      <c r="A18" s="9" t="n">
        <v>46217</v>
      </c>
      <c r="B18">
        <f>B17</f>
        <v/>
      </c>
      <c r="C18" t="n">
        <v>2342.5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8.xml><?xml version="1.0" encoding="utf-8"?>
<worksheet xmlns="http://schemas.openxmlformats.org/spreadsheetml/2006/main">
  <sheetPr codeName="Planilha28">
    <outlinePr summaryBelow="1" summaryRight="1"/>
    <pageSetUpPr/>
  </sheetPr>
  <dimension ref="A1:C90"/>
  <sheetViews>
    <sheetView workbookViewId="0">
      <selection activeCell="B16" sqref="B16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ETHU26</t>
        </is>
      </c>
      <c r="C2" t="n">
        <v>2401</v>
      </c>
    </row>
    <row r="3">
      <c r="A3" s="9" t="n">
        <v>46196</v>
      </c>
      <c r="B3" s="1" t="inlineStr">
        <is>
          <t>ETHU26</t>
        </is>
      </c>
      <c r="C3" t="n">
        <v>2391.5</v>
      </c>
    </row>
    <row r="4">
      <c r="A4" s="9" t="n">
        <v>46197</v>
      </c>
      <c r="B4" s="1" t="inlineStr">
        <is>
          <t>ETHU26</t>
        </is>
      </c>
      <c r="C4" t="n">
        <v>2405</v>
      </c>
    </row>
    <row r="5">
      <c r="A5" s="9" t="n">
        <v>46198</v>
      </c>
      <c r="B5">
        <f>B4</f>
        <v/>
      </c>
      <c r="C5" t="n">
        <v>2405</v>
      </c>
    </row>
    <row r="6">
      <c r="A6" s="9" t="n">
        <v>46199</v>
      </c>
      <c r="B6">
        <f>B5</f>
        <v/>
      </c>
      <c r="C6" t="n">
        <v>2415</v>
      </c>
    </row>
    <row r="7">
      <c r="A7" s="9" t="n">
        <v>46202</v>
      </c>
      <c r="B7">
        <f>B6</f>
        <v/>
      </c>
      <c r="C7" t="n">
        <v>2426.5</v>
      </c>
    </row>
    <row r="8">
      <c r="A8" s="9" t="n">
        <v>46203</v>
      </c>
      <c r="B8">
        <f>B7</f>
        <v/>
      </c>
      <c r="C8" t="n">
        <v>2420</v>
      </c>
    </row>
    <row r="9">
      <c r="A9" s="9" t="n">
        <v>46204</v>
      </c>
      <c r="B9">
        <f>B8</f>
        <v/>
      </c>
      <c r="C9" t="n">
        <v>2415.5</v>
      </c>
    </row>
    <row r="10">
      <c r="A10" s="9" t="n">
        <v>46205</v>
      </c>
      <c r="B10">
        <f>B9</f>
        <v/>
      </c>
      <c r="C10" t="n">
        <v>2419</v>
      </c>
    </row>
    <row r="11">
      <c r="A11" s="9" t="n">
        <v>46206</v>
      </c>
      <c r="B11">
        <f>B10</f>
        <v/>
      </c>
      <c r="C11" t="n">
        <v>2400</v>
      </c>
    </row>
    <row r="12">
      <c r="A12" s="9" t="n">
        <v>46209</v>
      </c>
      <c r="B12">
        <f>B11</f>
        <v/>
      </c>
      <c r="C12" t="n">
        <v>2390</v>
      </c>
    </row>
    <row r="13">
      <c r="A13" s="9" t="n">
        <v>46210</v>
      </c>
      <c r="B13">
        <f>B12</f>
        <v/>
      </c>
      <c r="C13" t="n">
        <v>2305</v>
      </c>
    </row>
    <row r="14">
      <c r="A14" s="9" t="n">
        <v>46211</v>
      </c>
      <c r="B14">
        <f>B13</f>
        <v/>
      </c>
      <c r="C14" t="n">
        <v>2310</v>
      </c>
    </row>
    <row r="15">
      <c r="A15" s="9" t="n">
        <v>46212</v>
      </c>
      <c r="B15">
        <f>B14</f>
        <v/>
      </c>
      <c r="C15" t="n">
        <v>2310</v>
      </c>
    </row>
    <row r="16">
      <c r="A16" s="9" t="n">
        <v>46213</v>
      </c>
      <c r="B16">
        <f>B15</f>
        <v/>
      </c>
      <c r="C16" t="n">
        <v>2340</v>
      </c>
    </row>
    <row r="17">
      <c r="A17" s="9" t="n">
        <v>46216</v>
      </c>
      <c r="B17">
        <f>B16</f>
        <v/>
      </c>
      <c r="C17" t="n">
        <v>2332.5</v>
      </c>
    </row>
    <row r="18">
      <c r="A18" s="9" t="n">
        <v>46217</v>
      </c>
      <c r="B18">
        <f>B17</f>
        <v/>
      </c>
      <c r="C18" t="n">
        <v>2352.5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29.xml><?xml version="1.0" encoding="utf-8"?>
<worksheet xmlns="http://schemas.openxmlformats.org/spreadsheetml/2006/main">
  <sheetPr codeName="Planilha29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ETHV26</t>
        </is>
      </c>
      <c r="C2" t="n">
        <v>2426</v>
      </c>
    </row>
    <row r="3">
      <c r="A3" s="9" t="n">
        <v>46196</v>
      </c>
      <c r="B3" s="1" t="inlineStr">
        <is>
          <t>ETHV26</t>
        </is>
      </c>
      <c r="C3" t="n">
        <v>2429.5</v>
      </c>
    </row>
    <row r="4">
      <c r="A4" s="9" t="n">
        <v>46197</v>
      </c>
      <c r="B4" s="1" t="inlineStr">
        <is>
          <t>ETHV26</t>
        </is>
      </c>
      <c r="C4" t="n">
        <v>2439</v>
      </c>
    </row>
    <row r="5">
      <c r="A5" s="9" t="n">
        <v>46198</v>
      </c>
      <c r="B5">
        <f>B4</f>
        <v/>
      </c>
      <c r="C5" t="n">
        <v>2444.5</v>
      </c>
    </row>
    <row r="6">
      <c r="A6" s="9" t="n">
        <v>46199</v>
      </c>
      <c r="B6">
        <f>B5</f>
        <v/>
      </c>
      <c r="C6" t="n">
        <v>2439.5</v>
      </c>
    </row>
    <row r="7">
      <c r="A7" s="9" t="n">
        <v>46202</v>
      </c>
      <c r="B7">
        <f>B6</f>
        <v/>
      </c>
      <c r="C7" t="n">
        <v>2451.5</v>
      </c>
    </row>
    <row r="8">
      <c r="A8" s="9" t="n">
        <v>46203</v>
      </c>
      <c r="B8">
        <f>B7</f>
        <v/>
      </c>
      <c r="C8" t="n">
        <v>2445</v>
      </c>
    </row>
    <row r="9">
      <c r="A9" s="9" t="n">
        <v>46204</v>
      </c>
      <c r="B9">
        <f>B8</f>
        <v/>
      </c>
      <c r="C9" t="n">
        <v>2440.5</v>
      </c>
    </row>
    <row r="10">
      <c r="A10" s="9" t="n">
        <v>46205</v>
      </c>
      <c r="B10">
        <f>B9</f>
        <v/>
      </c>
      <c r="C10" t="n">
        <v>2444</v>
      </c>
    </row>
    <row r="11">
      <c r="A11" s="9" t="n">
        <v>46206</v>
      </c>
      <c r="B11">
        <f>B10</f>
        <v/>
      </c>
      <c r="C11" t="n">
        <v>2425</v>
      </c>
    </row>
    <row r="12">
      <c r="A12" s="9" t="n">
        <v>46209</v>
      </c>
      <c r="B12">
        <f>B11</f>
        <v/>
      </c>
      <c r="C12" t="n">
        <v>2414.5</v>
      </c>
    </row>
    <row r="13">
      <c r="A13" s="9" t="n">
        <v>46210</v>
      </c>
      <c r="B13">
        <f>B12</f>
        <v/>
      </c>
      <c r="C13" t="n">
        <v>2400</v>
      </c>
    </row>
    <row r="14">
      <c r="A14" s="9" t="n">
        <v>46211</v>
      </c>
      <c r="B14">
        <f>B13</f>
        <v/>
      </c>
      <c r="C14" t="n">
        <v>2375</v>
      </c>
    </row>
    <row r="15">
      <c r="A15" s="9" t="n">
        <v>46212</v>
      </c>
      <c r="B15">
        <f>B14</f>
        <v/>
      </c>
      <c r="C15" t="n">
        <v>2359</v>
      </c>
    </row>
    <row r="16">
      <c r="A16" s="9" t="n">
        <v>46213</v>
      </c>
      <c r="B16">
        <f>B15</f>
        <v/>
      </c>
      <c r="C16" t="n">
        <v>2390</v>
      </c>
    </row>
    <row r="17">
      <c r="A17" s="9" t="n">
        <v>46216</v>
      </c>
      <c r="B17">
        <f>B16</f>
        <v/>
      </c>
      <c r="C17" t="n">
        <v>2382.5</v>
      </c>
    </row>
    <row r="18">
      <c r="A18" s="9" t="n">
        <v>46217</v>
      </c>
      <c r="B18">
        <f>B17</f>
        <v/>
      </c>
      <c r="C18" t="n">
        <v>2403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0.xml><?xml version="1.0" encoding="utf-8"?>
<worksheet xmlns="http://schemas.openxmlformats.org/spreadsheetml/2006/main">
  <sheetPr codeName="Planilha30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ETHX26</t>
        </is>
      </c>
      <c r="C2" t="n">
        <v>2507.5</v>
      </c>
    </row>
    <row r="3">
      <c r="A3" s="9" t="n">
        <v>46196</v>
      </c>
      <c r="B3" s="1" t="inlineStr">
        <is>
          <t>ETHX26</t>
        </is>
      </c>
      <c r="C3" t="n">
        <v>2511</v>
      </c>
    </row>
    <row r="4">
      <c r="A4" s="9" t="n">
        <v>46197</v>
      </c>
      <c r="B4" s="1" t="inlineStr">
        <is>
          <t>ETHX26</t>
        </is>
      </c>
      <c r="C4" t="n">
        <v>2521</v>
      </c>
    </row>
    <row r="5">
      <c r="A5" s="9" t="n">
        <v>46198</v>
      </c>
      <c r="B5">
        <f>B4</f>
        <v/>
      </c>
      <c r="C5" t="n">
        <v>2526.5</v>
      </c>
    </row>
    <row r="6">
      <c r="A6" s="9" t="n">
        <v>46199</v>
      </c>
      <c r="B6">
        <f>B5</f>
        <v/>
      </c>
      <c r="C6" t="n">
        <v>2520</v>
      </c>
    </row>
    <row r="7">
      <c r="A7" s="9" t="n">
        <v>46202</v>
      </c>
      <c r="B7">
        <f>B6</f>
        <v/>
      </c>
      <c r="C7" t="n">
        <v>2500</v>
      </c>
    </row>
    <row r="8">
      <c r="A8" s="9" t="n">
        <v>46203</v>
      </c>
      <c r="B8">
        <f>B7</f>
        <v/>
      </c>
      <c r="C8" t="n">
        <v>2493</v>
      </c>
    </row>
    <row r="9">
      <c r="A9" s="9" t="n">
        <v>46204</v>
      </c>
      <c r="B9">
        <f>B8</f>
        <v/>
      </c>
      <c r="C9" t="n">
        <v>2488.5</v>
      </c>
    </row>
    <row r="10">
      <c r="A10" s="9" t="n">
        <v>46205</v>
      </c>
      <c r="B10">
        <f>B9</f>
        <v/>
      </c>
      <c r="C10" t="n">
        <v>2490</v>
      </c>
    </row>
    <row r="11">
      <c r="A11" s="9" t="n">
        <v>46206</v>
      </c>
      <c r="B11">
        <f>B10</f>
        <v/>
      </c>
      <c r="C11" t="n">
        <v>2470.5</v>
      </c>
    </row>
    <row r="12">
      <c r="A12" s="9" t="n">
        <v>46209</v>
      </c>
      <c r="B12">
        <f>B11</f>
        <v/>
      </c>
      <c r="C12" t="n">
        <v>2460</v>
      </c>
    </row>
    <row r="13">
      <c r="A13" s="9" t="n">
        <v>46210</v>
      </c>
      <c r="B13">
        <f>B12</f>
        <v/>
      </c>
      <c r="C13" t="n">
        <v>2411.5</v>
      </c>
    </row>
    <row r="14">
      <c r="A14" s="9" t="n">
        <v>46211</v>
      </c>
      <c r="B14">
        <f>B13</f>
        <v/>
      </c>
      <c r="C14" t="n">
        <v>2400.5</v>
      </c>
    </row>
    <row r="15">
      <c r="A15" s="9" t="n">
        <v>46212</v>
      </c>
      <c r="B15">
        <f>B14</f>
        <v/>
      </c>
      <c r="C15" t="n">
        <v>2384.5</v>
      </c>
    </row>
    <row r="16">
      <c r="A16" s="9" t="n">
        <v>46213</v>
      </c>
      <c r="B16">
        <f>B15</f>
        <v/>
      </c>
      <c r="C16" t="n">
        <v>2415.5</v>
      </c>
    </row>
    <row r="17">
      <c r="A17" s="9" t="n">
        <v>46216</v>
      </c>
      <c r="B17">
        <f>B16</f>
        <v/>
      </c>
      <c r="C17" t="n">
        <v>2407.5</v>
      </c>
    </row>
    <row r="18">
      <c r="A18" s="9" t="n">
        <v>46217</v>
      </c>
      <c r="B18">
        <f>B17</f>
        <v/>
      </c>
      <c r="C18" t="n">
        <v>2428.5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1.xml><?xml version="1.0" encoding="utf-8"?>
<worksheet xmlns="http://schemas.openxmlformats.org/spreadsheetml/2006/main">
  <sheetPr codeName="Planilha31">
    <outlinePr summaryBelow="1" summaryRight="1"/>
    <pageSetUpPr/>
  </sheetPr>
  <dimension ref="A1:C90"/>
  <sheetViews>
    <sheetView topLeftCell="A13" workbookViewId="0">
      <selection activeCell="C2" sqref="C2:C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ETHZ26</t>
        </is>
      </c>
      <c r="C2" t="n">
        <v>2528</v>
      </c>
    </row>
    <row r="3">
      <c r="A3" s="9" t="n">
        <v>46196</v>
      </c>
      <c r="B3" s="1" t="inlineStr">
        <is>
          <t>ETHZ26</t>
        </is>
      </c>
      <c r="C3" t="n">
        <v>2531.5</v>
      </c>
    </row>
    <row r="4">
      <c r="A4" s="9" t="n">
        <v>46197</v>
      </c>
      <c r="B4" s="1" t="inlineStr">
        <is>
          <t>ETHZ26</t>
        </is>
      </c>
      <c r="C4" t="n">
        <v>2541.5</v>
      </c>
    </row>
    <row r="5">
      <c r="A5" s="9" t="n">
        <v>46198</v>
      </c>
      <c r="B5">
        <f>B4</f>
        <v/>
      </c>
      <c r="C5" t="n">
        <v>2547</v>
      </c>
    </row>
    <row r="6">
      <c r="A6" s="9" t="n">
        <v>46199</v>
      </c>
      <c r="B6">
        <f>B5</f>
        <v/>
      </c>
      <c r="C6" t="n">
        <v>2540</v>
      </c>
    </row>
    <row r="7">
      <c r="A7" s="9" t="n">
        <v>46202</v>
      </c>
      <c r="B7">
        <f>B6</f>
        <v/>
      </c>
      <c r="C7" t="n">
        <v>2520</v>
      </c>
    </row>
    <row r="8">
      <c r="A8" s="9" t="n">
        <v>46203</v>
      </c>
      <c r="B8">
        <f>B7</f>
        <v/>
      </c>
      <c r="C8" t="n">
        <v>2513</v>
      </c>
    </row>
    <row r="9">
      <c r="A9" s="9" t="n">
        <v>46204</v>
      </c>
      <c r="B9">
        <f>B8</f>
        <v/>
      </c>
      <c r="C9" t="n">
        <v>2508.5</v>
      </c>
    </row>
    <row r="10">
      <c r="A10" s="9" t="n">
        <v>46205</v>
      </c>
      <c r="B10">
        <f>B9</f>
        <v/>
      </c>
      <c r="C10" t="n">
        <v>2500</v>
      </c>
    </row>
    <row r="11">
      <c r="A11" s="9" t="n">
        <v>46206</v>
      </c>
      <c r="B11">
        <f>B10</f>
        <v/>
      </c>
      <c r="C11" t="n">
        <v>2480.5</v>
      </c>
    </row>
    <row r="12">
      <c r="A12" s="9" t="n">
        <v>46209</v>
      </c>
      <c r="B12">
        <f>B11</f>
        <v/>
      </c>
      <c r="C12" t="n">
        <v>2470</v>
      </c>
    </row>
    <row r="13">
      <c r="A13" s="9" t="n">
        <v>46210</v>
      </c>
      <c r="B13">
        <f>B12</f>
        <v/>
      </c>
      <c r="C13" t="n">
        <v>2445</v>
      </c>
    </row>
    <row r="14">
      <c r="A14" s="9" t="n">
        <v>46211</v>
      </c>
      <c r="B14">
        <f>B13</f>
        <v/>
      </c>
      <c r="C14" t="n">
        <v>2433.5</v>
      </c>
    </row>
    <row r="15">
      <c r="A15" s="9" t="n">
        <v>46212</v>
      </c>
      <c r="B15">
        <f>B14</f>
        <v/>
      </c>
      <c r="C15" t="n">
        <v>2417</v>
      </c>
    </row>
    <row r="16">
      <c r="A16" s="9" t="n">
        <v>46213</v>
      </c>
      <c r="B16">
        <f>B15</f>
        <v/>
      </c>
      <c r="C16" t="n">
        <v>2448.5</v>
      </c>
    </row>
    <row r="17">
      <c r="A17" s="9" t="n">
        <v>46216</v>
      </c>
      <c r="B17">
        <f>B16</f>
        <v/>
      </c>
      <c r="C17" t="n">
        <v>2440.5</v>
      </c>
    </row>
    <row r="18">
      <c r="A18" s="9" t="n">
        <v>46217</v>
      </c>
      <c r="B18">
        <f>B17</f>
        <v/>
      </c>
      <c r="C18" t="n">
        <v>2461.5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2.xml><?xml version="1.0" encoding="utf-8"?>
<worksheet xmlns="http://schemas.openxmlformats.org/spreadsheetml/2006/main">
  <sheetPr codeName="Planilha32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ETHF27</t>
        </is>
      </c>
      <c r="C2" t="n">
        <v>2584.5</v>
      </c>
    </row>
    <row r="3">
      <c r="A3" s="9" t="n">
        <v>46196</v>
      </c>
      <c r="B3" s="1" t="inlineStr">
        <is>
          <t>ETHF27</t>
        </is>
      </c>
      <c r="C3" t="n">
        <v>2580</v>
      </c>
    </row>
    <row r="4">
      <c r="A4" s="9" t="n">
        <v>46197</v>
      </c>
      <c r="B4" s="1" t="inlineStr">
        <is>
          <t>ETHF27</t>
        </is>
      </c>
      <c r="C4" t="n">
        <v>2590.5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2560</v>
      </c>
    </row>
    <row r="7">
      <c r="A7" s="9" t="n">
        <v>46202</v>
      </c>
      <c r="B7">
        <f>B6</f>
        <v/>
      </c>
      <c r="C7" t="n">
        <v>2540</v>
      </c>
    </row>
    <row r="8">
      <c r="A8" s="9" t="n">
        <v>46203</v>
      </c>
      <c r="B8">
        <f>B7</f>
        <v/>
      </c>
      <c r="C8" t="n">
        <v>2533</v>
      </c>
    </row>
    <row r="9">
      <c r="A9" s="9" t="n">
        <v>46204</v>
      </c>
      <c r="B9">
        <f>B8</f>
        <v/>
      </c>
      <c r="C9" t="n">
        <v>2528.5</v>
      </c>
    </row>
    <row r="10">
      <c r="A10" s="9" t="n">
        <v>46205</v>
      </c>
      <c r="B10">
        <f>B9</f>
        <v/>
      </c>
      <c r="C10" t="n">
        <v>2532</v>
      </c>
    </row>
    <row r="11">
      <c r="A11" s="9" t="n">
        <v>46206</v>
      </c>
      <c r="B11">
        <f>B10</f>
        <v/>
      </c>
      <c r="C11" t="n">
        <v>2512</v>
      </c>
    </row>
    <row r="12">
      <c r="A12" s="9" t="n">
        <v>46209</v>
      </c>
      <c r="B12">
        <f>B11</f>
        <v/>
      </c>
      <c r="C12" t="n">
        <v>2501.5</v>
      </c>
    </row>
    <row r="13">
      <c r="A13" s="9" t="n">
        <v>46210</v>
      </c>
      <c r="B13">
        <f>B12</f>
        <v/>
      </c>
      <c r="C13" t="n">
        <v>2452</v>
      </c>
    </row>
    <row r="14">
      <c r="A14" s="9" t="n">
        <v>46211</v>
      </c>
      <c r="B14">
        <f>B13</f>
        <v/>
      </c>
      <c r="C14" t="n">
        <v>2440.5</v>
      </c>
    </row>
    <row r="15">
      <c r="A15" s="9" t="n">
        <v>46212</v>
      </c>
      <c r="B15">
        <f>B14</f>
        <v/>
      </c>
      <c r="C15" t="n">
        <v>2424</v>
      </c>
    </row>
    <row r="16">
      <c r="A16" s="9" t="n">
        <v>46213</v>
      </c>
      <c r="B16">
        <f>B15</f>
        <v/>
      </c>
      <c r="C16" t="n">
        <v>2455.5</v>
      </c>
    </row>
    <row r="17">
      <c r="A17" s="9" t="n">
        <v>46216</v>
      </c>
      <c r="B17">
        <f>B16</f>
        <v/>
      </c>
      <c r="C17" t="n">
        <v>2447.5</v>
      </c>
    </row>
    <row r="18">
      <c r="A18" s="9" t="n">
        <v>46217</v>
      </c>
      <c r="B18">
        <f>B17</f>
        <v/>
      </c>
      <c r="C18" t="n">
        <v>2468.5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3.xml><?xml version="1.0" encoding="utf-8"?>
<worksheet xmlns="http://schemas.openxmlformats.org/spreadsheetml/2006/main">
  <sheetPr codeName="Planilha33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ETHG27</t>
        </is>
      </c>
      <c r="C2" t="n">
        <v>2584.5</v>
      </c>
    </row>
    <row r="3">
      <c r="A3" s="9" t="n">
        <v>46196</v>
      </c>
      <c r="B3" s="1" t="inlineStr">
        <is>
          <t>ETHG27</t>
        </is>
      </c>
      <c r="C3" t="n">
        <v>2588</v>
      </c>
    </row>
    <row r="4">
      <c r="A4" s="9" t="n">
        <v>46197</v>
      </c>
      <c r="B4" s="1" t="inlineStr">
        <is>
          <t>ETHG27</t>
        </is>
      </c>
      <c r="C4" t="n">
        <v>2598.5</v>
      </c>
    </row>
    <row r="5">
      <c r="A5" s="9" t="n">
        <v>46198</v>
      </c>
      <c r="B5">
        <f>B4</f>
        <v/>
      </c>
      <c r="C5" t="n">
        <v>2590</v>
      </c>
    </row>
    <row r="6">
      <c r="A6" s="9" t="n">
        <v>46199</v>
      </c>
      <c r="B6">
        <f>B5</f>
        <v/>
      </c>
      <c r="C6" t="n">
        <v>2580</v>
      </c>
    </row>
    <row r="7">
      <c r="A7" s="9" t="n">
        <v>46202</v>
      </c>
      <c r="B7">
        <f>B6</f>
        <v/>
      </c>
      <c r="C7" t="n">
        <v>2592.5</v>
      </c>
    </row>
    <row r="8">
      <c r="A8" s="9" t="n">
        <v>46203</v>
      </c>
      <c r="B8">
        <f>B7</f>
        <v/>
      </c>
      <c r="C8" t="n">
        <v>2570</v>
      </c>
    </row>
    <row r="9">
      <c r="A9" s="9" t="n">
        <v>46204</v>
      </c>
      <c r="B9">
        <f>B8</f>
        <v/>
      </c>
      <c r="C9" t="n">
        <v>2565.5</v>
      </c>
    </row>
    <row r="10">
      <c r="A10" s="9" t="n">
        <v>46205</v>
      </c>
      <c r="B10">
        <f>B9</f>
        <v/>
      </c>
      <c r="C10" t="n">
        <v>2569.5</v>
      </c>
    </row>
    <row r="11">
      <c r="A11" s="9" t="n">
        <v>46206</v>
      </c>
      <c r="B11">
        <f>B10</f>
        <v/>
      </c>
      <c r="C11" t="n">
        <v>2549.5</v>
      </c>
    </row>
    <row r="12">
      <c r="A12" s="9" t="n">
        <v>46209</v>
      </c>
      <c r="B12">
        <f>B11</f>
        <v/>
      </c>
      <c r="C12" t="n">
        <v>2538.5</v>
      </c>
    </row>
    <row r="13">
      <c r="A13" s="9" t="n">
        <v>46210</v>
      </c>
      <c r="B13">
        <f>B12</f>
        <v/>
      </c>
      <c r="C13" t="n">
        <v>2488.5</v>
      </c>
    </row>
    <row r="14">
      <c r="A14" s="9" t="n">
        <v>46211</v>
      </c>
      <c r="B14">
        <f>B13</f>
        <v/>
      </c>
      <c r="C14" t="n">
        <v>2477</v>
      </c>
    </row>
    <row r="15">
      <c r="A15" s="9" t="n">
        <v>46212</v>
      </c>
      <c r="B15">
        <f>B14</f>
        <v/>
      </c>
      <c r="C15" t="n">
        <v>2460</v>
      </c>
    </row>
    <row r="16">
      <c r="A16" s="9" t="n">
        <v>46213</v>
      </c>
      <c r="B16">
        <f>B15</f>
        <v/>
      </c>
      <c r="C16" t="n">
        <v>2492</v>
      </c>
    </row>
    <row r="17">
      <c r="A17" s="9" t="n">
        <v>46216</v>
      </c>
      <c r="B17">
        <f>B16</f>
        <v/>
      </c>
      <c r="C17" t="n">
        <v>2484</v>
      </c>
    </row>
    <row r="18">
      <c r="A18" s="9" t="n">
        <v>46217</v>
      </c>
      <c r="B18">
        <f>B17</f>
        <v/>
      </c>
      <c r="C18" t="n">
        <v>2505.5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4.xml><?xml version="1.0" encoding="utf-8"?>
<worksheet xmlns="http://schemas.openxmlformats.org/spreadsheetml/2006/main">
  <sheetPr codeName="Planilha34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46195</v>
      </c>
      <c r="B2" s="1" t="inlineStr">
        <is>
          <t>ETHH27</t>
        </is>
      </c>
      <c r="C2" t="n">
        <v>2584</v>
      </c>
    </row>
    <row r="3">
      <c r="A3" s="9" t="n">
        <v>46196</v>
      </c>
      <c r="B3" s="1" t="inlineStr">
        <is>
          <t>ETHH27</t>
        </is>
      </c>
      <c r="C3" t="n">
        <v>2580</v>
      </c>
    </row>
    <row r="4">
      <c r="A4" s="9" t="n">
        <v>46197</v>
      </c>
      <c r="B4" s="1" t="inlineStr">
        <is>
          <t>ETHH27</t>
        </is>
      </c>
      <c r="C4" t="n">
        <v>2580</v>
      </c>
    </row>
    <row r="5">
      <c r="A5" s="9" t="n">
        <v>46198</v>
      </c>
      <c r="B5">
        <f>B4</f>
        <v/>
      </c>
      <c r="C5" t="n">
        <v>2560</v>
      </c>
    </row>
    <row r="6">
      <c r="A6" s="9" t="n">
        <v>46199</v>
      </c>
      <c r="B6">
        <f>B5</f>
        <v/>
      </c>
      <c r="C6" t="n">
        <v>2554.5</v>
      </c>
    </row>
    <row r="7">
      <c r="A7" s="9" t="n">
        <v>46202</v>
      </c>
      <c r="B7">
        <f>B6</f>
        <v/>
      </c>
      <c r="C7" t="n">
        <v>2567</v>
      </c>
    </row>
    <row r="8">
      <c r="A8" s="9" t="n">
        <v>46203</v>
      </c>
      <c r="B8">
        <f>B7</f>
        <v/>
      </c>
      <c r="C8" t="n">
        <v>2560</v>
      </c>
    </row>
    <row r="9">
      <c r="A9" s="9" t="n">
        <v>46204</v>
      </c>
      <c r="B9">
        <f>B8</f>
        <v/>
      </c>
      <c r="C9" t="n">
        <v>2555.5</v>
      </c>
    </row>
    <row r="10">
      <c r="A10" s="9" t="n">
        <v>46205</v>
      </c>
      <c r="B10">
        <f>B9</f>
        <v/>
      </c>
      <c r="C10" t="n">
        <v>2559.5</v>
      </c>
    </row>
    <row r="11">
      <c r="A11" s="9" t="n">
        <v>46206</v>
      </c>
      <c r="B11">
        <f>B10</f>
        <v/>
      </c>
      <c r="C11" t="n">
        <v>2539.5</v>
      </c>
    </row>
    <row r="12">
      <c r="A12" s="9" t="n">
        <v>46209</v>
      </c>
      <c r="B12">
        <f>B11</f>
        <v/>
      </c>
      <c r="C12" t="n">
        <v>2529</v>
      </c>
    </row>
    <row r="13">
      <c r="A13" s="9" t="n">
        <v>46210</v>
      </c>
      <c r="B13">
        <f>B12</f>
        <v/>
      </c>
      <c r="C13" t="n">
        <v>2479</v>
      </c>
    </row>
    <row r="14">
      <c r="A14" s="9" t="n">
        <v>46211</v>
      </c>
      <c r="B14">
        <f>B13</f>
        <v/>
      </c>
      <c r="C14" t="n">
        <v>2467.5</v>
      </c>
    </row>
    <row r="15">
      <c r="A15" s="9" t="n">
        <v>46212</v>
      </c>
      <c r="B15">
        <f>B14</f>
        <v/>
      </c>
      <c r="C15" t="n">
        <v>2451</v>
      </c>
    </row>
    <row r="16">
      <c r="A16" s="9" t="n">
        <v>46213</v>
      </c>
      <c r="B16">
        <f>B15</f>
        <v/>
      </c>
      <c r="C16" t="n">
        <v>2483</v>
      </c>
    </row>
    <row r="17">
      <c r="A17" s="9" t="n">
        <v>46216</v>
      </c>
      <c r="B17">
        <f>B16</f>
        <v/>
      </c>
      <c r="C17" t="n">
        <v>2475</v>
      </c>
    </row>
    <row r="18">
      <c r="A18" s="9" t="n">
        <v>46217</v>
      </c>
      <c r="B18">
        <f>B17</f>
        <v/>
      </c>
      <c r="C18" t="n">
        <v>2496.5</v>
      </c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5.xml><?xml version="1.0" encoding="utf-8"?>
<worksheet xmlns="http://schemas.openxmlformats.org/spreadsheetml/2006/main">
  <sheetPr codeName="Planilha35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ETHJ27</t>
        </is>
      </c>
      <c r="C2" t="n">
        <v>2559.5</v>
      </c>
    </row>
    <row r="3">
      <c r="A3" s="9" t="n">
        <v>46206</v>
      </c>
      <c r="B3" s="1" t="inlineStr">
        <is>
          <t>ETHJ27</t>
        </is>
      </c>
      <c r="C3" t="n">
        <v>2539.5</v>
      </c>
    </row>
    <row r="4">
      <c r="A4" s="9" t="n">
        <v>46209</v>
      </c>
      <c r="B4" s="1" t="inlineStr">
        <is>
          <t>ETHJ27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6.xml><?xml version="1.0" encoding="utf-8"?>
<worksheet xmlns="http://schemas.openxmlformats.org/spreadsheetml/2006/main">
  <sheetPr codeName="Planilha36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ETHK27</t>
        </is>
      </c>
      <c r="C2" t="n">
        <v>2559.5</v>
      </c>
    </row>
    <row r="3">
      <c r="A3" s="9" t="n">
        <v>46206</v>
      </c>
      <c r="B3" s="1" t="inlineStr">
        <is>
          <t>ETHK27</t>
        </is>
      </c>
      <c r="C3" t="n">
        <v>2539.5</v>
      </c>
    </row>
    <row r="4">
      <c r="A4" s="9" t="n">
        <v>46209</v>
      </c>
      <c r="B4" s="1" t="inlineStr">
        <is>
          <t>ETHK27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7.xml><?xml version="1.0" encoding="utf-8"?>
<worksheet xmlns="http://schemas.openxmlformats.org/spreadsheetml/2006/main">
  <sheetPr codeName="Planilha37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ETHZ27</t>
        </is>
      </c>
      <c r="C2" t="n">
        <v>2559.5</v>
      </c>
    </row>
    <row r="3">
      <c r="A3" s="9" t="n">
        <v>46206</v>
      </c>
      <c r="B3" s="1" t="inlineStr">
        <is>
          <t>ETHZ27</t>
        </is>
      </c>
      <c r="C3" t="n">
        <v>2539.5</v>
      </c>
    </row>
    <row r="4">
      <c r="A4" s="9" t="n">
        <v>46209</v>
      </c>
      <c r="B4" s="1" t="inlineStr">
        <is>
          <t>ETHZ27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8.xml><?xml version="1.0" encoding="utf-8"?>
<worksheet xmlns="http://schemas.openxmlformats.org/spreadsheetml/2006/main">
  <sheetPr codeName="Planilha38">
    <outlinePr summaryBelow="1" summaryRight="1"/>
    <pageSetUpPr/>
  </sheetPr>
  <dimension ref="A1:C90"/>
  <sheetViews>
    <sheetView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46205</v>
      </c>
      <c r="B2" s="1" t="inlineStr">
        <is>
          <t>ETHF28</t>
        </is>
      </c>
      <c r="C2" t="n">
        <v>2559.5</v>
      </c>
    </row>
    <row r="3">
      <c r="A3" s="9" t="n">
        <v>46206</v>
      </c>
      <c r="B3" s="1" t="inlineStr">
        <is>
          <t>ETHF28</t>
        </is>
      </c>
      <c r="C3" t="n">
        <v>2539.5</v>
      </c>
    </row>
    <row r="4">
      <c r="A4" s="9" t="n">
        <v>46209</v>
      </c>
      <c r="B4" s="1" t="inlineStr">
        <is>
          <t>ETHF28</t>
        </is>
      </c>
      <c r="C4" t="n">
        <v>2529</v>
      </c>
    </row>
    <row r="5">
      <c r="A5" s="9" t="n">
        <v>46210</v>
      </c>
      <c r="B5">
        <f>B4</f>
        <v/>
      </c>
      <c r="C5" t="n">
        <v>2479</v>
      </c>
    </row>
    <row r="6">
      <c r="A6" s="9" t="n">
        <v>46211</v>
      </c>
      <c r="B6">
        <f>B5</f>
        <v/>
      </c>
      <c r="C6" t="n">
        <v>2467.5</v>
      </c>
    </row>
    <row r="7">
      <c r="A7" s="9" t="n">
        <v>46212</v>
      </c>
      <c r="B7">
        <f>B6</f>
        <v/>
      </c>
      <c r="C7" t="n">
        <v>2451</v>
      </c>
    </row>
    <row r="8">
      <c r="A8" s="9" t="n">
        <v>46213</v>
      </c>
      <c r="B8">
        <f>B7</f>
        <v/>
      </c>
      <c r="C8" t="n">
        <v>2483</v>
      </c>
    </row>
    <row r="9">
      <c r="A9" s="9" t="n">
        <v>46216</v>
      </c>
      <c r="B9">
        <f>B8</f>
        <v/>
      </c>
      <c r="C9" t="n">
        <v>2475</v>
      </c>
    </row>
    <row r="10">
      <c r="A10" s="9" t="n">
        <v>46217</v>
      </c>
      <c r="B10">
        <f>B9</f>
        <v/>
      </c>
      <c r="C10" t="n">
        <v>2496.5</v>
      </c>
    </row>
    <row r="11">
      <c r="A11" s="9" t="n"/>
    </row>
    <row r="12">
      <c r="A12" s="9" t="n"/>
    </row>
    <row r="13">
      <c r="A13" s="9" t="n"/>
    </row>
    <row r="14">
      <c r="A14" s="9" t="n"/>
    </row>
    <row r="15">
      <c r="A15" s="9" t="n"/>
    </row>
    <row r="16">
      <c r="A16" s="9" t="n"/>
    </row>
    <row r="17">
      <c r="A17" s="9" t="n"/>
    </row>
    <row r="18">
      <c r="A18" s="9" t="n"/>
    </row>
    <row r="19">
      <c r="A19" s="9" t="n"/>
    </row>
    <row r="20">
      <c r="A20" s="9" t="n"/>
    </row>
    <row r="21">
      <c r="A21" s="9" t="n"/>
    </row>
    <row r="22">
      <c r="A22" s="9" t="n"/>
    </row>
    <row r="23">
      <c r="A23" s="9" t="n"/>
    </row>
    <row r="24">
      <c r="A24" s="9" t="n"/>
    </row>
    <row r="25">
      <c r="A25" s="9" t="n"/>
    </row>
    <row r="26">
      <c r="A26" s="9" t="n"/>
    </row>
    <row r="27">
      <c r="A27" s="9" t="n"/>
    </row>
    <row r="28">
      <c r="A28" s="9" t="n"/>
    </row>
    <row r="29">
      <c r="A29" s="9" t="n"/>
    </row>
    <row r="30">
      <c r="A30" s="9" t="n"/>
    </row>
    <row r="31">
      <c r="A31" s="9" t="n"/>
    </row>
    <row r="32">
      <c r="A32" s="9" t="n"/>
    </row>
    <row r="33">
      <c r="A33" s="9" t="n"/>
    </row>
    <row r="34">
      <c r="A34" s="9" t="n"/>
    </row>
    <row r="35">
      <c r="A35" s="9" t="n"/>
    </row>
    <row r="36">
      <c r="A36" s="9" t="n"/>
    </row>
    <row r="37">
      <c r="A37" s="9" t="n"/>
    </row>
    <row r="38">
      <c r="A38" s="9" t="n"/>
    </row>
    <row r="39">
      <c r="A39" s="9" t="n"/>
    </row>
    <row r="40">
      <c r="A40" s="9" t="n"/>
    </row>
    <row r="41">
      <c r="A41" s="9" t="n"/>
    </row>
    <row r="42">
      <c r="A42" s="9" t="n"/>
    </row>
    <row r="43">
      <c r="A43" s="9" t="n"/>
    </row>
    <row r="44">
      <c r="A44" s="9" t="n"/>
    </row>
    <row r="45">
      <c r="A45" s="9" t="n"/>
    </row>
    <row r="46">
      <c r="A46" s="9" t="n"/>
    </row>
    <row r="47">
      <c r="A47" s="9" t="n"/>
    </row>
    <row r="48">
      <c r="A48" s="9" t="n"/>
    </row>
    <row r="49">
      <c r="A49" s="9" t="n"/>
    </row>
    <row r="50">
      <c r="A50" s="9" t="n"/>
    </row>
    <row r="51">
      <c r="A51" s="9" t="n"/>
    </row>
    <row r="52">
      <c r="A52" s="9" t="n"/>
    </row>
    <row r="53">
      <c r="A53" s="9" t="n"/>
    </row>
    <row r="54">
      <c r="A54" s="9" t="n"/>
    </row>
    <row r="55">
      <c r="A55" s="9" t="n"/>
    </row>
    <row r="56">
      <c r="A56" s="9" t="n"/>
    </row>
    <row r="57">
      <c r="A57" s="9" t="n"/>
    </row>
    <row r="58">
      <c r="A58" s="9" t="n"/>
    </row>
    <row r="59">
      <c r="A59" s="9" t="n"/>
    </row>
    <row r="60">
      <c r="A60" s="9" t="n"/>
    </row>
    <row r="61">
      <c r="A61" s="9" t="n"/>
    </row>
    <row r="62">
      <c r="A62" s="9" t="n"/>
    </row>
    <row r="63">
      <c r="A63" s="9" t="n"/>
    </row>
    <row r="64">
      <c r="A64" s="9" t="n"/>
    </row>
    <row r="65">
      <c r="A65" s="9" t="n"/>
    </row>
    <row r="66">
      <c r="A66" s="9" t="n"/>
    </row>
    <row r="67">
      <c r="A67" s="9" t="n"/>
    </row>
    <row r="68">
      <c r="A68" s="9" t="n"/>
    </row>
    <row r="69">
      <c r="A69" s="9" t="n"/>
    </row>
    <row r="70">
      <c r="A70" s="9" t="n"/>
    </row>
    <row r="71">
      <c r="A71" s="9" t="n"/>
    </row>
    <row r="72">
      <c r="A72" s="9" t="n"/>
    </row>
    <row r="73">
      <c r="A73" s="9" t="n"/>
    </row>
    <row r="74">
      <c r="A74" s="9" t="n"/>
    </row>
    <row r="75">
      <c r="A75" s="9" t="n"/>
    </row>
    <row r="76">
      <c r="A76" s="9" t="n"/>
    </row>
    <row r="77">
      <c r="A77" s="9" t="n"/>
    </row>
    <row r="78">
      <c r="A78" s="9" t="n"/>
    </row>
    <row r="79">
      <c r="A79" s="9" t="n"/>
    </row>
    <row r="80">
      <c r="A80" s="9" t="n"/>
    </row>
    <row r="81">
      <c r="A81" s="9" t="n"/>
    </row>
    <row r="82">
      <c r="A82" s="9" t="n"/>
    </row>
    <row r="83">
      <c r="A83" s="9" t="n"/>
    </row>
    <row r="84">
      <c r="A84" s="9" t="n"/>
    </row>
    <row r="85">
      <c r="A85" s="9" t="n"/>
    </row>
    <row r="86">
      <c r="A86" s="9" t="n"/>
    </row>
    <row r="87">
      <c r="A87" s="9" t="n"/>
    </row>
    <row r="88">
      <c r="A88" s="9" t="n"/>
    </row>
    <row r="89">
      <c r="A89" s="9" t="n"/>
    </row>
    <row r="90">
      <c r="A90" s="9" t="n"/>
    </row>
  </sheetData>
  <pageMargins left="0.511811024" right="0.511811024" top="0.787401575" bottom="0.787401575" header="0.31496062" footer="0.31496062"/>
  <pageSetup orientation="portrait" paperSize="9"/>
</worksheet>
</file>

<file path=xl/worksheets/sheet39.xml><?xml version="1.0" encoding="utf-8"?>
<worksheet xmlns="http://schemas.openxmlformats.org/spreadsheetml/2006/main">
  <sheetPr codeName="Planilha39">
    <outlinePr summaryBelow="1" summaryRight="1"/>
    <pageSetUpPr/>
  </sheetPr>
  <dimension ref="A1:C168"/>
  <sheetViews>
    <sheetView topLeftCell="A46" zoomScale="80" zoomScaleNormal="80" workbookViewId="0">
      <selection activeCell="K3" sqref="K3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46112</v>
      </c>
      <c r="B2" s="1" t="inlineStr">
        <is>
          <t>BGIK27</t>
        </is>
      </c>
      <c r="C2" t="n">
        <v>356.75</v>
      </c>
    </row>
    <row r="3">
      <c r="A3" s="9" t="n">
        <v>46113</v>
      </c>
      <c r="B3" s="1" t="inlineStr">
        <is>
          <t>BGIK27</t>
        </is>
      </c>
      <c r="C3" t="n">
        <v>356.85</v>
      </c>
    </row>
    <row r="4">
      <c r="A4" s="9" t="n">
        <v>46114</v>
      </c>
      <c r="B4" s="1" t="inlineStr">
        <is>
          <t>BGIK27</t>
        </is>
      </c>
      <c r="C4" t="n">
        <v>356.4</v>
      </c>
    </row>
    <row r="5">
      <c r="A5" s="9" t="n">
        <v>46118</v>
      </c>
      <c r="B5" s="1" t="inlineStr">
        <is>
          <t>BGIK27</t>
        </is>
      </c>
      <c r="C5" t="n">
        <v>357.55</v>
      </c>
    </row>
    <row r="6">
      <c r="A6" s="9" t="n">
        <v>46119</v>
      </c>
      <c r="B6" s="1" t="inlineStr">
        <is>
          <t>BGIK27</t>
        </is>
      </c>
      <c r="C6" t="n">
        <v>356.55</v>
      </c>
    </row>
    <row r="7">
      <c r="A7" s="9" t="n">
        <v>46120</v>
      </c>
      <c r="B7" s="1" t="inlineStr">
        <is>
          <t>BGIK27</t>
        </is>
      </c>
      <c r="C7" t="n">
        <v>351.6</v>
      </c>
    </row>
    <row r="8">
      <c r="A8" s="9" t="n">
        <v>46121</v>
      </c>
      <c r="B8" s="1" t="inlineStr">
        <is>
          <t>BGIK27</t>
        </is>
      </c>
      <c r="C8" t="n">
        <v>354.05</v>
      </c>
    </row>
    <row r="9">
      <c r="A9" s="9" t="n">
        <v>46122</v>
      </c>
      <c r="B9" s="1" t="inlineStr">
        <is>
          <t>BGIK27</t>
        </is>
      </c>
      <c r="C9" t="n">
        <v>352.95</v>
      </c>
    </row>
    <row r="10">
      <c r="A10" s="9" t="n">
        <v>46125</v>
      </c>
      <c r="B10" s="1" t="inlineStr">
        <is>
          <t>BGIK27</t>
        </is>
      </c>
      <c r="C10" t="n">
        <v>350.3</v>
      </c>
    </row>
    <row r="11">
      <c r="A11" s="9" t="n">
        <v>46126</v>
      </c>
      <c r="B11" s="1" t="inlineStr">
        <is>
          <t>BGIK27</t>
        </is>
      </c>
      <c r="C11" t="n">
        <v>349.85</v>
      </c>
    </row>
    <row r="12">
      <c r="A12" s="9" t="n">
        <v>46127</v>
      </c>
      <c r="B12" s="1" t="inlineStr">
        <is>
          <t>BGIK27</t>
        </is>
      </c>
      <c r="C12" t="n">
        <v>348.7</v>
      </c>
    </row>
    <row r="13">
      <c r="A13" s="9" t="n">
        <v>46128</v>
      </c>
      <c r="B13" s="1" t="inlineStr">
        <is>
          <t>BGIK27</t>
        </is>
      </c>
      <c r="C13" t="n">
        <v>349.05</v>
      </c>
    </row>
    <row r="14">
      <c r="A14" s="9" t="n">
        <v>46129</v>
      </c>
      <c r="B14" s="1" t="inlineStr">
        <is>
          <t>BGIK27</t>
        </is>
      </c>
      <c r="C14" t="n">
        <v>347.6</v>
      </c>
    </row>
    <row r="15">
      <c r="A15" s="9" t="n">
        <v>46132</v>
      </c>
      <c r="B15" s="1" t="inlineStr">
        <is>
          <t>BGIK27</t>
        </is>
      </c>
      <c r="C15" t="n">
        <v>346.45</v>
      </c>
    </row>
    <row r="16">
      <c r="A16" s="9" t="n">
        <v>46134</v>
      </c>
      <c r="B16" s="1" t="inlineStr">
        <is>
          <t>BGIK27</t>
        </is>
      </c>
      <c r="C16" t="n">
        <v>349</v>
      </c>
    </row>
    <row r="17">
      <c r="A17" s="9" t="n">
        <v>46135</v>
      </c>
      <c r="B17" s="1" t="inlineStr">
        <is>
          <t>BGIK27</t>
        </is>
      </c>
      <c r="C17" t="n">
        <v>347.4</v>
      </c>
    </row>
    <row r="18">
      <c r="A18" s="9" t="n">
        <v>46136</v>
      </c>
      <c r="B18" s="1" t="inlineStr">
        <is>
          <t>BGIK27</t>
        </is>
      </c>
      <c r="C18" t="n">
        <v>351.4</v>
      </c>
    </row>
    <row r="19">
      <c r="A19" s="9" t="n">
        <v>46139</v>
      </c>
      <c r="B19" s="1" t="inlineStr">
        <is>
          <t>BGIK27</t>
        </is>
      </c>
      <c r="C19" t="n">
        <v>351.5</v>
      </c>
    </row>
    <row r="20">
      <c r="A20" s="9" t="n">
        <v>46140</v>
      </c>
      <c r="B20" s="1" t="inlineStr">
        <is>
          <t>BGIK27</t>
        </is>
      </c>
      <c r="C20" t="n">
        <v>350.45</v>
      </c>
    </row>
    <row r="21">
      <c r="A21" s="9" t="n">
        <v>46141</v>
      </c>
      <c r="B21" s="1" t="inlineStr">
        <is>
          <t>BGIK27</t>
        </is>
      </c>
      <c r="C21" t="n">
        <v>348.7</v>
      </c>
    </row>
    <row r="22">
      <c r="A22" s="9" t="n">
        <v>46142</v>
      </c>
      <c r="B22" s="1" t="inlineStr">
        <is>
          <t>BGIK27</t>
        </is>
      </c>
      <c r="C22" t="n">
        <v>352.05</v>
      </c>
    </row>
    <row r="23">
      <c r="A23" s="9" t="n">
        <v>46146</v>
      </c>
      <c r="B23" s="1" t="inlineStr">
        <is>
          <t>BGIK27</t>
        </is>
      </c>
      <c r="C23" t="n">
        <v>356.25</v>
      </c>
    </row>
    <row r="24">
      <c r="A24" s="9" t="n">
        <v>46147</v>
      </c>
      <c r="B24" s="1" t="inlineStr">
        <is>
          <t>BGIK27</t>
        </is>
      </c>
      <c r="C24" t="n">
        <v>352.05</v>
      </c>
    </row>
    <row r="25">
      <c r="A25" s="9" t="n">
        <v>46148</v>
      </c>
      <c r="B25" s="1" t="inlineStr">
        <is>
          <t>BGIK27</t>
        </is>
      </c>
      <c r="C25" t="n">
        <v>352.1</v>
      </c>
    </row>
    <row r="26">
      <c r="A26" s="9" t="n">
        <v>46149</v>
      </c>
      <c r="B26" s="1" t="inlineStr">
        <is>
          <t>BGIK27</t>
        </is>
      </c>
      <c r="C26" t="n">
        <v>350.25</v>
      </c>
    </row>
    <row r="27">
      <c r="A27" s="9" t="n">
        <v>46150</v>
      </c>
      <c r="B27" s="1" t="inlineStr">
        <is>
          <t>BGIK27</t>
        </is>
      </c>
      <c r="C27" t="n">
        <v>350.6</v>
      </c>
    </row>
    <row r="28">
      <c r="A28" s="9" t="n">
        <v>46153</v>
      </c>
      <c r="B28" s="1" t="inlineStr">
        <is>
          <t>BGIK27</t>
        </is>
      </c>
      <c r="C28" t="n">
        <v>353.45</v>
      </c>
    </row>
    <row r="29">
      <c r="A29" s="9" t="n">
        <v>46154</v>
      </c>
      <c r="B29" s="1" t="inlineStr">
        <is>
          <t>BGIK27</t>
        </is>
      </c>
      <c r="C29" t="n">
        <v>353.85</v>
      </c>
    </row>
    <row r="30">
      <c r="A30" s="9" t="n">
        <v>46155</v>
      </c>
      <c r="B30" s="1" t="inlineStr">
        <is>
          <t>BGIK27</t>
        </is>
      </c>
      <c r="C30" t="n">
        <v>351.55</v>
      </c>
    </row>
    <row r="31">
      <c r="A31" s="9" t="n">
        <v>46156</v>
      </c>
      <c r="B31" s="1" t="inlineStr">
        <is>
          <t>BGIK27</t>
        </is>
      </c>
      <c r="C31" t="n">
        <v>352.2</v>
      </c>
    </row>
    <row r="32">
      <c r="A32" s="9" t="n">
        <v>46157</v>
      </c>
      <c r="B32" s="1" t="inlineStr">
        <is>
          <t>BGIK27</t>
        </is>
      </c>
      <c r="C32" t="n">
        <v>351.7</v>
      </c>
    </row>
    <row r="33">
      <c r="A33" s="9" t="n">
        <v>46160</v>
      </c>
      <c r="B33" s="1" t="inlineStr">
        <is>
          <t>BGIK27</t>
        </is>
      </c>
      <c r="C33" t="n">
        <v>351.9</v>
      </c>
    </row>
    <row r="34">
      <c r="A34" s="9" t="n">
        <v>46161</v>
      </c>
      <c r="B34" s="1" t="inlineStr">
        <is>
          <t>BGIK27</t>
        </is>
      </c>
      <c r="C34" t="n">
        <v>354.35</v>
      </c>
    </row>
    <row r="35">
      <c r="A35" s="9" t="n">
        <v>46162</v>
      </c>
      <c r="B35" s="1" t="inlineStr">
        <is>
          <t>BGIK27</t>
        </is>
      </c>
      <c r="C35" t="n">
        <v>354.35</v>
      </c>
    </row>
    <row r="36">
      <c r="A36" s="9" t="n">
        <v>46163</v>
      </c>
      <c r="B36" s="1" t="inlineStr">
        <is>
          <t>BGIK27</t>
        </is>
      </c>
      <c r="C36" t="n">
        <v>354</v>
      </c>
    </row>
    <row r="37">
      <c r="A37" s="9" t="n">
        <v>46164</v>
      </c>
      <c r="B37" s="1" t="inlineStr">
        <is>
          <t>BGIK27</t>
        </is>
      </c>
      <c r="C37" t="n">
        <v>354.15</v>
      </c>
    </row>
    <row r="38">
      <c r="A38" s="9" t="n">
        <v>46167</v>
      </c>
      <c r="B38" s="1" t="inlineStr">
        <is>
          <t>BGIK27</t>
        </is>
      </c>
      <c r="C38" t="n">
        <v>355.2</v>
      </c>
    </row>
    <row r="39">
      <c r="A39" s="9" t="n">
        <v>46168</v>
      </c>
      <c r="B39" s="1" t="inlineStr">
        <is>
          <t>BGIK27</t>
        </is>
      </c>
      <c r="C39" t="n">
        <v>355.2</v>
      </c>
    </row>
    <row r="40">
      <c r="A40" s="9" t="n">
        <v>46169</v>
      </c>
      <c r="B40" s="1" t="inlineStr">
        <is>
          <t>BGIK27</t>
        </is>
      </c>
      <c r="C40" t="n">
        <v>354.35</v>
      </c>
    </row>
    <row r="41">
      <c r="A41" s="9" t="n">
        <v>46170</v>
      </c>
      <c r="B41" s="1" t="inlineStr">
        <is>
          <t>BGIK27</t>
        </is>
      </c>
      <c r="C41" t="n">
        <v>352.9</v>
      </c>
    </row>
    <row r="42">
      <c r="A42" s="9" t="n">
        <v>46171</v>
      </c>
      <c r="B42" s="1" t="inlineStr">
        <is>
          <t>BGIK27</t>
        </is>
      </c>
      <c r="C42" t="n">
        <v>352.7</v>
      </c>
    </row>
    <row r="43">
      <c r="A43" s="9" t="n">
        <v>46174</v>
      </c>
      <c r="B43" s="1" t="inlineStr">
        <is>
          <t>BGIK27</t>
        </is>
      </c>
      <c r="C43" t="n">
        <v>353.2</v>
      </c>
    </row>
    <row r="44">
      <c r="A44" s="9" t="n">
        <v>46175</v>
      </c>
      <c r="B44" s="1" t="inlineStr">
        <is>
          <t>BGIK27</t>
        </is>
      </c>
      <c r="C44" t="n">
        <v>356.4</v>
      </c>
    </row>
    <row r="45">
      <c r="A45" s="9" t="n">
        <v>46176</v>
      </c>
      <c r="B45" s="1" t="inlineStr">
        <is>
          <t>BGIK27</t>
        </is>
      </c>
      <c r="C45" t="n">
        <v>357.4</v>
      </c>
    </row>
    <row r="46">
      <c r="A46" s="9" t="n">
        <v>46178</v>
      </c>
      <c r="B46" s="1" t="inlineStr">
        <is>
          <t>BGIK27</t>
        </is>
      </c>
      <c r="C46" t="n">
        <v>356.65</v>
      </c>
    </row>
    <row r="47">
      <c r="A47" s="9" t="n">
        <v>46181</v>
      </c>
      <c r="B47" s="1" t="inlineStr">
        <is>
          <t>BGIK27</t>
        </is>
      </c>
      <c r="C47" t="n">
        <v>358.1</v>
      </c>
    </row>
    <row r="48">
      <c r="A48" s="9" t="n">
        <v>46182</v>
      </c>
      <c r="B48" s="1" t="inlineStr">
        <is>
          <t>BGIK27</t>
        </is>
      </c>
      <c r="C48" t="n">
        <v>357.7</v>
      </c>
    </row>
    <row r="49">
      <c r="A49" s="9" t="n">
        <v>46183</v>
      </c>
      <c r="B49" s="1">
        <f>B48</f>
        <v/>
      </c>
      <c r="C49" t="n">
        <v>354.15</v>
      </c>
    </row>
    <row r="50">
      <c r="A50" s="9" t="n">
        <v>46184</v>
      </c>
      <c r="B50" s="1">
        <f>B49</f>
        <v/>
      </c>
      <c r="C50" t="n">
        <v>356.25</v>
      </c>
    </row>
    <row r="51">
      <c r="A51" s="9" t="n">
        <v>46185</v>
      </c>
      <c r="B51" s="1">
        <f>B50</f>
        <v/>
      </c>
      <c r="C51" t="n">
        <v>355.95</v>
      </c>
    </row>
    <row r="52">
      <c r="A52" s="9" t="n">
        <v>46188</v>
      </c>
      <c r="B52" s="1">
        <f>B51</f>
        <v/>
      </c>
      <c r="C52" t="n">
        <v>353.65</v>
      </c>
    </row>
    <row r="53">
      <c r="A53" s="9" t="n">
        <v>46189</v>
      </c>
      <c r="B53" s="1">
        <f>B52</f>
        <v/>
      </c>
      <c r="C53" t="n">
        <v>355.05</v>
      </c>
    </row>
    <row r="54">
      <c r="A54" s="9" t="n">
        <v>46190</v>
      </c>
      <c r="B54" s="1">
        <f>B53</f>
        <v/>
      </c>
      <c r="C54" t="n">
        <v>353.2</v>
      </c>
    </row>
    <row r="55">
      <c r="A55" s="9" t="n">
        <v>46191</v>
      </c>
      <c r="B55" s="1">
        <f>B54</f>
        <v/>
      </c>
      <c r="C55" t="n">
        <v>354.15</v>
      </c>
    </row>
    <row r="56">
      <c r="A56" s="9" t="n">
        <v>46192</v>
      </c>
      <c r="B56" s="1">
        <f>B55</f>
        <v/>
      </c>
      <c r="C56" t="n">
        <v>358.65</v>
      </c>
    </row>
    <row r="57">
      <c r="A57" s="9" t="n">
        <v>46195</v>
      </c>
      <c r="B57" s="1">
        <f>B56</f>
        <v/>
      </c>
      <c r="C57" t="n">
        <v>360.35</v>
      </c>
    </row>
    <row r="58">
      <c r="A58" s="9" t="n">
        <v>46196</v>
      </c>
      <c r="B58" s="1">
        <f>B57</f>
        <v/>
      </c>
      <c r="C58" t="n">
        <v>361.1</v>
      </c>
    </row>
    <row r="59">
      <c r="A59" s="9" t="n">
        <v>46197</v>
      </c>
      <c r="B59" s="1">
        <f>B58</f>
        <v/>
      </c>
      <c r="C59" t="n">
        <v>359.25</v>
      </c>
    </row>
    <row r="60">
      <c r="A60" s="9" t="n">
        <v>46198</v>
      </c>
      <c r="B60" s="1">
        <f>B59</f>
        <v/>
      </c>
      <c r="C60" t="n">
        <v>357.6</v>
      </c>
    </row>
    <row r="61">
      <c r="A61" s="9" t="n">
        <v>46199</v>
      </c>
      <c r="B61" s="1">
        <f>B60</f>
        <v/>
      </c>
      <c r="C61" t="n">
        <v>359.55</v>
      </c>
    </row>
    <row r="62">
      <c r="A62" s="9" t="n">
        <v>46202</v>
      </c>
      <c r="B62" s="1">
        <f>B61</f>
        <v/>
      </c>
      <c r="C62" t="n">
        <v>360.7</v>
      </c>
    </row>
    <row r="63">
      <c r="A63" s="9" t="n">
        <v>46203</v>
      </c>
      <c r="B63" s="1">
        <f>B62</f>
        <v/>
      </c>
      <c r="C63" t="n">
        <v>358.85</v>
      </c>
    </row>
    <row r="64">
      <c r="A64" s="9" t="n">
        <v>46204</v>
      </c>
      <c r="B64" s="1">
        <f>B63</f>
        <v/>
      </c>
      <c r="C64" t="n">
        <v>358.55</v>
      </c>
    </row>
    <row r="65">
      <c r="A65" s="9" t="n">
        <v>46205</v>
      </c>
      <c r="B65" s="1">
        <f>B64</f>
        <v/>
      </c>
      <c r="C65" t="n">
        <v>358.7</v>
      </c>
    </row>
    <row r="66">
      <c r="A66" s="9" t="n">
        <v>46206</v>
      </c>
      <c r="B66" s="1">
        <f>B65</f>
        <v/>
      </c>
      <c r="C66" t="n">
        <v>361.35</v>
      </c>
    </row>
    <row r="67">
      <c r="A67" s="9" t="n">
        <v>46209</v>
      </c>
      <c r="B67" s="1">
        <f>B66</f>
        <v/>
      </c>
      <c r="C67" t="n">
        <v>363.2</v>
      </c>
    </row>
    <row r="68">
      <c r="A68" s="9" t="n">
        <v>46210</v>
      </c>
      <c r="B68" s="1">
        <f>B67</f>
        <v/>
      </c>
      <c r="C68" t="n">
        <v>366.15</v>
      </c>
    </row>
    <row r="69">
      <c r="A69" s="9" t="n">
        <v>46211</v>
      </c>
      <c r="B69" s="1">
        <f>B68</f>
        <v/>
      </c>
      <c r="C69" t="n">
        <v>364.65</v>
      </c>
    </row>
    <row r="70">
      <c r="A70" s="9" t="n">
        <v>46212</v>
      </c>
      <c r="B70" s="1">
        <f>B69</f>
        <v/>
      </c>
      <c r="C70" t="n">
        <v>364.7</v>
      </c>
    </row>
    <row r="71">
      <c r="A71" s="9" t="n">
        <v>46213</v>
      </c>
      <c r="B71" s="1">
        <f>B70</f>
        <v/>
      </c>
      <c r="C71" t="n">
        <v>363.1</v>
      </c>
    </row>
    <row r="72">
      <c r="A72" s="9" t="n">
        <v>46216</v>
      </c>
      <c r="B72" s="1">
        <f>B71</f>
        <v/>
      </c>
      <c r="C72" t="n">
        <v>365.15</v>
      </c>
    </row>
    <row r="73">
      <c r="A73" s="9" t="n">
        <v>46217</v>
      </c>
      <c r="B73" s="1">
        <f>B72</f>
        <v/>
      </c>
      <c r="C73" t="n">
        <v>367.15</v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0.xml><?xml version="1.0" encoding="utf-8"?>
<worksheet xmlns="http://schemas.openxmlformats.org/spreadsheetml/2006/main">
  <sheetPr codeName="Planilha40">
    <outlinePr summaryBelow="1" summaryRight="1"/>
    <pageSetUpPr/>
  </sheetPr>
  <dimension ref="A1:C300"/>
  <sheetViews>
    <sheetView topLeftCell="A186" zoomScale="90" zoomScaleNormal="90" workbookViewId="0">
      <selection activeCell="A198" sqref="A198:XFD198"/>
    </sheetView>
  </sheetViews>
  <sheetFormatPr baseColWidth="8" defaultRowHeight="15" outlineLevelCol="0"/>
  <cols>
    <col width="12.57031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45810</v>
      </c>
      <c r="B2" s="1" t="inlineStr">
        <is>
          <t>CCMH26</t>
        </is>
      </c>
      <c r="C2" s="1" t="n">
        <v>72.62</v>
      </c>
    </row>
    <row r="3">
      <c r="A3" s="4" t="n">
        <v>45811</v>
      </c>
      <c r="B3" s="1">
        <f>B2</f>
        <v/>
      </c>
      <c r="C3" s="1" t="n">
        <v>73</v>
      </c>
    </row>
    <row r="4">
      <c r="A4" s="4" t="n">
        <v>45812</v>
      </c>
      <c r="B4" s="1">
        <f>B3</f>
        <v/>
      </c>
      <c r="C4" s="1" t="n">
        <v>73.14</v>
      </c>
    </row>
    <row r="5">
      <c r="A5" s="4" t="n">
        <v>45813</v>
      </c>
      <c r="B5" s="1">
        <f>B4</f>
        <v/>
      </c>
      <c r="C5" s="1" t="n">
        <v>73.36</v>
      </c>
    </row>
    <row r="6">
      <c r="A6" s="4" t="n">
        <v>45814</v>
      </c>
      <c r="B6" s="1">
        <f>B5</f>
        <v/>
      </c>
      <c r="C6" s="1" t="n">
        <v>74.02</v>
      </c>
    </row>
    <row r="7">
      <c r="A7" s="4" t="n">
        <v>45817</v>
      </c>
      <c r="B7" s="1">
        <f>B6</f>
        <v/>
      </c>
      <c r="C7" s="1" t="n">
        <v>74.3</v>
      </c>
    </row>
    <row r="8">
      <c r="A8" s="4" t="n">
        <v>45818</v>
      </c>
      <c r="B8" s="1">
        <f>B7</f>
        <v/>
      </c>
      <c r="C8" s="1" t="n">
        <v>74.51000000000001</v>
      </c>
    </row>
    <row r="9">
      <c r="A9" s="4" t="n">
        <v>45819</v>
      </c>
      <c r="B9" s="1">
        <f>B8</f>
        <v/>
      </c>
      <c r="C9" s="1" t="n">
        <v>75</v>
      </c>
    </row>
    <row r="10">
      <c r="A10" s="4" t="n">
        <v>45820</v>
      </c>
      <c r="B10" s="1">
        <f>B9</f>
        <v/>
      </c>
      <c r="C10" s="1" t="n">
        <v>74.5</v>
      </c>
    </row>
    <row r="11">
      <c r="A11" s="4" t="n">
        <v>45821</v>
      </c>
      <c r="B11" s="1">
        <f>B10</f>
        <v/>
      </c>
      <c r="C11" s="1" t="n">
        <v>74.88</v>
      </c>
    </row>
    <row r="12">
      <c r="A12" s="4" t="n">
        <v>45824</v>
      </c>
      <c r="B12" s="1">
        <f>B11</f>
        <v/>
      </c>
      <c r="C12" s="1" t="n">
        <v>74.78</v>
      </c>
    </row>
    <row r="13">
      <c r="A13" s="4" t="n">
        <v>45825</v>
      </c>
      <c r="B13" s="1">
        <f>B12</f>
        <v/>
      </c>
      <c r="C13" s="1" t="n">
        <v>75.2</v>
      </c>
    </row>
    <row r="14">
      <c r="A14" s="4" t="n">
        <v>45826</v>
      </c>
      <c r="B14" s="1">
        <f>B13</f>
        <v/>
      </c>
      <c r="C14" s="1" t="n">
        <v>75.5</v>
      </c>
    </row>
    <row r="15">
      <c r="A15" s="4" t="n">
        <v>45828</v>
      </c>
      <c r="B15" s="1">
        <f>B14</f>
        <v/>
      </c>
      <c r="C15" s="1" t="n">
        <v>75.45999999999999</v>
      </c>
    </row>
    <row r="16">
      <c r="A16" s="4" t="n">
        <v>45831</v>
      </c>
      <c r="B16" s="1">
        <f>B15</f>
        <v/>
      </c>
      <c r="C16" s="1" t="n">
        <v>75.5</v>
      </c>
    </row>
    <row r="17">
      <c r="A17" s="4" t="n">
        <v>45832</v>
      </c>
      <c r="B17" s="1">
        <f>B16</f>
        <v/>
      </c>
      <c r="C17" s="1" t="n">
        <v>76.2</v>
      </c>
    </row>
    <row r="18">
      <c r="A18" s="4" t="n">
        <v>45833</v>
      </c>
      <c r="B18" s="1">
        <f>B17</f>
        <v/>
      </c>
      <c r="C18" s="1" t="n">
        <v>75.5</v>
      </c>
    </row>
    <row r="19">
      <c r="A19" s="4" t="n">
        <v>45834</v>
      </c>
      <c r="B19" s="1">
        <f>B18</f>
        <v/>
      </c>
      <c r="C19" s="1" t="n">
        <v>75</v>
      </c>
    </row>
    <row r="20">
      <c r="A20" s="4" t="n">
        <v>45835</v>
      </c>
      <c r="B20" s="1">
        <f>B19</f>
        <v/>
      </c>
      <c r="C20" s="1" t="n">
        <v>74.5</v>
      </c>
    </row>
    <row r="21">
      <c r="A21" s="4" t="n">
        <v>45838</v>
      </c>
      <c r="B21" s="1">
        <f>B20</f>
        <v/>
      </c>
      <c r="C21" s="1" t="n">
        <v>74.5</v>
      </c>
    </row>
    <row r="22">
      <c r="A22" s="4" t="n">
        <v>45839</v>
      </c>
      <c r="B22" s="1">
        <f>B21</f>
        <v/>
      </c>
      <c r="C22" s="1" t="n">
        <v>74</v>
      </c>
    </row>
    <row r="23">
      <c r="A23" s="4" t="n">
        <v>45840</v>
      </c>
      <c r="B23" s="1">
        <f>B22</f>
        <v/>
      </c>
      <c r="C23" s="1" t="n">
        <v>74</v>
      </c>
    </row>
    <row r="24">
      <c r="A24" s="4" t="n">
        <v>45841</v>
      </c>
      <c r="B24" s="1">
        <f>B23</f>
        <v/>
      </c>
      <c r="C24" s="1" t="n">
        <v>74.66</v>
      </c>
    </row>
    <row r="25">
      <c r="A25" s="4" t="n">
        <v>45842</v>
      </c>
      <c r="B25" s="1">
        <f>B24</f>
        <v/>
      </c>
      <c r="C25" s="1" t="n">
        <v>74.5</v>
      </c>
    </row>
    <row r="26">
      <c r="A26" s="4" t="n">
        <v>45845</v>
      </c>
      <c r="B26" s="1">
        <f>B25</f>
        <v/>
      </c>
      <c r="C26" s="1" t="n">
        <v>74.37</v>
      </c>
    </row>
    <row r="27">
      <c r="A27" s="4" t="n">
        <v>45846</v>
      </c>
      <c r="B27" s="1">
        <f>B26</f>
        <v/>
      </c>
      <c r="C27" s="1" t="n">
        <v>74.54000000000001</v>
      </c>
    </row>
    <row r="28">
      <c r="A28" s="4" t="n">
        <v>45847</v>
      </c>
      <c r="B28" s="1">
        <f>B27</f>
        <v/>
      </c>
      <c r="C28" s="1" t="n">
        <v>74.55</v>
      </c>
    </row>
    <row r="29">
      <c r="A29" s="4" t="n">
        <v>45848</v>
      </c>
      <c r="B29" s="1">
        <f>B28</f>
        <v/>
      </c>
      <c r="C29" s="1" t="n">
        <v>74</v>
      </c>
    </row>
    <row r="30">
      <c r="A30" s="4" t="n">
        <v>45849</v>
      </c>
      <c r="B30" s="1">
        <f>B29</f>
        <v/>
      </c>
      <c r="C30" s="1" t="n">
        <v>74.2</v>
      </c>
    </row>
    <row r="31">
      <c r="A31" s="4" t="n">
        <v>45852</v>
      </c>
      <c r="B31" s="1">
        <f>B30</f>
        <v/>
      </c>
      <c r="C31" s="1" t="n">
        <v>74.09999999999999</v>
      </c>
    </row>
    <row r="32">
      <c r="A32" s="4" t="n">
        <v>45853</v>
      </c>
      <c r="B32" s="1">
        <f>B31</f>
        <v/>
      </c>
      <c r="C32" s="1" t="n">
        <v>73.8</v>
      </c>
    </row>
    <row r="33">
      <c r="A33" s="4" t="n">
        <v>45854</v>
      </c>
      <c r="B33" s="1">
        <f>B32</f>
        <v/>
      </c>
      <c r="C33" s="1" t="n">
        <v>74.09999999999999</v>
      </c>
    </row>
    <row r="34">
      <c r="A34" s="4" t="n">
        <v>45855</v>
      </c>
      <c r="B34" s="1">
        <f>B33</f>
        <v/>
      </c>
      <c r="C34" s="1" t="n">
        <v>74.18000000000001</v>
      </c>
    </row>
    <row r="35">
      <c r="A35" s="4" t="n">
        <v>45856</v>
      </c>
      <c r="B35" s="1">
        <f>B34</f>
        <v/>
      </c>
      <c r="C35" s="1" t="n">
        <v>74</v>
      </c>
    </row>
    <row r="36">
      <c r="A36" s="4" t="n">
        <v>45859</v>
      </c>
      <c r="B36" s="1">
        <f>B35</f>
        <v/>
      </c>
      <c r="C36" s="1" t="n">
        <v>75</v>
      </c>
    </row>
    <row r="37">
      <c r="A37" s="4" t="n">
        <v>45860</v>
      </c>
      <c r="B37" s="1">
        <f>B36</f>
        <v/>
      </c>
      <c r="C37" s="1" t="n">
        <v>74.90000000000001</v>
      </c>
    </row>
    <row r="38">
      <c r="A38" s="4" t="n">
        <v>45861</v>
      </c>
      <c r="B38" s="1">
        <f>B37</f>
        <v/>
      </c>
      <c r="C38" s="1" t="n">
        <v>74.90000000000001</v>
      </c>
    </row>
    <row r="39">
      <c r="A39" s="4" t="n">
        <v>45862</v>
      </c>
      <c r="B39" s="1">
        <f>B38</f>
        <v/>
      </c>
      <c r="C39" s="1" t="n">
        <v>75.19</v>
      </c>
    </row>
    <row r="40">
      <c r="A40" s="4" t="n">
        <v>45863</v>
      </c>
      <c r="B40" s="1">
        <f>B39</f>
        <v/>
      </c>
      <c r="C40" s="1" t="n">
        <v>74.90000000000001</v>
      </c>
    </row>
    <row r="41">
      <c r="A41" s="4" t="n">
        <v>45866</v>
      </c>
      <c r="B41" s="1">
        <f>B40</f>
        <v/>
      </c>
      <c r="C41" s="1" t="n">
        <v>74.84999999999999</v>
      </c>
    </row>
    <row r="42">
      <c r="A42" s="4" t="n">
        <v>45867</v>
      </c>
      <c r="B42" s="1">
        <f>B41</f>
        <v/>
      </c>
      <c r="C42" s="1" t="n">
        <v>74.65000000000001</v>
      </c>
    </row>
    <row r="43">
      <c r="A43" s="4" t="n">
        <v>45868</v>
      </c>
      <c r="B43" s="1">
        <f>B42</f>
        <v/>
      </c>
      <c r="C43" s="1" t="n">
        <v>75.2</v>
      </c>
    </row>
    <row r="44">
      <c r="A44" s="4" t="n">
        <v>45869</v>
      </c>
      <c r="B44" s="1">
        <f>B43</f>
        <v/>
      </c>
      <c r="C44" s="1" t="n">
        <v>75.2</v>
      </c>
    </row>
    <row r="45">
      <c r="A45" s="4" t="n">
        <v>45870</v>
      </c>
      <c r="B45" s="1">
        <f>B44</f>
        <v/>
      </c>
      <c r="C45" s="1" t="n">
        <v>75.18000000000001</v>
      </c>
    </row>
    <row r="46">
      <c r="A46" s="4" t="n">
        <v>45873</v>
      </c>
      <c r="B46" s="1">
        <f>B45</f>
        <v/>
      </c>
      <c r="C46" s="1" t="n">
        <v>75.5</v>
      </c>
    </row>
    <row r="47">
      <c r="A47" s="4" t="n">
        <v>45874</v>
      </c>
      <c r="B47" s="1">
        <f>B46</f>
        <v/>
      </c>
      <c r="C47" s="1" t="n">
        <v>75</v>
      </c>
    </row>
    <row r="48">
      <c r="A48" s="4" t="n">
        <v>45875</v>
      </c>
      <c r="B48" s="1">
        <f>B47</f>
        <v/>
      </c>
      <c r="C48" s="1" t="n">
        <v>73.83</v>
      </c>
    </row>
    <row r="49">
      <c r="A49" s="4" t="n">
        <v>45876</v>
      </c>
      <c r="B49" s="1">
        <f>B48</f>
        <v/>
      </c>
      <c r="C49" s="1" t="n">
        <v>73.68000000000001</v>
      </c>
    </row>
    <row r="50">
      <c r="A50" s="4" t="n">
        <v>45877</v>
      </c>
      <c r="B50" s="1">
        <f>B49</f>
        <v/>
      </c>
      <c r="C50" s="1" t="n">
        <v>73.8</v>
      </c>
    </row>
    <row r="51">
      <c r="A51" s="4" t="n">
        <v>45880</v>
      </c>
      <c r="B51" s="1">
        <f>B50</f>
        <v/>
      </c>
      <c r="C51" s="1" t="n">
        <v>74.09999999999999</v>
      </c>
    </row>
    <row r="52">
      <c r="A52" s="4" t="n">
        <v>45881</v>
      </c>
      <c r="B52" s="1">
        <f>B51</f>
        <v/>
      </c>
      <c r="C52" s="1" t="n">
        <v>73.2</v>
      </c>
    </row>
    <row r="53">
      <c r="A53" s="4" t="n">
        <v>45882</v>
      </c>
      <c r="B53" s="1">
        <f>B52</f>
        <v/>
      </c>
      <c r="C53" s="1" t="n">
        <v>72.98</v>
      </c>
    </row>
    <row r="54">
      <c r="A54" s="4" t="n">
        <v>45883</v>
      </c>
      <c r="B54" s="1">
        <f>B53</f>
        <v/>
      </c>
      <c r="C54" s="1" t="n">
        <v>72.89</v>
      </c>
    </row>
    <row r="55">
      <c r="A55" s="4" t="n">
        <v>45884</v>
      </c>
      <c r="B55" s="1">
        <f>B54</f>
        <v/>
      </c>
      <c r="C55" s="1" t="n">
        <v>73.04000000000001</v>
      </c>
    </row>
    <row r="56">
      <c r="A56" s="4" t="n">
        <v>45887</v>
      </c>
      <c r="B56" s="1">
        <f>B55</f>
        <v/>
      </c>
      <c r="C56" s="1" t="n">
        <v>73.5</v>
      </c>
    </row>
    <row r="57">
      <c r="A57" s="4" t="n">
        <v>45888</v>
      </c>
      <c r="B57" s="1">
        <f>B56</f>
        <v/>
      </c>
      <c r="C57" s="1" t="n">
        <v>73.67</v>
      </c>
    </row>
    <row r="58">
      <c r="A58" s="4" t="n">
        <v>45889</v>
      </c>
      <c r="B58" s="1">
        <f>B57</f>
        <v/>
      </c>
      <c r="C58" s="1" t="n">
        <v>73.2</v>
      </c>
    </row>
    <row r="59">
      <c r="A59" s="4" t="n">
        <v>45890</v>
      </c>
      <c r="B59" s="1">
        <f>B58</f>
        <v/>
      </c>
      <c r="C59" s="1" t="n">
        <v>73.79000000000001</v>
      </c>
    </row>
    <row r="60">
      <c r="A60" s="4" t="n">
        <v>45891</v>
      </c>
      <c r="B60" s="1">
        <f>B59</f>
        <v/>
      </c>
      <c r="C60" s="1" t="n">
        <v>73.56999999999999</v>
      </c>
    </row>
    <row r="61">
      <c r="A61" s="4" t="n">
        <v>45894</v>
      </c>
      <c r="B61" s="1">
        <f>B60</f>
        <v/>
      </c>
      <c r="C61" s="1" t="n">
        <v>73.40000000000001</v>
      </c>
    </row>
    <row r="62">
      <c r="A62" s="4" t="n">
        <v>45895</v>
      </c>
      <c r="B62" s="1">
        <f>B61</f>
        <v/>
      </c>
      <c r="C62" s="1" t="n">
        <v>73.48999999999999</v>
      </c>
    </row>
    <row r="63">
      <c r="A63" s="4" t="n">
        <v>45896</v>
      </c>
      <c r="B63" s="1">
        <f>B62</f>
        <v/>
      </c>
      <c r="C63" s="1" t="n">
        <v>73.69</v>
      </c>
    </row>
    <row r="64">
      <c r="A64" s="4" t="n">
        <v>45897</v>
      </c>
      <c r="B64" s="1">
        <f>B63</f>
        <v/>
      </c>
      <c r="C64" s="1" t="n">
        <v>73.2</v>
      </c>
    </row>
    <row r="65">
      <c r="A65" s="4" t="n">
        <v>45898</v>
      </c>
      <c r="B65" s="1">
        <f>B64</f>
        <v/>
      </c>
      <c r="C65" s="1" t="n">
        <v>73.56</v>
      </c>
    </row>
    <row r="66">
      <c r="A66" s="4" t="n">
        <v>45901</v>
      </c>
      <c r="B66" s="1">
        <f>B65</f>
        <v/>
      </c>
      <c r="C66" s="1" t="n">
        <v>73.7</v>
      </c>
    </row>
    <row r="67">
      <c r="A67" s="4" t="n">
        <v>45902</v>
      </c>
      <c r="B67" s="1">
        <f>B66</f>
        <v/>
      </c>
      <c r="C67" s="1" t="n">
        <v>73.78</v>
      </c>
    </row>
    <row r="68">
      <c r="A68" s="4" t="n">
        <v>45903</v>
      </c>
      <c r="B68" s="1">
        <f>B67</f>
        <v/>
      </c>
      <c r="C68" s="1" t="n">
        <v>73.5</v>
      </c>
    </row>
    <row r="69">
      <c r="A69" s="4" t="n">
        <v>45904</v>
      </c>
      <c r="B69" s="1">
        <f>B68</f>
        <v/>
      </c>
      <c r="C69" s="1" t="n">
        <v>73.65000000000001</v>
      </c>
    </row>
    <row r="70">
      <c r="A70" s="4" t="n">
        <v>45905</v>
      </c>
      <c r="B70" s="1">
        <f>B69</f>
        <v/>
      </c>
      <c r="C70" s="1" t="n">
        <v>73.51000000000001</v>
      </c>
    </row>
    <row r="71">
      <c r="A71" s="4" t="n">
        <v>45908</v>
      </c>
      <c r="B71" s="1">
        <f>B70</f>
        <v/>
      </c>
      <c r="C71" s="1" t="n">
        <v>73.59</v>
      </c>
    </row>
    <row r="72">
      <c r="A72" s="4" t="n">
        <v>45909</v>
      </c>
      <c r="B72" s="1">
        <f>B71</f>
        <v/>
      </c>
      <c r="C72" s="1" t="n">
        <v>73.56</v>
      </c>
    </row>
    <row r="73">
      <c r="A73" s="4" t="n">
        <v>45910</v>
      </c>
      <c r="B73" s="1">
        <f>B72</f>
        <v/>
      </c>
      <c r="C73" s="1" t="n">
        <v>73.59999999999999</v>
      </c>
    </row>
    <row r="74">
      <c r="A74" s="4" t="n">
        <v>45911</v>
      </c>
      <c r="B74" s="1">
        <f>B73</f>
        <v/>
      </c>
      <c r="C74" s="1" t="n">
        <v>73.23999999999999</v>
      </c>
    </row>
    <row r="75">
      <c r="A75" s="4" t="n">
        <v>45912</v>
      </c>
      <c r="B75" s="1">
        <f>B74</f>
        <v/>
      </c>
      <c r="C75" s="1" t="n">
        <v>73.19</v>
      </c>
    </row>
    <row r="76">
      <c r="A76" s="4" t="n">
        <v>45915</v>
      </c>
      <c r="B76" s="1">
        <f>B75</f>
        <v/>
      </c>
      <c r="C76" s="1" t="n">
        <v>72.90000000000001</v>
      </c>
    </row>
    <row r="77">
      <c r="A77" s="4" t="n">
        <v>45916</v>
      </c>
      <c r="B77" s="1">
        <f>B76</f>
        <v/>
      </c>
      <c r="C77" s="1" t="n">
        <v>73.2</v>
      </c>
    </row>
    <row r="78">
      <c r="A78" s="4" t="n">
        <v>45917</v>
      </c>
      <c r="B78" s="1">
        <f>B77</f>
        <v/>
      </c>
      <c r="C78" s="1" t="n">
        <v>73.19</v>
      </c>
    </row>
    <row r="79">
      <c r="A79" s="4" t="n">
        <v>45918</v>
      </c>
      <c r="B79" s="1">
        <f>B78</f>
        <v/>
      </c>
      <c r="C79" s="1" t="n">
        <v>73.2</v>
      </c>
    </row>
    <row r="80">
      <c r="A80" s="4" t="n">
        <v>45919</v>
      </c>
      <c r="B80" s="1">
        <f>B79</f>
        <v/>
      </c>
      <c r="C80" s="1" t="n">
        <v>73.06999999999999</v>
      </c>
    </row>
    <row r="81">
      <c r="A81" s="4" t="n">
        <v>45922</v>
      </c>
      <c r="B81" s="1">
        <f>B80</f>
        <v/>
      </c>
      <c r="C81" s="1" t="n">
        <v>72.45</v>
      </c>
    </row>
    <row r="82">
      <c r="A82" s="4" t="n">
        <v>45923</v>
      </c>
      <c r="B82" s="1">
        <f>B81</f>
        <v/>
      </c>
      <c r="C82" s="1" t="n">
        <v>72.02</v>
      </c>
    </row>
    <row r="83">
      <c r="A83" s="4" t="n">
        <v>45924</v>
      </c>
      <c r="B83" s="1">
        <f>B82</f>
        <v/>
      </c>
      <c r="C83" s="1" t="n">
        <v>71.81999999999999</v>
      </c>
    </row>
    <row r="84">
      <c r="A84" s="4" t="n">
        <v>45925</v>
      </c>
      <c r="B84" s="1">
        <f>B83</f>
        <v/>
      </c>
      <c r="C84" s="1" t="n">
        <v>71.90000000000001</v>
      </c>
    </row>
    <row r="85">
      <c r="A85" s="4" t="n">
        <v>45926</v>
      </c>
      <c r="B85" s="1">
        <f>B84</f>
        <v/>
      </c>
      <c r="C85" s="1" t="n">
        <v>71.84999999999999</v>
      </c>
    </row>
    <row r="86">
      <c r="A86" s="4" t="n">
        <v>45929</v>
      </c>
      <c r="B86" s="1">
        <f>B85</f>
        <v/>
      </c>
      <c r="C86" s="1" t="n">
        <v>71.75</v>
      </c>
    </row>
    <row r="87">
      <c r="A87" s="4" t="n">
        <v>45930</v>
      </c>
      <c r="B87" s="1">
        <f>B86</f>
        <v/>
      </c>
      <c r="C87" s="1" t="n">
        <v>71.20999999999999</v>
      </c>
    </row>
    <row r="88">
      <c r="A88" s="4" t="n">
        <v>45931</v>
      </c>
      <c r="B88" s="1">
        <f>B87</f>
        <v/>
      </c>
      <c r="C88" s="1" t="n">
        <v>71.19</v>
      </c>
    </row>
    <row r="89">
      <c r="A89" s="4" t="n">
        <v>45932</v>
      </c>
      <c r="B89" s="1">
        <f>B88</f>
        <v/>
      </c>
      <c r="C89" s="1" t="n">
        <v>71</v>
      </c>
    </row>
    <row r="90">
      <c r="A90" s="4" t="n">
        <v>45933</v>
      </c>
      <c r="B90" s="1">
        <f>B89</f>
        <v/>
      </c>
      <c r="C90" s="1" t="n">
        <v>70.95999999999999</v>
      </c>
    </row>
    <row r="91">
      <c r="A91" s="4" t="n">
        <v>45936</v>
      </c>
      <c r="B91" s="1">
        <f>B90</f>
        <v/>
      </c>
      <c r="C91" s="1" t="n">
        <v>71.3</v>
      </c>
    </row>
    <row r="92">
      <c r="A92" s="4" t="n">
        <v>45937</v>
      </c>
      <c r="B92" s="1">
        <f>B91</f>
        <v/>
      </c>
      <c r="C92" s="1" t="n">
        <v>71.15000000000001</v>
      </c>
    </row>
    <row r="93">
      <c r="A93" s="4" t="n">
        <v>45938</v>
      </c>
      <c r="B93" s="1">
        <f>B92</f>
        <v/>
      </c>
      <c r="C93" s="1" t="n">
        <v>71.45</v>
      </c>
    </row>
    <row r="94">
      <c r="A94" s="4" t="n">
        <v>45939</v>
      </c>
      <c r="B94" s="1">
        <f>B93</f>
        <v/>
      </c>
      <c r="C94" s="1" t="n">
        <v>71.87</v>
      </c>
    </row>
    <row r="95">
      <c r="A95" s="4" t="n">
        <v>45940</v>
      </c>
      <c r="B95" s="1">
        <f>B94</f>
        <v/>
      </c>
      <c r="C95" s="1" t="n">
        <v>71.84999999999999</v>
      </c>
    </row>
    <row r="96">
      <c r="A96" s="4" t="n">
        <v>45943</v>
      </c>
      <c r="B96" s="1">
        <f>B95</f>
        <v/>
      </c>
      <c r="C96" s="1" t="n">
        <v>71.17</v>
      </c>
    </row>
    <row r="97">
      <c r="A97" s="4" t="n">
        <v>45944</v>
      </c>
      <c r="B97" s="1">
        <f>B96</f>
        <v/>
      </c>
      <c r="C97" s="1" t="n">
        <v>71.95999999999999</v>
      </c>
    </row>
    <row r="98">
      <c r="A98" s="4" t="n">
        <v>45945</v>
      </c>
      <c r="B98" s="1">
        <f>B97</f>
        <v/>
      </c>
      <c r="C98" s="1" t="n">
        <v>72.2</v>
      </c>
    </row>
    <row r="99">
      <c r="A99" s="4" t="n">
        <v>45946</v>
      </c>
      <c r="B99" s="1">
        <f>B98</f>
        <v/>
      </c>
      <c r="C99" s="1" t="n">
        <v>72.34999999999999</v>
      </c>
    </row>
    <row r="100">
      <c r="A100" s="4" t="n">
        <v>45947</v>
      </c>
      <c r="B100" s="1">
        <f>B99</f>
        <v/>
      </c>
      <c r="C100" s="1" t="n">
        <v>72.89</v>
      </c>
    </row>
    <row r="101">
      <c r="A101" s="4" t="n">
        <v>45950</v>
      </c>
      <c r="B101" s="1">
        <f>B100</f>
        <v/>
      </c>
      <c r="C101" s="1" t="n">
        <v>72.90000000000001</v>
      </c>
    </row>
    <row r="102">
      <c r="A102" s="4" t="n">
        <v>45951</v>
      </c>
      <c r="B102" s="1">
        <f>B101</f>
        <v/>
      </c>
      <c r="C102" s="1" t="n">
        <v>72.81</v>
      </c>
    </row>
    <row r="103">
      <c r="A103" s="4" t="n">
        <v>45952</v>
      </c>
      <c r="B103" s="1">
        <f>B102</f>
        <v/>
      </c>
      <c r="C103" s="1" t="n">
        <v>73</v>
      </c>
    </row>
    <row r="104">
      <c r="A104" s="4" t="n">
        <v>45953</v>
      </c>
      <c r="B104" s="1">
        <f>B103</f>
        <v/>
      </c>
      <c r="C104" s="1" t="n">
        <v>72.25</v>
      </c>
    </row>
    <row r="105">
      <c r="A105" s="4" t="n">
        <v>45954</v>
      </c>
      <c r="B105" s="1">
        <f>B104</f>
        <v/>
      </c>
      <c r="C105" s="1" t="n">
        <v>72.40000000000001</v>
      </c>
    </row>
    <row r="106">
      <c r="A106" s="4" t="n">
        <v>45957</v>
      </c>
      <c r="B106" s="1">
        <f>B105</f>
        <v/>
      </c>
      <c r="C106" s="1" t="n">
        <v>72.90000000000001</v>
      </c>
    </row>
    <row r="107">
      <c r="A107" s="4" t="n">
        <v>45958</v>
      </c>
      <c r="B107" s="1">
        <f>B106</f>
        <v/>
      </c>
      <c r="C107" s="1" t="n">
        <v>72.93000000000001</v>
      </c>
    </row>
    <row r="108">
      <c r="A108" s="4" t="n">
        <v>45959</v>
      </c>
      <c r="B108" s="1">
        <f>B107</f>
        <v/>
      </c>
      <c r="C108" s="1" t="n">
        <v>73.34999999999999</v>
      </c>
    </row>
    <row r="109">
      <c r="A109" s="4" t="n">
        <v>45960</v>
      </c>
      <c r="B109" s="1">
        <f>B108</f>
        <v/>
      </c>
      <c r="C109" s="1" t="n">
        <v>72.83</v>
      </c>
    </row>
    <row r="110">
      <c r="A110" s="4" t="n">
        <v>45961</v>
      </c>
      <c r="B110" s="1">
        <f>B109</f>
        <v/>
      </c>
      <c r="C110" s="1" t="n">
        <v>73.67</v>
      </c>
    </row>
    <row r="111">
      <c r="A111" s="4" t="n">
        <v>45964</v>
      </c>
      <c r="B111" s="1">
        <f>B110</f>
        <v/>
      </c>
      <c r="C111" s="1" t="n">
        <v>74.02</v>
      </c>
    </row>
    <row r="112">
      <c r="A112" s="4" t="n">
        <v>45965</v>
      </c>
      <c r="B112" s="1">
        <f>B111</f>
        <v/>
      </c>
      <c r="C112" s="1" t="n">
        <v>73.22</v>
      </c>
    </row>
    <row r="113">
      <c r="A113" s="4" t="n">
        <v>45966</v>
      </c>
      <c r="B113" s="1">
        <f>B112</f>
        <v/>
      </c>
      <c r="C113" s="1" t="n">
        <v>73.15000000000001</v>
      </c>
    </row>
    <row r="114">
      <c r="A114" s="4" t="n">
        <v>45967</v>
      </c>
      <c r="B114" s="1">
        <f>B113</f>
        <v/>
      </c>
      <c r="C114" s="1" t="n">
        <v>72.94</v>
      </c>
    </row>
    <row r="115">
      <c r="A115" s="4" t="n">
        <v>45968</v>
      </c>
      <c r="B115" s="1">
        <f>B114</f>
        <v/>
      </c>
      <c r="C115" s="1" t="n">
        <v>72.7</v>
      </c>
    </row>
    <row r="116">
      <c r="A116" s="4" t="n">
        <v>45971</v>
      </c>
      <c r="B116" s="1">
        <f>B115</f>
        <v/>
      </c>
      <c r="C116" s="1" t="n">
        <v>72.5</v>
      </c>
    </row>
    <row r="117">
      <c r="A117" s="4" t="n">
        <v>45972</v>
      </c>
      <c r="B117" s="1">
        <f>B116</f>
        <v/>
      </c>
      <c r="C117" s="1" t="n">
        <v>72.31999999999999</v>
      </c>
    </row>
    <row r="118">
      <c r="A118" s="4" t="n">
        <v>45973</v>
      </c>
      <c r="B118" s="1">
        <f>B117</f>
        <v/>
      </c>
      <c r="C118" s="1" t="n">
        <v>72.51000000000001</v>
      </c>
    </row>
    <row r="119">
      <c r="A119" s="4" t="n">
        <v>45974</v>
      </c>
      <c r="B119" s="1">
        <f>B118</f>
        <v/>
      </c>
      <c r="C119" s="1" t="n">
        <v>72.59</v>
      </c>
    </row>
    <row r="120">
      <c r="A120" s="4" t="n">
        <v>45975</v>
      </c>
      <c r="B120" s="1">
        <f>B119</f>
        <v/>
      </c>
      <c r="C120" s="1" t="n">
        <v>72.55</v>
      </c>
    </row>
    <row r="121">
      <c r="A121" s="4" t="n">
        <v>45978</v>
      </c>
      <c r="B121" s="1">
        <f>B120</f>
        <v/>
      </c>
      <c r="C121" s="1" t="n">
        <v>72.48999999999999</v>
      </c>
    </row>
    <row r="122">
      <c r="A122" s="4" t="n">
        <v>45979</v>
      </c>
      <c r="B122" s="1">
        <f>B121</f>
        <v/>
      </c>
      <c r="C122" s="1" t="n">
        <v>72.37</v>
      </c>
    </row>
    <row r="123">
      <c r="A123" s="4" t="n">
        <v>45980</v>
      </c>
      <c r="B123" s="1">
        <f>B122</f>
        <v/>
      </c>
      <c r="C123" s="1" t="n">
        <v>72.28</v>
      </c>
    </row>
    <row r="124">
      <c r="A124" s="4" t="n">
        <v>45982</v>
      </c>
      <c r="B124" s="1">
        <f>B123</f>
        <v/>
      </c>
      <c r="C124" s="1" t="n">
        <v>72.53</v>
      </c>
    </row>
    <row r="125">
      <c r="A125" s="4" t="n">
        <v>45985</v>
      </c>
      <c r="B125" s="1">
        <f>B124</f>
        <v/>
      </c>
      <c r="C125" s="1" t="n">
        <v>72.95999999999999</v>
      </c>
    </row>
    <row r="126">
      <c r="A126" s="4" t="n">
        <v>45986</v>
      </c>
      <c r="B126" s="1">
        <f>B125</f>
        <v/>
      </c>
      <c r="C126" s="1" t="n">
        <v>73.72</v>
      </c>
    </row>
    <row r="127">
      <c r="A127" s="4" t="n">
        <v>45987</v>
      </c>
      <c r="B127" s="1">
        <f>B126</f>
        <v/>
      </c>
      <c r="C127" s="1" t="n">
        <v>74.68000000000001</v>
      </c>
    </row>
    <row r="128">
      <c r="A128" s="4" t="n">
        <v>45988</v>
      </c>
      <c r="B128" s="1">
        <f>B127</f>
        <v/>
      </c>
      <c r="C128" s="1" t="n">
        <v>75.17</v>
      </c>
    </row>
    <row r="129">
      <c r="A129" s="4" t="n">
        <v>45989</v>
      </c>
      <c r="B129" s="1">
        <f>B128</f>
        <v/>
      </c>
      <c r="C129" s="1" t="n">
        <v>74.91</v>
      </c>
    </row>
    <row r="130">
      <c r="A130" s="4" t="n">
        <v>45992</v>
      </c>
      <c r="B130" s="1">
        <f>B129</f>
        <v/>
      </c>
      <c r="C130" s="1" t="n">
        <v>75.97</v>
      </c>
    </row>
    <row r="131">
      <c r="A131" s="4" t="n">
        <v>45993</v>
      </c>
      <c r="B131" s="1">
        <f>B130</f>
        <v/>
      </c>
      <c r="C131" s="1" t="n">
        <v>77.41</v>
      </c>
    </row>
    <row r="132">
      <c r="A132" s="4" t="n">
        <v>45994</v>
      </c>
      <c r="B132" s="1">
        <f>B131</f>
        <v/>
      </c>
      <c r="C132" s="1" t="n">
        <v>76.48</v>
      </c>
    </row>
    <row r="133">
      <c r="A133" s="4" t="n">
        <v>45995</v>
      </c>
      <c r="B133" s="1">
        <f>B132</f>
        <v/>
      </c>
      <c r="C133" s="1" t="n">
        <v>76.09</v>
      </c>
    </row>
    <row r="134">
      <c r="A134" s="4" t="n">
        <v>45996</v>
      </c>
      <c r="B134" s="1">
        <f>B133</f>
        <v/>
      </c>
      <c r="C134" s="1" t="n">
        <v>76.14</v>
      </c>
    </row>
    <row r="135">
      <c r="A135" s="4" t="n">
        <v>45999</v>
      </c>
      <c r="B135" s="1">
        <f>B134</f>
        <v/>
      </c>
      <c r="C135" s="1" t="n">
        <v>76.41</v>
      </c>
    </row>
    <row r="136">
      <c r="A136" s="4" t="n">
        <v>46000</v>
      </c>
      <c r="B136" s="1">
        <f>B135</f>
        <v/>
      </c>
      <c r="C136" s="1" t="n">
        <v>76.72</v>
      </c>
    </row>
    <row r="137">
      <c r="A137" s="4" t="n">
        <v>46001</v>
      </c>
      <c r="B137" s="1">
        <f>B136</f>
        <v/>
      </c>
      <c r="C137" s="1" t="n">
        <v>75.77</v>
      </c>
    </row>
    <row r="138">
      <c r="A138" s="4" t="n">
        <v>46002</v>
      </c>
      <c r="B138" s="1">
        <f>B137</f>
        <v/>
      </c>
      <c r="C138" s="1" t="n">
        <v>75.15000000000001</v>
      </c>
    </row>
    <row r="139">
      <c r="A139" s="4" t="n">
        <v>46003</v>
      </c>
      <c r="B139" s="1">
        <f>B138</f>
        <v/>
      </c>
      <c r="C139" s="1" t="n">
        <v>74.88</v>
      </c>
    </row>
    <row r="140">
      <c r="A140" s="4" t="n">
        <v>46006</v>
      </c>
      <c r="B140" s="1">
        <f>B139</f>
        <v/>
      </c>
      <c r="C140" t="n">
        <v>74.88</v>
      </c>
    </row>
    <row r="141">
      <c r="A141" s="4" t="n">
        <v>46007</v>
      </c>
      <c r="B141" s="1">
        <f>B140</f>
        <v/>
      </c>
      <c r="C141" t="n">
        <v>75.2</v>
      </c>
    </row>
    <row r="142">
      <c r="A142" s="4" t="n">
        <v>46008</v>
      </c>
      <c r="B142" s="1">
        <f>B141</f>
        <v/>
      </c>
      <c r="C142" t="n">
        <v>75.92</v>
      </c>
    </row>
    <row r="143">
      <c r="A143" s="4" t="n">
        <v>46009</v>
      </c>
      <c r="B143" s="1">
        <f>B142</f>
        <v/>
      </c>
      <c r="C143" t="n">
        <v>75.45</v>
      </c>
    </row>
    <row r="144">
      <c r="A144" s="4" t="n">
        <v>46010</v>
      </c>
      <c r="B144" s="1">
        <f>B143</f>
        <v/>
      </c>
      <c r="C144" t="n">
        <v>75.48999999999999</v>
      </c>
    </row>
    <row r="145">
      <c r="A145" s="4" t="n">
        <v>46013</v>
      </c>
      <c r="B145" s="1">
        <f>B144</f>
        <v/>
      </c>
      <c r="C145" t="n">
        <v>75.09</v>
      </c>
    </row>
    <row r="146">
      <c r="A146" s="4" t="n">
        <v>46014</v>
      </c>
      <c r="B146" s="1">
        <f>B145</f>
        <v/>
      </c>
      <c r="C146" t="n">
        <v>74.87</v>
      </c>
    </row>
    <row r="147">
      <c r="A147" s="4" t="n">
        <v>46017</v>
      </c>
      <c r="B147" s="1">
        <f>B146</f>
        <v/>
      </c>
      <c r="C147" t="n">
        <v>74.54000000000001</v>
      </c>
    </row>
    <row r="148">
      <c r="A148" s="4" t="n">
        <v>46020</v>
      </c>
      <c r="B148" s="1">
        <f>B147</f>
        <v/>
      </c>
      <c r="C148" t="n">
        <v>74.47</v>
      </c>
    </row>
    <row r="149">
      <c r="A149" s="4" t="n">
        <v>46021</v>
      </c>
      <c r="B149" s="1">
        <f>B148</f>
        <v/>
      </c>
      <c r="C149" t="n">
        <v>74.41</v>
      </c>
    </row>
    <row r="150">
      <c r="A150" s="4" t="n">
        <v>46024</v>
      </c>
      <c r="B150" s="1">
        <f>B149</f>
        <v/>
      </c>
      <c r="C150" t="n">
        <v>74.05</v>
      </c>
    </row>
    <row r="151">
      <c r="A151" s="2" t="n">
        <v>46027</v>
      </c>
      <c r="B151" s="1">
        <f>B150</f>
        <v/>
      </c>
      <c r="C151" t="n">
        <v>74.15000000000001</v>
      </c>
    </row>
    <row r="152">
      <c r="A152" s="2" t="n">
        <v>46028</v>
      </c>
      <c r="B152" s="1">
        <f>B151</f>
        <v/>
      </c>
      <c r="C152" t="n">
        <v>73.84999999999999</v>
      </c>
    </row>
    <row r="153">
      <c r="A153" s="2" t="n">
        <v>46029</v>
      </c>
      <c r="B153" s="1">
        <f>B152</f>
        <v/>
      </c>
      <c r="C153" t="n">
        <v>73.06999999999999</v>
      </c>
    </row>
    <row r="154">
      <c r="A154" s="2" t="n">
        <v>46030</v>
      </c>
      <c r="B154" s="1">
        <f>B153</f>
        <v/>
      </c>
      <c r="C154" t="n">
        <v>72.7</v>
      </c>
    </row>
    <row r="155">
      <c r="A155" s="2" t="n">
        <v>46031</v>
      </c>
      <c r="B155" s="1">
        <f>B154</f>
        <v/>
      </c>
      <c r="C155" t="n">
        <v>72.87</v>
      </c>
    </row>
    <row r="156">
      <c r="A156" s="2" t="n">
        <v>46034</v>
      </c>
      <c r="B156" s="1">
        <f>B155</f>
        <v/>
      </c>
      <c r="C156" t="n">
        <v>72.17</v>
      </c>
    </row>
    <row r="157">
      <c r="A157" s="2" t="n">
        <v>46035</v>
      </c>
      <c r="B157" s="1">
        <f>B156</f>
        <v/>
      </c>
      <c r="C157" t="n">
        <v>71.8</v>
      </c>
    </row>
    <row r="158">
      <c r="A158" s="2" t="n">
        <v>46036</v>
      </c>
      <c r="B158" s="1">
        <f>B157</f>
        <v/>
      </c>
      <c r="C158" t="n">
        <v>71.76000000000001</v>
      </c>
    </row>
    <row r="159">
      <c r="A159" s="2" t="n">
        <v>46037</v>
      </c>
      <c r="B159" s="1">
        <f>B158</f>
        <v/>
      </c>
      <c r="C159" t="n">
        <v>71.27</v>
      </c>
    </row>
    <row r="160">
      <c r="A160" s="2" t="n">
        <v>46038</v>
      </c>
      <c r="B160" s="1">
        <f>B159</f>
        <v/>
      </c>
      <c r="C160" t="n">
        <v>71.16</v>
      </c>
    </row>
    <row r="161">
      <c r="A161" s="2" t="n">
        <v>46041</v>
      </c>
      <c r="B161" s="1">
        <f>B160</f>
        <v/>
      </c>
      <c r="C161" t="n">
        <v>71.12</v>
      </c>
    </row>
    <row r="162">
      <c r="A162" s="9" t="n">
        <v>46042</v>
      </c>
      <c r="B162" s="1">
        <f>B161</f>
        <v/>
      </c>
      <c r="C162" t="n">
        <v>70.87</v>
      </c>
    </row>
    <row r="163">
      <c r="A163" s="4" t="n">
        <v>46043</v>
      </c>
      <c r="B163" s="1">
        <f>B162</f>
        <v/>
      </c>
      <c r="C163" t="n">
        <v>69.70999999999999</v>
      </c>
    </row>
    <row r="164">
      <c r="A164" s="4" t="n">
        <v>46044</v>
      </c>
      <c r="B164" s="1">
        <f>B163</f>
        <v/>
      </c>
      <c r="C164" t="n">
        <v>69.31</v>
      </c>
    </row>
    <row r="165">
      <c r="A165" s="9" t="n">
        <v>46045</v>
      </c>
      <c r="B165" s="1">
        <f>B164</f>
        <v/>
      </c>
      <c r="C165" t="n">
        <v>68.73999999999999</v>
      </c>
    </row>
    <row r="166">
      <c r="A166" s="9" t="n">
        <v>46048</v>
      </c>
      <c r="B166" s="1">
        <f>B165</f>
        <v/>
      </c>
      <c r="C166" t="n">
        <v>69</v>
      </c>
    </row>
    <row r="167">
      <c r="A167" s="9" t="n">
        <v>46049</v>
      </c>
      <c r="B167" s="1">
        <f>B166</f>
        <v/>
      </c>
      <c r="C167" t="n">
        <v>68.95</v>
      </c>
    </row>
    <row r="168">
      <c r="A168" s="9" t="n">
        <v>46050</v>
      </c>
      <c r="B168" s="1">
        <f>B167</f>
        <v/>
      </c>
      <c r="C168" t="n">
        <v>67.95999999999999</v>
      </c>
    </row>
    <row r="169">
      <c r="A169" s="9" t="n">
        <v>46051</v>
      </c>
      <c r="B169" s="1">
        <f>B168</f>
        <v/>
      </c>
      <c r="C169" t="n">
        <v>68.43000000000001</v>
      </c>
    </row>
    <row r="170">
      <c r="A170" s="9" t="n">
        <v>46052</v>
      </c>
      <c r="B170" s="1">
        <f>B169</f>
        <v/>
      </c>
      <c r="C170" t="n">
        <v>69.23</v>
      </c>
    </row>
    <row r="171">
      <c r="A171" s="9" t="n">
        <v>46055</v>
      </c>
      <c r="B171" s="1">
        <f>B170</f>
        <v/>
      </c>
      <c r="C171" t="n">
        <v>69.23</v>
      </c>
    </row>
    <row r="172">
      <c r="A172" s="9" t="n">
        <v>46056</v>
      </c>
      <c r="B172" s="1">
        <f>B171</f>
        <v/>
      </c>
      <c r="C172" t="n">
        <v>70.2</v>
      </c>
    </row>
    <row r="173">
      <c r="A173" s="9" t="n">
        <v>46057</v>
      </c>
      <c r="B173" s="1">
        <f>B172</f>
        <v/>
      </c>
      <c r="C173" t="n">
        <v>69.78</v>
      </c>
    </row>
    <row r="174">
      <c r="A174" s="9" t="n">
        <v>46058</v>
      </c>
      <c r="B174" s="1">
        <f>B173</f>
        <v/>
      </c>
      <c r="C174" t="n">
        <v>70.06999999999999</v>
      </c>
    </row>
    <row r="175">
      <c r="A175" s="9" t="n">
        <v>46059</v>
      </c>
      <c r="B175" s="1">
        <f>B174</f>
        <v/>
      </c>
      <c r="C175" t="n">
        <v>69.06999999999999</v>
      </c>
    </row>
    <row r="176">
      <c r="A176" s="9" t="n">
        <v>46062</v>
      </c>
      <c r="B176" s="1">
        <f>B175</f>
        <v/>
      </c>
      <c r="C176" t="n">
        <v>68.90000000000001</v>
      </c>
    </row>
    <row r="177">
      <c r="A177" s="9" t="n">
        <v>46063</v>
      </c>
      <c r="B177" s="1">
        <f>B176</f>
        <v/>
      </c>
      <c r="C177" t="n">
        <v>69.84</v>
      </c>
    </row>
    <row r="178">
      <c r="A178" s="9" t="n">
        <v>46064</v>
      </c>
      <c r="B178" s="1">
        <f>B177</f>
        <v/>
      </c>
      <c r="C178" t="n">
        <v>70.05</v>
      </c>
    </row>
    <row r="179">
      <c r="A179" s="9" t="n">
        <v>46065</v>
      </c>
      <c r="B179" s="1">
        <f>B178</f>
        <v/>
      </c>
      <c r="C179" t="n">
        <v>70.73999999999999</v>
      </c>
    </row>
    <row r="180">
      <c r="A180" s="9" t="n">
        <v>46066</v>
      </c>
      <c r="B180" s="1">
        <f>B179</f>
        <v/>
      </c>
      <c r="C180" t="n">
        <v>71.12</v>
      </c>
    </row>
    <row r="181">
      <c r="A181" s="9" t="n">
        <v>46071</v>
      </c>
      <c r="B181" s="1">
        <f>B180</f>
        <v/>
      </c>
      <c r="C181" t="n">
        <v>71.05</v>
      </c>
    </row>
    <row r="182">
      <c r="A182" s="9" t="n">
        <v>46072</v>
      </c>
      <c r="B182" s="1">
        <f>B181</f>
        <v/>
      </c>
      <c r="C182" t="n">
        <v>71.29000000000001</v>
      </c>
    </row>
    <row r="183">
      <c r="A183" s="9" t="n">
        <v>46073</v>
      </c>
      <c r="B183" s="1">
        <f>B182</f>
        <v/>
      </c>
      <c r="C183" t="n">
        <v>71.98999999999999</v>
      </c>
    </row>
    <row r="184">
      <c r="A184" s="9" t="n">
        <v>46076</v>
      </c>
      <c r="B184" s="1">
        <f>B183</f>
        <v/>
      </c>
      <c r="C184" t="n">
        <v>71.29000000000001</v>
      </c>
    </row>
    <row r="185">
      <c r="A185" s="9" t="n">
        <v>46077</v>
      </c>
      <c r="B185" s="1">
        <f>B184</f>
        <v/>
      </c>
      <c r="C185" t="n">
        <v>70.88</v>
      </c>
    </row>
    <row r="186">
      <c r="A186" s="9" t="n">
        <v>46078</v>
      </c>
      <c r="B186" s="1">
        <f>B185</f>
        <v/>
      </c>
      <c r="C186" t="n">
        <v>70.56</v>
      </c>
    </row>
    <row r="187">
      <c r="A187" s="9" t="n">
        <v>46079</v>
      </c>
      <c r="B187" s="1">
        <f>B186</f>
        <v/>
      </c>
      <c r="C187" t="n">
        <v>71.34999999999999</v>
      </c>
    </row>
    <row r="188">
      <c r="A188" s="9" t="n">
        <v>46080</v>
      </c>
      <c r="B188" s="1">
        <f>B187</f>
        <v/>
      </c>
      <c r="C188" t="n">
        <v>72.14</v>
      </c>
    </row>
    <row r="189">
      <c r="A189" s="9" t="n">
        <v>46083</v>
      </c>
      <c r="B189" s="1">
        <f>B188</f>
        <v/>
      </c>
      <c r="C189" t="n">
        <v>71.75</v>
      </c>
    </row>
    <row r="190">
      <c r="A190" s="9" t="n">
        <v>46084</v>
      </c>
      <c r="B190" s="1">
        <f>B189</f>
        <v/>
      </c>
      <c r="C190" t="n">
        <v>72.40000000000001</v>
      </c>
    </row>
    <row r="191">
      <c r="A191" s="9" t="n">
        <v>46085</v>
      </c>
      <c r="B191" s="1">
        <f>B190</f>
        <v/>
      </c>
      <c r="C191" t="n">
        <v>71.64</v>
      </c>
    </row>
    <row r="192">
      <c r="A192" s="9" t="n">
        <v>46086</v>
      </c>
      <c r="B192" s="1">
        <f>B191</f>
        <v/>
      </c>
      <c r="C192" t="n">
        <v>71.92</v>
      </c>
    </row>
    <row r="193">
      <c r="A193" s="9" t="n">
        <v>46087</v>
      </c>
      <c r="B193" s="1">
        <f>B192</f>
        <v/>
      </c>
      <c r="C193" t="n">
        <v>72.31999999999999</v>
      </c>
    </row>
    <row r="194">
      <c r="A194" s="9" t="n">
        <v>46090</v>
      </c>
      <c r="B194" s="1">
        <f>B193</f>
        <v/>
      </c>
      <c r="C194" t="n">
        <v>72.41</v>
      </c>
    </row>
    <row r="195">
      <c r="A195" s="9" t="n">
        <v>46091</v>
      </c>
      <c r="B195" s="1">
        <f>B194</f>
        <v/>
      </c>
      <c r="C195" t="n">
        <v>71.78</v>
      </c>
    </row>
    <row r="196">
      <c r="A196" s="9" t="n">
        <v>46092</v>
      </c>
      <c r="B196" s="1">
        <f>B195</f>
        <v/>
      </c>
      <c r="C196" t="n">
        <v>71.91</v>
      </c>
    </row>
    <row r="197">
      <c r="A197" s="9" t="n">
        <v>46093</v>
      </c>
      <c r="B197" s="1">
        <f>B196</f>
        <v/>
      </c>
      <c r="C197" t="n">
        <v>71.87</v>
      </c>
    </row>
    <row r="198">
      <c r="A198" s="9" t="n">
        <v>46094</v>
      </c>
      <c r="B198" s="1">
        <f>B197</f>
        <v/>
      </c>
      <c r="C198" t="n">
        <v>71.81999999999999</v>
      </c>
    </row>
    <row r="199">
      <c r="A199" s="9" t="n">
        <v>46097</v>
      </c>
      <c r="B199" s="1">
        <f>B198</f>
        <v/>
      </c>
      <c r="C199" t="n">
        <v>71.88</v>
      </c>
    </row>
    <row r="200">
      <c r="A200" s="9">
        <f>IF('S.H BOI GORDO'!A7138=""," ",'S.H BOI GORDO'!A7138)</f>
        <v/>
      </c>
      <c r="B200" s="1">
        <f>B199</f>
        <v/>
      </c>
    </row>
    <row r="201">
      <c r="A201" s="9">
        <f>IF('S.H BOI GORDO'!A7139=""," ",'S.H BOI GORDO'!A7139)</f>
        <v/>
      </c>
      <c r="B201" s="1">
        <f>B200</f>
        <v/>
      </c>
    </row>
    <row r="202">
      <c r="A202" s="9">
        <f>IF('S.H BOI GORDO'!A7140=""," ",'S.H BOI GORDO'!A7140)</f>
        <v/>
      </c>
      <c r="B202" s="1">
        <f>B201</f>
        <v/>
      </c>
    </row>
    <row r="203">
      <c r="A203" s="9">
        <f>IF('S.H BOI GORDO'!A7141=""," ",'S.H BOI GORDO'!A7141)</f>
        <v/>
      </c>
      <c r="B203" s="1">
        <f>B202</f>
        <v/>
      </c>
    </row>
    <row r="204">
      <c r="A204" s="9">
        <f>IF('S.H BOI GORDO'!A7142=""," ",'S.H BOI GORDO'!A7142)</f>
        <v/>
      </c>
      <c r="B204" s="1">
        <f>B203</f>
        <v/>
      </c>
    </row>
    <row r="205">
      <c r="A205" s="9">
        <f>IF('S.H BOI GORDO'!A7143=""," ",'S.H BOI GORDO'!A7143)</f>
        <v/>
      </c>
      <c r="B205" s="1">
        <f>B204</f>
        <v/>
      </c>
    </row>
    <row r="206">
      <c r="A206" s="9">
        <f>IF('S.H BOI GORDO'!A7144=""," ",'S.H BOI GORDO'!A7144)</f>
        <v/>
      </c>
      <c r="B206" s="1">
        <f>B205</f>
        <v/>
      </c>
    </row>
    <row r="207">
      <c r="A207" s="9">
        <f>IF('S.H BOI GORDO'!A7145=""," ",'S.H BOI GORDO'!A7145)</f>
        <v/>
      </c>
      <c r="B207" s="1">
        <f>B206</f>
        <v/>
      </c>
    </row>
    <row r="208">
      <c r="A208" s="9">
        <f>IF('S.H BOI GORDO'!A7146=""," ",'S.H BOI GORDO'!A7146)</f>
        <v/>
      </c>
      <c r="B208" s="1">
        <f>B207</f>
        <v/>
      </c>
    </row>
    <row r="209">
      <c r="A209" s="9">
        <f>IF('S.H BOI GORDO'!A7147=""," ",'S.H BOI GORDO'!A7147)</f>
        <v/>
      </c>
      <c r="B209" s="1">
        <f>B208</f>
        <v/>
      </c>
    </row>
    <row r="210">
      <c r="A210" s="9">
        <f>IF('S.H BOI GORDO'!A7148=""," ",'S.H BOI GORDO'!A7148)</f>
        <v/>
      </c>
      <c r="B210" s="1">
        <f>B209</f>
        <v/>
      </c>
    </row>
    <row r="211">
      <c r="A211" s="9">
        <f>IF('S.H BOI GORDO'!A7149=""," ",'S.H BOI GORDO'!A7149)</f>
        <v/>
      </c>
      <c r="B211" s="1">
        <f>B210</f>
        <v/>
      </c>
    </row>
    <row r="212">
      <c r="A212" s="9">
        <f>IF('S.H BOI GORDO'!A7150=""," ",'S.H BOI GORDO'!A7150)</f>
        <v/>
      </c>
      <c r="B212" s="1">
        <f>B211</f>
        <v/>
      </c>
    </row>
    <row r="213">
      <c r="A213" s="9">
        <f>IF('S.H BOI GORDO'!A7151=""," ",'S.H BOI GORDO'!A7151)</f>
        <v/>
      </c>
      <c r="B213" s="1">
        <f>B212</f>
        <v/>
      </c>
    </row>
    <row r="214">
      <c r="A214" s="9">
        <f>IF('S.H BOI GORDO'!A7152=""," ",'S.H BOI GORDO'!A7152)</f>
        <v/>
      </c>
      <c r="B214" s="1">
        <f>B213</f>
        <v/>
      </c>
    </row>
    <row r="215">
      <c r="A215" s="9">
        <f>IF('S.H BOI GORDO'!A7153=""," ",'S.H BOI GORDO'!A7153)</f>
        <v/>
      </c>
      <c r="B215" s="1">
        <f>B214</f>
        <v/>
      </c>
    </row>
    <row r="216">
      <c r="A216" s="9">
        <f>IF('S.H BOI GORDO'!A7154=""," ",'S.H BOI GORDO'!A7154)</f>
        <v/>
      </c>
      <c r="B216" s="1">
        <f>B215</f>
        <v/>
      </c>
    </row>
    <row r="217">
      <c r="A217" s="9">
        <f>IF('S.H BOI GORDO'!A7155=""," ",'S.H BOI GORDO'!A7155)</f>
        <v/>
      </c>
      <c r="B217" s="1">
        <f>B216</f>
        <v/>
      </c>
    </row>
    <row r="218">
      <c r="A218" s="9">
        <f>IF('S.H BOI GORDO'!A7156=""," ",'S.H BOI GORDO'!A7156)</f>
        <v/>
      </c>
      <c r="B218" s="1">
        <f>B217</f>
        <v/>
      </c>
    </row>
    <row r="219">
      <c r="A219" s="9">
        <f>IF('S.H BOI GORDO'!A7157=""," ",'S.H BOI GORDO'!A7157)</f>
        <v/>
      </c>
      <c r="B219" s="1">
        <f>B218</f>
        <v/>
      </c>
    </row>
    <row r="220">
      <c r="A220" s="9">
        <f>IF('S.H BOI GORDO'!A7158=""," ",'S.H BOI GORDO'!A7158)</f>
        <v/>
      </c>
      <c r="B220" s="1">
        <f>B219</f>
        <v/>
      </c>
    </row>
    <row r="221">
      <c r="A221" s="9">
        <f>IF('S.H BOI GORDO'!A7159=""," ",'S.H BOI GORDO'!A7159)</f>
        <v/>
      </c>
      <c r="B221" s="1">
        <f>B220</f>
        <v/>
      </c>
    </row>
    <row r="222">
      <c r="A222" s="9">
        <f>IF('S.H BOI GORDO'!A7160=""," ",'S.H BOI GORDO'!A7160)</f>
        <v/>
      </c>
      <c r="B222" s="1">
        <f>B221</f>
        <v/>
      </c>
    </row>
    <row r="223">
      <c r="A223" s="9">
        <f>IF('S.H BOI GORDO'!A7161=""," ",'S.H BOI GORDO'!A7161)</f>
        <v/>
      </c>
      <c r="B223" s="1">
        <f>B222</f>
        <v/>
      </c>
    </row>
    <row r="224">
      <c r="A224" s="9">
        <f>IF('S.H BOI GORDO'!A7162=""," ",'S.H BOI GORDO'!A7162)</f>
        <v/>
      </c>
      <c r="B224" s="1">
        <f>B223</f>
        <v/>
      </c>
    </row>
    <row r="225">
      <c r="A225" s="9">
        <f>IF('S.H BOI GORDO'!A7163=""," ",'S.H BOI GORDO'!A7163)</f>
        <v/>
      </c>
      <c r="B225" s="1">
        <f>B224</f>
        <v/>
      </c>
    </row>
    <row r="226">
      <c r="A226" s="9">
        <f>IF('S.H BOI GORDO'!A7164=""," ",'S.H BOI GORDO'!A7164)</f>
        <v/>
      </c>
      <c r="B226" s="1">
        <f>B225</f>
        <v/>
      </c>
    </row>
    <row r="227">
      <c r="A227" s="9">
        <f>IF('S.H BOI GORDO'!A7165=""," ",'S.H BOI GORDO'!A7165)</f>
        <v/>
      </c>
      <c r="B227" s="1">
        <f>B226</f>
        <v/>
      </c>
    </row>
    <row r="228">
      <c r="A228" s="9">
        <f>IF('S.H BOI GORDO'!A7166=""," ",'S.H BOI GORDO'!A7166)</f>
        <v/>
      </c>
      <c r="B228" s="1">
        <f>B227</f>
        <v/>
      </c>
    </row>
    <row r="229">
      <c r="A229" s="9">
        <f>IF('S.H BOI GORDO'!A7167=""," ",'S.H BOI GORDO'!A7167)</f>
        <v/>
      </c>
      <c r="B229" s="1">
        <f>B228</f>
        <v/>
      </c>
    </row>
    <row r="230">
      <c r="A230" s="9">
        <f>IF('S.H BOI GORDO'!A7168=""," ",'S.H BOI GORDO'!A7168)</f>
        <v/>
      </c>
      <c r="B230" s="1">
        <f>B229</f>
        <v/>
      </c>
    </row>
    <row r="231">
      <c r="A231" s="9">
        <f>IF('S.H BOI GORDO'!A7169=""," ",'S.H BOI GORDO'!A7169)</f>
        <v/>
      </c>
      <c r="B231" s="1">
        <f>B230</f>
        <v/>
      </c>
    </row>
    <row r="232">
      <c r="A232" s="9">
        <f>IF('S.H BOI GORDO'!A7170=""," ",'S.H BOI GORDO'!A7170)</f>
        <v/>
      </c>
      <c r="B232" s="1">
        <f>B231</f>
        <v/>
      </c>
    </row>
    <row r="233">
      <c r="A233" s="9">
        <f>IF('S.H BOI GORDO'!A7171=""," ",'S.H BOI GORDO'!A7171)</f>
        <v/>
      </c>
      <c r="B233" s="1">
        <f>B232</f>
        <v/>
      </c>
    </row>
    <row r="234">
      <c r="A234" s="9">
        <f>IF('S.H BOI GORDO'!A7172=""," ",'S.H BOI GORDO'!A7172)</f>
        <v/>
      </c>
      <c r="B234" s="1">
        <f>B233</f>
        <v/>
      </c>
    </row>
    <row r="235">
      <c r="A235" s="9">
        <f>IF('S.H BOI GORDO'!A7173=""," ",'S.H BOI GORDO'!A7173)</f>
        <v/>
      </c>
      <c r="B235" s="1">
        <f>B234</f>
        <v/>
      </c>
    </row>
    <row r="236">
      <c r="A236" s="9">
        <f>IF('S.H BOI GORDO'!A7174=""," ",'S.H BOI GORDO'!A7174)</f>
        <v/>
      </c>
      <c r="B236" s="1">
        <f>B235</f>
        <v/>
      </c>
    </row>
    <row r="237">
      <c r="A237" s="9">
        <f>IF('S.H BOI GORDO'!A7175=""," ",'S.H BOI GORDO'!A7175)</f>
        <v/>
      </c>
      <c r="B237" s="1">
        <f>B236</f>
        <v/>
      </c>
    </row>
    <row r="238">
      <c r="A238" s="9">
        <f>IF('S.H BOI GORDO'!A7176=""," ",'S.H BOI GORDO'!A7176)</f>
        <v/>
      </c>
      <c r="B238" s="1">
        <f>B237</f>
        <v/>
      </c>
    </row>
    <row r="239">
      <c r="A239" s="9">
        <f>IF('S.H BOI GORDO'!A7177=""," ",'S.H BOI GORDO'!A7177)</f>
        <v/>
      </c>
      <c r="B239" s="1">
        <f>B238</f>
        <v/>
      </c>
    </row>
    <row r="240">
      <c r="A240" s="9">
        <f>IF('S.H BOI GORDO'!A7178=""," ",'S.H BOI GORDO'!A7178)</f>
        <v/>
      </c>
      <c r="B240" s="1">
        <f>B239</f>
        <v/>
      </c>
    </row>
    <row r="241">
      <c r="A241" s="9">
        <f>IF('S.H BOI GORDO'!A7179=""," ",'S.H BOI GORDO'!A7179)</f>
        <v/>
      </c>
      <c r="B241" s="1">
        <f>B240</f>
        <v/>
      </c>
    </row>
    <row r="242">
      <c r="A242" s="9">
        <f>IF('S.H BOI GORDO'!A7180=""," ",'S.H BOI GORDO'!A7180)</f>
        <v/>
      </c>
      <c r="B242" s="1">
        <f>B241</f>
        <v/>
      </c>
    </row>
    <row r="243">
      <c r="A243" s="9">
        <f>IF('S.H BOI GORDO'!A7181=""," ",'S.H BOI GORDO'!A7181)</f>
        <v/>
      </c>
      <c r="B243" s="1">
        <f>B242</f>
        <v/>
      </c>
    </row>
    <row r="244">
      <c r="A244" s="9">
        <f>IF('S.H BOI GORDO'!A7182=""," ",'S.H BOI GORDO'!A7182)</f>
        <v/>
      </c>
      <c r="B244" s="1">
        <f>B243</f>
        <v/>
      </c>
    </row>
    <row r="245">
      <c r="A245" s="9">
        <f>IF('S.H BOI GORDO'!A7183=""," ",'S.H BOI GORDO'!A7183)</f>
        <v/>
      </c>
      <c r="B245" s="1">
        <f>B244</f>
        <v/>
      </c>
    </row>
    <row r="246">
      <c r="A246" s="9">
        <f>IF('S.H BOI GORDO'!A7184=""," ",'S.H BOI GORDO'!A7184)</f>
        <v/>
      </c>
      <c r="B246" s="1">
        <f>B245</f>
        <v/>
      </c>
    </row>
    <row r="247">
      <c r="A247" s="9">
        <f>IF('S.H BOI GORDO'!A7185=""," ",'S.H BOI GORDO'!A7185)</f>
        <v/>
      </c>
      <c r="B247" s="1">
        <f>B246</f>
        <v/>
      </c>
    </row>
    <row r="248">
      <c r="A248" s="9">
        <f>IF('S.H BOI GORDO'!A7186=""," ",'S.H BOI GORDO'!A7186)</f>
        <v/>
      </c>
      <c r="B248" s="1">
        <f>B247</f>
        <v/>
      </c>
    </row>
    <row r="249">
      <c r="A249" s="9">
        <f>IF('S.H BOI GORDO'!A7187=""," ",'S.H BOI GORDO'!A7187)</f>
        <v/>
      </c>
      <c r="B249" s="1">
        <f>B248</f>
        <v/>
      </c>
    </row>
    <row r="250">
      <c r="A250" s="9">
        <f>IF('S.H BOI GORDO'!A7188=""," ",'S.H BOI GORDO'!A7188)</f>
        <v/>
      </c>
      <c r="B250" s="1">
        <f>B249</f>
        <v/>
      </c>
    </row>
    <row r="251">
      <c r="A251" s="9">
        <f>IF('S.H BOI GORDO'!A7189=""," ",'S.H BOI GORDO'!A7189)</f>
        <v/>
      </c>
      <c r="B251" s="1">
        <f>B250</f>
        <v/>
      </c>
    </row>
    <row r="252">
      <c r="A252" s="9">
        <f>IF('S.H BOI GORDO'!A7190=""," ",'S.H BOI GORDO'!A7190)</f>
        <v/>
      </c>
      <c r="B252" s="1">
        <f>B251</f>
        <v/>
      </c>
    </row>
    <row r="253">
      <c r="A253" s="9">
        <f>IF('S.H BOI GORDO'!A7191=""," ",'S.H BOI GORDO'!A7191)</f>
        <v/>
      </c>
      <c r="B253" s="1">
        <f>B252</f>
        <v/>
      </c>
    </row>
    <row r="254">
      <c r="A254" s="9">
        <f>IF('S.H BOI GORDO'!A7192=""," ",'S.H BOI GORDO'!A7192)</f>
        <v/>
      </c>
      <c r="B254" s="1">
        <f>B253</f>
        <v/>
      </c>
    </row>
    <row r="255">
      <c r="A255" s="9">
        <f>IF('S.H BOI GORDO'!A7193=""," ",'S.H BOI GORDO'!A7193)</f>
        <v/>
      </c>
      <c r="B255" s="1">
        <f>B254</f>
        <v/>
      </c>
    </row>
    <row r="256">
      <c r="A256" s="9">
        <f>IF('S.H BOI GORDO'!A7194=""," ",'S.H BOI GORDO'!A7194)</f>
        <v/>
      </c>
      <c r="B256" s="1">
        <f>B255</f>
        <v/>
      </c>
    </row>
    <row r="257">
      <c r="A257" s="9">
        <f>IF('S.H BOI GORDO'!A7195=""," ",'S.H BOI GORDO'!A7195)</f>
        <v/>
      </c>
      <c r="B257" s="1">
        <f>B256</f>
        <v/>
      </c>
    </row>
    <row r="258">
      <c r="A258" s="9">
        <f>IF('S.H BOI GORDO'!A7196=""," ",'S.H BOI GORDO'!A7196)</f>
        <v/>
      </c>
      <c r="B258" s="1">
        <f>B257</f>
        <v/>
      </c>
    </row>
    <row r="259">
      <c r="A259" s="9">
        <f>IF('S.H BOI GORDO'!A7197=""," ",'S.H BOI GORDO'!A7197)</f>
        <v/>
      </c>
      <c r="B259" s="1">
        <f>B258</f>
        <v/>
      </c>
    </row>
    <row r="260">
      <c r="A260" s="9">
        <f>IF('S.H BOI GORDO'!A7198=""," ",'S.H BOI GORDO'!A7198)</f>
        <v/>
      </c>
      <c r="B260" s="1">
        <f>B259</f>
        <v/>
      </c>
    </row>
    <row r="261">
      <c r="A261" s="9">
        <f>IF('S.H BOI GORDO'!A7199=""," ",'S.H BOI GORDO'!A7199)</f>
        <v/>
      </c>
      <c r="B261" s="1">
        <f>B260</f>
        <v/>
      </c>
    </row>
    <row r="262">
      <c r="A262" s="9">
        <f>IF('S.H BOI GORDO'!A7200=""," ",'S.H BOI GORDO'!A7200)</f>
        <v/>
      </c>
      <c r="B262" s="1">
        <f>B261</f>
        <v/>
      </c>
    </row>
    <row r="263">
      <c r="A263" s="9">
        <f>IF('S.H BOI GORDO'!A7201=""," ",'S.H BOI GORDO'!A7201)</f>
        <v/>
      </c>
      <c r="B263" s="1">
        <f>B262</f>
        <v/>
      </c>
    </row>
    <row r="264">
      <c r="A264" s="9">
        <f>IF('S.H BOI GORDO'!A7202=""," ",'S.H BOI GORDO'!A7202)</f>
        <v/>
      </c>
      <c r="B264" s="1">
        <f>B263</f>
        <v/>
      </c>
    </row>
    <row r="265">
      <c r="A265" s="9">
        <f>IF('S.H BOI GORDO'!A7203=""," ",'S.H BOI GORDO'!A7203)</f>
        <v/>
      </c>
      <c r="B265" s="1">
        <f>B264</f>
        <v/>
      </c>
    </row>
    <row r="266">
      <c r="A266" s="9">
        <f>IF('S.H BOI GORDO'!A7204=""," ",'S.H BOI GORDO'!A7204)</f>
        <v/>
      </c>
      <c r="B266" s="1">
        <f>B265</f>
        <v/>
      </c>
    </row>
    <row r="267">
      <c r="A267" s="9">
        <f>IF('S.H BOI GORDO'!A7205=""," ",'S.H BOI GORDO'!A7205)</f>
        <v/>
      </c>
      <c r="B267" s="1">
        <f>B266</f>
        <v/>
      </c>
    </row>
    <row r="268">
      <c r="A268" s="9">
        <f>IF('S.H BOI GORDO'!A7206=""," ",'S.H BOI GORDO'!A7206)</f>
        <v/>
      </c>
      <c r="B268" s="1">
        <f>B267</f>
        <v/>
      </c>
    </row>
    <row r="269">
      <c r="A269" s="9">
        <f>IF('S.H BOI GORDO'!A7207=""," ",'S.H BOI GORDO'!A7207)</f>
        <v/>
      </c>
      <c r="B269" s="1">
        <f>B268</f>
        <v/>
      </c>
    </row>
    <row r="270">
      <c r="B270" s="1">
        <f>B269</f>
        <v/>
      </c>
    </row>
    <row r="271">
      <c r="B271" s="1">
        <f>B270</f>
        <v/>
      </c>
    </row>
    <row r="272">
      <c r="B272" s="1">
        <f>B271</f>
        <v/>
      </c>
    </row>
    <row r="273">
      <c r="B273" s="1">
        <f>B272</f>
        <v/>
      </c>
    </row>
    <row r="274">
      <c r="B274" s="1">
        <f>B273</f>
        <v/>
      </c>
    </row>
    <row r="275">
      <c r="B275" s="1">
        <f>B274</f>
        <v/>
      </c>
    </row>
    <row r="276">
      <c r="B276" s="1">
        <f>B275</f>
        <v/>
      </c>
    </row>
    <row r="277">
      <c r="B277" s="1">
        <f>B276</f>
        <v/>
      </c>
    </row>
    <row r="278">
      <c r="B278" s="1">
        <f>B277</f>
        <v/>
      </c>
    </row>
    <row r="279">
      <c r="B279" s="1">
        <f>B278</f>
        <v/>
      </c>
    </row>
    <row r="280">
      <c r="B280" s="1">
        <f>B279</f>
        <v/>
      </c>
    </row>
    <row r="281">
      <c r="B281" s="1">
        <f>B280</f>
        <v/>
      </c>
    </row>
    <row r="282">
      <c r="B282" s="1">
        <f>B281</f>
        <v/>
      </c>
    </row>
    <row r="283">
      <c r="B283" s="1">
        <f>B282</f>
        <v/>
      </c>
    </row>
    <row r="284">
      <c r="B284" s="1">
        <f>B283</f>
        <v/>
      </c>
    </row>
    <row r="285">
      <c r="B285" s="1">
        <f>B284</f>
        <v/>
      </c>
    </row>
    <row r="286">
      <c r="B286" s="1">
        <f>B285</f>
        <v/>
      </c>
    </row>
    <row r="287">
      <c r="B287" s="1">
        <f>B286</f>
        <v/>
      </c>
    </row>
    <row r="288">
      <c r="B288" s="1">
        <f>B287</f>
        <v/>
      </c>
    </row>
    <row r="289">
      <c r="B289" s="1">
        <f>B288</f>
        <v/>
      </c>
    </row>
    <row r="290">
      <c r="B290" s="1">
        <f>B289</f>
        <v/>
      </c>
    </row>
    <row r="291">
      <c r="B291" s="1">
        <f>B290</f>
        <v/>
      </c>
    </row>
    <row r="292">
      <c r="B292" s="1">
        <f>B291</f>
        <v/>
      </c>
    </row>
    <row r="293">
      <c r="B293" s="1">
        <f>B292</f>
        <v/>
      </c>
    </row>
    <row r="294">
      <c r="B294" s="1">
        <f>B293</f>
        <v/>
      </c>
    </row>
    <row r="295">
      <c r="B295" s="1">
        <f>B294</f>
        <v/>
      </c>
    </row>
    <row r="296">
      <c r="B296" s="1">
        <f>B295</f>
        <v/>
      </c>
    </row>
    <row r="297">
      <c r="B297" s="1">
        <f>B296</f>
        <v/>
      </c>
    </row>
    <row r="298">
      <c r="B298" s="1">
        <f>B297</f>
        <v/>
      </c>
    </row>
    <row r="299">
      <c r="B299" s="1">
        <f>B298</f>
        <v/>
      </c>
    </row>
    <row r="300">
      <c r="B300" s="1">
        <f>B299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1.xml><?xml version="1.0" encoding="utf-8"?>
<worksheet xmlns="http://schemas.openxmlformats.org/spreadsheetml/2006/main">
  <sheetPr codeName="Planilha41">
    <outlinePr summaryBelow="1" summaryRight="1"/>
    <pageSetUpPr/>
  </sheetPr>
  <dimension ref="A1:C240"/>
  <sheetViews>
    <sheetView topLeftCell="A214" zoomScale="90" zoomScaleNormal="90" workbookViewId="0">
      <selection activeCell="A220" sqref="A220"/>
    </sheetView>
  </sheetViews>
  <sheetFormatPr baseColWidth="8" defaultRowHeight="15" outlineLevelCol="0"/>
  <cols>
    <col width="18.28515625" bestFit="1" customWidth="1" style="2" min="1" max="1"/>
    <col width="9.140625" customWidth="1" style="1" min="2" max="34"/>
    <col width="9.140625" customWidth="1" style="1" min="35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45839</v>
      </c>
      <c r="B2" s="1" t="inlineStr">
        <is>
          <t>CCMK26</t>
        </is>
      </c>
      <c r="C2" s="1" t="n">
        <v>71.14</v>
      </c>
    </row>
    <row r="3">
      <c r="A3" s="4" t="n">
        <v>45840</v>
      </c>
      <c r="B3" s="1">
        <f>B2</f>
        <v/>
      </c>
      <c r="C3" s="1" t="n">
        <v>72</v>
      </c>
    </row>
    <row r="4">
      <c r="A4" s="4" t="n">
        <v>45841</v>
      </c>
      <c r="B4" s="1">
        <f>B3</f>
        <v/>
      </c>
      <c r="C4" s="1" t="n">
        <v>72.5</v>
      </c>
    </row>
    <row r="5">
      <c r="A5" s="4" t="n">
        <v>45842</v>
      </c>
      <c r="B5" s="1">
        <f>B4</f>
        <v/>
      </c>
      <c r="C5" s="1" t="n">
        <v>72.01000000000001</v>
      </c>
    </row>
    <row r="6">
      <c r="A6" s="4" t="n">
        <v>45845</v>
      </c>
      <c r="B6" s="1">
        <f>B5</f>
        <v/>
      </c>
      <c r="C6" s="1" t="n">
        <v>72.01000000000001</v>
      </c>
    </row>
    <row r="7">
      <c r="A7" s="4" t="n">
        <v>45846</v>
      </c>
      <c r="B7" s="1">
        <f>B6</f>
        <v/>
      </c>
      <c r="C7" s="1" t="n">
        <v>72.01000000000001</v>
      </c>
    </row>
    <row r="8">
      <c r="A8" s="4" t="n">
        <v>45847</v>
      </c>
      <c r="B8" s="1">
        <f>B7</f>
        <v/>
      </c>
      <c r="C8" s="1" t="n">
        <v>71.5</v>
      </c>
    </row>
    <row r="9">
      <c r="A9" s="4" t="n">
        <v>45848</v>
      </c>
      <c r="B9" s="1">
        <f>B8</f>
        <v/>
      </c>
      <c r="C9" s="1" t="n">
        <v>72</v>
      </c>
    </row>
    <row r="10">
      <c r="A10" s="4" t="n">
        <v>45849</v>
      </c>
      <c r="B10" s="1">
        <f>B9</f>
        <v/>
      </c>
      <c r="C10" s="1" t="n">
        <v>72</v>
      </c>
    </row>
    <row r="11">
      <c r="A11" s="4" t="n">
        <v>45852</v>
      </c>
      <c r="B11" s="1">
        <f>B10</f>
        <v/>
      </c>
      <c r="C11" s="1" t="n">
        <v>72</v>
      </c>
    </row>
    <row r="12">
      <c r="A12" s="4" t="n">
        <v>45853</v>
      </c>
      <c r="B12" s="1">
        <f>B11</f>
        <v/>
      </c>
      <c r="C12" s="1" t="n">
        <v>70.20999999999999</v>
      </c>
    </row>
    <row r="13">
      <c r="A13" s="4" t="n">
        <v>45854</v>
      </c>
      <c r="B13" s="1">
        <f>B12</f>
        <v/>
      </c>
      <c r="C13" s="1" t="n">
        <v>72.09999999999999</v>
      </c>
    </row>
    <row r="14">
      <c r="A14" s="4" t="n">
        <v>45855</v>
      </c>
      <c r="B14" s="1">
        <f>B13</f>
        <v/>
      </c>
      <c r="C14" s="1" t="n">
        <v>73.12</v>
      </c>
    </row>
    <row r="15">
      <c r="A15" s="4" t="n">
        <v>45856</v>
      </c>
      <c r="B15" s="1">
        <f>B14</f>
        <v/>
      </c>
      <c r="C15" s="1" t="n">
        <v>72.79000000000001</v>
      </c>
    </row>
    <row r="16">
      <c r="A16" s="4" t="n">
        <v>45859</v>
      </c>
      <c r="B16" s="1">
        <f>B15</f>
        <v/>
      </c>
      <c r="C16" s="1" t="n">
        <v>73.7</v>
      </c>
    </row>
    <row r="17">
      <c r="A17" s="4" t="n">
        <v>45860</v>
      </c>
      <c r="B17" s="1">
        <f>B16</f>
        <v/>
      </c>
      <c r="C17" s="1" t="n">
        <v>73.90000000000001</v>
      </c>
    </row>
    <row r="18">
      <c r="A18" s="4" t="n">
        <v>45861</v>
      </c>
      <c r="B18" s="1">
        <f>B17</f>
        <v/>
      </c>
      <c r="C18" s="1" t="n">
        <v>73.91</v>
      </c>
    </row>
    <row r="19">
      <c r="A19" s="4" t="n">
        <v>45862</v>
      </c>
      <c r="B19" s="1">
        <f>B18</f>
        <v/>
      </c>
      <c r="C19" s="1" t="n">
        <v>74.15000000000001</v>
      </c>
    </row>
    <row r="20">
      <c r="A20" s="4" t="n">
        <v>45863</v>
      </c>
      <c r="B20" s="1">
        <f>B19</f>
        <v/>
      </c>
      <c r="C20" s="1" t="n">
        <v>73.97</v>
      </c>
    </row>
    <row r="21">
      <c r="A21" s="4" t="n">
        <v>45866</v>
      </c>
      <c r="B21" s="1">
        <f>B20</f>
        <v/>
      </c>
      <c r="C21" s="1" t="n">
        <v>73.98999999999999</v>
      </c>
    </row>
    <row r="22">
      <c r="A22" s="4" t="n">
        <v>45867</v>
      </c>
      <c r="B22" s="1">
        <f>B21</f>
        <v/>
      </c>
      <c r="C22" s="1" t="n">
        <v>74.25</v>
      </c>
    </row>
    <row r="23">
      <c r="A23" s="4" t="n">
        <v>45868</v>
      </c>
      <c r="B23" s="1">
        <f>B22</f>
        <v/>
      </c>
      <c r="C23" s="1" t="n">
        <v>74.7</v>
      </c>
    </row>
    <row r="24">
      <c r="A24" s="4" t="n">
        <v>45869</v>
      </c>
      <c r="B24" s="1">
        <f>B23</f>
        <v/>
      </c>
      <c r="C24" s="1" t="n">
        <v>74.26000000000001</v>
      </c>
    </row>
    <row r="25">
      <c r="A25" s="4" t="n">
        <v>45870</v>
      </c>
      <c r="B25" s="1">
        <f>B24</f>
        <v/>
      </c>
      <c r="C25" s="1" t="n">
        <v>74.7</v>
      </c>
    </row>
    <row r="26">
      <c r="A26" s="4" t="n">
        <v>45873</v>
      </c>
      <c r="B26" s="1">
        <f>B25</f>
        <v/>
      </c>
      <c r="C26" s="1" t="n">
        <v>74.90000000000001</v>
      </c>
    </row>
    <row r="27">
      <c r="A27" s="4" t="n">
        <v>45874</v>
      </c>
      <c r="B27" s="1">
        <f>B26</f>
        <v/>
      </c>
      <c r="C27" s="1" t="n">
        <v>74.55</v>
      </c>
    </row>
    <row r="28">
      <c r="A28" s="4" t="n">
        <v>45875</v>
      </c>
      <c r="B28" s="1">
        <f>B27</f>
        <v/>
      </c>
      <c r="C28" s="1" t="n">
        <v>72.98999999999999</v>
      </c>
    </row>
    <row r="29">
      <c r="A29" s="4" t="n">
        <v>45876</v>
      </c>
      <c r="B29" s="1">
        <f>B28</f>
        <v/>
      </c>
      <c r="C29" s="1" t="n">
        <v>72.78</v>
      </c>
    </row>
    <row r="30">
      <c r="A30" s="4" t="n">
        <v>45877</v>
      </c>
      <c r="B30" s="1">
        <f>B29</f>
        <v/>
      </c>
      <c r="C30" s="1" t="n">
        <v>73.12</v>
      </c>
    </row>
    <row r="31">
      <c r="A31" s="4" t="n">
        <v>45880</v>
      </c>
      <c r="B31" s="1">
        <f>B30</f>
        <v/>
      </c>
      <c r="C31" s="1" t="n">
        <v>73.03</v>
      </c>
    </row>
    <row r="32">
      <c r="A32" s="4" t="n">
        <v>45881</v>
      </c>
      <c r="B32" s="1">
        <f>B31</f>
        <v/>
      </c>
      <c r="C32" s="1" t="n">
        <v>72.17</v>
      </c>
    </row>
    <row r="33">
      <c r="A33" s="4" t="n">
        <v>45882</v>
      </c>
      <c r="B33" s="1">
        <f>B32</f>
        <v/>
      </c>
      <c r="C33" s="1" t="n">
        <v>71.66</v>
      </c>
    </row>
    <row r="34">
      <c r="A34" s="4" t="n">
        <v>45883</v>
      </c>
      <c r="B34" s="1">
        <f>B33</f>
        <v/>
      </c>
      <c r="C34" s="1" t="n">
        <v>71.41</v>
      </c>
    </row>
    <row r="35">
      <c r="A35" s="4" t="n">
        <v>45884</v>
      </c>
      <c r="B35" s="1">
        <f>B34</f>
        <v/>
      </c>
      <c r="C35" s="1" t="n">
        <v>71.95</v>
      </c>
    </row>
    <row r="36">
      <c r="A36" s="4" t="n">
        <v>45887</v>
      </c>
      <c r="B36" s="1">
        <f>B35</f>
        <v/>
      </c>
      <c r="C36" s="1" t="n">
        <v>72.25</v>
      </c>
    </row>
    <row r="37">
      <c r="A37" s="4" t="n">
        <v>45888</v>
      </c>
      <c r="B37" s="1">
        <f>B36</f>
        <v/>
      </c>
      <c r="C37" s="1" t="n">
        <v>72.41</v>
      </c>
    </row>
    <row r="38">
      <c r="A38" s="4" t="n">
        <v>45889</v>
      </c>
      <c r="B38" s="1">
        <f>B37</f>
        <v/>
      </c>
      <c r="C38" s="1" t="n">
        <v>71.56</v>
      </c>
    </row>
    <row r="39">
      <c r="A39" s="4" t="n">
        <v>45890</v>
      </c>
      <c r="B39" s="1">
        <f>B38</f>
        <v/>
      </c>
      <c r="C39" s="1" t="n">
        <v>72.34999999999999</v>
      </c>
    </row>
    <row r="40">
      <c r="A40" s="4" t="n">
        <v>45891</v>
      </c>
      <c r="B40" s="1">
        <f>B39</f>
        <v/>
      </c>
      <c r="C40" s="1" t="n">
        <v>72.40000000000001</v>
      </c>
    </row>
    <row r="41">
      <c r="A41" s="4" t="n">
        <v>45894</v>
      </c>
      <c r="B41" s="1">
        <f>B40</f>
        <v/>
      </c>
      <c r="C41" s="1" t="n">
        <v>72.09999999999999</v>
      </c>
    </row>
    <row r="42">
      <c r="A42" s="4" t="n">
        <v>45895</v>
      </c>
      <c r="B42" s="1">
        <f>B41</f>
        <v/>
      </c>
      <c r="C42" s="1" t="n">
        <v>72.5</v>
      </c>
    </row>
    <row r="43">
      <c r="A43" s="4" t="n">
        <v>45896</v>
      </c>
      <c r="B43" s="1">
        <f>B42</f>
        <v/>
      </c>
      <c r="C43" s="1" t="n">
        <v>72.34999999999999</v>
      </c>
    </row>
    <row r="44">
      <c r="A44" s="4" t="n">
        <v>45897</v>
      </c>
      <c r="B44" s="1">
        <f>B43</f>
        <v/>
      </c>
      <c r="C44" s="1" t="n">
        <v>71.73</v>
      </c>
    </row>
    <row r="45">
      <c r="A45" s="4" t="n">
        <v>45898</v>
      </c>
      <c r="B45" s="1">
        <f>B44</f>
        <v/>
      </c>
      <c r="C45" s="1" t="n">
        <v>71.84999999999999</v>
      </c>
    </row>
    <row r="46">
      <c r="A46" s="4" t="n">
        <v>45901</v>
      </c>
      <c r="B46" s="1">
        <f>B45</f>
        <v/>
      </c>
      <c r="C46" s="1" t="n">
        <v>71.7</v>
      </c>
    </row>
    <row r="47">
      <c r="A47" s="4" t="n">
        <v>45902</v>
      </c>
      <c r="B47" s="1">
        <f>B46</f>
        <v/>
      </c>
      <c r="C47" s="1" t="n">
        <v>72.2</v>
      </c>
    </row>
    <row r="48">
      <c r="A48" s="4" t="n">
        <v>45903</v>
      </c>
      <c r="B48" s="1">
        <f>B47</f>
        <v/>
      </c>
      <c r="C48" s="1" t="n">
        <v>72.04000000000001</v>
      </c>
    </row>
    <row r="49">
      <c r="A49" s="4" t="n">
        <v>45904</v>
      </c>
      <c r="B49" s="1">
        <f>B48</f>
        <v/>
      </c>
      <c r="C49" s="1" t="n">
        <v>72.2</v>
      </c>
    </row>
    <row r="50">
      <c r="A50" s="4" t="n">
        <v>45905</v>
      </c>
      <c r="B50" s="1">
        <f>B49</f>
        <v/>
      </c>
      <c r="C50" s="1" t="n">
        <v>71.86</v>
      </c>
    </row>
    <row r="51">
      <c r="A51" s="4" t="n">
        <v>45908</v>
      </c>
      <c r="B51" s="1">
        <f>B50</f>
        <v/>
      </c>
      <c r="C51" s="1" t="n">
        <v>72.2</v>
      </c>
    </row>
    <row r="52">
      <c r="A52" s="4" t="n">
        <v>45909</v>
      </c>
      <c r="B52" s="1">
        <f>B51</f>
        <v/>
      </c>
      <c r="C52" s="1" t="n">
        <v>72.2</v>
      </c>
    </row>
    <row r="53">
      <c r="A53" s="4" t="n">
        <v>45910</v>
      </c>
      <c r="B53" s="1">
        <f>B52</f>
        <v/>
      </c>
      <c r="C53" s="1" t="n">
        <v>72.25</v>
      </c>
    </row>
    <row r="54">
      <c r="A54" s="4" t="n">
        <v>45911</v>
      </c>
      <c r="B54" s="1">
        <f>B53</f>
        <v/>
      </c>
      <c r="C54" s="1" t="n">
        <v>71.73999999999999</v>
      </c>
    </row>
    <row r="55">
      <c r="A55" s="4" t="n">
        <v>45912</v>
      </c>
      <c r="B55" s="1">
        <f>B54</f>
        <v/>
      </c>
      <c r="C55" s="1" t="n">
        <v>71.70999999999999</v>
      </c>
    </row>
    <row r="56">
      <c r="A56" s="4" t="n">
        <v>45915</v>
      </c>
      <c r="B56" s="1">
        <f>B55</f>
        <v/>
      </c>
      <c r="C56" s="1" t="n">
        <v>71.55</v>
      </c>
    </row>
    <row r="57">
      <c r="A57" s="4" t="n">
        <v>45916</v>
      </c>
      <c r="B57" s="1">
        <f>B56</f>
        <v/>
      </c>
      <c r="C57" s="1" t="n">
        <v>72</v>
      </c>
    </row>
    <row r="58">
      <c r="A58" s="4" t="n">
        <v>45917</v>
      </c>
      <c r="B58" s="1">
        <f>B57</f>
        <v/>
      </c>
      <c r="C58" s="1" t="n">
        <v>71.66</v>
      </c>
    </row>
    <row r="59">
      <c r="A59" s="4" t="n">
        <v>45918</v>
      </c>
      <c r="B59" s="1">
        <f>B58</f>
        <v/>
      </c>
      <c r="C59" s="1" t="n">
        <v>71.73</v>
      </c>
    </row>
    <row r="60">
      <c r="A60" s="4" t="n">
        <v>45919</v>
      </c>
      <c r="B60" s="1">
        <f>B59</f>
        <v/>
      </c>
      <c r="C60" s="1" t="n">
        <v>71.84999999999999</v>
      </c>
    </row>
    <row r="61">
      <c r="A61" s="4" t="n">
        <v>45922</v>
      </c>
      <c r="B61" s="1">
        <f>B60</f>
        <v/>
      </c>
      <c r="C61" s="1" t="n">
        <v>71.18000000000001</v>
      </c>
    </row>
    <row r="62">
      <c r="A62" s="4" t="n">
        <v>45923</v>
      </c>
      <c r="B62" s="1">
        <f>B61</f>
        <v/>
      </c>
      <c r="C62" s="1" t="n">
        <v>71</v>
      </c>
    </row>
    <row r="63">
      <c r="A63" s="4" t="n">
        <v>45924</v>
      </c>
      <c r="B63" s="1">
        <f>B62</f>
        <v/>
      </c>
      <c r="C63" s="1" t="n">
        <v>70.8</v>
      </c>
    </row>
    <row r="64">
      <c r="A64" s="4" t="n">
        <v>45925</v>
      </c>
      <c r="B64" s="1">
        <f>B63</f>
        <v/>
      </c>
      <c r="C64" s="1" t="n">
        <v>70.56999999999999</v>
      </c>
    </row>
    <row r="65">
      <c r="A65" s="4" t="n">
        <v>45926</v>
      </c>
      <c r="B65" s="1">
        <f>B64</f>
        <v/>
      </c>
      <c r="C65" s="1" t="n">
        <v>70.54000000000001</v>
      </c>
    </row>
    <row r="66">
      <c r="A66" s="4" t="n">
        <v>45929</v>
      </c>
      <c r="B66" s="1">
        <f>B65</f>
        <v/>
      </c>
      <c r="C66" s="1" t="n">
        <v>70.55</v>
      </c>
    </row>
    <row r="67">
      <c r="A67" s="4" t="n">
        <v>45930</v>
      </c>
      <c r="B67" s="1">
        <f>B66</f>
        <v/>
      </c>
      <c r="C67" s="1" t="n">
        <v>69.86</v>
      </c>
    </row>
    <row r="68">
      <c r="A68" s="4" t="n">
        <v>45931</v>
      </c>
      <c r="B68" s="1">
        <f>B67</f>
        <v/>
      </c>
      <c r="C68" s="1" t="n">
        <v>69.81</v>
      </c>
    </row>
    <row r="69">
      <c r="A69" s="4" t="n">
        <v>45932</v>
      </c>
      <c r="B69" s="1">
        <f>B68</f>
        <v/>
      </c>
      <c r="C69" s="1" t="n">
        <v>69.77</v>
      </c>
    </row>
    <row r="70">
      <c r="A70" s="4" t="n">
        <v>45933</v>
      </c>
      <c r="B70" s="1">
        <f>B69</f>
        <v/>
      </c>
      <c r="C70" s="1" t="n">
        <v>69.56</v>
      </c>
    </row>
    <row r="71">
      <c r="A71" s="4" t="n">
        <v>45936</v>
      </c>
      <c r="B71" s="1">
        <f>B70</f>
        <v/>
      </c>
      <c r="C71" s="1" t="n">
        <v>70.04000000000001</v>
      </c>
    </row>
    <row r="72">
      <c r="A72" s="4" t="n">
        <v>45937</v>
      </c>
      <c r="B72" s="1">
        <f>B71</f>
        <v/>
      </c>
      <c r="C72" s="1" t="n">
        <v>70.09999999999999</v>
      </c>
    </row>
    <row r="73">
      <c r="A73" s="4" t="n">
        <v>45938</v>
      </c>
      <c r="B73" s="1">
        <f>B72</f>
        <v/>
      </c>
      <c r="C73" s="1" t="n">
        <v>70.33</v>
      </c>
    </row>
    <row r="74">
      <c r="A74" s="4" t="n">
        <v>45939</v>
      </c>
      <c r="B74" s="1">
        <f>B73</f>
        <v/>
      </c>
      <c r="C74" s="1" t="n">
        <v>70.7</v>
      </c>
    </row>
    <row r="75">
      <c r="A75" s="4" t="n">
        <v>45940</v>
      </c>
      <c r="B75" s="1">
        <f>B74</f>
        <v/>
      </c>
      <c r="C75" s="1" t="n">
        <v>71</v>
      </c>
    </row>
    <row r="76">
      <c r="A76" s="4" t="n">
        <v>45943</v>
      </c>
      <c r="B76" s="1">
        <f>B75</f>
        <v/>
      </c>
      <c r="C76" s="1" t="n">
        <v>70.08</v>
      </c>
    </row>
    <row r="77">
      <c r="A77" s="4" t="n">
        <v>45944</v>
      </c>
      <c r="B77" s="1">
        <f>B76</f>
        <v/>
      </c>
      <c r="C77" s="1" t="n">
        <v>70.76000000000001</v>
      </c>
    </row>
    <row r="78">
      <c r="A78" s="4" t="n">
        <v>45945</v>
      </c>
      <c r="B78" s="1">
        <f>B77</f>
        <v/>
      </c>
      <c r="C78" s="1" t="n">
        <v>71</v>
      </c>
    </row>
    <row r="79">
      <c r="A79" s="4" t="n">
        <v>45946</v>
      </c>
      <c r="B79" s="1">
        <f>B78</f>
        <v/>
      </c>
      <c r="C79" s="1" t="n">
        <v>71.2</v>
      </c>
    </row>
    <row r="80">
      <c r="A80" s="4" t="n">
        <v>45947</v>
      </c>
      <c r="B80" s="1">
        <f>B79</f>
        <v/>
      </c>
      <c r="C80" s="1" t="n">
        <v>71.8</v>
      </c>
    </row>
    <row r="81">
      <c r="A81" s="4" t="n">
        <v>45950</v>
      </c>
      <c r="B81" s="1">
        <f>B80</f>
        <v/>
      </c>
      <c r="C81" s="1" t="n">
        <v>71.84999999999999</v>
      </c>
    </row>
    <row r="82">
      <c r="A82" s="4" t="n">
        <v>45951</v>
      </c>
      <c r="B82" s="1">
        <f>B81</f>
        <v/>
      </c>
      <c r="C82" s="1" t="n">
        <v>71.8</v>
      </c>
    </row>
    <row r="83">
      <c r="A83" s="4" t="n">
        <v>45952</v>
      </c>
      <c r="B83" s="1">
        <f>B82</f>
        <v/>
      </c>
      <c r="C83" s="1" t="n">
        <v>72.06999999999999</v>
      </c>
    </row>
    <row r="84">
      <c r="A84" s="4" t="n">
        <v>45953</v>
      </c>
      <c r="B84" s="1">
        <f>B83</f>
        <v/>
      </c>
      <c r="C84" s="1" t="n">
        <v>71.34999999999999</v>
      </c>
    </row>
    <row r="85">
      <c r="A85" s="4" t="n">
        <v>45954</v>
      </c>
      <c r="B85" s="1">
        <f>B84</f>
        <v/>
      </c>
      <c r="C85" s="1" t="n">
        <v>71.40000000000001</v>
      </c>
    </row>
    <row r="86">
      <c r="A86" s="4" t="n">
        <v>45957</v>
      </c>
      <c r="B86" s="1">
        <f>B85</f>
        <v/>
      </c>
      <c r="C86" s="1" t="n">
        <v>72.15000000000001</v>
      </c>
    </row>
    <row r="87">
      <c r="A87" s="4" t="n">
        <v>45958</v>
      </c>
      <c r="B87" s="1">
        <f>B86</f>
        <v/>
      </c>
      <c r="C87" s="1" t="n">
        <v>72.14</v>
      </c>
    </row>
    <row r="88">
      <c r="A88" s="4" t="n">
        <v>45959</v>
      </c>
      <c r="B88" s="1">
        <f>B87</f>
        <v/>
      </c>
      <c r="C88" s="1" t="n">
        <v>72.48</v>
      </c>
    </row>
    <row r="89">
      <c r="A89" s="4" t="n">
        <v>45960</v>
      </c>
      <c r="B89" s="1">
        <f>B88</f>
        <v/>
      </c>
      <c r="C89" s="1" t="n">
        <v>72.2</v>
      </c>
    </row>
    <row r="90">
      <c r="A90" s="4" t="n">
        <v>45961</v>
      </c>
      <c r="B90" s="1">
        <f>B89</f>
        <v/>
      </c>
      <c r="C90" s="1" t="n">
        <v>72.92</v>
      </c>
    </row>
    <row r="91">
      <c r="A91" s="4" t="n">
        <v>45964</v>
      </c>
      <c r="B91" s="1">
        <f>B90</f>
        <v/>
      </c>
      <c r="C91" s="1" t="n">
        <v>73.12</v>
      </c>
    </row>
    <row r="92">
      <c r="A92" s="4" t="n">
        <v>45965</v>
      </c>
      <c r="B92" s="1">
        <f>B91</f>
        <v/>
      </c>
      <c r="C92" s="1" t="n">
        <v>72.27</v>
      </c>
    </row>
    <row r="93">
      <c r="A93" s="4" t="n">
        <v>45966</v>
      </c>
      <c r="B93" s="1">
        <f>B92</f>
        <v/>
      </c>
      <c r="C93" s="1" t="n">
        <v>72.2</v>
      </c>
    </row>
    <row r="94">
      <c r="A94" s="4" t="n">
        <v>45967</v>
      </c>
      <c r="B94" s="1">
        <f>B93</f>
        <v/>
      </c>
      <c r="C94" s="1" t="n">
        <v>71.95</v>
      </c>
    </row>
    <row r="95">
      <c r="A95" s="4" t="n">
        <v>45968</v>
      </c>
      <c r="B95" s="1">
        <f>B94</f>
        <v/>
      </c>
      <c r="C95" s="1" t="n">
        <v>71.8</v>
      </c>
    </row>
    <row r="96">
      <c r="A96" s="4" t="n">
        <v>45971</v>
      </c>
      <c r="B96" s="1">
        <f>B95</f>
        <v/>
      </c>
      <c r="C96" s="1" t="n">
        <v>71.61</v>
      </c>
    </row>
    <row r="97">
      <c r="A97" s="4" t="n">
        <v>45972</v>
      </c>
      <c r="B97" s="1">
        <f>B96</f>
        <v/>
      </c>
      <c r="C97" s="1" t="n">
        <v>71.7</v>
      </c>
    </row>
    <row r="98">
      <c r="A98" s="4" t="n">
        <v>45973</v>
      </c>
      <c r="B98" s="1">
        <f>B97</f>
        <v/>
      </c>
      <c r="C98" s="1" t="n">
        <v>71.91</v>
      </c>
    </row>
    <row r="99">
      <c r="A99" s="4" t="n">
        <v>45974</v>
      </c>
      <c r="B99" s="1">
        <f>B98</f>
        <v/>
      </c>
      <c r="C99" s="1" t="n">
        <v>71.97</v>
      </c>
    </row>
    <row r="100">
      <c r="A100" s="4" t="n">
        <v>45975</v>
      </c>
      <c r="B100" s="1">
        <f>B99</f>
        <v/>
      </c>
      <c r="C100" s="1" t="n">
        <v>71.77</v>
      </c>
    </row>
    <row r="101">
      <c r="A101" s="4" t="n">
        <v>45978</v>
      </c>
      <c r="B101" s="1">
        <f>B100</f>
        <v/>
      </c>
      <c r="C101" s="1" t="n">
        <v>71.77</v>
      </c>
    </row>
    <row r="102">
      <c r="A102" s="4" t="n">
        <v>45979</v>
      </c>
      <c r="B102" s="1">
        <f>B101</f>
        <v/>
      </c>
      <c r="C102" s="1" t="n">
        <v>71.75</v>
      </c>
    </row>
    <row r="103">
      <c r="A103" s="4" t="n">
        <v>45980</v>
      </c>
      <c r="B103" s="1">
        <f>B102</f>
        <v/>
      </c>
      <c r="C103" s="1" t="n">
        <v>71.59</v>
      </c>
    </row>
    <row r="104">
      <c r="A104" s="4" t="n">
        <v>45982</v>
      </c>
      <c r="B104" s="1">
        <f>B103</f>
        <v/>
      </c>
      <c r="C104" s="1" t="n">
        <v>71.77</v>
      </c>
    </row>
    <row r="105">
      <c r="A105" s="4" t="n">
        <v>45985</v>
      </c>
      <c r="B105" s="1">
        <f>B104</f>
        <v/>
      </c>
      <c r="C105" s="1" t="n">
        <v>72.40000000000001</v>
      </c>
    </row>
    <row r="106">
      <c r="A106" s="4" t="n">
        <v>45986</v>
      </c>
      <c r="B106" s="1">
        <f>B105</f>
        <v/>
      </c>
      <c r="C106" s="1" t="n">
        <v>73.18000000000001</v>
      </c>
    </row>
    <row r="107">
      <c r="A107" s="4" t="n">
        <v>45987</v>
      </c>
      <c r="B107" s="1">
        <f>B106</f>
        <v/>
      </c>
      <c r="C107" s="1" t="n">
        <v>74.09</v>
      </c>
    </row>
    <row r="108">
      <c r="A108" s="4" t="n">
        <v>45988</v>
      </c>
      <c r="B108" s="1">
        <f>B107</f>
        <v/>
      </c>
      <c r="C108" s="1" t="n">
        <v>74.55</v>
      </c>
    </row>
    <row r="109">
      <c r="A109" s="4" t="n">
        <v>45989</v>
      </c>
      <c r="B109" s="1">
        <f>B108</f>
        <v/>
      </c>
      <c r="C109" s="1" t="n">
        <v>74.23999999999999</v>
      </c>
    </row>
    <row r="110">
      <c r="A110" s="4" t="n">
        <v>45992</v>
      </c>
      <c r="B110" s="1">
        <f>B109</f>
        <v/>
      </c>
      <c r="C110" s="1" t="n">
        <v>75.18000000000001</v>
      </c>
    </row>
    <row r="111">
      <c r="A111" s="4" t="n">
        <v>45993</v>
      </c>
      <c r="B111" s="1">
        <f>B110</f>
        <v/>
      </c>
      <c r="C111" s="1" t="n">
        <v>76.43000000000001</v>
      </c>
    </row>
    <row r="112">
      <c r="A112" s="4" t="n">
        <v>45994</v>
      </c>
      <c r="B112" s="1">
        <f>B111</f>
        <v/>
      </c>
      <c r="C112" s="1" t="n">
        <v>75.86</v>
      </c>
    </row>
    <row r="113">
      <c r="A113" s="4" t="n">
        <v>45995</v>
      </c>
      <c r="B113" s="1">
        <f>B112</f>
        <v/>
      </c>
      <c r="C113" s="1" t="n">
        <v>75.59</v>
      </c>
    </row>
    <row r="114">
      <c r="A114" s="4" t="n">
        <v>45996</v>
      </c>
      <c r="B114" s="1">
        <f>B113</f>
        <v/>
      </c>
      <c r="C114" s="1" t="n">
        <v>75.52</v>
      </c>
    </row>
    <row r="115">
      <c r="A115" s="4" t="n">
        <v>45999</v>
      </c>
      <c r="B115" s="1">
        <f>B114</f>
        <v/>
      </c>
      <c r="C115" s="1" t="n">
        <v>75.66</v>
      </c>
    </row>
    <row r="116">
      <c r="A116" s="4" t="n">
        <v>46000</v>
      </c>
      <c r="B116" s="1">
        <f>B115</f>
        <v/>
      </c>
      <c r="C116" s="1" t="n">
        <v>75.83</v>
      </c>
    </row>
    <row r="117">
      <c r="A117" s="4" t="n">
        <v>46001</v>
      </c>
      <c r="B117" s="1">
        <f>B116</f>
        <v/>
      </c>
      <c r="C117" s="1" t="n">
        <v>75.09999999999999</v>
      </c>
    </row>
    <row r="118">
      <c r="A118" s="4" t="n">
        <v>46002</v>
      </c>
      <c r="B118" s="1">
        <f>B117</f>
        <v/>
      </c>
      <c r="C118" s="1" t="n">
        <v>74.36</v>
      </c>
    </row>
    <row r="119">
      <c r="A119" s="4" t="n">
        <v>46003</v>
      </c>
      <c r="B119" s="1">
        <f>B118</f>
        <v/>
      </c>
      <c r="C119" s="1" t="n">
        <v>74.25</v>
      </c>
    </row>
    <row r="120">
      <c r="A120" s="4" t="n">
        <v>46006</v>
      </c>
      <c r="B120" s="1">
        <f>B119</f>
        <v/>
      </c>
      <c r="C120" t="n">
        <v>74.17</v>
      </c>
    </row>
    <row r="121">
      <c r="A121" s="4" t="n">
        <v>46007</v>
      </c>
      <c r="B121" s="1">
        <f>B120</f>
        <v/>
      </c>
      <c r="C121" t="n">
        <v>74.47</v>
      </c>
    </row>
    <row r="122">
      <c r="A122" s="4" t="n">
        <v>46008</v>
      </c>
      <c r="B122" s="1">
        <f>B121</f>
        <v/>
      </c>
      <c r="C122" t="n">
        <v>75.14</v>
      </c>
    </row>
    <row r="123">
      <c r="A123" s="4" t="n">
        <v>46009</v>
      </c>
      <c r="B123" s="1">
        <f>B122</f>
        <v/>
      </c>
      <c r="C123" t="n">
        <v>74.73</v>
      </c>
    </row>
    <row r="124">
      <c r="A124" s="4" t="n">
        <v>46010</v>
      </c>
      <c r="B124" s="1">
        <f>B123</f>
        <v/>
      </c>
      <c r="C124" t="n">
        <v>74.84999999999999</v>
      </c>
    </row>
    <row r="125">
      <c r="A125" s="4" t="n">
        <v>46013</v>
      </c>
      <c r="B125" s="1">
        <f>B124</f>
        <v/>
      </c>
      <c r="C125" t="n">
        <v>74.41</v>
      </c>
    </row>
    <row r="126">
      <c r="A126" s="4" t="n">
        <v>46014</v>
      </c>
      <c r="B126" s="1">
        <f>B125</f>
        <v/>
      </c>
      <c r="C126" t="n">
        <v>74.11</v>
      </c>
    </row>
    <row r="127">
      <c r="A127" s="4" t="n">
        <v>46017</v>
      </c>
      <c r="B127" s="1">
        <f>B126</f>
        <v/>
      </c>
      <c r="C127" t="n">
        <v>73.8</v>
      </c>
    </row>
    <row r="128">
      <c r="A128" s="4" t="n">
        <v>46020</v>
      </c>
      <c r="B128" s="1">
        <f>B127</f>
        <v/>
      </c>
      <c r="C128" t="n">
        <v>73.84999999999999</v>
      </c>
    </row>
    <row r="129">
      <c r="A129" s="4" t="n">
        <v>46021</v>
      </c>
      <c r="B129" s="1">
        <f>B128</f>
        <v/>
      </c>
      <c r="C129" t="n">
        <v>73.73999999999999</v>
      </c>
    </row>
    <row r="130">
      <c r="A130" s="4" t="n">
        <v>46024</v>
      </c>
      <c r="B130" s="1">
        <f>B129</f>
        <v/>
      </c>
      <c r="C130" t="n">
        <v>73.22</v>
      </c>
    </row>
    <row r="131">
      <c r="A131" s="4" t="n">
        <v>46027</v>
      </c>
      <c r="B131" s="1">
        <f>B130</f>
        <v/>
      </c>
      <c r="C131" t="n">
        <v>73.43000000000001</v>
      </c>
    </row>
    <row r="132">
      <c r="A132" s="4" t="n">
        <v>46028</v>
      </c>
      <c r="B132" s="1">
        <f>B131</f>
        <v/>
      </c>
      <c r="C132" t="n">
        <v>73.3</v>
      </c>
    </row>
    <row r="133">
      <c r="A133" s="4" t="n">
        <v>46029</v>
      </c>
      <c r="B133" s="1">
        <f>B132</f>
        <v/>
      </c>
      <c r="C133" t="n">
        <v>72.51000000000001</v>
      </c>
    </row>
    <row r="134">
      <c r="A134" s="4" t="n">
        <v>46030</v>
      </c>
      <c r="B134" s="1">
        <f>B133</f>
        <v/>
      </c>
      <c r="C134" t="n">
        <v>72.41</v>
      </c>
    </row>
    <row r="135">
      <c r="A135" s="4" t="n">
        <v>46031</v>
      </c>
      <c r="B135" s="1">
        <f>B134</f>
        <v/>
      </c>
      <c r="C135" t="n">
        <v>72.36</v>
      </c>
    </row>
    <row r="136">
      <c r="A136" s="4" t="n">
        <v>46034</v>
      </c>
      <c r="B136" s="1">
        <f>B135</f>
        <v/>
      </c>
      <c r="C136" t="n">
        <v>71.54000000000001</v>
      </c>
    </row>
    <row r="137">
      <c r="A137" s="4" t="n">
        <v>46035</v>
      </c>
      <c r="B137" s="1">
        <f>B136</f>
        <v/>
      </c>
      <c r="C137" t="n">
        <v>71.01000000000001</v>
      </c>
    </row>
    <row r="138">
      <c r="A138" s="4" t="n">
        <v>46036</v>
      </c>
      <c r="B138" s="1">
        <f>B137</f>
        <v/>
      </c>
      <c r="C138" t="n">
        <v>70.83</v>
      </c>
    </row>
    <row r="139">
      <c r="A139" s="4" t="n">
        <v>46037</v>
      </c>
      <c r="B139" s="1">
        <f>B138</f>
        <v/>
      </c>
      <c r="C139" t="n">
        <v>70.38</v>
      </c>
    </row>
    <row r="140">
      <c r="A140" s="4" t="n">
        <v>46038</v>
      </c>
      <c r="B140" s="1">
        <f>B139</f>
        <v/>
      </c>
      <c r="C140" t="n">
        <v>70.29000000000001</v>
      </c>
    </row>
    <row r="141">
      <c r="A141" s="4" t="n">
        <v>46041</v>
      </c>
      <c r="B141" s="1">
        <f>B140</f>
        <v/>
      </c>
      <c r="C141" t="n">
        <v>70.19</v>
      </c>
    </row>
    <row r="142">
      <c r="A142" s="9" t="n">
        <v>46042</v>
      </c>
      <c r="B142" s="1">
        <f>B141</f>
        <v/>
      </c>
      <c r="C142" t="n">
        <v>69.97</v>
      </c>
    </row>
    <row r="143">
      <c r="A143" s="4" t="n">
        <v>46043</v>
      </c>
      <c r="B143" s="1">
        <f>B142</f>
        <v/>
      </c>
      <c r="C143" t="n">
        <v>69.09999999999999</v>
      </c>
    </row>
    <row r="144">
      <c r="A144" s="4" t="n">
        <v>46044</v>
      </c>
      <c r="B144" s="1">
        <f>B143</f>
        <v/>
      </c>
      <c r="C144" t="n">
        <v>68.76000000000001</v>
      </c>
    </row>
    <row r="145">
      <c r="A145" s="9" t="n">
        <v>46045</v>
      </c>
      <c r="B145" s="1">
        <f>B144</f>
        <v/>
      </c>
      <c r="C145" t="n">
        <v>68.34999999999999</v>
      </c>
    </row>
    <row r="146">
      <c r="A146" s="9" t="n">
        <v>46048</v>
      </c>
      <c r="B146" s="1">
        <f>B145</f>
        <v/>
      </c>
      <c r="C146" t="n">
        <v>68.3</v>
      </c>
    </row>
    <row r="147">
      <c r="A147" s="9" t="n">
        <v>46049</v>
      </c>
      <c r="B147" s="1">
        <f>B146</f>
        <v/>
      </c>
      <c r="C147" t="n">
        <v>68.5</v>
      </c>
    </row>
    <row r="148">
      <c r="A148" s="9" t="n">
        <v>46050</v>
      </c>
      <c r="B148" s="1">
        <f>B147</f>
        <v/>
      </c>
      <c r="C148" t="n">
        <v>67.59999999999999</v>
      </c>
    </row>
    <row r="149">
      <c r="A149" s="9" t="n">
        <v>46051</v>
      </c>
      <c r="B149" s="1">
        <f>B148</f>
        <v/>
      </c>
      <c r="C149" t="n">
        <v>68.15000000000001</v>
      </c>
    </row>
    <row r="150">
      <c r="A150" s="9" t="n">
        <v>46052</v>
      </c>
      <c r="B150" s="1">
        <f>B149</f>
        <v/>
      </c>
      <c r="C150" t="n">
        <v>68.86</v>
      </c>
    </row>
    <row r="151">
      <c r="A151" s="9" t="n">
        <v>46055</v>
      </c>
      <c r="B151" s="1">
        <f>B150</f>
        <v/>
      </c>
      <c r="C151" t="n">
        <v>69.19</v>
      </c>
    </row>
    <row r="152">
      <c r="A152" s="9" t="n">
        <v>46056</v>
      </c>
      <c r="B152" s="1">
        <f>B151</f>
        <v/>
      </c>
      <c r="C152" t="n">
        <v>69.94</v>
      </c>
    </row>
    <row r="153">
      <c r="A153" s="9" t="n">
        <v>46057</v>
      </c>
      <c r="B153" s="1">
        <f>B152</f>
        <v/>
      </c>
      <c r="C153" t="n">
        <v>69.61</v>
      </c>
    </row>
    <row r="154">
      <c r="A154" s="9" t="n">
        <v>46058</v>
      </c>
      <c r="B154" s="1">
        <f>B153</f>
        <v/>
      </c>
      <c r="C154" t="n">
        <v>70.04000000000001</v>
      </c>
    </row>
    <row r="155">
      <c r="A155" s="9" t="n">
        <v>46059</v>
      </c>
      <c r="B155" s="1">
        <f>B154</f>
        <v/>
      </c>
      <c r="C155" t="n">
        <v>69.31999999999999</v>
      </c>
    </row>
    <row r="156">
      <c r="A156" s="9" t="n">
        <v>46062</v>
      </c>
      <c r="B156" s="1">
        <f>B155</f>
        <v/>
      </c>
      <c r="C156" t="n">
        <v>69.11</v>
      </c>
    </row>
    <row r="157">
      <c r="A157" s="9" t="n">
        <v>46063</v>
      </c>
      <c r="B157" s="1">
        <f>B156</f>
        <v/>
      </c>
      <c r="C157" t="n">
        <v>69.98</v>
      </c>
    </row>
    <row r="158">
      <c r="A158" s="9" t="n">
        <v>46064</v>
      </c>
      <c r="B158" s="1">
        <f>B157</f>
        <v/>
      </c>
      <c r="C158" t="n">
        <v>69.98999999999999</v>
      </c>
    </row>
    <row r="159">
      <c r="A159" s="9" t="n">
        <v>46065</v>
      </c>
      <c r="B159" s="1">
        <f>B158</f>
        <v/>
      </c>
      <c r="C159" t="n">
        <v>70.44</v>
      </c>
    </row>
    <row r="160">
      <c r="A160" s="9" t="n">
        <v>46066</v>
      </c>
      <c r="B160" s="1">
        <f>B159</f>
        <v/>
      </c>
      <c r="C160" t="n">
        <v>70.59999999999999</v>
      </c>
    </row>
    <row r="161">
      <c r="A161" s="9" t="n">
        <v>46071</v>
      </c>
      <c r="B161" s="1">
        <f>B160</f>
        <v/>
      </c>
      <c r="C161" t="n">
        <v>70.44</v>
      </c>
    </row>
    <row r="162">
      <c r="A162" s="9" t="n">
        <v>46072</v>
      </c>
      <c r="B162" s="1">
        <f>B161</f>
        <v/>
      </c>
      <c r="C162" t="n">
        <v>70.48</v>
      </c>
    </row>
    <row r="163">
      <c r="A163" s="9" t="n">
        <v>46073</v>
      </c>
      <c r="B163" s="1">
        <f>B162</f>
        <v/>
      </c>
      <c r="C163" t="n">
        <v>71.40000000000001</v>
      </c>
    </row>
    <row r="164">
      <c r="A164" s="9" t="n">
        <v>46076</v>
      </c>
      <c r="B164" s="1">
        <f>B163</f>
        <v/>
      </c>
      <c r="C164" t="n">
        <v>70.84</v>
      </c>
    </row>
    <row r="165">
      <c r="A165" s="9" t="n">
        <v>46077</v>
      </c>
      <c r="B165" s="1">
        <f>B164</f>
        <v/>
      </c>
      <c r="C165" t="n">
        <v>70.44</v>
      </c>
    </row>
    <row r="166">
      <c r="A166" s="9" t="n">
        <v>46078</v>
      </c>
      <c r="B166" s="1">
        <f>B165</f>
        <v/>
      </c>
      <c r="C166" t="n">
        <v>70.11</v>
      </c>
    </row>
    <row r="167">
      <c r="A167" s="9" t="n">
        <v>46079</v>
      </c>
      <c r="B167" s="1">
        <f>B166</f>
        <v/>
      </c>
      <c r="C167" t="n">
        <v>70.7</v>
      </c>
    </row>
    <row r="168">
      <c r="A168" s="9" t="n">
        <v>46080</v>
      </c>
      <c r="B168" s="1">
        <f>B167</f>
        <v/>
      </c>
      <c r="C168" t="n">
        <v>71.70999999999999</v>
      </c>
    </row>
    <row r="169">
      <c r="A169" s="9" t="n">
        <v>46083</v>
      </c>
      <c r="B169" s="1">
        <f>B168</f>
        <v/>
      </c>
      <c r="C169" t="n">
        <v>71.56</v>
      </c>
    </row>
    <row r="170">
      <c r="A170" s="9" t="n">
        <v>46084</v>
      </c>
      <c r="B170" s="1">
        <f>B169</f>
        <v/>
      </c>
      <c r="C170" t="n">
        <v>72.67</v>
      </c>
    </row>
    <row r="171">
      <c r="A171" s="9" t="n">
        <v>46085</v>
      </c>
      <c r="B171" s="1">
        <f>B170</f>
        <v/>
      </c>
      <c r="C171" t="n">
        <v>72.64</v>
      </c>
    </row>
    <row r="172">
      <c r="A172" s="9" t="n">
        <v>46086</v>
      </c>
      <c r="B172" s="1">
        <f>B171</f>
        <v/>
      </c>
      <c r="C172" t="n">
        <v>73.20999999999999</v>
      </c>
    </row>
    <row r="173">
      <c r="A173" s="9" t="n">
        <v>46087</v>
      </c>
      <c r="B173" s="1">
        <f>B172</f>
        <v/>
      </c>
      <c r="C173" t="n">
        <v>74.78</v>
      </c>
    </row>
    <row r="174">
      <c r="A174" s="9" t="n">
        <v>46090</v>
      </c>
      <c r="B174" s="1">
        <f>B173</f>
        <v/>
      </c>
      <c r="C174" t="n">
        <v>75.81999999999999</v>
      </c>
    </row>
    <row r="175">
      <c r="A175" s="9" t="n">
        <v>46091</v>
      </c>
      <c r="B175" s="1">
        <f>B174</f>
        <v/>
      </c>
      <c r="C175" t="n">
        <v>75.34999999999999</v>
      </c>
    </row>
    <row r="176">
      <c r="A176" s="9" t="n">
        <v>46092</v>
      </c>
      <c r="B176" s="1">
        <f>B175</f>
        <v/>
      </c>
      <c r="C176" t="n">
        <v>75.81999999999999</v>
      </c>
    </row>
    <row r="177">
      <c r="A177" s="9" t="n">
        <v>46093</v>
      </c>
      <c r="B177" s="1">
        <f>B176</f>
        <v/>
      </c>
      <c r="C177" t="n">
        <v>75.31999999999999</v>
      </c>
    </row>
    <row r="178">
      <c r="A178" s="24" t="n">
        <v>46094</v>
      </c>
      <c r="B178" s="1">
        <f>B177</f>
        <v/>
      </c>
      <c r="C178" t="n">
        <v>75.28</v>
      </c>
    </row>
    <row r="179">
      <c r="A179" s="24" t="n">
        <v>46097</v>
      </c>
      <c r="B179" s="1">
        <f>B178</f>
        <v/>
      </c>
      <c r="C179" t="n">
        <v>72.63</v>
      </c>
    </row>
    <row r="180">
      <c r="A180" s="24" t="n">
        <v>46098</v>
      </c>
      <c r="B180" s="1">
        <f>B179</f>
        <v/>
      </c>
      <c r="C180" t="n">
        <v>72.06999999999999</v>
      </c>
    </row>
    <row r="181">
      <c r="A181" s="24" t="n">
        <v>46099</v>
      </c>
      <c r="B181" s="1">
        <f>B180</f>
        <v/>
      </c>
      <c r="C181" t="n">
        <v>72.34</v>
      </c>
    </row>
    <row r="182">
      <c r="A182" s="24" t="n">
        <v>46100</v>
      </c>
      <c r="B182" s="1">
        <f>B181</f>
        <v/>
      </c>
      <c r="C182" t="n">
        <v>71.87</v>
      </c>
    </row>
    <row r="183">
      <c r="A183" s="24" t="n">
        <v>46101</v>
      </c>
      <c r="B183" s="1">
        <f>B182</f>
        <v/>
      </c>
      <c r="C183" t="n">
        <v>71.98</v>
      </c>
    </row>
    <row r="184">
      <c r="A184" s="24" t="n">
        <v>46104</v>
      </c>
      <c r="B184" s="1">
        <f>B183</f>
        <v/>
      </c>
      <c r="C184" t="n">
        <v>71.98</v>
      </c>
    </row>
    <row r="185">
      <c r="A185" s="24" t="n">
        <v>46105</v>
      </c>
      <c r="B185" s="1">
        <f>B184</f>
        <v/>
      </c>
      <c r="C185" t="n">
        <v>72.04000000000001</v>
      </c>
    </row>
    <row r="186">
      <c r="A186" s="24" t="n">
        <v>46106</v>
      </c>
      <c r="B186" s="1">
        <f>B185</f>
        <v/>
      </c>
      <c r="C186" t="n">
        <v>72.04000000000001</v>
      </c>
    </row>
    <row r="187">
      <c r="A187" s="24" t="n">
        <v>46107</v>
      </c>
      <c r="B187" s="1">
        <f>B186</f>
        <v/>
      </c>
      <c r="C187" t="n">
        <v>72.02</v>
      </c>
    </row>
    <row r="188">
      <c r="A188" s="24" t="n">
        <v>46108</v>
      </c>
      <c r="B188" s="1">
        <f>B187</f>
        <v/>
      </c>
      <c r="C188" t="n">
        <v>72.17</v>
      </c>
    </row>
    <row r="189">
      <c r="A189" s="24" t="n">
        <v>46111</v>
      </c>
      <c r="B189" s="1">
        <f>B188</f>
        <v/>
      </c>
      <c r="C189" t="n">
        <v>73.53</v>
      </c>
    </row>
    <row r="190">
      <c r="A190" s="24" t="n">
        <v>46112</v>
      </c>
      <c r="B190" s="1">
        <f>B189</f>
        <v/>
      </c>
      <c r="C190" t="n">
        <v>72.93000000000001</v>
      </c>
    </row>
    <row r="191">
      <c r="A191" s="24" t="n">
        <v>46113</v>
      </c>
      <c r="B191" s="1">
        <f>B200</f>
        <v/>
      </c>
      <c r="C191" t="n">
        <v>71.36</v>
      </c>
    </row>
    <row r="192">
      <c r="A192" s="24" t="n">
        <v>46114</v>
      </c>
      <c r="B192" s="1">
        <f>B201</f>
        <v/>
      </c>
      <c r="C192" t="n">
        <v>71.70999999999999</v>
      </c>
    </row>
    <row r="193">
      <c r="A193" s="24" t="n">
        <v>46118</v>
      </c>
      <c r="B193" s="1">
        <f>B202</f>
        <v/>
      </c>
      <c r="C193" t="n">
        <v>71.02</v>
      </c>
    </row>
    <row r="194">
      <c r="A194" s="24" t="n">
        <v>46119</v>
      </c>
      <c r="B194" s="1">
        <f>B203</f>
        <v/>
      </c>
      <c r="C194" t="n">
        <v>70.13</v>
      </c>
    </row>
    <row r="195">
      <c r="A195" s="24" t="n">
        <v>46120</v>
      </c>
      <c r="B195" s="1">
        <f>B204</f>
        <v/>
      </c>
      <c r="C195" t="n">
        <v>69.25</v>
      </c>
    </row>
    <row r="196">
      <c r="A196" s="24" t="n">
        <v>46121</v>
      </c>
      <c r="B196" s="1">
        <f>B205</f>
        <v/>
      </c>
      <c r="C196" t="n">
        <v>68.64</v>
      </c>
    </row>
    <row r="197">
      <c r="A197" s="24" t="n">
        <v>46122</v>
      </c>
      <c r="B197" s="1">
        <f>B206</f>
        <v/>
      </c>
      <c r="C197" t="n">
        <v>68.25</v>
      </c>
    </row>
    <row r="198">
      <c r="A198" s="24" t="n">
        <v>46125</v>
      </c>
      <c r="B198" s="1">
        <f>B207</f>
        <v/>
      </c>
      <c r="C198" t="n">
        <v>67.7</v>
      </c>
    </row>
    <row r="199">
      <c r="A199" s="24" t="n">
        <v>46126</v>
      </c>
      <c r="B199" s="1">
        <f>B208</f>
        <v/>
      </c>
      <c r="C199" t="n">
        <v>67.33</v>
      </c>
    </row>
    <row r="200">
      <c r="A200" s="24" t="n">
        <v>46127</v>
      </c>
      <c r="B200" s="1">
        <f>B209</f>
        <v/>
      </c>
      <c r="C200" t="n">
        <v>66.23</v>
      </c>
    </row>
    <row r="201">
      <c r="A201" s="24" t="n">
        <v>46128</v>
      </c>
      <c r="B201" s="1">
        <f>B210</f>
        <v/>
      </c>
      <c r="C201" t="n">
        <v>65.89</v>
      </c>
    </row>
    <row r="202">
      <c r="A202" s="24" t="n">
        <v>46129</v>
      </c>
      <c r="B202" s="1">
        <f>B201</f>
        <v/>
      </c>
      <c r="C202" t="n">
        <v>65.66</v>
      </c>
    </row>
    <row r="203">
      <c r="A203" s="24" t="n">
        <v>46132</v>
      </c>
      <c r="B203" s="1">
        <f>B202</f>
        <v/>
      </c>
      <c r="C203" t="n">
        <v>67.48</v>
      </c>
    </row>
    <row r="204">
      <c r="A204" s="24" t="n">
        <v>46134</v>
      </c>
      <c r="B204" s="1">
        <f>B203</f>
        <v/>
      </c>
      <c r="C204" t="n">
        <v>68.95</v>
      </c>
    </row>
    <row r="205">
      <c r="A205" s="24" t="n">
        <v>46135</v>
      </c>
      <c r="B205" s="1">
        <f>B204</f>
        <v/>
      </c>
      <c r="C205" t="n">
        <v>67.94</v>
      </c>
    </row>
    <row r="206">
      <c r="A206" s="24" t="n">
        <v>46136</v>
      </c>
      <c r="B206" s="1">
        <f>B205</f>
        <v/>
      </c>
      <c r="C206" t="n">
        <v>68.42</v>
      </c>
    </row>
    <row r="207">
      <c r="A207" s="24" t="n">
        <v>46139</v>
      </c>
      <c r="B207" s="1">
        <f>B206</f>
        <v/>
      </c>
      <c r="C207" t="n">
        <v>68.92</v>
      </c>
    </row>
    <row r="208">
      <c r="A208" s="24" t="n">
        <v>46140</v>
      </c>
      <c r="B208" s="1">
        <f>B207</f>
        <v/>
      </c>
      <c r="C208" t="n">
        <v>68.26000000000001</v>
      </c>
    </row>
    <row r="209">
      <c r="A209" s="24" t="n">
        <v>46141</v>
      </c>
      <c r="B209" s="1">
        <f>B208</f>
        <v/>
      </c>
      <c r="C209" t="n">
        <v>68.8</v>
      </c>
    </row>
    <row r="210">
      <c r="A210" s="24" t="n">
        <v>46142</v>
      </c>
      <c r="B210" s="1">
        <f>B209</f>
        <v/>
      </c>
      <c r="C210" t="n">
        <v>67.95</v>
      </c>
    </row>
    <row r="211">
      <c r="A211" s="24" t="n">
        <v>46146</v>
      </c>
      <c r="B211" s="1">
        <f>B210</f>
        <v/>
      </c>
      <c r="C211" t="n">
        <v>67.53</v>
      </c>
    </row>
    <row r="212">
      <c r="A212" s="24" t="n">
        <v>46147</v>
      </c>
      <c r="B212" s="1">
        <f>B211</f>
        <v/>
      </c>
      <c r="C212" t="n">
        <v>67.03</v>
      </c>
    </row>
    <row r="213">
      <c r="A213" s="24" t="n">
        <v>46148</v>
      </c>
      <c r="B213" s="1">
        <f>B212</f>
        <v/>
      </c>
      <c r="C213" t="n">
        <v>66.34</v>
      </c>
    </row>
    <row r="214">
      <c r="A214" s="24" t="n">
        <v>46149</v>
      </c>
      <c r="B214" s="1">
        <f>B213</f>
        <v/>
      </c>
      <c r="C214" t="n">
        <v>66.02</v>
      </c>
    </row>
    <row r="215">
      <c r="A215" s="24" t="n">
        <v>46150</v>
      </c>
      <c r="B215" s="1">
        <f>B214</f>
        <v/>
      </c>
      <c r="C215" t="n">
        <v>65.98999999999999</v>
      </c>
    </row>
    <row r="216">
      <c r="A216" s="24" t="n">
        <v>46153</v>
      </c>
      <c r="B216" s="1">
        <f>B215</f>
        <v/>
      </c>
      <c r="C216" t="n">
        <v>65.98</v>
      </c>
    </row>
    <row r="217">
      <c r="A217" s="24" t="n">
        <v>46154</v>
      </c>
      <c r="B217" s="1">
        <f>B216</f>
        <v/>
      </c>
      <c r="C217" t="n">
        <v>65.79000000000001</v>
      </c>
    </row>
    <row r="218">
      <c r="A218" s="24" t="n">
        <v>46155</v>
      </c>
      <c r="B218" s="1">
        <f>B217</f>
        <v/>
      </c>
      <c r="C218" t="n">
        <v>65.23</v>
      </c>
    </row>
    <row r="219">
      <c r="A219" s="24" t="n">
        <v>46156</v>
      </c>
      <c r="B219" s="1">
        <f>B218</f>
        <v/>
      </c>
      <c r="C219" t="n">
        <v>65.22</v>
      </c>
    </row>
    <row r="220">
      <c r="A220" s="24" t="n">
        <v>46157</v>
      </c>
      <c r="B220" s="1">
        <f>B219</f>
        <v/>
      </c>
      <c r="C220" t="n">
        <v>65.38</v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2.xml><?xml version="1.0" encoding="utf-8"?>
<worksheet xmlns="http://schemas.openxmlformats.org/spreadsheetml/2006/main">
  <sheetPr codeName="Planilha42">
    <outlinePr summaryBelow="1" summaryRight="1"/>
    <pageSetUpPr/>
  </sheetPr>
  <dimension ref="A1:C240"/>
  <sheetViews>
    <sheetView topLeftCell="A213" zoomScale="90" zoomScaleNormal="90" workbookViewId="0">
      <selection activeCell="A155" sqref="A155:XFD155"/>
    </sheetView>
  </sheetViews>
  <sheetFormatPr baseColWidth="8" defaultRowHeight="15" outlineLevelCol="0"/>
  <cols>
    <col width="18.28515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45870</v>
      </c>
      <c r="B2" s="1" t="inlineStr">
        <is>
          <t>CCMN26</t>
        </is>
      </c>
      <c r="C2" t="n">
        <v>70.40000000000001</v>
      </c>
    </row>
    <row r="3">
      <c r="A3" s="4" t="n">
        <v>45873</v>
      </c>
      <c r="B3" s="1">
        <f>B2</f>
        <v/>
      </c>
      <c r="C3" t="n">
        <v>70</v>
      </c>
    </row>
    <row r="4">
      <c r="A4" s="4" t="n">
        <v>45874</v>
      </c>
      <c r="B4" s="1">
        <f>B3</f>
        <v/>
      </c>
      <c r="C4" t="n">
        <v>70</v>
      </c>
    </row>
    <row r="5">
      <c r="A5" s="4" t="n">
        <v>45875</v>
      </c>
      <c r="B5" s="1">
        <f>B4</f>
        <v/>
      </c>
      <c r="C5" t="n">
        <v>68.34999999999999</v>
      </c>
    </row>
    <row r="6">
      <c r="A6" s="4" t="n">
        <v>45876</v>
      </c>
      <c r="B6" s="1">
        <f>B5</f>
        <v/>
      </c>
      <c r="C6" t="n">
        <v>68.34999999999999</v>
      </c>
    </row>
    <row r="7">
      <c r="A7" s="4" t="n">
        <v>45877</v>
      </c>
      <c r="B7" s="1">
        <f>B6</f>
        <v/>
      </c>
      <c r="C7" t="n">
        <v>68.5</v>
      </c>
    </row>
    <row r="8">
      <c r="A8" s="4" t="n">
        <v>45880</v>
      </c>
      <c r="B8" s="1">
        <f>B7</f>
        <v/>
      </c>
      <c r="C8" t="n">
        <v>68.3</v>
      </c>
    </row>
    <row r="9">
      <c r="A9" s="4" t="n">
        <v>45881</v>
      </c>
      <c r="B9" s="1">
        <f>B8</f>
        <v/>
      </c>
      <c r="C9" t="n">
        <v>67.70999999999999</v>
      </c>
    </row>
    <row r="10">
      <c r="A10" s="4" t="n">
        <v>45882</v>
      </c>
      <c r="B10" s="1">
        <f>B9</f>
        <v/>
      </c>
      <c r="C10" t="n">
        <v>67.55</v>
      </c>
    </row>
    <row r="11">
      <c r="A11" s="4" t="n">
        <v>45883</v>
      </c>
      <c r="B11" s="1">
        <f>B10</f>
        <v/>
      </c>
      <c r="C11" t="n">
        <v>66.8</v>
      </c>
    </row>
    <row r="12">
      <c r="A12" s="4" t="n">
        <v>45884</v>
      </c>
      <c r="B12" s="1">
        <f>B11</f>
        <v/>
      </c>
      <c r="C12" t="n">
        <v>67</v>
      </c>
    </row>
    <row r="13">
      <c r="A13" s="4" t="n">
        <v>45887</v>
      </c>
      <c r="B13" s="1">
        <f>B12</f>
        <v/>
      </c>
      <c r="C13" t="n">
        <v>68.40000000000001</v>
      </c>
    </row>
    <row r="14">
      <c r="A14" s="4" t="n">
        <v>45888</v>
      </c>
      <c r="B14" s="1">
        <f>B13</f>
        <v/>
      </c>
      <c r="C14" t="n">
        <v>69.34999999999999</v>
      </c>
    </row>
    <row r="15">
      <c r="A15" s="4" t="n">
        <v>45889</v>
      </c>
      <c r="B15" s="1">
        <f>B14</f>
        <v/>
      </c>
      <c r="C15" t="n">
        <v>69.06</v>
      </c>
    </row>
    <row r="16">
      <c r="A16" s="4" t="n">
        <v>45890</v>
      </c>
      <c r="B16" s="1">
        <f>B15</f>
        <v/>
      </c>
      <c r="C16" t="n">
        <v>69.37</v>
      </c>
    </row>
    <row r="17">
      <c r="A17" s="4" t="n">
        <v>45891</v>
      </c>
      <c r="B17" s="1">
        <f>B16</f>
        <v/>
      </c>
      <c r="C17" t="n">
        <v>69.72</v>
      </c>
    </row>
    <row r="18">
      <c r="A18" s="4" t="n">
        <v>45894</v>
      </c>
      <c r="B18" s="1">
        <f>B17</f>
        <v/>
      </c>
      <c r="C18" t="n">
        <v>69.72</v>
      </c>
    </row>
    <row r="19">
      <c r="A19" s="4" t="n">
        <v>45895</v>
      </c>
      <c r="B19" s="1">
        <f>B18</f>
        <v/>
      </c>
      <c r="C19" t="n">
        <v>69.3</v>
      </c>
    </row>
    <row r="20">
      <c r="A20" s="4" t="n">
        <v>45896</v>
      </c>
      <c r="B20" s="1">
        <f>B19</f>
        <v/>
      </c>
      <c r="C20" t="n">
        <v>69.59999999999999</v>
      </c>
    </row>
    <row r="21">
      <c r="A21" s="4" t="n">
        <v>45897</v>
      </c>
      <c r="B21" s="1">
        <f>B20</f>
        <v/>
      </c>
      <c r="C21" t="n">
        <v>69</v>
      </c>
    </row>
    <row r="22">
      <c r="A22" s="4" t="n">
        <v>45898</v>
      </c>
      <c r="B22" s="1">
        <f>B21</f>
        <v/>
      </c>
      <c r="C22" t="n">
        <v>69.3</v>
      </c>
    </row>
    <row r="23">
      <c r="A23" s="4" t="n">
        <v>45901</v>
      </c>
      <c r="B23" s="1">
        <f>B22</f>
        <v/>
      </c>
      <c r="C23" t="n">
        <v>69.3</v>
      </c>
    </row>
    <row r="24">
      <c r="A24" s="4" t="n">
        <v>45902</v>
      </c>
      <c r="B24" s="1">
        <f>B23</f>
        <v/>
      </c>
      <c r="C24" t="n">
        <v>69.3</v>
      </c>
    </row>
    <row r="25">
      <c r="A25" s="4" t="n">
        <v>45903</v>
      </c>
      <c r="B25" s="1">
        <f>B24</f>
        <v/>
      </c>
      <c r="C25" t="n">
        <v>69.3</v>
      </c>
    </row>
    <row r="26">
      <c r="A26" s="4" t="n">
        <v>45904</v>
      </c>
      <c r="B26" s="1">
        <f>B25</f>
        <v/>
      </c>
      <c r="C26" t="n">
        <v>69</v>
      </c>
    </row>
    <row r="27">
      <c r="A27" s="4" t="n">
        <v>45905</v>
      </c>
      <c r="B27" s="1">
        <f>B26</f>
        <v/>
      </c>
      <c r="C27" t="n">
        <v>68.95999999999999</v>
      </c>
    </row>
    <row r="28">
      <c r="A28" s="4" t="n">
        <v>45908</v>
      </c>
      <c r="B28" s="1">
        <f>B27</f>
        <v/>
      </c>
      <c r="C28" t="n">
        <v>69.01000000000001</v>
      </c>
    </row>
    <row r="29">
      <c r="A29" s="4" t="n">
        <v>45909</v>
      </c>
      <c r="B29" s="1">
        <f>B28</f>
        <v/>
      </c>
      <c r="C29" t="n">
        <v>68.68000000000001</v>
      </c>
    </row>
    <row r="30">
      <c r="A30" s="4" t="n">
        <v>45910</v>
      </c>
      <c r="B30" s="1">
        <f>B29</f>
        <v/>
      </c>
      <c r="C30" t="n">
        <v>68.95</v>
      </c>
    </row>
    <row r="31">
      <c r="A31" s="4" t="n">
        <v>45911</v>
      </c>
      <c r="B31" s="1">
        <f>B30</f>
        <v/>
      </c>
      <c r="C31" t="n">
        <v>68.8</v>
      </c>
    </row>
    <row r="32">
      <c r="A32" s="4" t="n">
        <v>45912</v>
      </c>
      <c r="B32" s="1">
        <f>B31</f>
        <v/>
      </c>
      <c r="C32" t="n">
        <v>68.65000000000001</v>
      </c>
    </row>
    <row r="33">
      <c r="A33" s="4" t="n">
        <v>45915</v>
      </c>
      <c r="B33" s="1">
        <f>B32</f>
        <v/>
      </c>
      <c r="C33" t="n">
        <v>68.68000000000001</v>
      </c>
    </row>
    <row r="34">
      <c r="A34" s="4" t="n">
        <v>45916</v>
      </c>
      <c r="B34" s="1">
        <f>B33</f>
        <v/>
      </c>
      <c r="C34" t="n">
        <v>69.12</v>
      </c>
    </row>
    <row r="35">
      <c r="A35" s="4" t="n">
        <v>45917</v>
      </c>
      <c r="B35" s="1">
        <f>B34</f>
        <v/>
      </c>
      <c r="C35" t="n">
        <v>69.02</v>
      </c>
    </row>
    <row r="36">
      <c r="A36" s="4" t="n">
        <v>45918</v>
      </c>
      <c r="B36" s="1">
        <f>B35</f>
        <v/>
      </c>
      <c r="C36" t="n">
        <v>69.3</v>
      </c>
    </row>
    <row r="37">
      <c r="A37" s="4" t="n">
        <v>45919</v>
      </c>
      <c r="B37" s="1">
        <f>B36</f>
        <v/>
      </c>
      <c r="C37" t="n">
        <v>69.40000000000001</v>
      </c>
    </row>
    <row r="38">
      <c r="A38" s="4" t="n">
        <v>45922</v>
      </c>
      <c r="B38" s="1">
        <f>B37</f>
        <v/>
      </c>
      <c r="C38" t="n">
        <v>68.77</v>
      </c>
    </row>
    <row r="39">
      <c r="A39" s="4" t="n">
        <v>45923</v>
      </c>
      <c r="B39" s="1">
        <f>B38</f>
        <v/>
      </c>
      <c r="C39" t="n">
        <v>68.58</v>
      </c>
    </row>
    <row r="40">
      <c r="A40" s="4" t="n">
        <v>45924</v>
      </c>
      <c r="B40" s="1">
        <f>B39</f>
        <v/>
      </c>
      <c r="C40" t="n">
        <v>68.95</v>
      </c>
    </row>
    <row r="41">
      <c r="A41" s="4" t="n">
        <v>45925</v>
      </c>
      <c r="B41" s="1">
        <f>B40</f>
        <v/>
      </c>
      <c r="C41" t="n">
        <v>69</v>
      </c>
    </row>
    <row r="42">
      <c r="A42" s="4" t="n">
        <v>45926</v>
      </c>
      <c r="B42" s="1">
        <f>B41</f>
        <v/>
      </c>
      <c r="C42" t="n">
        <v>69.01000000000001</v>
      </c>
    </row>
    <row r="43">
      <c r="A43" s="4" t="n">
        <v>45929</v>
      </c>
      <c r="B43" s="1">
        <f>B42</f>
        <v/>
      </c>
      <c r="C43" t="n">
        <v>69.3</v>
      </c>
    </row>
    <row r="44">
      <c r="A44" s="4" t="n">
        <v>45930</v>
      </c>
      <c r="B44" s="1">
        <f>B43</f>
        <v/>
      </c>
      <c r="C44" t="n">
        <v>68.98999999999999</v>
      </c>
    </row>
    <row r="45">
      <c r="A45" s="4" t="n">
        <v>45931</v>
      </c>
      <c r="B45" s="1">
        <f>B44</f>
        <v/>
      </c>
      <c r="C45" t="n">
        <v>69.8</v>
      </c>
    </row>
    <row r="46">
      <c r="A46" s="4" t="n">
        <v>45932</v>
      </c>
      <c r="B46" s="1">
        <f>B45</f>
        <v/>
      </c>
      <c r="C46" t="n">
        <v>69.15000000000001</v>
      </c>
    </row>
    <row r="47">
      <c r="A47" s="4" t="n">
        <v>45933</v>
      </c>
      <c r="B47" s="1">
        <f>B46</f>
        <v/>
      </c>
      <c r="C47" t="n">
        <v>69.23</v>
      </c>
    </row>
    <row r="48">
      <c r="A48" s="4" t="n">
        <v>45936</v>
      </c>
      <c r="B48" s="1">
        <f>B47</f>
        <v/>
      </c>
      <c r="C48" t="n">
        <v>69.40000000000001</v>
      </c>
    </row>
    <row r="49">
      <c r="A49" s="4" t="n">
        <v>45937</v>
      </c>
      <c r="B49" s="1">
        <f>B48</f>
        <v/>
      </c>
      <c r="C49" t="n">
        <v>69.01000000000001</v>
      </c>
    </row>
    <row r="50">
      <c r="A50" s="4" t="n">
        <v>45938</v>
      </c>
      <c r="B50" s="1">
        <f>B49</f>
        <v/>
      </c>
      <c r="C50" t="n">
        <v>69.01000000000001</v>
      </c>
    </row>
    <row r="51">
      <c r="A51" s="4" t="n">
        <v>45939</v>
      </c>
      <c r="B51" s="1">
        <f>B50</f>
        <v/>
      </c>
      <c r="C51" t="n">
        <v>69.16</v>
      </c>
    </row>
    <row r="52">
      <c r="A52" s="4" t="n">
        <v>45940</v>
      </c>
      <c r="B52" s="1">
        <f>B51</f>
        <v/>
      </c>
      <c r="C52" t="n">
        <v>69.40000000000001</v>
      </c>
    </row>
    <row r="53">
      <c r="A53" s="4" t="n">
        <v>45943</v>
      </c>
      <c r="B53" s="1">
        <f>B52</f>
        <v/>
      </c>
      <c r="C53" t="n">
        <v>68.93000000000001</v>
      </c>
    </row>
    <row r="54">
      <c r="A54" s="4" t="n">
        <v>45944</v>
      </c>
      <c r="B54" s="1">
        <f>B53</f>
        <v/>
      </c>
      <c r="C54" t="n">
        <v>68.97</v>
      </c>
    </row>
    <row r="55">
      <c r="A55" s="4" t="n">
        <v>45945</v>
      </c>
      <c r="B55" s="1">
        <f>B54</f>
        <v/>
      </c>
      <c r="C55" t="n">
        <v>69.18000000000001</v>
      </c>
    </row>
    <row r="56">
      <c r="A56" s="4" t="n">
        <v>45946</v>
      </c>
      <c r="B56" s="1">
        <f>B55</f>
        <v/>
      </c>
      <c r="C56" t="n">
        <v>69.29000000000001</v>
      </c>
    </row>
    <row r="57">
      <c r="A57" s="4" t="n">
        <v>45947</v>
      </c>
      <c r="B57" s="1">
        <f>B56</f>
        <v/>
      </c>
      <c r="C57" t="n">
        <v>69.95</v>
      </c>
    </row>
    <row r="58">
      <c r="A58" s="4" t="n">
        <v>45950</v>
      </c>
      <c r="B58" s="1">
        <f>B57</f>
        <v/>
      </c>
      <c r="C58" t="n">
        <v>69.40000000000001</v>
      </c>
    </row>
    <row r="59">
      <c r="A59" s="4" t="n">
        <v>45951</v>
      </c>
      <c r="B59" s="1">
        <f>B58</f>
        <v/>
      </c>
      <c r="C59" t="n">
        <v>69.70999999999999</v>
      </c>
    </row>
    <row r="60">
      <c r="A60" s="4" t="n">
        <v>45952</v>
      </c>
      <c r="B60" s="1">
        <f>B59</f>
        <v/>
      </c>
      <c r="C60" t="n">
        <v>69.8</v>
      </c>
    </row>
    <row r="61">
      <c r="A61" s="4" t="n">
        <v>45953</v>
      </c>
      <c r="B61" s="1">
        <f>B60</f>
        <v/>
      </c>
      <c r="C61" t="n">
        <v>69.84999999999999</v>
      </c>
    </row>
    <row r="62">
      <c r="A62" s="4" t="n">
        <v>45954</v>
      </c>
      <c r="B62" s="1">
        <f>B61</f>
        <v/>
      </c>
      <c r="C62" t="n">
        <v>70.06999999999999</v>
      </c>
    </row>
    <row r="63">
      <c r="A63" s="4" t="n">
        <v>45957</v>
      </c>
      <c r="B63" s="1">
        <f>B62</f>
        <v/>
      </c>
      <c r="C63" t="n">
        <v>70</v>
      </c>
    </row>
    <row r="64">
      <c r="A64" s="4" t="n">
        <v>45958</v>
      </c>
      <c r="B64" s="1">
        <f>B63</f>
        <v/>
      </c>
      <c r="C64" t="n">
        <v>69.98999999999999</v>
      </c>
    </row>
    <row r="65">
      <c r="A65" s="4" t="n">
        <v>45959</v>
      </c>
      <c r="B65" s="1">
        <f>B64</f>
        <v/>
      </c>
      <c r="C65" t="n">
        <v>69.90000000000001</v>
      </c>
    </row>
    <row r="66">
      <c r="A66" s="4" t="n">
        <v>45960</v>
      </c>
      <c r="B66" s="1">
        <f>B65</f>
        <v/>
      </c>
      <c r="C66" t="n">
        <v>69.7</v>
      </c>
    </row>
    <row r="67">
      <c r="A67" s="4" t="n">
        <v>45961</v>
      </c>
      <c r="B67" s="1">
        <f>B66</f>
        <v/>
      </c>
      <c r="C67" s="1" t="n">
        <v>69.59</v>
      </c>
    </row>
    <row r="68">
      <c r="A68" s="4" t="n">
        <v>45964</v>
      </c>
      <c r="B68" s="1">
        <f>B67</f>
        <v/>
      </c>
      <c r="C68" s="1" t="n">
        <v>69.91</v>
      </c>
    </row>
    <row r="69">
      <c r="A69" s="4" t="n">
        <v>45965</v>
      </c>
      <c r="B69" s="1">
        <f>B68</f>
        <v/>
      </c>
      <c r="C69" s="1" t="n">
        <v>69.7</v>
      </c>
    </row>
    <row r="70">
      <c r="A70" s="4" t="n">
        <v>45966</v>
      </c>
      <c r="B70" s="1">
        <f>B69</f>
        <v/>
      </c>
      <c r="C70" s="1" t="n">
        <v>69.73</v>
      </c>
    </row>
    <row r="71">
      <c r="A71" s="4" t="n">
        <v>45967</v>
      </c>
      <c r="B71" s="1">
        <f>B70</f>
        <v/>
      </c>
      <c r="C71" s="1" t="n">
        <v>69.39</v>
      </c>
    </row>
    <row r="72">
      <c r="A72" s="4" t="n">
        <v>45968</v>
      </c>
      <c r="B72" s="1">
        <f>B71</f>
        <v/>
      </c>
      <c r="C72" s="1" t="n">
        <v>69.41</v>
      </c>
    </row>
    <row r="73">
      <c r="A73" s="4" t="n">
        <v>45971</v>
      </c>
      <c r="B73" s="1">
        <f>B72</f>
        <v/>
      </c>
      <c r="C73" s="1" t="n">
        <v>69.54000000000001</v>
      </c>
    </row>
    <row r="74">
      <c r="A74" s="4" t="n">
        <v>45972</v>
      </c>
      <c r="B74" s="1">
        <f>B73</f>
        <v/>
      </c>
      <c r="C74" s="1" t="n">
        <v>69.51000000000001</v>
      </c>
    </row>
    <row r="75">
      <c r="A75" s="4" t="n">
        <v>45973</v>
      </c>
      <c r="B75" s="1">
        <f>B74</f>
        <v/>
      </c>
      <c r="C75" s="1" t="n">
        <v>69.31999999999999</v>
      </c>
    </row>
    <row r="76">
      <c r="A76" s="4" t="n">
        <v>45974</v>
      </c>
      <c r="B76" s="1">
        <f>B75</f>
        <v/>
      </c>
      <c r="C76" s="1" t="n">
        <v>69.59</v>
      </c>
    </row>
    <row r="77">
      <c r="A77" s="4" t="n">
        <v>45975</v>
      </c>
      <c r="B77" s="1">
        <f>B76</f>
        <v/>
      </c>
      <c r="C77" s="1" t="n">
        <v>69.53</v>
      </c>
    </row>
    <row r="78">
      <c r="A78" s="4" t="n">
        <v>45978</v>
      </c>
      <c r="B78" s="1">
        <f>B77</f>
        <v/>
      </c>
      <c r="C78" s="1" t="n">
        <v>69.84999999999999</v>
      </c>
    </row>
    <row r="79">
      <c r="A79" s="4" t="n">
        <v>45979</v>
      </c>
      <c r="B79" s="1">
        <f>B78</f>
        <v/>
      </c>
      <c r="C79" s="1" t="n">
        <v>69.79000000000001</v>
      </c>
    </row>
    <row r="80">
      <c r="A80" s="4" t="n">
        <v>45980</v>
      </c>
      <c r="B80" s="1">
        <f>B79</f>
        <v/>
      </c>
      <c r="C80" s="1" t="n">
        <v>69.69</v>
      </c>
    </row>
    <row r="81">
      <c r="A81" s="4" t="n">
        <v>45982</v>
      </c>
      <c r="B81" s="1">
        <f>B80</f>
        <v/>
      </c>
      <c r="C81" s="1" t="n">
        <v>69.92</v>
      </c>
    </row>
    <row r="82">
      <c r="A82" s="4" t="n">
        <v>45985</v>
      </c>
      <c r="B82" s="1">
        <f>B81</f>
        <v/>
      </c>
      <c r="C82" s="1" t="n">
        <v>69.79000000000001</v>
      </c>
    </row>
    <row r="83">
      <c r="A83" s="4" t="n">
        <v>45986</v>
      </c>
      <c r="B83" s="1">
        <f>B82</f>
        <v/>
      </c>
      <c r="C83" s="1" t="n">
        <v>69.97</v>
      </c>
    </row>
    <row r="84">
      <c r="A84" s="4" t="n">
        <v>45987</v>
      </c>
      <c r="B84" s="1">
        <f>B83</f>
        <v/>
      </c>
      <c r="C84" s="1" t="n">
        <v>70.70999999999999</v>
      </c>
    </row>
    <row r="85">
      <c r="A85" s="4" t="n">
        <v>45988</v>
      </c>
      <c r="B85" s="1">
        <f>B84</f>
        <v/>
      </c>
      <c r="C85" s="1" t="n">
        <v>71.3</v>
      </c>
    </row>
    <row r="86">
      <c r="A86" s="4" t="n">
        <v>45989</v>
      </c>
      <c r="B86" s="1">
        <f>B85</f>
        <v/>
      </c>
      <c r="C86" s="1" t="n">
        <v>70.95</v>
      </c>
    </row>
    <row r="87">
      <c r="A87" s="4" t="n">
        <v>45992</v>
      </c>
      <c r="B87" s="1">
        <f>B86</f>
        <v/>
      </c>
      <c r="C87" s="1" t="n">
        <v>71.08</v>
      </c>
    </row>
    <row r="88">
      <c r="A88" s="4" t="n">
        <v>45993</v>
      </c>
      <c r="B88" s="1">
        <f>B87</f>
        <v/>
      </c>
      <c r="C88" s="1" t="n">
        <v>71.58</v>
      </c>
    </row>
    <row r="89">
      <c r="A89" s="4" t="n">
        <v>45994</v>
      </c>
      <c r="B89" s="1">
        <f>B88</f>
        <v/>
      </c>
      <c r="C89" s="1" t="n">
        <v>71.31</v>
      </c>
    </row>
    <row r="90">
      <c r="A90" s="4" t="n">
        <v>45995</v>
      </c>
      <c r="B90" s="1">
        <f>B89</f>
        <v/>
      </c>
      <c r="C90" s="1" t="n">
        <v>71.09999999999999</v>
      </c>
    </row>
    <row r="91">
      <c r="A91" s="4" t="n">
        <v>45996</v>
      </c>
      <c r="B91" s="1">
        <f>B90</f>
        <v/>
      </c>
      <c r="C91" s="1" t="n">
        <v>70.78</v>
      </c>
    </row>
    <row r="92">
      <c r="A92" s="4" t="n">
        <v>45999</v>
      </c>
      <c r="B92" s="1">
        <f>B91</f>
        <v/>
      </c>
      <c r="C92" s="1" t="n">
        <v>70.95999999999999</v>
      </c>
    </row>
    <row r="93">
      <c r="A93" s="4" t="n">
        <v>46000</v>
      </c>
      <c r="B93" s="1">
        <f>B92</f>
        <v/>
      </c>
      <c r="C93" s="1" t="n">
        <v>71.22</v>
      </c>
    </row>
    <row r="94">
      <c r="A94" s="4" t="n">
        <v>46001</v>
      </c>
      <c r="B94" s="1">
        <f>B93</f>
        <v/>
      </c>
      <c r="C94" s="1" t="n">
        <v>70.84999999999999</v>
      </c>
    </row>
    <row r="95">
      <c r="A95" s="4" t="n">
        <v>46002</v>
      </c>
      <c r="B95" s="1">
        <f>B94</f>
        <v/>
      </c>
      <c r="C95" s="1" t="n">
        <v>70.66</v>
      </c>
    </row>
    <row r="96">
      <c r="A96" s="4" t="n">
        <v>46003</v>
      </c>
      <c r="B96" s="1">
        <f>B95</f>
        <v/>
      </c>
      <c r="C96" s="1" t="n">
        <v>70.67</v>
      </c>
    </row>
    <row r="97">
      <c r="A97" s="4" t="n">
        <v>46006</v>
      </c>
      <c r="B97" s="1">
        <f>B96</f>
        <v/>
      </c>
      <c r="C97" t="n">
        <v>70.61</v>
      </c>
    </row>
    <row r="98">
      <c r="A98" s="4" t="n">
        <v>46007</v>
      </c>
      <c r="B98" s="1">
        <f>B97</f>
        <v/>
      </c>
      <c r="C98" t="n">
        <v>70.43000000000001</v>
      </c>
    </row>
    <row r="99">
      <c r="A99" s="4" t="n">
        <v>46008</v>
      </c>
      <c r="B99" s="1">
        <f>B98</f>
        <v/>
      </c>
      <c r="C99" t="n">
        <v>70.59</v>
      </c>
    </row>
    <row r="100">
      <c r="A100" s="4" t="n">
        <v>46009</v>
      </c>
      <c r="B100" s="1">
        <f>B99</f>
        <v/>
      </c>
      <c r="C100" t="n">
        <v>70.40000000000001</v>
      </c>
    </row>
    <row r="101">
      <c r="A101" s="4" t="n">
        <v>46010</v>
      </c>
      <c r="B101" s="1">
        <f>B100</f>
        <v/>
      </c>
      <c r="C101" t="n">
        <v>70.81</v>
      </c>
    </row>
    <row r="102">
      <c r="A102" s="4" t="n">
        <v>46013</v>
      </c>
      <c r="B102" s="1">
        <f>B101</f>
        <v/>
      </c>
      <c r="C102" t="n">
        <v>71.14</v>
      </c>
    </row>
    <row r="103">
      <c r="A103" s="4" t="n">
        <v>46014</v>
      </c>
      <c r="B103" s="1">
        <f>B102</f>
        <v/>
      </c>
      <c r="C103" t="n">
        <v>70.68000000000001</v>
      </c>
    </row>
    <row r="104">
      <c r="A104" s="4" t="n">
        <v>46017</v>
      </c>
      <c r="B104" s="1">
        <f>B103</f>
        <v/>
      </c>
      <c r="C104" t="n">
        <v>70.73999999999999</v>
      </c>
    </row>
    <row r="105">
      <c r="A105" s="4" t="n">
        <v>46020</v>
      </c>
      <c r="B105" s="1">
        <f>B104</f>
        <v/>
      </c>
      <c r="C105" t="n">
        <v>70.95999999999999</v>
      </c>
    </row>
    <row r="106">
      <c r="A106" s="4" t="n">
        <v>46021</v>
      </c>
      <c r="B106" s="1">
        <f>B105</f>
        <v/>
      </c>
      <c r="C106" t="n">
        <v>70.73999999999999</v>
      </c>
    </row>
    <row r="107">
      <c r="A107" s="4" t="n">
        <v>46024</v>
      </c>
      <c r="B107" s="1">
        <f>B106</f>
        <v/>
      </c>
      <c r="C107" t="n">
        <v>70.39</v>
      </c>
    </row>
    <row r="108">
      <c r="A108" s="4" t="n">
        <v>46027</v>
      </c>
      <c r="B108" s="1">
        <f>B107</f>
        <v/>
      </c>
      <c r="C108" t="n">
        <v>70.70999999999999</v>
      </c>
    </row>
    <row r="109">
      <c r="A109" s="4" t="n">
        <v>46028</v>
      </c>
      <c r="B109" s="1">
        <f>B108</f>
        <v/>
      </c>
      <c r="C109" t="n">
        <v>70.67</v>
      </c>
    </row>
    <row r="110">
      <c r="A110" s="4" t="n">
        <v>46029</v>
      </c>
      <c r="B110" s="1">
        <f>B109</f>
        <v/>
      </c>
      <c r="C110" t="n">
        <v>70.48999999999999</v>
      </c>
    </row>
    <row r="111">
      <c r="A111" s="4" t="n">
        <v>46030</v>
      </c>
      <c r="B111" s="1">
        <f>B110</f>
        <v/>
      </c>
      <c r="C111" t="n">
        <v>70.52</v>
      </c>
    </row>
    <row r="112">
      <c r="A112" s="4" t="n">
        <v>46031</v>
      </c>
      <c r="B112" s="1">
        <f>B111</f>
        <v/>
      </c>
      <c r="C112" t="n">
        <v>70.39</v>
      </c>
    </row>
    <row r="113">
      <c r="A113" s="4" t="n">
        <v>46034</v>
      </c>
      <c r="B113" s="1">
        <f>B112</f>
        <v/>
      </c>
      <c r="C113" t="n">
        <v>70.08</v>
      </c>
    </row>
    <row r="114">
      <c r="A114" s="4" t="n">
        <v>46035</v>
      </c>
      <c r="B114" s="1">
        <f>B113</f>
        <v/>
      </c>
      <c r="C114" t="n">
        <v>69.75</v>
      </c>
    </row>
    <row r="115">
      <c r="A115" s="4" t="n">
        <v>46036</v>
      </c>
      <c r="B115" s="1">
        <f>B114</f>
        <v/>
      </c>
      <c r="C115" t="n">
        <v>69.47</v>
      </c>
    </row>
    <row r="116">
      <c r="A116" s="4" t="n">
        <v>46037</v>
      </c>
      <c r="B116" s="1">
        <f>B115</f>
        <v/>
      </c>
      <c r="C116" t="n">
        <v>68.95</v>
      </c>
    </row>
    <row r="117">
      <c r="A117" s="4" t="n">
        <v>46038</v>
      </c>
      <c r="B117" s="1">
        <f>B116</f>
        <v/>
      </c>
      <c r="C117" t="n">
        <v>68.90000000000001</v>
      </c>
    </row>
    <row r="118">
      <c r="A118" s="4" t="n">
        <v>46041</v>
      </c>
      <c r="B118" s="1">
        <f>B117</f>
        <v/>
      </c>
      <c r="C118" t="n">
        <v>68.73</v>
      </c>
    </row>
    <row r="119">
      <c r="A119" s="9" t="n">
        <v>46042</v>
      </c>
      <c r="B119" s="1">
        <f>B118</f>
        <v/>
      </c>
      <c r="C119" t="n">
        <v>68.66</v>
      </c>
    </row>
    <row r="120">
      <c r="A120" s="4" t="n">
        <v>46043</v>
      </c>
      <c r="B120" s="1">
        <f>B119</f>
        <v/>
      </c>
      <c r="C120" t="n">
        <v>68.13</v>
      </c>
    </row>
    <row r="121">
      <c r="A121" s="4" t="n">
        <v>46044</v>
      </c>
      <c r="B121" s="1">
        <f>B120</f>
        <v/>
      </c>
      <c r="C121" t="n">
        <v>67.59999999999999</v>
      </c>
    </row>
    <row r="122">
      <c r="A122" s="9" t="n">
        <v>46045</v>
      </c>
      <c r="B122" s="1">
        <f>B121</f>
        <v/>
      </c>
      <c r="C122" t="n">
        <v>67.51000000000001</v>
      </c>
    </row>
    <row r="123">
      <c r="A123" s="9" t="n">
        <v>46048</v>
      </c>
      <c r="B123" s="1">
        <f>B122</f>
        <v/>
      </c>
      <c r="C123" t="n">
        <v>67.34</v>
      </c>
    </row>
    <row r="124">
      <c r="A124" s="9" t="n">
        <v>46049</v>
      </c>
      <c r="B124" s="1">
        <f>B123</f>
        <v/>
      </c>
      <c r="C124" t="n">
        <v>67.48</v>
      </c>
    </row>
    <row r="125">
      <c r="A125" s="9" t="n">
        <v>46050</v>
      </c>
      <c r="B125" s="1">
        <f>B124</f>
        <v/>
      </c>
      <c r="C125" t="n">
        <v>67.20999999999999</v>
      </c>
    </row>
    <row r="126">
      <c r="A126" s="9" t="n">
        <v>46051</v>
      </c>
      <c r="B126" s="1">
        <f>B125</f>
        <v/>
      </c>
      <c r="C126" t="n">
        <v>67.33</v>
      </c>
    </row>
    <row r="127">
      <c r="A127" s="9" t="n">
        <v>46052</v>
      </c>
      <c r="B127" s="1">
        <f>B126</f>
        <v/>
      </c>
      <c r="C127" t="n">
        <v>67.19</v>
      </c>
    </row>
    <row r="128">
      <c r="A128" s="9" t="n">
        <v>46055</v>
      </c>
      <c r="B128" s="1">
        <f>B127</f>
        <v/>
      </c>
      <c r="C128" t="n">
        <v>67.31999999999999</v>
      </c>
    </row>
    <row r="129">
      <c r="A129" s="9" t="n">
        <v>46056</v>
      </c>
      <c r="B129" s="1">
        <f>B128</f>
        <v/>
      </c>
      <c r="C129" t="n">
        <v>67.91</v>
      </c>
    </row>
    <row r="130">
      <c r="A130" s="9" t="n">
        <v>46057</v>
      </c>
      <c r="B130" s="1">
        <f>B129</f>
        <v/>
      </c>
      <c r="C130" t="n">
        <v>68.16</v>
      </c>
    </row>
    <row r="131">
      <c r="A131" s="9" t="n">
        <v>46058</v>
      </c>
      <c r="B131" s="1">
        <f>B130</f>
        <v/>
      </c>
      <c r="C131" t="n">
        <v>68.37</v>
      </c>
    </row>
    <row r="132">
      <c r="A132" s="9" t="n">
        <v>46059</v>
      </c>
      <c r="B132" s="1">
        <f>B131</f>
        <v/>
      </c>
      <c r="C132" t="n">
        <v>67.98999999999999</v>
      </c>
    </row>
    <row r="133">
      <c r="A133" s="9" t="n">
        <v>46062</v>
      </c>
      <c r="B133" s="1">
        <f>B132</f>
        <v/>
      </c>
      <c r="C133" t="n">
        <v>68.03</v>
      </c>
    </row>
    <row r="134">
      <c r="A134" s="9" t="n">
        <v>46063</v>
      </c>
      <c r="B134" s="1">
        <f>B133</f>
        <v/>
      </c>
      <c r="C134" t="n">
        <v>68.17</v>
      </c>
    </row>
    <row r="135">
      <c r="A135" s="9" t="n">
        <v>46064</v>
      </c>
      <c r="B135" s="1">
        <f>B134</f>
        <v/>
      </c>
      <c r="C135" t="n">
        <v>68.34999999999999</v>
      </c>
    </row>
    <row r="136">
      <c r="A136" s="9" t="n">
        <v>46065</v>
      </c>
      <c r="B136" s="1">
        <f>B135</f>
        <v/>
      </c>
      <c r="C136" t="n">
        <v>68.43000000000001</v>
      </c>
    </row>
    <row r="137">
      <c r="A137" s="9" t="n">
        <v>46066</v>
      </c>
      <c r="B137" s="1">
        <f>B136</f>
        <v/>
      </c>
      <c r="C137" t="n">
        <v>68.7</v>
      </c>
    </row>
    <row r="138">
      <c r="A138" s="9" t="n">
        <v>46071</v>
      </c>
      <c r="B138" s="1">
        <f>B137</f>
        <v/>
      </c>
      <c r="C138" t="n">
        <v>68.68000000000001</v>
      </c>
    </row>
    <row r="139">
      <c r="A139" s="9" t="n">
        <v>46072</v>
      </c>
      <c r="B139" s="1">
        <f>B138</f>
        <v/>
      </c>
      <c r="C139" t="n">
        <v>68.62</v>
      </c>
    </row>
    <row r="140">
      <c r="A140" s="9" t="n">
        <v>46073</v>
      </c>
      <c r="B140" s="1">
        <f>B139</f>
        <v/>
      </c>
      <c r="C140" t="n">
        <v>68.62</v>
      </c>
    </row>
    <row r="141">
      <c r="A141" s="9" t="n">
        <v>46076</v>
      </c>
      <c r="B141" s="1">
        <f>B140</f>
        <v/>
      </c>
      <c r="C141" t="n">
        <v>68.48999999999999</v>
      </c>
    </row>
    <row r="142">
      <c r="A142" s="9" t="n">
        <v>46077</v>
      </c>
      <c r="B142" s="1">
        <f>B141</f>
        <v/>
      </c>
      <c r="C142" t="n">
        <v>68.63</v>
      </c>
    </row>
    <row r="143">
      <c r="A143" s="9" t="n">
        <v>46078</v>
      </c>
      <c r="B143" s="1">
        <f>B142</f>
        <v/>
      </c>
      <c r="C143" t="n">
        <v>68.48</v>
      </c>
    </row>
    <row r="144">
      <c r="A144" s="9" t="n">
        <v>46079</v>
      </c>
      <c r="B144" s="1">
        <f>B143</f>
        <v/>
      </c>
      <c r="C144" t="n">
        <v>68.58</v>
      </c>
    </row>
    <row r="145">
      <c r="A145" s="9" t="n">
        <v>46080</v>
      </c>
      <c r="B145" s="1">
        <f>B144</f>
        <v/>
      </c>
      <c r="C145" t="n">
        <v>69.14</v>
      </c>
    </row>
    <row r="146">
      <c r="A146" s="9" t="n">
        <v>46083</v>
      </c>
      <c r="B146" s="1">
        <f>B145</f>
        <v/>
      </c>
      <c r="C146" t="n">
        <v>69.78</v>
      </c>
    </row>
    <row r="147">
      <c r="A147" s="9" t="n">
        <v>46084</v>
      </c>
      <c r="B147" s="1">
        <f>B146</f>
        <v/>
      </c>
      <c r="C147" t="n">
        <v>70.56999999999999</v>
      </c>
    </row>
    <row r="148">
      <c r="A148" s="9" t="n">
        <v>46085</v>
      </c>
      <c r="B148" s="1">
        <f>B147</f>
        <v/>
      </c>
      <c r="C148" t="n">
        <v>70.26000000000001</v>
      </c>
    </row>
    <row r="149">
      <c r="A149" s="9" t="n">
        <v>46086</v>
      </c>
      <c r="B149" s="1">
        <f>B148</f>
        <v/>
      </c>
      <c r="C149" t="n">
        <v>70.31999999999999</v>
      </c>
    </row>
    <row r="150">
      <c r="A150" s="9" t="n">
        <v>46087</v>
      </c>
      <c r="B150" s="1">
        <f>B149</f>
        <v/>
      </c>
      <c r="C150" t="n">
        <v>70.91</v>
      </c>
    </row>
    <row r="151">
      <c r="A151" s="9" t="n">
        <v>46090</v>
      </c>
      <c r="B151" s="1">
        <f>B150</f>
        <v/>
      </c>
      <c r="C151" t="n">
        <v>71.29000000000001</v>
      </c>
    </row>
    <row r="152">
      <c r="A152" s="9" t="n">
        <v>46091</v>
      </c>
      <c r="B152" s="1">
        <f>B151</f>
        <v/>
      </c>
      <c r="C152" t="n">
        <v>71.26000000000001</v>
      </c>
    </row>
    <row r="153">
      <c r="A153" s="9" t="n">
        <v>46092</v>
      </c>
      <c r="B153" s="1">
        <f>B152</f>
        <v/>
      </c>
      <c r="C153" t="n">
        <v>71.67</v>
      </c>
    </row>
    <row r="154">
      <c r="A154" s="9" t="n">
        <v>46093</v>
      </c>
      <c r="B154" s="1">
        <f>B153</f>
        <v/>
      </c>
      <c r="C154" t="n">
        <v>71.45</v>
      </c>
    </row>
    <row r="155">
      <c r="A155" s="24" t="n">
        <v>46094</v>
      </c>
      <c r="B155" s="1">
        <f>B154</f>
        <v/>
      </c>
      <c r="C155" t="n">
        <v>71.58</v>
      </c>
    </row>
    <row r="156">
      <c r="A156" s="24" t="n">
        <v>46097</v>
      </c>
      <c r="B156" s="1">
        <f>B155</f>
        <v/>
      </c>
      <c r="C156" t="n">
        <v>70.44</v>
      </c>
    </row>
    <row r="157">
      <c r="A157" s="24" t="n">
        <v>46098</v>
      </c>
      <c r="B157" s="1">
        <f>B156</f>
        <v/>
      </c>
      <c r="C157" t="n">
        <v>70.34</v>
      </c>
    </row>
    <row r="158">
      <c r="A158" s="24" t="n">
        <v>46099</v>
      </c>
      <c r="B158" s="1">
        <f>B157</f>
        <v/>
      </c>
      <c r="C158" t="n">
        <v>70.83</v>
      </c>
    </row>
    <row r="159">
      <c r="A159" s="24" t="n">
        <v>46100</v>
      </c>
      <c r="B159" s="1">
        <f>B158</f>
        <v/>
      </c>
      <c r="C159" t="n">
        <v>70.59</v>
      </c>
    </row>
    <row r="160">
      <c r="A160" s="24" t="n">
        <v>46101</v>
      </c>
      <c r="B160" s="1">
        <f>B159</f>
        <v/>
      </c>
      <c r="C160" t="n">
        <v>70.95</v>
      </c>
    </row>
    <row r="161">
      <c r="A161" s="24" t="n">
        <v>46104</v>
      </c>
      <c r="B161" s="1">
        <f>B160</f>
        <v/>
      </c>
      <c r="C161" t="n">
        <v>70.89</v>
      </c>
    </row>
    <row r="162">
      <c r="A162" s="24" t="n">
        <v>46105</v>
      </c>
      <c r="B162" s="1">
        <f>B161</f>
        <v/>
      </c>
      <c r="C162" t="n">
        <v>71.11</v>
      </c>
    </row>
    <row r="163">
      <c r="A163" s="24" t="n">
        <v>46106</v>
      </c>
      <c r="B163" s="1">
        <f>B162</f>
        <v/>
      </c>
      <c r="C163" t="n">
        <v>71.23</v>
      </c>
    </row>
    <row r="164">
      <c r="A164" s="24" t="n">
        <v>46107</v>
      </c>
      <c r="B164" s="1">
        <f>B163</f>
        <v/>
      </c>
      <c r="C164" t="n">
        <v>71.01000000000001</v>
      </c>
    </row>
    <row r="165">
      <c r="A165" s="24" t="n">
        <v>46108</v>
      </c>
      <c r="B165" s="1">
        <f>B164</f>
        <v/>
      </c>
      <c r="C165" t="n">
        <v>71.34</v>
      </c>
    </row>
    <row r="166">
      <c r="A166" s="24" t="n">
        <v>46111</v>
      </c>
      <c r="B166" s="1">
        <f>B165</f>
        <v/>
      </c>
      <c r="C166" t="n">
        <v>72.56</v>
      </c>
    </row>
    <row r="167">
      <c r="A167" s="24" t="n">
        <v>46112</v>
      </c>
      <c r="B167" s="1">
        <f>B166</f>
        <v/>
      </c>
      <c r="C167" t="n">
        <v>72.44</v>
      </c>
    </row>
    <row r="168">
      <c r="A168" s="24" t="n">
        <v>46113</v>
      </c>
      <c r="B168" s="1">
        <f>B177</f>
        <v/>
      </c>
      <c r="C168" t="n">
        <v>71.38</v>
      </c>
    </row>
    <row r="169">
      <c r="A169" s="24" t="n">
        <v>46114</v>
      </c>
      <c r="B169" s="1">
        <f>B178</f>
        <v/>
      </c>
      <c r="C169" t="n">
        <v>71.19</v>
      </c>
    </row>
    <row r="170">
      <c r="A170" s="24" t="n">
        <v>46118</v>
      </c>
      <c r="B170" s="1">
        <f>B179</f>
        <v/>
      </c>
      <c r="C170" t="n">
        <v>70.61</v>
      </c>
    </row>
    <row r="171">
      <c r="A171" s="24" t="n">
        <v>46119</v>
      </c>
      <c r="B171" s="1">
        <f>B180</f>
        <v/>
      </c>
      <c r="C171" t="n">
        <v>70.31</v>
      </c>
    </row>
    <row r="172">
      <c r="A172" s="24" t="n">
        <v>46120</v>
      </c>
      <c r="B172" s="1">
        <f>B181</f>
        <v/>
      </c>
      <c r="C172" t="n">
        <v>69.31999999999999</v>
      </c>
    </row>
    <row r="173">
      <c r="A173" s="24" t="n">
        <v>46121</v>
      </c>
      <c r="B173" s="1">
        <f>B182</f>
        <v/>
      </c>
      <c r="C173" t="n">
        <v>69.01000000000001</v>
      </c>
    </row>
    <row r="174">
      <c r="A174" s="24" t="n">
        <v>46122</v>
      </c>
      <c r="B174" s="1">
        <f>B183</f>
        <v/>
      </c>
      <c r="C174" t="n">
        <v>68.61</v>
      </c>
    </row>
    <row r="175">
      <c r="A175" s="24" t="n">
        <v>46125</v>
      </c>
      <c r="B175" s="1">
        <f>B184</f>
        <v/>
      </c>
      <c r="C175" t="n">
        <v>68.34</v>
      </c>
    </row>
    <row r="176">
      <c r="A176" s="24" t="n">
        <v>46126</v>
      </c>
      <c r="B176" s="1">
        <f>B185</f>
        <v/>
      </c>
      <c r="C176" t="n">
        <v>67.73</v>
      </c>
    </row>
    <row r="177">
      <c r="A177" s="24" t="n">
        <v>46127</v>
      </c>
      <c r="B177" s="1">
        <f>B186</f>
        <v/>
      </c>
      <c r="C177" t="n">
        <v>67.17</v>
      </c>
    </row>
    <row r="178">
      <c r="A178" s="24" t="n">
        <v>46128</v>
      </c>
      <c r="B178" s="1">
        <f>B187</f>
        <v/>
      </c>
      <c r="C178" t="n">
        <v>66.87</v>
      </c>
    </row>
    <row r="179">
      <c r="A179" s="24" t="n">
        <v>46129</v>
      </c>
      <c r="B179" s="1">
        <f>B178</f>
        <v/>
      </c>
      <c r="C179" t="n">
        <v>66.87</v>
      </c>
    </row>
    <row r="180">
      <c r="A180" s="24" t="n">
        <v>46132</v>
      </c>
      <c r="B180" s="1">
        <f>B179</f>
        <v/>
      </c>
      <c r="C180" t="n">
        <v>67.92</v>
      </c>
    </row>
    <row r="181">
      <c r="A181" s="24" t="n">
        <v>46134</v>
      </c>
      <c r="B181" s="1">
        <f>B180</f>
        <v/>
      </c>
      <c r="C181" t="n">
        <v>69.69</v>
      </c>
    </row>
    <row r="182">
      <c r="A182" s="24" t="n">
        <v>46135</v>
      </c>
      <c r="B182" s="1">
        <f>B181</f>
        <v/>
      </c>
      <c r="C182" t="n">
        <v>69.09</v>
      </c>
    </row>
    <row r="183">
      <c r="A183" s="24" t="n">
        <v>46136</v>
      </c>
      <c r="B183" s="1">
        <f>B182</f>
        <v/>
      </c>
      <c r="C183" t="n">
        <v>69.13</v>
      </c>
    </row>
    <row r="184">
      <c r="A184" s="24" t="n">
        <v>46139</v>
      </c>
      <c r="B184" s="1">
        <f>B183</f>
        <v/>
      </c>
      <c r="C184" t="n">
        <v>69.69</v>
      </c>
    </row>
    <row r="185">
      <c r="A185" s="24" t="n">
        <v>46140</v>
      </c>
      <c r="B185" s="1">
        <f>B184</f>
        <v/>
      </c>
      <c r="C185" t="n">
        <v>69.79000000000001</v>
      </c>
    </row>
    <row r="186">
      <c r="A186" s="24" t="n">
        <v>46141</v>
      </c>
      <c r="B186" s="1">
        <f>B185</f>
        <v/>
      </c>
      <c r="C186" t="n">
        <v>69.84</v>
      </c>
    </row>
    <row r="187">
      <c r="A187" s="24" t="n">
        <v>46142</v>
      </c>
      <c r="B187" s="1">
        <f>B186</f>
        <v/>
      </c>
      <c r="C187" t="n">
        <v>69.66</v>
      </c>
    </row>
    <row r="188">
      <c r="A188" s="24" t="n">
        <v>46146</v>
      </c>
      <c r="B188" s="1">
        <f>B187</f>
        <v/>
      </c>
      <c r="C188" t="n">
        <v>69.79000000000001</v>
      </c>
    </row>
    <row r="189">
      <c r="A189" s="24" t="n">
        <v>46147</v>
      </c>
      <c r="B189" s="1">
        <f>B188</f>
        <v/>
      </c>
      <c r="C189" t="n">
        <v>68.62</v>
      </c>
    </row>
    <row r="190">
      <c r="A190" s="24" t="n">
        <v>46148</v>
      </c>
      <c r="B190" s="1">
        <f>B189</f>
        <v/>
      </c>
      <c r="C190" t="n">
        <v>67.45</v>
      </c>
    </row>
    <row r="191">
      <c r="A191" s="24" t="n">
        <v>46149</v>
      </c>
      <c r="B191" s="1">
        <f>B190</f>
        <v/>
      </c>
      <c r="C191" t="n">
        <v>67.39</v>
      </c>
    </row>
    <row r="192">
      <c r="A192" s="24" t="n">
        <v>46150</v>
      </c>
      <c r="B192" s="1">
        <f>B191</f>
        <v/>
      </c>
      <c r="C192" t="n">
        <v>67.59999999999999</v>
      </c>
    </row>
    <row r="193">
      <c r="A193" s="24" t="n">
        <v>46153</v>
      </c>
      <c r="B193" s="1">
        <f>B192</f>
        <v/>
      </c>
      <c r="C193" t="n">
        <v>67.93000000000001</v>
      </c>
    </row>
    <row r="194">
      <c r="A194" s="24" t="n">
        <v>46154</v>
      </c>
      <c r="B194" s="1">
        <f>B193</f>
        <v/>
      </c>
      <c r="C194" t="n">
        <v>68.14</v>
      </c>
    </row>
    <row r="195">
      <c r="A195" s="24" t="n">
        <v>46155</v>
      </c>
      <c r="B195" s="1">
        <f>B194</f>
        <v/>
      </c>
      <c r="C195" t="n">
        <v>67.09999999999999</v>
      </c>
    </row>
    <row r="196">
      <c r="A196" s="24" t="n">
        <v>46156</v>
      </c>
      <c r="B196" s="1">
        <f>B195</f>
        <v/>
      </c>
      <c r="C196" t="n">
        <v>67.02</v>
      </c>
    </row>
    <row r="197">
      <c r="A197" s="24" t="n">
        <v>46157</v>
      </c>
      <c r="B197" s="1">
        <f>B196</f>
        <v/>
      </c>
      <c r="C197" t="n">
        <v>66.79000000000001</v>
      </c>
    </row>
    <row r="198">
      <c r="A198" s="24" t="n">
        <v>46160</v>
      </c>
      <c r="B198" s="1">
        <f>B197</f>
        <v/>
      </c>
      <c r="C198" t="n">
        <v>67.06</v>
      </c>
    </row>
    <row r="199">
      <c r="A199" s="24" t="n">
        <v>46161</v>
      </c>
      <c r="B199" s="1">
        <f>B198</f>
        <v/>
      </c>
      <c r="C199" t="n">
        <v>67.2</v>
      </c>
    </row>
    <row r="200">
      <c r="A200" s="24" t="n">
        <v>46162</v>
      </c>
      <c r="B200" s="1">
        <f>B199</f>
        <v/>
      </c>
      <c r="C200" t="n">
        <v>66.95</v>
      </c>
    </row>
    <row r="201">
      <c r="A201" s="24" t="n">
        <v>46163</v>
      </c>
      <c r="B201" s="1">
        <f>B200</f>
        <v/>
      </c>
      <c r="C201" t="n">
        <v>67.33</v>
      </c>
    </row>
    <row r="202">
      <c r="A202" s="24" t="n">
        <v>46164</v>
      </c>
      <c r="B202" s="1">
        <f>B201</f>
        <v/>
      </c>
      <c r="C202" t="n">
        <v>67.27</v>
      </c>
    </row>
    <row r="203">
      <c r="A203" s="24" t="n">
        <v>46167</v>
      </c>
      <c r="B203" s="1">
        <f>B202</f>
        <v/>
      </c>
      <c r="C203" t="n">
        <v>66.52</v>
      </c>
    </row>
    <row r="204">
      <c r="A204" s="24" t="n">
        <v>46168</v>
      </c>
      <c r="B204" s="1">
        <f>B203</f>
        <v/>
      </c>
      <c r="C204" t="n">
        <v>66.13</v>
      </c>
    </row>
    <row r="205">
      <c r="A205" s="24" t="n">
        <v>46169</v>
      </c>
      <c r="B205" s="1">
        <f>B204</f>
        <v/>
      </c>
      <c r="C205" t="n">
        <v>65.58</v>
      </c>
    </row>
    <row r="206">
      <c r="A206" s="24" t="n">
        <v>46170</v>
      </c>
      <c r="B206" s="1">
        <f>B205</f>
        <v/>
      </c>
      <c r="C206" t="n">
        <v>65.88</v>
      </c>
    </row>
    <row r="207">
      <c r="A207" s="24" t="n">
        <v>46171</v>
      </c>
      <c r="B207" s="1">
        <f>B206</f>
        <v/>
      </c>
      <c r="C207" t="n">
        <v>65.43000000000001</v>
      </c>
    </row>
    <row r="208">
      <c r="A208" s="24" t="n">
        <v>46174</v>
      </c>
      <c r="B208" s="1">
        <f>B207</f>
        <v/>
      </c>
      <c r="C208" t="n">
        <v>65.17</v>
      </c>
    </row>
    <row r="209">
      <c r="A209" s="24" t="n">
        <v>46175</v>
      </c>
      <c r="B209" s="1">
        <f>B208</f>
        <v/>
      </c>
      <c r="C209" t="n">
        <v>64.59</v>
      </c>
    </row>
    <row r="210">
      <c r="A210" s="24" t="n">
        <v>46176</v>
      </c>
      <c r="B210" s="1">
        <f>B209</f>
        <v/>
      </c>
      <c r="C210" t="n">
        <v>65.17</v>
      </c>
    </row>
    <row r="211">
      <c r="A211" s="24" t="n">
        <v>46178</v>
      </c>
      <c r="B211" s="1">
        <f>B210</f>
        <v/>
      </c>
      <c r="C211" t="n">
        <v>66.11</v>
      </c>
    </row>
    <row r="212">
      <c r="A212" s="24" t="n">
        <v>46181</v>
      </c>
      <c r="B212" s="1">
        <f>B211</f>
        <v/>
      </c>
      <c r="C212" t="n">
        <v>65.45999999999999</v>
      </c>
    </row>
    <row r="213">
      <c r="A213" s="24" t="n">
        <v>46182</v>
      </c>
      <c r="B213" s="1">
        <f>B212</f>
        <v/>
      </c>
      <c r="C213" t="n">
        <v>65.26000000000001</v>
      </c>
    </row>
    <row r="214">
      <c r="A214" s="24" t="n">
        <v>46183</v>
      </c>
      <c r="B214" s="1">
        <f>B213</f>
        <v/>
      </c>
      <c r="C214" t="n">
        <v>64.62</v>
      </c>
    </row>
    <row r="215">
      <c r="A215" s="24" t="n">
        <v>46184</v>
      </c>
      <c r="B215" s="1">
        <f>B214</f>
        <v/>
      </c>
      <c r="C215" t="n">
        <v>64.25</v>
      </c>
    </row>
    <row r="216">
      <c r="A216" s="24" t="n">
        <v>46185</v>
      </c>
      <c r="B216" s="1">
        <f>B215</f>
        <v/>
      </c>
      <c r="C216" t="n">
        <v>64.05</v>
      </c>
    </row>
    <row r="217">
      <c r="A217" s="24" t="n">
        <v>46188</v>
      </c>
      <c r="B217" s="1">
        <f>B216</f>
        <v/>
      </c>
      <c r="C217" t="n">
        <v>64.34</v>
      </c>
    </row>
    <row r="218">
      <c r="A218" s="24" t="n">
        <v>46189</v>
      </c>
      <c r="B218" s="1">
        <f>B217</f>
        <v/>
      </c>
      <c r="C218" t="n">
        <v>63.97</v>
      </c>
    </row>
    <row r="219">
      <c r="A219" s="24" t="n">
        <v>46190</v>
      </c>
      <c r="B219" s="1">
        <f>B218</f>
        <v/>
      </c>
      <c r="C219" t="n">
        <v>63.98</v>
      </c>
    </row>
    <row r="220">
      <c r="A220" s="24" t="n">
        <v>46191</v>
      </c>
      <c r="B220" s="1">
        <f>B219</f>
        <v/>
      </c>
      <c r="C220" t="n">
        <v>63.98</v>
      </c>
    </row>
    <row r="221">
      <c r="A221" s="24" t="n">
        <v>46192</v>
      </c>
      <c r="B221" s="1">
        <f>B220</f>
        <v/>
      </c>
      <c r="C221" t="n">
        <v>63.91</v>
      </c>
    </row>
    <row r="222">
      <c r="A222" s="24" t="n">
        <v>46195</v>
      </c>
      <c r="B222" s="1">
        <f>B221</f>
        <v/>
      </c>
      <c r="C222" t="n">
        <v>63.66</v>
      </c>
    </row>
    <row r="223">
      <c r="A223" s="24" t="n">
        <v>46196</v>
      </c>
      <c r="B223" s="1">
        <f>B222</f>
        <v/>
      </c>
      <c r="C223" t="n">
        <v>63.8</v>
      </c>
    </row>
    <row r="224">
      <c r="A224" s="24" t="n">
        <v>46197</v>
      </c>
      <c r="B224" s="1">
        <f>B223</f>
        <v/>
      </c>
      <c r="C224" t="n">
        <v>64.09999999999999</v>
      </c>
    </row>
    <row r="225">
      <c r="A225" s="24" t="n">
        <v>46198</v>
      </c>
      <c r="B225" s="1">
        <f>B224</f>
        <v/>
      </c>
      <c r="C225" t="n">
        <v>64.52</v>
      </c>
    </row>
    <row r="226">
      <c r="A226" s="24" t="n">
        <v>46199</v>
      </c>
      <c r="B226" s="1">
        <f>B225</f>
        <v/>
      </c>
      <c r="C226" t="n">
        <v>64.31</v>
      </c>
    </row>
    <row r="227">
      <c r="A227" s="24" t="n">
        <v>46202</v>
      </c>
      <c r="B227" s="1">
        <f>B226</f>
        <v/>
      </c>
      <c r="C227" t="n">
        <v>64.61</v>
      </c>
    </row>
    <row r="228">
      <c r="A228" s="24" t="n">
        <v>46203</v>
      </c>
      <c r="B228" s="1">
        <f>B227</f>
        <v/>
      </c>
      <c r="C228" t="n">
        <v>64.86</v>
      </c>
    </row>
    <row r="229">
      <c r="A229" s="24" t="n">
        <v>46204</v>
      </c>
      <c r="B229" s="1">
        <f>B228</f>
        <v/>
      </c>
      <c r="C229" t="n">
        <v>64.84</v>
      </c>
    </row>
    <row r="230">
      <c r="A230" s="24" t="n">
        <v>46205</v>
      </c>
      <c r="B230" s="1">
        <f>B229</f>
        <v/>
      </c>
      <c r="C230" t="n">
        <v>64.84</v>
      </c>
    </row>
    <row r="231">
      <c r="A231" s="24" t="n">
        <v>46206</v>
      </c>
      <c r="B231" s="1">
        <f>B230</f>
        <v/>
      </c>
      <c r="C231" t="n">
        <v>64.45999999999999</v>
      </c>
    </row>
    <row r="232">
      <c r="A232" s="24" t="n">
        <v>46209</v>
      </c>
      <c r="B232" s="1">
        <f>B231</f>
        <v/>
      </c>
      <c r="C232" t="n">
        <v>64.87</v>
      </c>
    </row>
    <row r="233">
      <c r="A233" s="24" t="n">
        <v>46210</v>
      </c>
      <c r="B233" s="1">
        <f>B232</f>
        <v/>
      </c>
      <c r="C233" t="n">
        <v>64.94</v>
      </c>
    </row>
    <row r="234">
      <c r="A234" s="24" t="n">
        <v>46211</v>
      </c>
      <c r="B234" s="1">
        <f>B233</f>
        <v/>
      </c>
      <c r="C234" t="n">
        <v>64.90000000000001</v>
      </c>
    </row>
    <row r="235">
      <c r="A235" s="24" t="n">
        <v>46212</v>
      </c>
      <c r="B235" s="1">
        <f>B234</f>
        <v/>
      </c>
      <c r="C235" t="n">
        <v>64.77</v>
      </c>
    </row>
    <row r="236">
      <c r="A236" s="24" t="n">
        <v>46213</v>
      </c>
      <c r="B236" s="1">
        <f>B235</f>
        <v/>
      </c>
      <c r="C236" t="n">
        <v>64.73</v>
      </c>
    </row>
    <row r="237">
      <c r="A237" s="24" t="n">
        <v>46216</v>
      </c>
      <c r="B237" s="1">
        <f>B236</f>
        <v/>
      </c>
      <c r="C237" t="n">
        <v>64.73999999999999</v>
      </c>
    </row>
    <row r="238">
      <c r="A238" s="67" t="n">
        <v>46217</v>
      </c>
      <c r="B238" s="1">
        <f>B237</f>
        <v/>
      </c>
      <c r="C238" t="n">
        <v>64.56</v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3.xml><?xml version="1.0" encoding="utf-8"?>
<worksheet xmlns="http://schemas.openxmlformats.org/spreadsheetml/2006/main">
  <sheetPr codeName="Planilha43">
    <outlinePr summaryBelow="1" summaryRight="1"/>
    <pageSetUpPr/>
  </sheetPr>
  <dimension ref="A1:C240"/>
  <sheetViews>
    <sheetView topLeftCell="A187" zoomScale="90" zoomScaleNormal="90" workbookViewId="0">
      <selection activeCell="B154" sqref="B154"/>
    </sheetView>
  </sheetViews>
  <sheetFormatPr baseColWidth="8" defaultRowHeight="15" outlineLevelCol="0"/>
  <cols>
    <col width="18.28515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45901</v>
      </c>
      <c r="B2" s="1" t="inlineStr">
        <is>
          <t>CCMU26</t>
        </is>
      </c>
      <c r="C2" s="7" t="n">
        <v>68</v>
      </c>
    </row>
    <row r="3">
      <c r="A3" s="4" t="n">
        <v>45902</v>
      </c>
      <c r="B3" s="1">
        <f>B2</f>
        <v/>
      </c>
      <c r="C3" s="7" t="n">
        <v>68.26000000000001</v>
      </c>
    </row>
    <row r="4">
      <c r="A4" s="4" t="n">
        <v>45903</v>
      </c>
      <c r="B4" s="1">
        <f>B3</f>
        <v/>
      </c>
      <c r="C4" s="7" t="n">
        <v>68.5</v>
      </c>
    </row>
    <row r="5">
      <c r="A5" s="4" t="n">
        <v>45904</v>
      </c>
      <c r="B5" s="1">
        <f>B4</f>
        <v/>
      </c>
      <c r="C5" s="7" t="n">
        <v>68.52</v>
      </c>
    </row>
    <row r="6">
      <c r="A6" s="4" t="n">
        <v>45905</v>
      </c>
      <c r="B6" s="1">
        <f>B5</f>
        <v/>
      </c>
      <c r="C6" s="7" t="n">
        <v>68.7</v>
      </c>
    </row>
    <row r="7">
      <c r="A7" s="4" t="n">
        <v>45908</v>
      </c>
      <c r="B7" s="1">
        <f>B6</f>
        <v/>
      </c>
      <c r="C7" s="7" t="n">
        <v>68.88</v>
      </c>
    </row>
    <row r="8">
      <c r="A8" s="4" t="n">
        <v>45909</v>
      </c>
      <c r="B8" s="1">
        <f>B7</f>
        <v/>
      </c>
      <c r="C8" s="7" t="n">
        <v>68.59999999999999</v>
      </c>
    </row>
    <row r="9">
      <c r="A9" s="4" t="n">
        <v>45910</v>
      </c>
      <c r="B9" s="1">
        <f>B8</f>
        <v/>
      </c>
      <c r="C9" s="7" t="n">
        <v>68.52</v>
      </c>
    </row>
    <row r="10">
      <c r="A10" s="4" t="n">
        <v>45911</v>
      </c>
      <c r="B10" s="1">
        <f>B9</f>
        <v/>
      </c>
      <c r="C10" s="7" t="n">
        <v>68.25</v>
      </c>
    </row>
    <row r="11">
      <c r="A11" s="4" t="n">
        <v>45912</v>
      </c>
      <c r="B11" s="1">
        <f>B10</f>
        <v/>
      </c>
      <c r="C11" s="7" t="n">
        <v>68.40000000000001</v>
      </c>
    </row>
    <row r="12">
      <c r="A12" s="4" t="n">
        <v>45915</v>
      </c>
      <c r="B12" s="1">
        <f>B11</f>
        <v/>
      </c>
      <c r="C12" s="7" t="n">
        <v>68.01000000000001</v>
      </c>
    </row>
    <row r="13">
      <c r="A13" s="4" t="n">
        <v>45916</v>
      </c>
      <c r="B13" s="1">
        <f>B12</f>
        <v/>
      </c>
      <c r="C13" s="7" t="n">
        <v>68.23999999999999</v>
      </c>
    </row>
    <row r="14">
      <c r="A14" s="4" t="n">
        <v>45917</v>
      </c>
      <c r="B14" s="1">
        <f>B13</f>
        <v/>
      </c>
      <c r="C14" s="7" t="n">
        <v>68.61</v>
      </c>
    </row>
    <row r="15">
      <c r="A15" s="4" t="n">
        <v>45918</v>
      </c>
      <c r="B15" s="1">
        <f>B14</f>
        <v/>
      </c>
      <c r="C15" s="7" t="n">
        <v>68.73</v>
      </c>
    </row>
    <row r="16">
      <c r="A16" s="4" t="n">
        <v>45919</v>
      </c>
      <c r="B16" s="1">
        <f>B15</f>
        <v/>
      </c>
      <c r="C16" s="7" t="n">
        <v>68.7</v>
      </c>
    </row>
    <row r="17">
      <c r="A17" s="4" t="n">
        <v>45922</v>
      </c>
      <c r="B17" s="1">
        <f>B16</f>
        <v/>
      </c>
      <c r="C17" s="7" t="n">
        <v>68.28</v>
      </c>
    </row>
    <row r="18">
      <c r="A18" s="4" t="n">
        <v>45923</v>
      </c>
      <c r="B18" s="1">
        <f>B17</f>
        <v/>
      </c>
      <c r="C18" s="7" t="n">
        <v>68.40000000000001</v>
      </c>
    </row>
    <row r="19">
      <c r="A19" s="4" t="n">
        <v>45924</v>
      </c>
      <c r="B19" s="1">
        <f>B18</f>
        <v/>
      </c>
      <c r="C19" s="7" t="n">
        <v>68.09999999999999</v>
      </c>
    </row>
    <row r="20">
      <c r="A20" s="4" t="n">
        <v>45925</v>
      </c>
      <c r="B20" s="1">
        <f>B19</f>
        <v/>
      </c>
      <c r="C20" s="7" t="n">
        <v>68.3</v>
      </c>
    </row>
    <row r="21">
      <c r="A21" s="4" t="n">
        <v>45926</v>
      </c>
      <c r="B21" s="1">
        <f>B20</f>
        <v/>
      </c>
      <c r="C21" s="7" t="n">
        <v>68</v>
      </c>
    </row>
    <row r="22">
      <c r="A22" s="4" t="n">
        <v>45929</v>
      </c>
      <c r="B22" s="1">
        <f>B21</f>
        <v/>
      </c>
      <c r="C22" s="7" t="n">
        <v>68.45</v>
      </c>
    </row>
    <row r="23">
      <c r="A23" s="4" t="n">
        <v>45930</v>
      </c>
      <c r="B23" s="1">
        <f>B22</f>
        <v/>
      </c>
      <c r="C23" s="7" t="n">
        <v>68.09999999999999</v>
      </c>
    </row>
    <row r="24">
      <c r="A24" s="4" t="n">
        <v>45931</v>
      </c>
      <c r="B24" s="1">
        <f>B23</f>
        <v/>
      </c>
      <c r="C24" s="7" t="n">
        <v>67.34999999999999</v>
      </c>
    </row>
    <row r="25">
      <c r="A25" s="4" t="n">
        <v>45932</v>
      </c>
      <c r="B25" s="1">
        <f>B24</f>
        <v/>
      </c>
      <c r="C25" s="7" t="n">
        <v>68.09999999999999</v>
      </c>
    </row>
    <row r="26">
      <c r="A26" s="4" t="n">
        <v>45933</v>
      </c>
      <c r="B26" s="1">
        <f>B25</f>
        <v/>
      </c>
      <c r="C26" s="7" t="n">
        <v>68.48</v>
      </c>
    </row>
    <row r="27">
      <c r="A27" s="4" t="n">
        <v>45936</v>
      </c>
      <c r="B27" s="1">
        <f>B26</f>
        <v/>
      </c>
      <c r="C27" s="7" t="n">
        <v>68.45999999999999</v>
      </c>
    </row>
    <row r="28">
      <c r="A28" s="4" t="n">
        <v>45937</v>
      </c>
      <c r="B28" s="1">
        <f>B27</f>
        <v/>
      </c>
      <c r="C28" s="7" t="n">
        <v>68.48999999999999</v>
      </c>
    </row>
    <row r="29">
      <c r="A29" s="4" t="n">
        <v>45938</v>
      </c>
      <c r="B29" s="1">
        <f>B28</f>
        <v/>
      </c>
      <c r="C29" s="7" t="n">
        <v>68.3</v>
      </c>
    </row>
    <row r="30">
      <c r="A30" s="4" t="n">
        <v>45939</v>
      </c>
      <c r="B30" s="1">
        <f>B29</f>
        <v/>
      </c>
      <c r="C30" s="7" t="n">
        <v>68.3</v>
      </c>
    </row>
    <row r="31">
      <c r="A31" s="4" t="n">
        <v>45940</v>
      </c>
      <c r="B31" s="1">
        <f>B30</f>
        <v/>
      </c>
      <c r="C31" s="7" t="n">
        <v>68.7</v>
      </c>
    </row>
    <row r="32">
      <c r="A32" s="4" t="n">
        <v>45943</v>
      </c>
      <c r="B32" s="1">
        <f>B31</f>
        <v/>
      </c>
      <c r="C32" s="7" t="n">
        <v>68.45</v>
      </c>
    </row>
    <row r="33">
      <c r="A33" s="4" t="n">
        <v>45944</v>
      </c>
      <c r="B33" s="1">
        <f>B32</f>
        <v/>
      </c>
      <c r="C33" s="7" t="n">
        <v>68.2</v>
      </c>
    </row>
    <row r="34">
      <c r="A34" s="4" t="n">
        <v>45945</v>
      </c>
      <c r="B34" s="1">
        <f>B33</f>
        <v/>
      </c>
      <c r="C34" s="7" t="n">
        <v>68.18000000000001</v>
      </c>
    </row>
    <row r="35">
      <c r="A35" s="4" t="n">
        <v>45946</v>
      </c>
      <c r="B35" s="1">
        <f>B34</f>
        <v/>
      </c>
      <c r="C35" s="7" t="n">
        <v>68.40000000000001</v>
      </c>
    </row>
    <row r="36">
      <c r="A36" s="4" t="n">
        <v>45947</v>
      </c>
      <c r="B36" s="1">
        <f>B35</f>
        <v/>
      </c>
      <c r="C36" s="7" t="n">
        <v>68.8</v>
      </c>
    </row>
    <row r="37">
      <c r="A37" s="4" t="n">
        <v>45950</v>
      </c>
      <c r="B37" s="1">
        <f>B36</f>
        <v/>
      </c>
      <c r="C37" s="7" t="n">
        <v>68.7</v>
      </c>
    </row>
    <row r="38">
      <c r="A38" s="4" t="n">
        <v>45951</v>
      </c>
      <c r="B38" s="1">
        <f>B37</f>
        <v/>
      </c>
      <c r="C38" s="7" t="n">
        <v>68.8</v>
      </c>
    </row>
    <row r="39">
      <c r="A39" s="4" t="n">
        <v>45952</v>
      </c>
      <c r="B39" s="1">
        <f>B38</f>
        <v/>
      </c>
      <c r="C39" s="7" t="n">
        <v>68.66</v>
      </c>
    </row>
    <row r="40">
      <c r="A40" s="4" t="n">
        <v>45953</v>
      </c>
      <c r="B40" s="1">
        <f>B39</f>
        <v/>
      </c>
      <c r="C40" s="7" t="n">
        <v>68.90000000000001</v>
      </c>
    </row>
    <row r="41">
      <c r="A41" s="4" t="n">
        <v>45954</v>
      </c>
      <c r="B41" s="1">
        <f>B40</f>
        <v/>
      </c>
      <c r="C41" s="7" t="n">
        <v>68.91</v>
      </c>
    </row>
    <row r="42">
      <c r="A42" s="4" t="n">
        <v>45957</v>
      </c>
      <c r="B42" s="1">
        <f>B41</f>
        <v/>
      </c>
      <c r="C42" s="7" t="n">
        <v>69</v>
      </c>
    </row>
    <row r="43">
      <c r="A43" s="4" t="n">
        <v>45958</v>
      </c>
      <c r="B43" s="1">
        <f>B42</f>
        <v/>
      </c>
      <c r="C43" s="7" t="n">
        <v>69.09999999999999</v>
      </c>
    </row>
    <row r="44">
      <c r="A44" s="4" t="n">
        <v>45959</v>
      </c>
      <c r="B44" s="1">
        <f>B43</f>
        <v/>
      </c>
      <c r="C44" s="7" t="n">
        <v>69</v>
      </c>
    </row>
    <row r="45">
      <c r="A45" s="4" t="n">
        <v>45960</v>
      </c>
      <c r="B45" s="1">
        <f>B44</f>
        <v/>
      </c>
      <c r="C45" s="7" t="n">
        <v>68.95</v>
      </c>
    </row>
    <row r="46">
      <c r="A46" s="4" t="n">
        <v>45961</v>
      </c>
      <c r="B46" s="1">
        <f>B45</f>
        <v/>
      </c>
      <c r="C46" s="7" t="n">
        <v>68.84999999999999</v>
      </c>
    </row>
    <row r="47">
      <c r="A47" s="4" t="n">
        <v>45964</v>
      </c>
      <c r="B47" s="1">
        <f>B46</f>
        <v/>
      </c>
      <c r="C47" s="7" t="n">
        <v>68.97</v>
      </c>
    </row>
    <row r="48">
      <c r="A48" s="4" t="n">
        <v>45965</v>
      </c>
      <c r="B48" s="1">
        <f>B47</f>
        <v/>
      </c>
      <c r="C48" s="7" t="n">
        <v>68.91</v>
      </c>
    </row>
    <row r="49">
      <c r="A49" s="4" t="n">
        <v>45966</v>
      </c>
      <c r="B49" s="1">
        <f>B48</f>
        <v/>
      </c>
      <c r="C49" s="7" t="n">
        <v>68.95</v>
      </c>
    </row>
    <row r="50">
      <c r="A50" s="4" t="n">
        <v>45967</v>
      </c>
      <c r="B50" s="1">
        <f>B49</f>
        <v/>
      </c>
      <c r="C50" s="7" t="n">
        <v>69.06</v>
      </c>
    </row>
    <row r="51">
      <c r="A51" s="4" t="n">
        <v>45968</v>
      </c>
      <c r="B51" s="1">
        <f>B50</f>
        <v/>
      </c>
      <c r="C51" s="7" t="n">
        <v>68.70999999999999</v>
      </c>
    </row>
    <row r="52">
      <c r="A52" s="4" t="n">
        <v>45971</v>
      </c>
      <c r="B52" s="1">
        <f>B51</f>
        <v/>
      </c>
      <c r="C52" s="7" t="n">
        <v>68.84</v>
      </c>
    </row>
    <row r="53">
      <c r="A53" s="4" t="n">
        <v>45972</v>
      </c>
      <c r="B53" s="1">
        <f>B52</f>
        <v/>
      </c>
      <c r="C53" s="7" t="n">
        <v>68.8</v>
      </c>
    </row>
    <row r="54">
      <c r="A54" s="4" t="n">
        <v>45973</v>
      </c>
      <c r="B54" s="1">
        <f>B53</f>
        <v/>
      </c>
      <c r="C54" s="7" t="n">
        <v>68.89</v>
      </c>
    </row>
    <row r="55">
      <c r="A55" s="4" t="n">
        <v>45974</v>
      </c>
      <c r="B55" s="1">
        <f>B54</f>
        <v/>
      </c>
      <c r="C55" s="7" t="n">
        <v>69.14</v>
      </c>
    </row>
    <row r="56">
      <c r="A56" s="4" t="n">
        <v>45975</v>
      </c>
      <c r="B56" s="1">
        <f>B55</f>
        <v/>
      </c>
      <c r="C56" s="7" t="n">
        <v>69.27</v>
      </c>
    </row>
    <row r="57">
      <c r="A57" s="4" t="n">
        <v>45978</v>
      </c>
      <c r="B57" s="1">
        <f>B56</f>
        <v/>
      </c>
      <c r="C57" s="7" t="n">
        <v>69.29000000000001</v>
      </c>
    </row>
    <row r="58">
      <c r="A58" s="4" t="n">
        <v>45979</v>
      </c>
      <c r="B58" s="1">
        <f>B57</f>
        <v/>
      </c>
      <c r="C58" s="7" t="n">
        <v>69.23</v>
      </c>
    </row>
    <row r="59">
      <c r="A59" s="4" t="n">
        <v>45980</v>
      </c>
      <c r="B59" s="1">
        <f>B58</f>
        <v/>
      </c>
      <c r="C59" s="7" t="n">
        <v>69.01000000000001</v>
      </c>
    </row>
    <row r="60">
      <c r="A60" s="4" t="n">
        <v>45982</v>
      </c>
      <c r="B60" s="1">
        <f>B59</f>
        <v/>
      </c>
      <c r="C60" s="7" t="n">
        <v>69.22</v>
      </c>
    </row>
    <row r="61">
      <c r="A61" s="4" t="n">
        <v>45985</v>
      </c>
      <c r="B61" s="1">
        <f>B60</f>
        <v/>
      </c>
      <c r="C61" s="7" t="n">
        <v>69</v>
      </c>
    </row>
    <row r="62">
      <c r="A62" s="4" t="n">
        <v>45986</v>
      </c>
      <c r="B62" s="1">
        <f>B61</f>
        <v/>
      </c>
      <c r="C62" s="7" t="n">
        <v>69.27</v>
      </c>
    </row>
    <row r="63">
      <c r="A63" s="4" t="n">
        <v>45987</v>
      </c>
      <c r="B63" s="1">
        <f>B62</f>
        <v/>
      </c>
      <c r="C63" s="7" t="n">
        <v>69.81999999999999</v>
      </c>
    </row>
    <row r="64">
      <c r="A64" s="4" t="n">
        <v>45988</v>
      </c>
      <c r="B64" s="1">
        <f>B63</f>
        <v/>
      </c>
      <c r="C64" s="7" t="n">
        <v>70.20999999999999</v>
      </c>
    </row>
    <row r="65">
      <c r="A65" s="4" t="n">
        <v>45989</v>
      </c>
      <c r="B65" s="1">
        <f>B64</f>
        <v/>
      </c>
      <c r="C65" s="7" t="n">
        <v>69.95999999999999</v>
      </c>
    </row>
    <row r="66">
      <c r="A66" s="4" t="n">
        <v>45992</v>
      </c>
      <c r="B66" s="1">
        <f>B65</f>
        <v/>
      </c>
      <c r="C66" s="7" t="n">
        <v>70.04000000000001</v>
      </c>
    </row>
    <row r="67">
      <c r="A67" s="4" t="n">
        <v>45993</v>
      </c>
      <c r="B67" s="1">
        <f>B66</f>
        <v/>
      </c>
      <c r="C67" s="1" t="n">
        <v>70.54000000000001</v>
      </c>
    </row>
    <row r="68">
      <c r="A68" s="4" t="n">
        <v>45994</v>
      </c>
      <c r="B68" s="1">
        <f>B67</f>
        <v/>
      </c>
      <c r="C68" s="1" t="n">
        <v>70.09</v>
      </c>
    </row>
    <row r="69">
      <c r="A69" s="4" t="n">
        <v>45995</v>
      </c>
      <c r="B69" s="1">
        <f>B68</f>
        <v/>
      </c>
      <c r="C69" s="1" t="n">
        <v>70.27</v>
      </c>
    </row>
    <row r="70">
      <c r="A70" s="4" t="n">
        <v>45996</v>
      </c>
      <c r="B70" s="1">
        <f>B69</f>
        <v/>
      </c>
      <c r="C70" s="1" t="n">
        <v>70.12</v>
      </c>
    </row>
    <row r="71">
      <c r="A71" s="4" t="n">
        <v>45999</v>
      </c>
      <c r="B71" s="1">
        <f>B70</f>
        <v/>
      </c>
      <c r="C71" s="1" t="n">
        <v>70.09999999999999</v>
      </c>
    </row>
    <row r="72">
      <c r="A72" s="4" t="n">
        <v>46000</v>
      </c>
      <c r="B72" s="1">
        <f>B71</f>
        <v/>
      </c>
      <c r="C72" s="1" t="n">
        <v>70.3</v>
      </c>
    </row>
    <row r="73">
      <c r="A73" s="4" t="n">
        <v>46001</v>
      </c>
      <c r="B73" s="1">
        <f>B72</f>
        <v/>
      </c>
      <c r="C73" s="1" t="n">
        <v>70.19</v>
      </c>
    </row>
    <row r="74">
      <c r="A74" s="4" t="n">
        <v>46002</v>
      </c>
      <c r="B74" s="1">
        <f>B73</f>
        <v/>
      </c>
      <c r="C74" s="1" t="n">
        <v>70.05</v>
      </c>
    </row>
    <row r="75">
      <c r="A75" s="4" t="n">
        <v>46003</v>
      </c>
      <c r="B75" s="1">
        <f>B74</f>
        <v/>
      </c>
      <c r="C75" s="1" t="n">
        <v>69.94</v>
      </c>
    </row>
    <row r="76">
      <c r="A76" s="4" t="n">
        <v>46006</v>
      </c>
      <c r="B76" s="1">
        <f>B75</f>
        <v/>
      </c>
      <c r="C76" t="n">
        <v>69.95</v>
      </c>
    </row>
    <row r="77">
      <c r="A77" s="4" t="n">
        <v>46007</v>
      </c>
      <c r="B77" s="1">
        <f>B76</f>
        <v/>
      </c>
      <c r="C77" t="n">
        <v>69.73</v>
      </c>
    </row>
    <row r="78">
      <c r="A78" s="4" t="n">
        <v>46008</v>
      </c>
      <c r="B78" s="1">
        <f>B77</f>
        <v/>
      </c>
      <c r="C78" t="n">
        <v>69.93000000000001</v>
      </c>
    </row>
    <row r="79">
      <c r="A79" s="4" t="n">
        <v>46009</v>
      </c>
      <c r="B79" s="1">
        <f>B78</f>
        <v/>
      </c>
      <c r="C79" t="n">
        <v>69.81</v>
      </c>
    </row>
    <row r="80">
      <c r="A80" s="4" t="n">
        <v>46010</v>
      </c>
      <c r="B80" s="1">
        <f>B79</f>
        <v/>
      </c>
      <c r="C80" t="n">
        <v>70.06999999999999</v>
      </c>
    </row>
    <row r="81">
      <c r="A81" s="4" t="n">
        <v>46013</v>
      </c>
      <c r="B81" s="1">
        <f>B80</f>
        <v/>
      </c>
      <c r="C81" t="n">
        <v>70.11</v>
      </c>
    </row>
    <row r="82">
      <c r="A82" s="4" t="n">
        <v>46014</v>
      </c>
      <c r="B82" s="1">
        <f>B81</f>
        <v/>
      </c>
      <c r="C82" t="n">
        <v>69.48</v>
      </c>
    </row>
    <row r="83">
      <c r="A83" s="4" t="n">
        <v>46017</v>
      </c>
      <c r="B83" s="1">
        <f>B82</f>
        <v/>
      </c>
      <c r="C83" t="n">
        <v>69.56999999999999</v>
      </c>
    </row>
    <row r="84">
      <c r="A84" s="4" t="n">
        <v>46020</v>
      </c>
      <c r="B84" s="1">
        <f>B83</f>
        <v/>
      </c>
      <c r="C84" t="n">
        <v>69.88</v>
      </c>
    </row>
    <row r="85">
      <c r="A85" s="4" t="n">
        <v>46021</v>
      </c>
      <c r="B85" s="1">
        <f>B84</f>
        <v/>
      </c>
      <c r="C85" t="n">
        <v>69.66</v>
      </c>
    </row>
    <row r="86">
      <c r="A86" s="4" t="n">
        <v>46024</v>
      </c>
      <c r="B86" s="1">
        <f>B85</f>
        <v/>
      </c>
      <c r="C86" t="n">
        <v>69.37</v>
      </c>
    </row>
    <row r="87">
      <c r="A87" s="4" t="n">
        <v>46027</v>
      </c>
      <c r="B87" s="1">
        <f>B86</f>
        <v/>
      </c>
      <c r="C87" t="n">
        <v>69.62</v>
      </c>
    </row>
    <row r="88">
      <c r="A88" s="4" t="n">
        <v>46028</v>
      </c>
      <c r="B88" s="1">
        <f>B87</f>
        <v/>
      </c>
      <c r="C88" t="n">
        <v>69.64</v>
      </c>
    </row>
    <row r="89">
      <c r="A89" s="4" t="n">
        <v>46029</v>
      </c>
      <c r="B89" s="1">
        <f>B88</f>
        <v/>
      </c>
      <c r="C89" t="n">
        <v>69.40000000000001</v>
      </c>
    </row>
    <row r="90">
      <c r="A90" s="4" t="n">
        <v>46030</v>
      </c>
      <c r="B90" s="1">
        <f>B89</f>
        <v/>
      </c>
      <c r="C90" t="n">
        <v>69.41</v>
      </c>
    </row>
    <row r="91">
      <c r="A91" s="4" t="n">
        <v>46031</v>
      </c>
      <c r="B91" s="1">
        <f>B90</f>
        <v/>
      </c>
      <c r="C91" t="n">
        <v>69.40000000000001</v>
      </c>
    </row>
    <row r="92">
      <c r="A92" s="4" t="n">
        <v>46034</v>
      </c>
      <c r="B92" s="1">
        <f>B91</f>
        <v/>
      </c>
      <c r="C92" t="n">
        <v>69.02</v>
      </c>
    </row>
    <row r="93">
      <c r="A93" s="4" t="n">
        <v>46035</v>
      </c>
      <c r="B93" s="1">
        <f>B92</f>
        <v/>
      </c>
      <c r="C93" t="n">
        <v>68.77</v>
      </c>
    </row>
    <row r="94">
      <c r="A94" s="4" t="n">
        <v>46036</v>
      </c>
      <c r="B94" s="1">
        <f>B93</f>
        <v/>
      </c>
      <c r="C94" t="n">
        <v>68.58</v>
      </c>
    </row>
    <row r="95">
      <c r="A95" s="4" t="n">
        <v>46037</v>
      </c>
      <c r="B95" s="1">
        <f>B94</f>
        <v/>
      </c>
      <c r="C95" t="n">
        <v>68.19</v>
      </c>
    </row>
    <row r="96">
      <c r="A96" s="4" t="n">
        <v>46038</v>
      </c>
      <c r="B96" s="1">
        <f>B95</f>
        <v/>
      </c>
      <c r="C96" t="n">
        <v>68.16</v>
      </c>
    </row>
    <row r="97">
      <c r="A97" s="4" t="n">
        <v>46041</v>
      </c>
      <c r="B97" s="1">
        <f>B96</f>
        <v/>
      </c>
      <c r="C97" t="n">
        <v>68.03</v>
      </c>
    </row>
    <row r="98">
      <c r="A98" s="9" t="n">
        <v>46042</v>
      </c>
      <c r="B98" s="1">
        <f>B97</f>
        <v/>
      </c>
      <c r="C98" t="n">
        <v>68.33</v>
      </c>
    </row>
    <row r="99">
      <c r="A99" s="4" t="n">
        <v>46043</v>
      </c>
      <c r="B99" s="1">
        <f>B98</f>
        <v/>
      </c>
      <c r="C99" t="n">
        <v>67.87</v>
      </c>
    </row>
    <row r="100">
      <c r="A100" s="4" t="n">
        <v>46044</v>
      </c>
      <c r="B100" s="1">
        <f>B99</f>
        <v/>
      </c>
      <c r="C100" t="n">
        <v>67.68000000000001</v>
      </c>
    </row>
    <row r="101">
      <c r="A101" s="9" t="n">
        <v>46045</v>
      </c>
      <c r="B101" s="1">
        <f>B100</f>
        <v/>
      </c>
      <c r="C101" t="n">
        <v>67.62</v>
      </c>
    </row>
    <row r="102">
      <c r="A102" s="9" t="n">
        <v>46048</v>
      </c>
      <c r="B102" s="1">
        <f>B101</f>
        <v/>
      </c>
      <c r="C102" t="n">
        <v>67.64</v>
      </c>
    </row>
    <row r="103">
      <c r="A103" s="9" t="n">
        <v>46049</v>
      </c>
      <c r="B103" s="1">
        <f>B102</f>
        <v/>
      </c>
      <c r="C103" t="n">
        <v>67.73999999999999</v>
      </c>
    </row>
    <row r="104">
      <c r="A104" s="9" t="n">
        <v>46050</v>
      </c>
      <c r="B104" s="1">
        <f>B103</f>
        <v/>
      </c>
      <c r="C104" t="n">
        <v>67.73</v>
      </c>
    </row>
    <row r="105">
      <c r="A105" s="9" t="n">
        <v>46051</v>
      </c>
      <c r="B105" s="1">
        <f>B104</f>
        <v/>
      </c>
      <c r="C105" t="n">
        <v>67.73999999999999</v>
      </c>
    </row>
    <row r="106">
      <c r="A106" s="9" t="n">
        <v>46052</v>
      </c>
      <c r="B106" s="1">
        <f>B105</f>
        <v/>
      </c>
      <c r="C106" t="n">
        <v>67.59999999999999</v>
      </c>
    </row>
    <row r="107">
      <c r="A107" s="9" t="n">
        <v>46055</v>
      </c>
      <c r="B107" s="1">
        <f>B106</f>
        <v/>
      </c>
      <c r="C107" t="n">
        <v>67.75</v>
      </c>
    </row>
    <row r="108">
      <c r="A108" s="9" t="n">
        <v>46056</v>
      </c>
      <c r="B108" s="1">
        <f>B107</f>
        <v/>
      </c>
      <c r="C108" t="n">
        <v>67.70999999999999</v>
      </c>
    </row>
    <row r="109">
      <c r="A109" s="9" t="n">
        <v>46057</v>
      </c>
      <c r="B109" s="1">
        <f>B108</f>
        <v/>
      </c>
      <c r="C109" t="n">
        <v>67.8</v>
      </c>
    </row>
    <row r="110">
      <c r="A110" s="9" t="n">
        <v>46058</v>
      </c>
      <c r="B110" s="1">
        <f>B109</f>
        <v/>
      </c>
      <c r="C110" t="n">
        <v>67.97</v>
      </c>
    </row>
    <row r="111">
      <c r="A111" s="9" t="n">
        <v>46059</v>
      </c>
      <c r="B111" s="1">
        <f>B110</f>
        <v/>
      </c>
      <c r="C111" t="n">
        <v>67.8</v>
      </c>
    </row>
    <row r="112">
      <c r="A112" s="9" t="n">
        <v>46062</v>
      </c>
      <c r="B112" s="1">
        <f>B111</f>
        <v/>
      </c>
      <c r="C112" t="n">
        <v>67.79000000000001</v>
      </c>
    </row>
    <row r="113">
      <c r="A113" s="9" t="n">
        <v>46063</v>
      </c>
      <c r="B113" s="1">
        <f>B112</f>
        <v/>
      </c>
      <c r="C113" t="n">
        <v>67.91</v>
      </c>
    </row>
    <row r="114">
      <c r="A114" s="9" t="n">
        <v>46064</v>
      </c>
      <c r="B114" s="1">
        <f>B113</f>
        <v/>
      </c>
      <c r="C114" t="n">
        <v>68.02</v>
      </c>
    </row>
    <row r="115">
      <c r="A115" s="9" t="n">
        <v>46065</v>
      </c>
      <c r="B115" s="1">
        <f>B114</f>
        <v/>
      </c>
      <c r="C115" t="n">
        <v>68.01000000000001</v>
      </c>
    </row>
    <row r="116">
      <c r="A116" s="9" t="n">
        <v>46066</v>
      </c>
      <c r="B116" s="1">
        <f>B115</f>
        <v/>
      </c>
      <c r="C116" t="n">
        <v>68.19</v>
      </c>
    </row>
    <row r="117">
      <c r="A117" s="9" t="n">
        <v>46071</v>
      </c>
      <c r="B117" s="1">
        <f>B116</f>
        <v/>
      </c>
      <c r="C117" t="n">
        <v>68.17</v>
      </c>
    </row>
    <row r="118">
      <c r="A118" s="9" t="n">
        <v>46072</v>
      </c>
      <c r="B118" s="1">
        <f>B117</f>
        <v/>
      </c>
      <c r="C118" t="n">
        <v>68.11</v>
      </c>
    </row>
    <row r="119">
      <c r="A119" s="9" t="n">
        <v>46073</v>
      </c>
      <c r="B119" s="1">
        <f>B118</f>
        <v/>
      </c>
      <c r="C119" t="n">
        <v>68.11</v>
      </c>
    </row>
    <row r="120">
      <c r="A120" s="9" t="n">
        <v>46076</v>
      </c>
      <c r="B120" s="1">
        <f>B119</f>
        <v/>
      </c>
      <c r="C120" t="n">
        <v>68.13</v>
      </c>
    </row>
    <row r="121">
      <c r="A121" s="9" t="n">
        <v>46077</v>
      </c>
      <c r="B121" s="1">
        <f>B120</f>
        <v/>
      </c>
      <c r="C121" t="n">
        <v>68.2</v>
      </c>
    </row>
    <row r="122">
      <c r="A122" s="9" t="n">
        <v>46078</v>
      </c>
      <c r="B122" s="1">
        <f>B121</f>
        <v/>
      </c>
      <c r="C122" t="n">
        <v>68.05</v>
      </c>
    </row>
    <row r="123">
      <c r="A123" s="9" t="n">
        <v>46079</v>
      </c>
      <c r="B123" s="1">
        <f>B122</f>
        <v/>
      </c>
      <c r="C123" t="n">
        <v>68.3</v>
      </c>
    </row>
    <row r="124">
      <c r="A124" s="9" t="n">
        <v>46080</v>
      </c>
      <c r="B124" s="1">
        <f>B123</f>
        <v/>
      </c>
      <c r="C124" t="n">
        <v>69.13</v>
      </c>
    </row>
    <row r="125">
      <c r="A125" s="9" t="n">
        <v>46083</v>
      </c>
      <c r="B125" s="1">
        <f>B124</f>
        <v/>
      </c>
      <c r="C125" t="n">
        <v>69.69</v>
      </c>
    </row>
    <row r="126">
      <c r="A126" s="9" t="n">
        <v>46084</v>
      </c>
      <c r="B126" s="1">
        <f>B125</f>
        <v/>
      </c>
      <c r="C126" t="n">
        <v>70.48</v>
      </c>
    </row>
    <row r="127">
      <c r="A127" s="9" t="n">
        <v>46085</v>
      </c>
      <c r="B127" s="1">
        <f>B126</f>
        <v/>
      </c>
      <c r="C127" t="n">
        <v>70.23</v>
      </c>
    </row>
    <row r="128">
      <c r="A128" s="9" t="n">
        <v>46086</v>
      </c>
      <c r="B128" s="1">
        <f>B127</f>
        <v/>
      </c>
      <c r="C128" t="n">
        <v>70.34999999999999</v>
      </c>
    </row>
    <row r="129">
      <c r="A129" s="9" t="n">
        <v>46087</v>
      </c>
      <c r="B129" s="1">
        <f>B128</f>
        <v/>
      </c>
      <c r="C129" t="n">
        <v>70.90000000000001</v>
      </c>
    </row>
    <row r="130">
      <c r="A130" s="9" t="n">
        <v>46090</v>
      </c>
      <c r="B130" s="1">
        <f>B129</f>
        <v/>
      </c>
      <c r="C130" t="n">
        <v>71.12</v>
      </c>
    </row>
    <row r="131">
      <c r="A131" s="9" t="n">
        <v>46091</v>
      </c>
      <c r="B131" s="1">
        <f>B130</f>
        <v/>
      </c>
      <c r="C131" t="n">
        <v>71.17</v>
      </c>
    </row>
    <row r="132">
      <c r="A132" s="9" t="n">
        <v>46092</v>
      </c>
      <c r="B132" s="1">
        <f>B131</f>
        <v/>
      </c>
      <c r="C132" t="n">
        <v>71.62</v>
      </c>
    </row>
    <row r="133">
      <c r="A133" s="9" t="n">
        <v>46093</v>
      </c>
      <c r="B133" s="1">
        <f>B132</f>
        <v/>
      </c>
      <c r="C133" t="n">
        <v>71.66</v>
      </c>
    </row>
    <row r="134">
      <c r="A134" s="9" t="n">
        <v>46094</v>
      </c>
      <c r="B134" s="1">
        <f>B133</f>
        <v/>
      </c>
      <c r="C134" t="n">
        <v>71.95</v>
      </c>
    </row>
    <row r="135">
      <c r="A135" s="9" t="n">
        <v>46097</v>
      </c>
      <c r="B135" s="1">
        <f>B134</f>
        <v/>
      </c>
      <c r="C135" t="n">
        <v>70.89</v>
      </c>
    </row>
    <row r="136">
      <c r="A136" s="9" t="n">
        <v>46098</v>
      </c>
      <c r="B136" s="1">
        <f>B135</f>
        <v/>
      </c>
      <c r="C136" t="n">
        <v>70.56999999999999</v>
      </c>
    </row>
    <row r="137">
      <c r="A137" s="9" t="n">
        <v>46099</v>
      </c>
      <c r="B137" s="1">
        <f>B136</f>
        <v/>
      </c>
      <c r="C137" t="n">
        <v>71.34</v>
      </c>
    </row>
    <row r="138">
      <c r="A138" s="9" t="n">
        <v>46100</v>
      </c>
      <c r="B138" s="1">
        <f>B137</f>
        <v/>
      </c>
      <c r="C138" t="n">
        <v>71.20999999999999</v>
      </c>
    </row>
    <row r="139">
      <c r="A139" s="9" t="n">
        <v>46101</v>
      </c>
      <c r="B139" s="1">
        <f>B138</f>
        <v/>
      </c>
      <c r="C139" t="n">
        <v>71.38</v>
      </c>
    </row>
    <row r="140">
      <c r="A140" s="9" t="n">
        <v>46104</v>
      </c>
      <c r="B140" s="1">
        <f>B139</f>
        <v/>
      </c>
      <c r="C140" t="n">
        <v>71.3</v>
      </c>
    </row>
    <row r="141">
      <c r="A141" s="9" t="n">
        <v>46105</v>
      </c>
      <c r="B141" s="1">
        <f>B140</f>
        <v/>
      </c>
      <c r="C141" t="n">
        <v>71.51000000000001</v>
      </c>
    </row>
    <row r="142">
      <c r="A142" s="9" t="n">
        <v>46106</v>
      </c>
      <c r="B142" s="1">
        <f>B141</f>
        <v/>
      </c>
      <c r="C142" t="n">
        <v>71.47</v>
      </c>
    </row>
    <row r="143">
      <c r="A143" s="9" t="n">
        <v>46107</v>
      </c>
      <c r="B143" s="1">
        <f>B142</f>
        <v/>
      </c>
      <c r="C143" t="n">
        <v>71.48</v>
      </c>
    </row>
    <row r="144">
      <c r="A144" s="9" t="n">
        <v>46108</v>
      </c>
      <c r="B144" s="1">
        <f>B143</f>
        <v/>
      </c>
      <c r="C144" t="n">
        <v>71.81</v>
      </c>
    </row>
    <row r="145">
      <c r="A145" s="9" t="n">
        <v>46111</v>
      </c>
      <c r="B145" s="1">
        <f>B144</f>
        <v/>
      </c>
      <c r="C145" t="n">
        <v>72.92</v>
      </c>
    </row>
    <row r="146">
      <c r="A146" s="9" t="n">
        <v>46112</v>
      </c>
      <c r="B146" s="1">
        <f>B145</f>
        <v/>
      </c>
      <c r="C146" t="n">
        <v>72.8</v>
      </c>
    </row>
    <row r="147">
      <c r="A147" s="24" t="n">
        <v>46113</v>
      </c>
      <c r="B147" s="1">
        <f>B156</f>
        <v/>
      </c>
      <c r="C147" t="n">
        <v>72</v>
      </c>
    </row>
    <row r="148">
      <c r="A148" s="24" t="n">
        <v>46114</v>
      </c>
      <c r="B148" s="1">
        <f>B157</f>
        <v/>
      </c>
      <c r="C148" t="n">
        <v>72.38</v>
      </c>
    </row>
    <row r="149">
      <c r="A149" s="24" t="n">
        <v>46118</v>
      </c>
      <c r="B149" s="1">
        <f>B158</f>
        <v/>
      </c>
      <c r="C149" t="n">
        <v>72.39</v>
      </c>
    </row>
    <row r="150">
      <c r="A150" s="24" t="n">
        <v>46119</v>
      </c>
      <c r="B150" s="1">
        <f>B159</f>
        <v/>
      </c>
      <c r="C150" t="n">
        <v>71.45</v>
      </c>
    </row>
    <row r="151">
      <c r="A151" s="24" t="n">
        <v>46120</v>
      </c>
      <c r="B151" s="1">
        <f>B160</f>
        <v/>
      </c>
      <c r="C151" t="n">
        <v>70.66</v>
      </c>
    </row>
    <row r="152">
      <c r="A152" s="24" t="n">
        <v>46121</v>
      </c>
      <c r="B152" s="1">
        <f>B161</f>
        <v/>
      </c>
      <c r="C152" t="n">
        <v>70.05</v>
      </c>
    </row>
    <row r="153">
      <c r="A153" s="24" t="n">
        <v>46122</v>
      </c>
      <c r="B153" s="1">
        <f>B162</f>
        <v/>
      </c>
      <c r="C153" t="n">
        <v>69.45999999999999</v>
      </c>
    </row>
    <row r="154">
      <c r="A154" s="24" t="n">
        <v>46125</v>
      </c>
      <c r="B154" s="1">
        <f>B163</f>
        <v/>
      </c>
      <c r="C154" t="n">
        <v>69.25</v>
      </c>
    </row>
    <row r="155">
      <c r="A155" s="24" t="n">
        <v>46126</v>
      </c>
      <c r="B155" s="1">
        <f>B164</f>
        <v/>
      </c>
      <c r="C155" t="n">
        <v>68.66</v>
      </c>
    </row>
    <row r="156">
      <c r="A156" s="24" t="n">
        <v>46127</v>
      </c>
      <c r="B156" s="1">
        <f>B165</f>
        <v/>
      </c>
      <c r="C156" t="n">
        <v>68.2</v>
      </c>
    </row>
    <row r="157">
      <c r="A157" s="24" t="n">
        <v>46128</v>
      </c>
      <c r="B157" s="1">
        <f>B166</f>
        <v/>
      </c>
      <c r="C157" t="n">
        <v>68.29000000000001</v>
      </c>
    </row>
    <row r="158">
      <c r="A158" s="24" t="n">
        <v>46129</v>
      </c>
      <c r="B158" s="1">
        <f>B157</f>
        <v/>
      </c>
      <c r="C158" t="n">
        <v>68.29000000000001</v>
      </c>
    </row>
    <row r="159">
      <c r="A159" s="24" t="n">
        <v>46132</v>
      </c>
      <c r="B159" s="1">
        <f>B158</f>
        <v/>
      </c>
      <c r="C159" t="n">
        <v>69.66</v>
      </c>
    </row>
    <row r="160">
      <c r="A160" s="24" t="n">
        <v>46134</v>
      </c>
      <c r="B160" s="1">
        <f>B159</f>
        <v/>
      </c>
      <c r="C160" t="n">
        <v>71.47</v>
      </c>
    </row>
    <row r="161">
      <c r="A161" s="24" t="n">
        <v>46135</v>
      </c>
      <c r="B161" s="1">
        <f>B160</f>
        <v/>
      </c>
      <c r="C161" t="n">
        <v>71.06</v>
      </c>
    </row>
    <row r="162">
      <c r="A162" s="24" t="n">
        <v>46136</v>
      </c>
      <c r="B162" s="1">
        <f>B161</f>
        <v/>
      </c>
      <c r="C162" t="n">
        <v>71.27</v>
      </c>
    </row>
    <row r="163">
      <c r="A163" s="24" t="n">
        <v>46139</v>
      </c>
      <c r="B163" s="1">
        <f>B162</f>
        <v/>
      </c>
      <c r="C163" t="n">
        <v>72.09</v>
      </c>
    </row>
    <row r="164">
      <c r="A164" s="24" t="n">
        <v>46140</v>
      </c>
      <c r="B164" s="1">
        <f>B163</f>
        <v/>
      </c>
      <c r="C164" t="n">
        <v>71.92</v>
      </c>
    </row>
    <row r="165">
      <c r="A165" s="24" t="n">
        <v>46141</v>
      </c>
      <c r="B165" s="1">
        <f>B164</f>
        <v/>
      </c>
      <c r="C165" t="n">
        <v>72.02</v>
      </c>
    </row>
    <row r="166">
      <c r="A166" s="24" t="n">
        <v>46142</v>
      </c>
      <c r="B166" s="1">
        <f>B165</f>
        <v/>
      </c>
      <c r="C166" t="n">
        <v>71.62</v>
      </c>
    </row>
    <row r="167">
      <c r="A167" s="24" t="n">
        <v>46146</v>
      </c>
      <c r="B167" s="1">
        <f>B166</f>
        <v/>
      </c>
      <c r="C167" t="n">
        <v>71.23</v>
      </c>
    </row>
    <row r="168">
      <c r="A168" s="24" t="n">
        <v>46147</v>
      </c>
      <c r="B168" s="1">
        <f>B167</f>
        <v/>
      </c>
      <c r="C168" t="n">
        <v>70.33</v>
      </c>
    </row>
    <row r="169">
      <c r="A169" s="24" t="n">
        <v>46148</v>
      </c>
      <c r="B169" s="1">
        <f>B168</f>
        <v/>
      </c>
      <c r="C169" t="n">
        <v>69.48999999999999</v>
      </c>
    </row>
    <row r="170">
      <c r="A170" s="24" t="n">
        <v>46149</v>
      </c>
      <c r="B170" s="1">
        <f>B169</f>
        <v/>
      </c>
      <c r="C170" t="n">
        <v>69.45999999999999</v>
      </c>
    </row>
    <row r="171">
      <c r="A171" s="24" t="n">
        <v>46150</v>
      </c>
      <c r="B171" s="1">
        <f>B170</f>
        <v/>
      </c>
      <c r="C171" t="n">
        <v>69.7</v>
      </c>
    </row>
    <row r="172">
      <c r="A172" s="24" t="n">
        <v>46153</v>
      </c>
      <c r="B172" s="1">
        <f>B171</f>
        <v/>
      </c>
      <c r="C172" t="n">
        <v>70.18000000000001</v>
      </c>
    </row>
    <row r="173">
      <c r="A173" s="24" t="n">
        <v>46154</v>
      </c>
      <c r="B173" s="1">
        <f>B172</f>
        <v/>
      </c>
      <c r="C173" t="n">
        <v>70.55</v>
      </c>
    </row>
    <row r="174">
      <c r="A174" s="24" t="n">
        <v>46155</v>
      </c>
      <c r="B174" s="1">
        <f>B173</f>
        <v/>
      </c>
      <c r="C174" t="n">
        <v>70.2</v>
      </c>
    </row>
    <row r="175">
      <c r="A175" s="24" t="n">
        <v>46156</v>
      </c>
      <c r="B175" s="1">
        <f>B174</f>
        <v/>
      </c>
      <c r="C175" t="n">
        <v>69.94</v>
      </c>
    </row>
    <row r="176">
      <c r="A176" s="24" t="n">
        <v>46157</v>
      </c>
      <c r="B176" s="1">
        <f>B175</f>
        <v/>
      </c>
      <c r="C176" t="n">
        <v>69.68000000000001</v>
      </c>
    </row>
    <row r="177">
      <c r="A177" s="24" t="n">
        <v>46160</v>
      </c>
      <c r="B177" s="1">
        <f>B176</f>
        <v/>
      </c>
      <c r="C177" t="n">
        <v>69.81999999999999</v>
      </c>
    </row>
    <row r="178">
      <c r="A178" s="24" t="n">
        <v>46161</v>
      </c>
      <c r="B178" s="1">
        <f>B177</f>
        <v/>
      </c>
      <c r="C178" t="n">
        <v>69.73</v>
      </c>
    </row>
    <row r="179">
      <c r="A179" s="24" t="n">
        <v>46162</v>
      </c>
      <c r="B179" s="1">
        <f>B178</f>
        <v/>
      </c>
      <c r="C179" t="n">
        <v>69.77</v>
      </c>
    </row>
    <row r="180">
      <c r="A180" s="24" t="n">
        <v>46163</v>
      </c>
      <c r="B180" s="1">
        <f>B179</f>
        <v/>
      </c>
      <c r="C180" t="n">
        <v>70.03</v>
      </c>
    </row>
    <row r="181">
      <c r="A181" s="24" t="n">
        <v>46164</v>
      </c>
      <c r="B181" s="1">
        <f>B180</f>
        <v/>
      </c>
      <c r="C181" t="n">
        <v>69.98</v>
      </c>
    </row>
    <row r="182">
      <c r="A182" s="24" t="n">
        <v>46167</v>
      </c>
      <c r="B182" s="1">
        <f>B181</f>
        <v/>
      </c>
      <c r="C182" t="n">
        <v>69.5</v>
      </c>
    </row>
    <row r="183">
      <c r="A183" s="24" t="n">
        <v>46168</v>
      </c>
      <c r="B183" s="1">
        <f>B182</f>
        <v/>
      </c>
      <c r="C183" t="n">
        <v>68.94</v>
      </c>
    </row>
    <row r="184">
      <c r="A184" s="24" t="n">
        <v>46169</v>
      </c>
      <c r="B184" s="1">
        <f>B183</f>
        <v/>
      </c>
      <c r="C184" t="n">
        <v>68.31</v>
      </c>
    </row>
    <row r="185">
      <c r="A185" s="24" t="n">
        <v>46170</v>
      </c>
      <c r="B185" s="1">
        <f>B184</f>
        <v/>
      </c>
      <c r="C185" t="n">
        <v>68.73</v>
      </c>
    </row>
    <row r="186">
      <c r="A186" s="24" t="n">
        <v>46171</v>
      </c>
      <c r="B186" s="1">
        <f>B185</f>
        <v/>
      </c>
      <c r="C186" t="n">
        <v>68.13</v>
      </c>
    </row>
    <row r="187">
      <c r="A187" s="24" t="n">
        <v>46174</v>
      </c>
      <c r="B187" s="1">
        <f>B186</f>
        <v/>
      </c>
      <c r="C187" t="n">
        <v>67.75</v>
      </c>
    </row>
    <row r="188">
      <c r="A188" s="24" t="n">
        <v>46175</v>
      </c>
      <c r="B188" s="1">
        <f>B187</f>
        <v/>
      </c>
      <c r="C188" t="n">
        <v>66.95999999999999</v>
      </c>
    </row>
    <row r="189">
      <c r="A189" s="24" t="n">
        <v>46176</v>
      </c>
      <c r="B189" s="1">
        <f>B188</f>
        <v/>
      </c>
      <c r="C189" t="n">
        <v>68.02</v>
      </c>
    </row>
    <row r="190">
      <c r="A190" s="24" t="n">
        <v>46178</v>
      </c>
      <c r="B190" s="1">
        <f>B189</f>
        <v/>
      </c>
      <c r="C190" t="n">
        <v>68.78</v>
      </c>
    </row>
    <row r="191">
      <c r="A191" s="24" t="n">
        <v>46181</v>
      </c>
      <c r="B191" s="1">
        <f>B190</f>
        <v/>
      </c>
      <c r="C191" t="n">
        <v>67.45</v>
      </c>
    </row>
    <row r="192">
      <c r="A192" s="24" t="n">
        <v>46182</v>
      </c>
      <c r="B192" s="1">
        <f>B191</f>
        <v/>
      </c>
      <c r="C192" t="n">
        <v>67.45999999999999</v>
      </c>
    </row>
    <row r="193">
      <c r="A193" s="24" t="n">
        <v>46183</v>
      </c>
      <c r="B193" s="1">
        <f>B192</f>
        <v/>
      </c>
      <c r="C193" t="n">
        <v>66.84999999999999</v>
      </c>
    </row>
    <row r="194">
      <c r="A194" s="24" t="n">
        <v>46184</v>
      </c>
      <c r="B194" s="1">
        <f>B193</f>
        <v/>
      </c>
      <c r="C194" t="n">
        <v>66.42</v>
      </c>
    </row>
    <row r="195">
      <c r="A195" s="24" t="n">
        <v>46185</v>
      </c>
      <c r="B195" s="1">
        <f>B194</f>
        <v/>
      </c>
      <c r="C195" t="n">
        <v>66.86</v>
      </c>
    </row>
    <row r="196">
      <c r="A196" s="24" t="n">
        <v>46188</v>
      </c>
      <c r="B196" s="1">
        <f>B195</f>
        <v/>
      </c>
      <c r="C196" t="n">
        <v>66.98</v>
      </c>
    </row>
    <row r="197">
      <c r="A197" s="24" t="n">
        <v>46189</v>
      </c>
      <c r="B197" s="1">
        <f>B196</f>
        <v/>
      </c>
      <c r="C197" t="n">
        <v>66.94</v>
      </c>
    </row>
    <row r="198">
      <c r="A198" s="24" t="n">
        <v>46190</v>
      </c>
      <c r="B198" s="1">
        <f>B197</f>
        <v/>
      </c>
      <c r="C198" t="n">
        <v>67.31</v>
      </c>
    </row>
    <row r="199">
      <c r="A199" s="24" t="n">
        <v>46191</v>
      </c>
      <c r="B199" s="1">
        <f>B198</f>
        <v/>
      </c>
      <c r="C199" t="n">
        <v>67.09999999999999</v>
      </c>
    </row>
    <row r="200">
      <c r="A200" s="24" t="n">
        <v>46192</v>
      </c>
      <c r="B200" s="1">
        <f>B199</f>
        <v/>
      </c>
      <c r="C200" t="n">
        <v>66.86</v>
      </c>
    </row>
    <row r="201">
      <c r="A201" s="24" t="n">
        <v>46195</v>
      </c>
      <c r="B201" s="1">
        <f>B200</f>
        <v/>
      </c>
      <c r="C201" t="n">
        <v>66.70999999999999</v>
      </c>
    </row>
    <row r="202">
      <c r="A202" s="24" t="n">
        <v>46196</v>
      </c>
      <c r="B202" s="1">
        <f>B201</f>
        <v/>
      </c>
      <c r="C202" t="n">
        <v>67.19</v>
      </c>
    </row>
    <row r="203">
      <c r="A203" s="24" t="n">
        <v>46197</v>
      </c>
      <c r="B203" s="1">
        <f>B202</f>
        <v/>
      </c>
      <c r="C203" t="n">
        <v>67.47</v>
      </c>
    </row>
    <row r="204">
      <c r="A204" s="24" t="n">
        <v>46198</v>
      </c>
      <c r="B204" s="1">
        <f>B203</f>
        <v/>
      </c>
      <c r="C204" t="n">
        <v>67.91</v>
      </c>
    </row>
    <row r="205">
      <c r="A205" s="24" t="n">
        <v>46199</v>
      </c>
      <c r="B205" s="1">
        <f>B204</f>
        <v/>
      </c>
      <c r="C205" t="n">
        <v>67.86</v>
      </c>
    </row>
    <row r="206">
      <c r="A206" s="24" t="n">
        <v>46202</v>
      </c>
      <c r="B206" s="1">
        <f>B205</f>
        <v/>
      </c>
      <c r="C206" t="n">
        <v>67.64</v>
      </c>
    </row>
    <row r="207">
      <c r="A207" s="24" t="n">
        <v>46203</v>
      </c>
      <c r="B207" s="1">
        <f>B206</f>
        <v/>
      </c>
      <c r="C207" t="n">
        <v>68.19</v>
      </c>
    </row>
    <row r="208">
      <c r="A208" s="24" t="n">
        <v>46204</v>
      </c>
      <c r="B208" s="1">
        <f>B207</f>
        <v/>
      </c>
      <c r="C208" t="n">
        <v>68.34</v>
      </c>
    </row>
    <row r="209">
      <c r="A209" s="24" t="n">
        <v>46205</v>
      </c>
      <c r="B209" s="1">
        <f>B208</f>
        <v/>
      </c>
      <c r="C209" t="n">
        <v>68.03</v>
      </c>
    </row>
    <row r="210">
      <c r="A210" s="24" t="n">
        <v>46206</v>
      </c>
      <c r="B210" s="1">
        <f>B209</f>
        <v/>
      </c>
      <c r="C210" t="n">
        <v>67.06</v>
      </c>
    </row>
    <row r="211">
      <c r="A211" s="24" t="n">
        <v>46209</v>
      </c>
      <c r="B211" s="1">
        <f>B210</f>
        <v/>
      </c>
      <c r="C211" t="n">
        <v>68.3</v>
      </c>
    </row>
    <row r="212">
      <c r="A212" s="24" t="n">
        <v>46210</v>
      </c>
      <c r="B212" s="1">
        <f>B211</f>
        <v/>
      </c>
      <c r="C212" t="n">
        <v>68.27</v>
      </c>
    </row>
    <row r="213">
      <c r="A213" s="24" t="n">
        <v>46211</v>
      </c>
      <c r="B213" s="1">
        <f>B212</f>
        <v/>
      </c>
      <c r="C213" t="n">
        <v>68.02</v>
      </c>
    </row>
    <row r="214">
      <c r="A214" s="24" t="n">
        <v>46212</v>
      </c>
      <c r="B214" s="1">
        <f>B213</f>
        <v/>
      </c>
      <c r="C214" t="n">
        <v>67.48</v>
      </c>
    </row>
    <row r="215">
      <c r="A215" s="24" t="n">
        <v>46213</v>
      </c>
      <c r="B215" s="1">
        <f>B214</f>
        <v/>
      </c>
      <c r="C215" t="n">
        <v>67.34999999999999</v>
      </c>
    </row>
    <row r="216">
      <c r="A216" s="24" t="n">
        <v>46216</v>
      </c>
      <c r="B216" s="1">
        <f>B215</f>
        <v/>
      </c>
      <c r="C216" t="n">
        <v>67.79000000000001</v>
      </c>
    </row>
    <row r="217">
      <c r="A217" s="67" t="n">
        <v>46217</v>
      </c>
      <c r="B217" s="1">
        <f>B216</f>
        <v/>
      </c>
      <c r="C217" t="n">
        <v>67.48999999999999</v>
      </c>
    </row>
    <row r="218">
      <c r="B218" s="1">
        <f>B227</f>
        <v/>
      </c>
    </row>
    <row r="219">
      <c r="B219" s="1">
        <f>B228</f>
        <v/>
      </c>
    </row>
    <row r="220">
      <c r="B220" s="1">
        <f>B229</f>
        <v/>
      </c>
    </row>
    <row r="221">
      <c r="B221" s="1">
        <f>B230</f>
        <v/>
      </c>
    </row>
    <row r="222">
      <c r="B222" s="1">
        <f>B231</f>
        <v/>
      </c>
    </row>
    <row r="223">
      <c r="B223" s="1">
        <f>B232</f>
        <v/>
      </c>
    </row>
    <row r="224">
      <c r="B224" s="1">
        <f>B233</f>
        <v/>
      </c>
    </row>
    <row r="225">
      <c r="B225" s="1">
        <f>B234</f>
        <v/>
      </c>
    </row>
    <row r="226">
      <c r="B226" s="1">
        <f>B235</f>
        <v/>
      </c>
    </row>
    <row r="227">
      <c r="B227" s="1">
        <f>B236</f>
        <v/>
      </c>
    </row>
    <row r="228">
      <c r="B228" s="1">
        <f>B237</f>
        <v/>
      </c>
    </row>
    <row r="229">
      <c r="B229" s="1">
        <f>B238</f>
        <v/>
      </c>
    </row>
    <row r="230">
      <c r="B230" s="1">
        <f>B239</f>
        <v/>
      </c>
    </row>
    <row r="231">
      <c r="B231" s="1">
        <f>B240</f>
        <v/>
      </c>
    </row>
    <row r="232">
      <c r="B232" s="1">
        <f>B241</f>
        <v/>
      </c>
    </row>
    <row r="233">
      <c r="B233" s="1">
        <f>B242</f>
        <v/>
      </c>
    </row>
    <row r="234">
      <c r="B234" s="1">
        <f>B243</f>
        <v/>
      </c>
    </row>
    <row r="235">
      <c r="B235" s="1">
        <f>B244</f>
        <v/>
      </c>
    </row>
    <row r="236">
      <c r="B236" s="1">
        <f>B245</f>
        <v/>
      </c>
    </row>
    <row r="237">
      <c r="B237" s="1">
        <f>B246</f>
        <v/>
      </c>
    </row>
    <row r="238">
      <c r="B238" s="1">
        <f>B247</f>
        <v/>
      </c>
    </row>
    <row r="239">
      <c r="B239" s="1">
        <f>B248</f>
        <v/>
      </c>
    </row>
    <row r="240">
      <c r="B24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4.xml><?xml version="1.0" encoding="utf-8"?>
<worksheet xmlns="http://schemas.openxmlformats.org/spreadsheetml/2006/main">
  <sheetPr codeName="Planilha44">
    <outlinePr summaryBelow="1" summaryRight="1"/>
    <pageSetUpPr/>
  </sheetPr>
  <dimension ref="A1:C190"/>
  <sheetViews>
    <sheetView topLeftCell="A97" zoomScale="90" zoomScaleNormal="90" workbookViewId="0">
      <selection activeCell="B101" sqref="B10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45979</v>
      </c>
      <c r="B2" s="1" t="inlineStr">
        <is>
          <t>CCMX26</t>
        </is>
      </c>
      <c r="C2" s="7" t="n">
        <v>71.31999999999999</v>
      </c>
    </row>
    <row r="3">
      <c r="A3" s="4" t="n">
        <v>45980</v>
      </c>
      <c r="B3" s="1">
        <f>B2</f>
        <v/>
      </c>
      <c r="C3" s="7" t="n">
        <v>71.41</v>
      </c>
    </row>
    <row r="4">
      <c r="A4" s="4" t="n">
        <v>45982</v>
      </c>
      <c r="B4" s="1">
        <f>B3</f>
        <v/>
      </c>
      <c r="C4" s="7" t="n">
        <v>71.62</v>
      </c>
    </row>
    <row r="5">
      <c r="A5" s="4" t="n">
        <v>45985</v>
      </c>
      <c r="B5" s="1">
        <f>B4</f>
        <v/>
      </c>
      <c r="C5" s="7" t="n">
        <v>71.63</v>
      </c>
    </row>
    <row r="6">
      <c r="A6" s="4" t="n">
        <v>45986</v>
      </c>
      <c r="B6" s="1">
        <f>B5</f>
        <v/>
      </c>
      <c r="C6" s="7" t="n">
        <v>71.61</v>
      </c>
    </row>
    <row r="7">
      <c r="A7" s="4" t="n">
        <v>45987</v>
      </c>
      <c r="B7" s="1">
        <f>B6</f>
        <v/>
      </c>
      <c r="C7" s="7" t="n">
        <v>71.70999999999999</v>
      </c>
    </row>
    <row r="8">
      <c r="A8" s="4" t="n">
        <v>45988</v>
      </c>
      <c r="B8" s="1">
        <f>B7</f>
        <v/>
      </c>
      <c r="C8" s="7" t="n">
        <v>72.64</v>
      </c>
    </row>
    <row r="9">
      <c r="A9" s="4" t="n">
        <v>45989</v>
      </c>
      <c r="B9" s="1">
        <f>B8</f>
        <v/>
      </c>
      <c r="C9" s="7" t="n">
        <v>72.41</v>
      </c>
    </row>
    <row r="10">
      <c r="A10" s="4" t="n">
        <v>45992</v>
      </c>
      <c r="B10" s="1">
        <f>B9</f>
        <v/>
      </c>
      <c r="C10" s="7" t="n">
        <v>72.48999999999999</v>
      </c>
    </row>
    <row r="11">
      <c r="A11" s="4" t="n">
        <v>45993</v>
      </c>
      <c r="B11" s="1">
        <f>B10</f>
        <v/>
      </c>
      <c r="C11" s="7" t="n">
        <v>72.26000000000001</v>
      </c>
    </row>
    <row r="12">
      <c r="A12" s="4" t="n">
        <v>45994</v>
      </c>
      <c r="B12" s="1">
        <f>B11</f>
        <v/>
      </c>
      <c r="C12" s="7" t="n">
        <v>72.65000000000001</v>
      </c>
    </row>
    <row r="13">
      <c r="A13" s="4" t="n">
        <v>45995</v>
      </c>
      <c r="B13" s="1">
        <f>B12</f>
        <v/>
      </c>
      <c r="C13" s="7" t="n">
        <v>72.13</v>
      </c>
    </row>
    <row r="14">
      <c r="A14" s="4" t="n">
        <v>45996</v>
      </c>
      <c r="B14" s="1">
        <f>B13</f>
        <v/>
      </c>
      <c r="C14" s="7" t="n">
        <v>71.98</v>
      </c>
    </row>
    <row r="15">
      <c r="A15" s="4" t="n">
        <v>45999</v>
      </c>
      <c r="B15" s="1">
        <f>B14</f>
        <v/>
      </c>
      <c r="C15" s="7" t="n">
        <v>72.18000000000001</v>
      </c>
    </row>
    <row r="16">
      <c r="A16" s="4" t="n">
        <v>46000</v>
      </c>
      <c r="B16" s="1">
        <f>B15</f>
        <v/>
      </c>
      <c r="C16" s="7" t="n">
        <v>72.40000000000001</v>
      </c>
    </row>
    <row r="17">
      <c r="A17" s="4" t="n">
        <v>46001</v>
      </c>
      <c r="B17" s="1">
        <f>B16</f>
        <v/>
      </c>
      <c r="C17" s="7" t="n">
        <v>72.12</v>
      </c>
    </row>
    <row r="18">
      <c r="A18" s="4" t="n">
        <v>46002</v>
      </c>
      <c r="B18" s="1">
        <f>B17</f>
        <v/>
      </c>
      <c r="C18" s="7" t="n">
        <v>71.98</v>
      </c>
    </row>
    <row r="19">
      <c r="A19" s="4" t="n">
        <v>46003</v>
      </c>
      <c r="B19" s="1">
        <f>B18</f>
        <v/>
      </c>
      <c r="C19" s="7" t="n">
        <v>72.19</v>
      </c>
    </row>
    <row r="20">
      <c r="A20" s="4" t="n">
        <v>46006</v>
      </c>
      <c r="B20" s="1">
        <f>B19</f>
        <v/>
      </c>
      <c r="C20" t="n">
        <v>72.2</v>
      </c>
    </row>
    <row r="21">
      <c r="A21" s="4" t="n">
        <v>46007</v>
      </c>
      <c r="B21" s="1">
        <f>B20</f>
        <v/>
      </c>
      <c r="C21" t="n">
        <v>71.77</v>
      </c>
    </row>
    <row r="22">
      <c r="A22" s="4" t="n">
        <v>46008</v>
      </c>
      <c r="B22" s="1">
        <f>B21</f>
        <v/>
      </c>
      <c r="C22" t="n">
        <v>72.16</v>
      </c>
    </row>
    <row r="23">
      <c r="A23" s="4" t="n">
        <v>46009</v>
      </c>
      <c r="B23" s="1">
        <f>B22</f>
        <v/>
      </c>
      <c r="C23" t="n">
        <v>71.95999999999999</v>
      </c>
    </row>
    <row r="24">
      <c r="A24" s="4" t="n">
        <v>46010</v>
      </c>
      <c r="B24" s="1">
        <f>B23</f>
        <v/>
      </c>
      <c r="C24" t="n">
        <v>72.36</v>
      </c>
    </row>
    <row r="25">
      <c r="A25" s="4" t="n">
        <v>46013</v>
      </c>
      <c r="B25" s="1">
        <f>B24</f>
        <v/>
      </c>
      <c r="C25" t="n">
        <v>72.40000000000001</v>
      </c>
    </row>
    <row r="26">
      <c r="A26" s="4" t="n">
        <v>46014</v>
      </c>
      <c r="B26" s="1">
        <f>B25</f>
        <v/>
      </c>
      <c r="C26" t="n">
        <v>71.77</v>
      </c>
    </row>
    <row r="27">
      <c r="A27" s="4" t="n">
        <v>46017</v>
      </c>
      <c r="B27" s="1">
        <f>B26</f>
        <v/>
      </c>
      <c r="C27" t="n">
        <v>71.86</v>
      </c>
    </row>
    <row r="28">
      <c r="A28" s="4" t="n">
        <v>46020</v>
      </c>
      <c r="B28" s="1">
        <f>B27</f>
        <v/>
      </c>
      <c r="C28" t="n">
        <v>72.17</v>
      </c>
    </row>
    <row r="29">
      <c r="A29" s="4" t="n">
        <v>46021</v>
      </c>
      <c r="B29" s="1">
        <f>B28</f>
        <v/>
      </c>
      <c r="C29" t="n">
        <v>72.55</v>
      </c>
    </row>
    <row r="30">
      <c r="A30" s="4" t="n">
        <v>46024</v>
      </c>
      <c r="B30" s="1">
        <f>B29</f>
        <v/>
      </c>
      <c r="C30" t="n">
        <v>72.26000000000001</v>
      </c>
    </row>
    <row r="31">
      <c r="A31" s="4" t="n">
        <v>46027</v>
      </c>
      <c r="B31" s="1">
        <f>B30</f>
        <v/>
      </c>
      <c r="C31" t="n">
        <v>72.51000000000001</v>
      </c>
    </row>
    <row r="32">
      <c r="A32" s="4" t="n">
        <v>46028</v>
      </c>
      <c r="B32" s="1">
        <f>B31</f>
        <v/>
      </c>
      <c r="C32" t="n">
        <v>72.34999999999999</v>
      </c>
    </row>
    <row r="33">
      <c r="A33" s="4" t="n">
        <v>46029</v>
      </c>
      <c r="B33" s="1">
        <f>B32</f>
        <v/>
      </c>
      <c r="C33" t="n">
        <v>72.02</v>
      </c>
    </row>
    <row r="34">
      <c r="A34" s="4" t="n">
        <v>46030</v>
      </c>
      <c r="B34" s="1">
        <f>B33</f>
        <v/>
      </c>
      <c r="C34" t="n">
        <v>72.39</v>
      </c>
    </row>
    <row r="35">
      <c r="A35" s="4" t="n">
        <v>46031</v>
      </c>
      <c r="B35" s="1">
        <f>B34</f>
        <v/>
      </c>
      <c r="C35" t="n">
        <v>72.28</v>
      </c>
    </row>
    <row r="36">
      <c r="A36" s="4" t="n">
        <v>46034</v>
      </c>
      <c r="B36" s="1">
        <f>B35</f>
        <v/>
      </c>
      <c r="C36" t="n">
        <v>71.90000000000001</v>
      </c>
    </row>
    <row r="37">
      <c r="A37" s="4" t="n">
        <v>46035</v>
      </c>
      <c r="B37" s="1">
        <f>B36</f>
        <v/>
      </c>
      <c r="C37" t="n">
        <v>71.22</v>
      </c>
    </row>
    <row r="38">
      <c r="A38" s="4" t="n">
        <v>46036</v>
      </c>
      <c r="B38" s="1">
        <f>B37</f>
        <v/>
      </c>
      <c r="C38" t="n">
        <v>71.44</v>
      </c>
    </row>
    <row r="39">
      <c r="A39" s="4" t="n">
        <v>46037</v>
      </c>
      <c r="B39" s="1">
        <f>B38</f>
        <v/>
      </c>
      <c r="C39" t="n">
        <v>71.06</v>
      </c>
    </row>
    <row r="40">
      <c r="A40" s="4" t="n">
        <v>46038</v>
      </c>
      <c r="B40" s="1">
        <f>B39</f>
        <v/>
      </c>
      <c r="C40" t="n">
        <v>70.73</v>
      </c>
    </row>
    <row r="41">
      <c r="A41" s="4" t="n">
        <v>46041</v>
      </c>
      <c r="B41" s="1">
        <f>B40</f>
        <v/>
      </c>
      <c r="C41" t="n">
        <v>71.23</v>
      </c>
    </row>
    <row r="42">
      <c r="A42" s="9" t="n">
        <v>46042</v>
      </c>
      <c r="B42" s="1">
        <f>B41</f>
        <v/>
      </c>
      <c r="C42" t="n">
        <v>71.06999999999999</v>
      </c>
    </row>
    <row r="43">
      <c r="A43" s="4" t="n">
        <v>46043</v>
      </c>
      <c r="B43" s="1">
        <f>B42</f>
        <v/>
      </c>
      <c r="C43" t="n">
        <v>70.67</v>
      </c>
    </row>
    <row r="44">
      <c r="A44" s="4" t="n">
        <v>46044</v>
      </c>
      <c r="B44" s="1">
        <f>B43</f>
        <v/>
      </c>
      <c r="C44" t="n">
        <v>70.48999999999999</v>
      </c>
    </row>
    <row r="45">
      <c r="A45" s="9" t="n">
        <v>46045</v>
      </c>
      <c r="B45" s="1">
        <f>B44</f>
        <v/>
      </c>
      <c r="C45" t="n">
        <v>70.15000000000001</v>
      </c>
    </row>
    <row r="46">
      <c r="A46" s="9" t="n">
        <v>46048</v>
      </c>
      <c r="B46" s="1">
        <f>B45</f>
        <v/>
      </c>
      <c r="C46" t="n">
        <v>70.36</v>
      </c>
    </row>
    <row r="47">
      <c r="A47" s="9" t="n">
        <v>46049</v>
      </c>
      <c r="B47" s="1">
        <f>B46</f>
        <v/>
      </c>
      <c r="C47" t="n">
        <v>70.45</v>
      </c>
    </row>
    <row r="48">
      <c r="A48" s="9" t="n">
        <v>46050</v>
      </c>
      <c r="B48" s="1">
        <f>B47</f>
        <v/>
      </c>
      <c r="C48" t="n">
        <v>70.44</v>
      </c>
    </row>
    <row r="49">
      <c r="A49" s="9" t="n">
        <v>46051</v>
      </c>
      <c r="B49" s="1">
        <f>B48</f>
        <v/>
      </c>
      <c r="C49" t="n">
        <v>70.23999999999999</v>
      </c>
    </row>
    <row r="50">
      <c r="A50" s="9" t="n">
        <v>46052</v>
      </c>
      <c r="B50" s="1">
        <f>B49</f>
        <v/>
      </c>
      <c r="C50" t="n">
        <v>70.09999999999999</v>
      </c>
    </row>
    <row r="51">
      <c r="A51" s="9" t="n">
        <v>46055</v>
      </c>
      <c r="B51" s="1">
        <f>B50</f>
        <v/>
      </c>
      <c r="C51" t="n">
        <v>70.25</v>
      </c>
    </row>
    <row r="52">
      <c r="A52" s="9" t="n">
        <v>46056</v>
      </c>
      <c r="B52" s="1">
        <f>B51</f>
        <v/>
      </c>
      <c r="C52" t="n">
        <v>70.42</v>
      </c>
    </row>
    <row r="53">
      <c r="A53" s="9" t="n">
        <v>46057</v>
      </c>
      <c r="B53" s="1">
        <f>B52</f>
        <v/>
      </c>
      <c r="C53" t="n">
        <v>70.63</v>
      </c>
    </row>
    <row r="54">
      <c r="A54" s="9" t="n">
        <v>46058</v>
      </c>
      <c r="B54" s="1">
        <f>B53</f>
        <v/>
      </c>
      <c r="C54" t="n">
        <v>70.47</v>
      </c>
    </row>
    <row r="55">
      <c r="A55" s="9" t="n">
        <v>46059</v>
      </c>
      <c r="B55" s="1">
        <f>B54</f>
        <v/>
      </c>
      <c r="C55" t="n">
        <v>70.3</v>
      </c>
    </row>
    <row r="56">
      <c r="A56" s="9" t="n">
        <v>46062</v>
      </c>
      <c r="B56" s="1">
        <f>B55</f>
        <v/>
      </c>
      <c r="C56" t="n">
        <v>70.52</v>
      </c>
    </row>
    <row r="57">
      <c r="A57" s="9" t="n">
        <v>46063</v>
      </c>
      <c r="B57" s="1">
        <f>B56</f>
        <v/>
      </c>
      <c r="C57" t="n">
        <v>70.55</v>
      </c>
    </row>
    <row r="58">
      <c r="A58" s="9" t="n">
        <v>46064</v>
      </c>
      <c r="B58" s="1">
        <f>B57</f>
        <v/>
      </c>
      <c r="C58" t="n">
        <v>70.77</v>
      </c>
    </row>
    <row r="59">
      <c r="A59" s="9" t="n">
        <v>46065</v>
      </c>
      <c r="B59" s="1">
        <f>B58</f>
        <v/>
      </c>
      <c r="C59" t="n">
        <v>70.58</v>
      </c>
    </row>
    <row r="60">
      <c r="A60" s="9" t="n">
        <v>46066</v>
      </c>
      <c r="B60" s="1">
        <f>B59</f>
        <v/>
      </c>
      <c r="C60" t="n">
        <v>70.88</v>
      </c>
    </row>
    <row r="61">
      <c r="A61" s="9" t="n">
        <v>46071</v>
      </c>
      <c r="B61" s="1">
        <f>B60</f>
        <v/>
      </c>
      <c r="C61" t="n">
        <v>70.86</v>
      </c>
    </row>
    <row r="62">
      <c r="A62" s="9" t="n">
        <v>46072</v>
      </c>
      <c r="B62" s="1">
        <f>B61</f>
        <v/>
      </c>
      <c r="C62" t="n">
        <v>70.47</v>
      </c>
    </row>
    <row r="63">
      <c r="A63" s="9" t="n">
        <v>46073</v>
      </c>
      <c r="B63" s="1">
        <f>B62</f>
        <v/>
      </c>
      <c r="C63" t="n">
        <v>70.51000000000001</v>
      </c>
    </row>
    <row r="64">
      <c r="A64" s="9" t="n">
        <v>46076</v>
      </c>
      <c r="B64" s="1">
        <f>B63</f>
        <v/>
      </c>
      <c r="C64" t="n">
        <v>70.73</v>
      </c>
    </row>
    <row r="65">
      <c r="A65" s="9" t="n">
        <v>46077</v>
      </c>
      <c r="B65" s="1">
        <f>B64</f>
        <v/>
      </c>
      <c r="C65" t="n">
        <v>70.75</v>
      </c>
    </row>
    <row r="66">
      <c r="A66" s="9" t="n">
        <v>46078</v>
      </c>
      <c r="B66" s="1">
        <f>B65</f>
        <v/>
      </c>
      <c r="C66" t="n">
        <v>70.76000000000001</v>
      </c>
    </row>
    <row r="67">
      <c r="A67" s="9" t="n">
        <v>46079</v>
      </c>
      <c r="B67" s="1">
        <f>B66</f>
        <v/>
      </c>
      <c r="C67" t="n">
        <v>70.76000000000001</v>
      </c>
    </row>
    <row r="68">
      <c r="A68" s="9" t="n">
        <v>46080</v>
      </c>
      <c r="B68" s="1">
        <f>B67</f>
        <v/>
      </c>
      <c r="C68" t="n">
        <v>71.44</v>
      </c>
    </row>
    <row r="69">
      <c r="A69" s="9" t="n">
        <v>46083</v>
      </c>
      <c r="B69" s="1">
        <f>B68</f>
        <v/>
      </c>
      <c r="C69" t="n">
        <v>71.7</v>
      </c>
    </row>
    <row r="70">
      <c r="A70" s="9" t="n">
        <v>46084</v>
      </c>
      <c r="B70" s="1">
        <f>B69</f>
        <v/>
      </c>
      <c r="C70" t="n">
        <v>72.44</v>
      </c>
    </row>
    <row r="71">
      <c r="A71" s="9" t="n">
        <v>46085</v>
      </c>
      <c r="B71" s="1">
        <f>B70</f>
        <v/>
      </c>
      <c r="C71" t="n">
        <v>71.93000000000001</v>
      </c>
    </row>
    <row r="72">
      <c r="A72" s="9" t="n">
        <v>46086</v>
      </c>
      <c r="B72" s="1">
        <f>B71</f>
        <v/>
      </c>
      <c r="C72" t="n">
        <v>71.97</v>
      </c>
    </row>
    <row r="73">
      <c r="A73" s="9" t="n">
        <v>46087</v>
      </c>
      <c r="B73" s="1">
        <f>B72</f>
        <v/>
      </c>
      <c r="C73" t="n">
        <v>72.33</v>
      </c>
    </row>
    <row r="74">
      <c r="A74" s="9" t="n">
        <v>46090</v>
      </c>
      <c r="B74" s="1">
        <f>B73</f>
        <v/>
      </c>
      <c r="C74" t="n">
        <v>72.34</v>
      </c>
    </row>
    <row r="75">
      <c r="A75" s="9" t="n">
        <v>46091</v>
      </c>
      <c r="B75" s="1">
        <f>B74</f>
        <v/>
      </c>
      <c r="C75" t="n">
        <v>72.39</v>
      </c>
    </row>
    <row r="76">
      <c r="A76" s="9" t="n">
        <v>46092</v>
      </c>
      <c r="B76" s="1">
        <f>B75</f>
        <v/>
      </c>
      <c r="C76" t="n">
        <v>73.31999999999999</v>
      </c>
    </row>
    <row r="77">
      <c r="A77" s="9" t="n">
        <v>46093</v>
      </c>
      <c r="B77" s="1">
        <f>B76</f>
        <v/>
      </c>
      <c r="C77" t="n">
        <v>73.40000000000001</v>
      </c>
    </row>
    <row r="78">
      <c r="A78" s="9" t="n">
        <v>46094</v>
      </c>
      <c r="B78" s="1">
        <f>B77</f>
        <v/>
      </c>
      <c r="C78" t="n">
        <v>73.73999999999999</v>
      </c>
    </row>
    <row r="79">
      <c r="A79" s="9" t="n">
        <v>46097</v>
      </c>
      <c r="B79" s="1">
        <f>B78</f>
        <v/>
      </c>
      <c r="C79" t="n">
        <v>72.97</v>
      </c>
    </row>
    <row r="80">
      <c r="A80" s="9" t="n">
        <v>46098</v>
      </c>
      <c r="B80" s="1">
        <f>B79</f>
        <v/>
      </c>
      <c r="C80" t="n">
        <v>72.7</v>
      </c>
    </row>
    <row r="81">
      <c r="A81" s="9" t="n">
        <v>46099</v>
      </c>
      <c r="B81" s="1">
        <f>B80</f>
        <v/>
      </c>
      <c r="C81" t="n">
        <v>73.22</v>
      </c>
    </row>
    <row r="82">
      <c r="A82" s="9" t="n">
        <v>46100</v>
      </c>
      <c r="B82" s="1">
        <f>B81</f>
        <v/>
      </c>
      <c r="C82" t="n">
        <v>72.93000000000001</v>
      </c>
    </row>
    <row r="83">
      <c r="A83" s="9" t="n">
        <v>46101</v>
      </c>
      <c r="B83" s="1">
        <f>B82</f>
        <v/>
      </c>
      <c r="C83" t="n">
        <v>73.14</v>
      </c>
    </row>
    <row r="84">
      <c r="A84" s="9" t="n">
        <v>46104</v>
      </c>
      <c r="B84" s="1">
        <f>B83</f>
        <v/>
      </c>
      <c r="C84" t="n">
        <v>72.98999999999999</v>
      </c>
    </row>
    <row r="85">
      <c r="A85" s="9" t="n">
        <v>46105</v>
      </c>
      <c r="B85" s="1">
        <f>B84</f>
        <v/>
      </c>
      <c r="C85" t="n">
        <v>73.48999999999999</v>
      </c>
    </row>
    <row r="86">
      <c r="A86" s="9" t="n">
        <v>46106</v>
      </c>
      <c r="B86" s="1">
        <f>B85</f>
        <v/>
      </c>
      <c r="C86" t="n">
        <v>73.31999999999999</v>
      </c>
    </row>
    <row r="87">
      <c r="A87" s="9" t="n">
        <v>46107</v>
      </c>
      <c r="B87" s="1">
        <f>B86</f>
        <v/>
      </c>
      <c r="C87" t="n">
        <v>73.48999999999999</v>
      </c>
    </row>
    <row r="88">
      <c r="A88" s="9" t="n">
        <v>46108</v>
      </c>
      <c r="B88" s="1">
        <f>B87</f>
        <v/>
      </c>
      <c r="C88" t="n">
        <v>73.79000000000001</v>
      </c>
    </row>
    <row r="89">
      <c r="A89" s="9" t="n">
        <v>46111</v>
      </c>
      <c r="B89" s="1">
        <f>B88</f>
        <v/>
      </c>
      <c r="C89" t="n">
        <v>74.90000000000001</v>
      </c>
    </row>
    <row r="90">
      <c r="A90" s="9" t="n">
        <v>46112</v>
      </c>
      <c r="B90" s="1">
        <f>B89</f>
        <v/>
      </c>
      <c r="C90" t="n">
        <v>74.86</v>
      </c>
    </row>
    <row r="91">
      <c r="A91" s="9" t="n">
        <v>46113</v>
      </c>
      <c r="B91" s="1">
        <f>B100</f>
        <v/>
      </c>
      <c r="C91" t="n">
        <v>74.09999999999999</v>
      </c>
    </row>
    <row r="92">
      <c r="A92" s="9" t="n">
        <v>46114</v>
      </c>
      <c r="B92" s="1">
        <f>B101</f>
        <v/>
      </c>
      <c r="C92" t="n">
        <v>74.33</v>
      </c>
    </row>
    <row r="93">
      <c r="A93" s="9" t="n">
        <v>46118</v>
      </c>
      <c r="B93" s="1">
        <f>B102</f>
        <v/>
      </c>
      <c r="C93" t="n">
        <v>74.23</v>
      </c>
    </row>
    <row r="94">
      <c r="A94" s="9" t="n">
        <v>46119</v>
      </c>
      <c r="B94" s="1">
        <f>B103</f>
        <v/>
      </c>
      <c r="C94" t="n">
        <v>74.05</v>
      </c>
    </row>
    <row r="95">
      <c r="A95" s="9" t="n">
        <v>46120</v>
      </c>
      <c r="B95" s="1">
        <f>B104</f>
        <v/>
      </c>
      <c r="C95" t="n">
        <v>73.02</v>
      </c>
    </row>
    <row r="96">
      <c r="A96" s="9" t="n">
        <v>46121</v>
      </c>
      <c r="B96" s="1">
        <f>B105</f>
        <v/>
      </c>
      <c r="C96" t="n">
        <v>72.56</v>
      </c>
    </row>
    <row r="97">
      <c r="A97" s="9" t="n">
        <v>46122</v>
      </c>
      <c r="B97" s="1">
        <f>B106</f>
        <v/>
      </c>
      <c r="C97" t="n">
        <v>71.90000000000001</v>
      </c>
    </row>
    <row r="98">
      <c r="A98" s="9" t="n">
        <v>46125</v>
      </c>
      <c r="B98" s="1">
        <f>B107</f>
        <v/>
      </c>
      <c r="C98" t="n">
        <v>71.91</v>
      </c>
    </row>
    <row r="99">
      <c r="A99" s="9" t="n">
        <v>46126</v>
      </c>
      <c r="B99" s="1">
        <f>B108</f>
        <v/>
      </c>
      <c r="C99" t="n">
        <v>71.5</v>
      </c>
    </row>
    <row r="100">
      <c r="A100" s="9" t="n">
        <v>46127</v>
      </c>
      <c r="B100" s="1">
        <f>B109</f>
        <v/>
      </c>
      <c r="C100" t="n">
        <v>70.79000000000001</v>
      </c>
    </row>
    <row r="101">
      <c r="A101" s="9" t="n">
        <v>46128</v>
      </c>
      <c r="B101" s="1">
        <f>B110</f>
        <v/>
      </c>
      <c r="C101" t="n">
        <v>70.83</v>
      </c>
    </row>
    <row r="102">
      <c r="A102" s="9" t="n">
        <v>46129</v>
      </c>
      <c r="B102" s="1">
        <f>B101</f>
        <v/>
      </c>
      <c r="C102" t="n">
        <v>70.83</v>
      </c>
    </row>
    <row r="103">
      <c r="A103" s="9" t="n">
        <v>46132</v>
      </c>
      <c r="B103" s="1">
        <f>B102</f>
        <v/>
      </c>
      <c r="C103" t="n">
        <v>71.86</v>
      </c>
    </row>
    <row r="104">
      <c r="A104" s="9" t="n">
        <v>46134</v>
      </c>
      <c r="B104" s="1">
        <f>B103</f>
        <v/>
      </c>
      <c r="C104" t="n">
        <v>73.28</v>
      </c>
    </row>
    <row r="105">
      <c r="A105" s="9" t="n">
        <v>46135</v>
      </c>
      <c r="B105" s="1">
        <f>B104</f>
        <v/>
      </c>
      <c r="C105" t="n">
        <v>72.94</v>
      </c>
    </row>
    <row r="106">
      <c r="A106" s="9" t="n">
        <v>46136</v>
      </c>
      <c r="B106" s="1">
        <f>B105</f>
        <v/>
      </c>
      <c r="C106" t="n">
        <v>73.2</v>
      </c>
    </row>
    <row r="107">
      <c r="A107" s="9" t="n">
        <v>46139</v>
      </c>
      <c r="B107" s="1">
        <f>B106</f>
        <v/>
      </c>
      <c r="C107" t="n">
        <v>73.65000000000001</v>
      </c>
    </row>
    <row r="108">
      <c r="A108" s="9" t="n">
        <v>46140</v>
      </c>
      <c r="B108" s="1">
        <f>B107</f>
        <v/>
      </c>
      <c r="C108" t="n">
        <v>73.75</v>
      </c>
    </row>
    <row r="109">
      <c r="A109" s="9" t="n">
        <v>46141</v>
      </c>
      <c r="B109" s="1">
        <f>B108</f>
        <v/>
      </c>
      <c r="C109" t="n">
        <v>74.09999999999999</v>
      </c>
    </row>
    <row r="110">
      <c r="A110" s="9" t="n">
        <v>46142</v>
      </c>
      <c r="B110" s="1">
        <f>B109</f>
        <v/>
      </c>
      <c r="C110" t="n">
        <v>73.84999999999999</v>
      </c>
    </row>
    <row r="111">
      <c r="A111" s="9" t="n">
        <v>46146</v>
      </c>
      <c r="B111" s="1">
        <f>B110</f>
        <v/>
      </c>
      <c r="C111" t="n">
        <v>73.42</v>
      </c>
    </row>
    <row r="112">
      <c r="A112" s="9" t="n">
        <v>46147</v>
      </c>
      <c r="B112" s="1">
        <f>B111</f>
        <v/>
      </c>
      <c r="C112" t="n">
        <v>72.64</v>
      </c>
    </row>
    <row r="113">
      <c r="A113" s="9" t="n">
        <v>46148</v>
      </c>
      <c r="B113" s="1">
        <f>B112</f>
        <v/>
      </c>
      <c r="C113" t="n">
        <v>71.91</v>
      </c>
    </row>
    <row r="114">
      <c r="A114" s="9" t="n">
        <v>46149</v>
      </c>
      <c r="B114" s="1">
        <f>B113</f>
        <v/>
      </c>
      <c r="C114" t="n">
        <v>71.88</v>
      </c>
    </row>
    <row r="115">
      <c r="A115" s="9" t="n">
        <v>46150</v>
      </c>
      <c r="B115" s="1">
        <f>B114</f>
        <v/>
      </c>
      <c r="C115" t="n">
        <v>72.36</v>
      </c>
    </row>
    <row r="116">
      <c r="A116" s="9" t="n">
        <v>46153</v>
      </c>
      <c r="B116" s="1">
        <f>B115</f>
        <v/>
      </c>
      <c r="C116" t="n">
        <v>72.66</v>
      </c>
    </row>
    <row r="117">
      <c r="A117" s="9" t="n">
        <v>46154</v>
      </c>
      <c r="B117" s="1">
        <f>B116</f>
        <v/>
      </c>
      <c r="C117" t="n">
        <v>72.81999999999999</v>
      </c>
    </row>
    <row r="118">
      <c r="A118" s="9" t="n">
        <v>46155</v>
      </c>
      <c r="B118" s="1">
        <f>B117</f>
        <v/>
      </c>
      <c r="C118" t="n">
        <v>72.75</v>
      </c>
    </row>
    <row r="119">
      <c r="A119" s="9" t="n">
        <v>46156</v>
      </c>
      <c r="B119" s="1">
        <f>B118</f>
        <v/>
      </c>
      <c r="C119" t="n">
        <v>72.87</v>
      </c>
    </row>
    <row r="120">
      <c r="A120" s="9" t="n">
        <v>46157</v>
      </c>
      <c r="B120" s="1">
        <f>B119</f>
        <v/>
      </c>
      <c r="C120" t="n">
        <v>72.61</v>
      </c>
    </row>
    <row r="121">
      <c r="A121" s="9" t="n">
        <v>46160</v>
      </c>
      <c r="B121" s="1">
        <f>B120</f>
        <v/>
      </c>
      <c r="C121" t="n">
        <v>72.73</v>
      </c>
    </row>
    <row r="122">
      <c r="A122" s="9" t="n">
        <v>46161</v>
      </c>
      <c r="B122" s="1">
        <f>B121</f>
        <v/>
      </c>
      <c r="C122" t="n">
        <v>72.64</v>
      </c>
    </row>
    <row r="123">
      <c r="A123" s="24" t="n">
        <v>46162</v>
      </c>
      <c r="B123" s="1">
        <f>B122</f>
        <v/>
      </c>
      <c r="C123" t="n">
        <v>72.7</v>
      </c>
    </row>
    <row r="124">
      <c r="A124" s="24" t="n">
        <v>46163</v>
      </c>
      <c r="B124" s="1">
        <f>B123</f>
        <v/>
      </c>
      <c r="C124" t="n">
        <v>72.78</v>
      </c>
    </row>
    <row r="125">
      <c r="A125" s="24" t="n">
        <v>46164</v>
      </c>
      <c r="B125" s="1">
        <f>B124</f>
        <v/>
      </c>
      <c r="C125" t="n">
        <v>72.90000000000001</v>
      </c>
    </row>
    <row r="126">
      <c r="A126" s="24" t="n">
        <v>46167</v>
      </c>
      <c r="B126" s="1">
        <f>B125</f>
        <v/>
      </c>
      <c r="C126" t="n">
        <v>72.62</v>
      </c>
    </row>
    <row r="127">
      <c r="A127" s="24" t="n">
        <v>46168</v>
      </c>
      <c r="B127" s="1">
        <f>B126</f>
        <v/>
      </c>
      <c r="C127" t="n">
        <v>71.98999999999999</v>
      </c>
    </row>
    <row r="128">
      <c r="A128" s="24" t="n">
        <v>46169</v>
      </c>
      <c r="B128" s="1">
        <f>B127</f>
        <v/>
      </c>
      <c r="C128" t="n">
        <v>71.2</v>
      </c>
    </row>
    <row r="129">
      <c r="A129" s="24" t="n">
        <v>46170</v>
      </c>
      <c r="B129" s="1">
        <f>B128</f>
        <v/>
      </c>
      <c r="C129" t="n">
        <v>71.36</v>
      </c>
    </row>
    <row r="130">
      <c r="A130" s="24" t="n">
        <v>46171</v>
      </c>
      <c r="B130" s="1">
        <f>B129</f>
        <v/>
      </c>
      <c r="C130" t="n">
        <v>71.05</v>
      </c>
    </row>
    <row r="131">
      <c r="A131" s="24" t="n">
        <v>46174</v>
      </c>
      <c r="B131" s="1">
        <f>B130</f>
        <v/>
      </c>
      <c r="C131" t="n">
        <v>70.8</v>
      </c>
    </row>
    <row r="132">
      <c r="A132" s="24" t="n">
        <v>46175</v>
      </c>
      <c r="B132" s="1">
        <f>B131</f>
        <v/>
      </c>
      <c r="C132" t="n">
        <v>70.5</v>
      </c>
    </row>
    <row r="133">
      <c r="A133" s="24" t="n">
        <v>46176</v>
      </c>
      <c r="B133" s="1">
        <f>B132</f>
        <v/>
      </c>
      <c r="C133" t="n">
        <v>71.2</v>
      </c>
    </row>
    <row r="134">
      <c r="A134" s="24" t="n">
        <v>46178</v>
      </c>
      <c r="B134" s="1">
        <f>B133</f>
        <v/>
      </c>
      <c r="C134" t="n">
        <v>71.53</v>
      </c>
    </row>
    <row r="135">
      <c r="A135" s="24" t="n">
        <v>46181</v>
      </c>
      <c r="B135" s="1">
        <f>B134</f>
        <v/>
      </c>
      <c r="C135" t="n">
        <v>70.76000000000001</v>
      </c>
    </row>
    <row r="136">
      <c r="A136" s="24" t="n">
        <v>46182</v>
      </c>
      <c r="B136" s="1">
        <f>B135</f>
        <v/>
      </c>
      <c r="C136" t="n">
        <v>70.63</v>
      </c>
    </row>
    <row r="137">
      <c r="A137" s="24" t="n">
        <v>46183</v>
      </c>
      <c r="B137" s="1">
        <f>B136</f>
        <v/>
      </c>
      <c r="C137" t="n">
        <v>70.36</v>
      </c>
    </row>
    <row r="138">
      <c r="A138" s="24" t="n">
        <v>46184</v>
      </c>
      <c r="B138" s="1">
        <f>B137</f>
        <v/>
      </c>
      <c r="C138" t="n">
        <v>70.01000000000001</v>
      </c>
    </row>
    <row r="139">
      <c r="A139" s="24" t="n">
        <v>46185</v>
      </c>
      <c r="B139" s="1">
        <f>B138</f>
        <v/>
      </c>
      <c r="C139" t="n">
        <v>70.33</v>
      </c>
    </row>
    <row r="140">
      <c r="A140" s="24" t="n">
        <v>46188</v>
      </c>
      <c r="B140" s="1">
        <f>B139</f>
        <v/>
      </c>
      <c r="C140" t="n">
        <v>70.42</v>
      </c>
    </row>
    <row r="141">
      <c r="A141" s="24" t="n">
        <v>46189</v>
      </c>
      <c r="B141" s="1">
        <f>B140</f>
        <v/>
      </c>
      <c r="C141" t="n">
        <v>70.41</v>
      </c>
    </row>
    <row r="142">
      <c r="A142" s="24" t="n">
        <v>46190</v>
      </c>
      <c r="B142" s="1">
        <f>B141</f>
        <v/>
      </c>
      <c r="C142" t="n">
        <v>70.66</v>
      </c>
    </row>
    <row r="143">
      <c r="A143" s="24" t="n">
        <v>46191</v>
      </c>
      <c r="B143" s="1">
        <f>B142</f>
        <v/>
      </c>
      <c r="C143" t="n">
        <v>70.48999999999999</v>
      </c>
    </row>
    <row r="144">
      <c r="A144" s="24" t="n">
        <v>46192</v>
      </c>
      <c r="B144" s="1">
        <f>B143</f>
        <v/>
      </c>
      <c r="C144" t="n">
        <v>70.26000000000001</v>
      </c>
    </row>
    <row r="145">
      <c r="A145" s="24" t="n">
        <v>46195</v>
      </c>
      <c r="B145" s="1">
        <f>B144</f>
        <v/>
      </c>
      <c r="C145" t="n">
        <v>70.15000000000001</v>
      </c>
    </row>
    <row r="146">
      <c r="A146" s="24" t="n">
        <v>46196</v>
      </c>
      <c r="B146" s="1">
        <f>B145</f>
        <v/>
      </c>
      <c r="C146" t="n">
        <v>70.59999999999999</v>
      </c>
    </row>
    <row r="147">
      <c r="A147" s="24" t="n">
        <v>46197</v>
      </c>
      <c r="B147" s="1">
        <f>B146</f>
        <v/>
      </c>
      <c r="C147" t="n">
        <v>70.54000000000001</v>
      </c>
    </row>
    <row r="148">
      <c r="A148" s="24" t="n">
        <v>46198</v>
      </c>
      <c r="B148" s="1">
        <f>B147</f>
        <v/>
      </c>
      <c r="C148" t="n">
        <v>70.88</v>
      </c>
    </row>
    <row r="149">
      <c r="A149" s="24" t="n">
        <v>46199</v>
      </c>
      <c r="B149" s="1">
        <f>B148</f>
        <v/>
      </c>
      <c r="C149" t="n">
        <v>70.98</v>
      </c>
    </row>
    <row r="150">
      <c r="A150" s="24" t="n">
        <v>46202</v>
      </c>
      <c r="B150" s="1">
        <f>B149</f>
        <v/>
      </c>
      <c r="C150" t="n">
        <v>70.87</v>
      </c>
    </row>
    <row r="151">
      <c r="A151" s="24" t="n">
        <v>46203</v>
      </c>
      <c r="B151" s="1">
        <f>B150</f>
        <v/>
      </c>
      <c r="C151" t="n">
        <v>71.12</v>
      </c>
    </row>
    <row r="152">
      <c r="A152" s="24" t="n">
        <v>46204</v>
      </c>
      <c r="B152" s="1">
        <f>B151</f>
        <v/>
      </c>
      <c r="C152" t="n">
        <v>71.31</v>
      </c>
    </row>
    <row r="153">
      <c r="A153" s="24" t="n">
        <v>46205</v>
      </c>
      <c r="B153" s="1">
        <f>B152</f>
        <v/>
      </c>
      <c r="C153" t="n">
        <v>71.15000000000001</v>
      </c>
    </row>
    <row r="154">
      <c r="A154" s="24" t="n">
        <v>46206</v>
      </c>
      <c r="B154" s="1">
        <f>B153</f>
        <v/>
      </c>
      <c r="C154" t="n">
        <v>70.56</v>
      </c>
    </row>
    <row r="155">
      <c r="A155" s="24" t="n">
        <v>46209</v>
      </c>
      <c r="B155" s="1">
        <f>B154</f>
        <v/>
      </c>
      <c r="C155" t="n">
        <v>71.31</v>
      </c>
    </row>
    <row r="156">
      <c r="A156" s="24" t="n">
        <v>46210</v>
      </c>
      <c r="B156" s="1">
        <f>B155</f>
        <v/>
      </c>
      <c r="C156" t="n">
        <v>71.27</v>
      </c>
    </row>
    <row r="157">
      <c r="A157" s="24" t="n">
        <v>46211</v>
      </c>
      <c r="B157" s="1">
        <f>B156</f>
        <v/>
      </c>
      <c r="C157" t="n">
        <v>71.20999999999999</v>
      </c>
    </row>
    <row r="158">
      <c r="A158" s="24" t="n">
        <v>46212</v>
      </c>
      <c r="B158" s="1">
        <f>B157</f>
        <v/>
      </c>
      <c r="C158" t="n">
        <v>70.78</v>
      </c>
    </row>
    <row r="159">
      <c r="A159" s="24" t="n">
        <v>46213</v>
      </c>
      <c r="B159" s="1">
        <f>B158</f>
        <v/>
      </c>
      <c r="C159" t="n">
        <v>70.76000000000001</v>
      </c>
    </row>
    <row r="160">
      <c r="A160" s="24" t="n">
        <v>46216</v>
      </c>
      <c r="B160" s="1">
        <f>B159</f>
        <v/>
      </c>
      <c r="C160" t="n">
        <v>71.14</v>
      </c>
    </row>
    <row r="161">
      <c r="A161" s="67" t="n">
        <v>46217</v>
      </c>
      <c r="B161" s="1">
        <f>B160</f>
        <v/>
      </c>
      <c r="C161" t="n">
        <v>71.14</v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5.xml><?xml version="1.0" encoding="utf-8"?>
<worksheet xmlns="http://schemas.openxmlformats.org/spreadsheetml/2006/main">
  <sheetPr codeName="Planilha45">
    <outlinePr summaryBelow="1" summaryRight="1"/>
    <pageSetUpPr/>
  </sheetPr>
  <dimension ref="A1:C191"/>
  <sheetViews>
    <sheetView topLeftCell="A76" zoomScale="90" zoomScaleNormal="90" workbookViewId="0">
      <selection activeCell="F44" sqref="F44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CMMF27</t>
        </is>
      </c>
      <c r="C2" t="n">
        <v>72.93000000000001</v>
      </c>
    </row>
    <row r="3">
      <c r="A3" s="9" t="n">
        <v>46062</v>
      </c>
      <c r="B3" s="20">
        <f>B2</f>
        <v/>
      </c>
      <c r="C3" t="n">
        <v>72.92</v>
      </c>
    </row>
    <row r="4">
      <c r="A4" s="9" t="n">
        <v>46063</v>
      </c>
      <c r="B4" s="20">
        <f>B3</f>
        <v/>
      </c>
      <c r="C4" t="n">
        <v>72.93000000000001</v>
      </c>
    </row>
    <row r="5">
      <c r="A5" s="9" t="n">
        <v>46064</v>
      </c>
      <c r="B5" s="20">
        <f>B4</f>
        <v/>
      </c>
      <c r="C5" t="n">
        <v>72.95</v>
      </c>
    </row>
    <row r="6">
      <c r="A6" s="9" t="n">
        <v>46065</v>
      </c>
      <c r="B6" s="20">
        <f>B5</f>
        <v/>
      </c>
      <c r="C6" t="n">
        <v>72.86</v>
      </c>
    </row>
    <row r="7">
      <c r="A7" s="9" t="n">
        <v>46066</v>
      </c>
      <c r="B7" s="20">
        <f>B6</f>
        <v/>
      </c>
      <c r="C7" t="n">
        <v>73.04000000000001</v>
      </c>
    </row>
    <row r="8">
      <c r="A8" s="9" t="n">
        <v>46071</v>
      </c>
      <c r="B8" s="20">
        <f>B7</f>
        <v/>
      </c>
      <c r="C8" t="n">
        <v>72.84999999999999</v>
      </c>
    </row>
    <row r="9">
      <c r="A9" s="9" t="n">
        <v>46072</v>
      </c>
      <c r="B9" s="20">
        <f>B8</f>
        <v/>
      </c>
      <c r="C9" t="n">
        <v>72.79000000000001</v>
      </c>
    </row>
    <row r="10">
      <c r="A10" s="9" t="n">
        <v>46073</v>
      </c>
      <c r="B10" s="20">
        <f>B9</f>
        <v/>
      </c>
      <c r="C10" t="n">
        <v>72.79000000000001</v>
      </c>
    </row>
    <row r="11">
      <c r="A11" s="9" t="n">
        <v>46076</v>
      </c>
      <c r="B11" s="20">
        <f>B10</f>
        <v/>
      </c>
      <c r="C11" t="n">
        <v>72.78</v>
      </c>
    </row>
    <row r="12">
      <c r="A12" s="9" t="n">
        <v>46077</v>
      </c>
      <c r="B12" s="20">
        <f>B11</f>
        <v/>
      </c>
      <c r="C12" t="n">
        <v>72.59999999999999</v>
      </c>
    </row>
    <row r="13">
      <c r="A13" s="9" t="n">
        <v>46078</v>
      </c>
      <c r="B13" s="20">
        <f>B12</f>
        <v/>
      </c>
      <c r="C13" t="n">
        <v>72.45</v>
      </c>
    </row>
    <row r="14">
      <c r="A14" s="9" t="n">
        <v>46079</v>
      </c>
      <c r="B14" s="20">
        <f>B13</f>
        <v/>
      </c>
      <c r="C14" t="n">
        <v>72.45</v>
      </c>
    </row>
    <row r="15">
      <c r="A15" s="9" t="n">
        <v>46080</v>
      </c>
      <c r="B15" s="20">
        <f>B14</f>
        <v/>
      </c>
      <c r="C15" t="n">
        <v>73.11</v>
      </c>
    </row>
    <row r="16">
      <c r="A16" s="9" t="n">
        <v>46083</v>
      </c>
      <c r="B16" s="20">
        <f>B15</f>
        <v/>
      </c>
      <c r="C16" t="n">
        <v>73.55</v>
      </c>
    </row>
    <row r="17">
      <c r="A17" s="9" t="n">
        <v>46084</v>
      </c>
      <c r="B17" s="20">
        <f>B16</f>
        <v/>
      </c>
      <c r="C17" t="n">
        <v>73.7</v>
      </c>
    </row>
    <row r="18">
      <c r="A18" s="9" t="n">
        <v>46085</v>
      </c>
      <c r="B18" s="20">
        <f>B17</f>
        <v/>
      </c>
      <c r="C18" t="n">
        <v>74</v>
      </c>
    </row>
    <row r="19">
      <c r="A19" s="9" t="n">
        <v>46086</v>
      </c>
      <c r="B19" s="20">
        <f>B18</f>
        <v/>
      </c>
      <c r="C19" t="n">
        <v>74.12</v>
      </c>
    </row>
    <row r="20">
      <c r="A20" s="9" t="n">
        <v>46087</v>
      </c>
      <c r="B20" s="20">
        <f>B19</f>
        <v/>
      </c>
      <c r="C20" t="n">
        <v>74.13</v>
      </c>
    </row>
    <row r="21">
      <c r="A21" s="9" t="n">
        <v>46090</v>
      </c>
      <c r="B21" s="20">
        <f>B20</f>
        <v/>
      </c>
      <c r="C21" t="n">
        <v>74.34999999999999</v>
      </c>
    </row>
    <row r="22">
      <c r="A22" s="9" t="n">
        <v>46091</v>
      </c>
      <c r="B22" s="20">
        <f>B21</f>
        <v/>
      </c>
      <c r="C22" t="n">
        <v>74.40000000000001</v>
      </c>
    </row>
    <row r="23">
      <c r="A23" s="9" t="n">
        <v>46092</v>
      </c>
      <c r="B23" s="20">
        <f>B22</f>
        <v/>
      </c>
      <c r="C23" t="n">
        <v>74.84999999999999</v>
      </c>
    </row>
    <row r="24">
      <c r="A24" s="9" t="n">
        <v>46093</v>
      </c>
      <c r="B24" s="20">
        <f>B23</f>
        <v/>
      </c>
      <c r="C24" t="n">
        <v>75.11</v>
      </c>
    </row>
    <row r="25">
      <c r="A25" s="9" t="n">
        <v>46094</v>
      </c>
      <c r="B25" s="20">
        <f>B24</f>
        <v/>
      </c>
      <c r="C25" t="n">
        <v>75.40000000000001</v>
      </c>
    </row>
    <row r="26">
      <c r="A26" s="9" t="n">
        <v>46097</v>
      </c>
      <c r="B26" s="20">
        <f>B25</f>
        <v/>
      </c>
      <c r="C26" t="n">
        <v>74.34</v>
      </c>
    </row>
    <row r="27">
      <c r="A27" s="9" t="n">
        <v>46098</v>
      </c>
      <c r="B27" s="20">
        <f>B26</f>
        <v/>
      </c>
      <c r="C27" t="n">
        <v>74.02</v>
      </c>
    </row>
    <row r="28">
      <c r="A28" s="9" t="n">
        <v>46099</v>
      </c>
      <c r="B28" s="20">
        <f>B27</f>
        <v/>
      </c>
      <c r="C28" t="n">
        <v>74.79000000000001</v>
      </c>
    </row>
    <row r="29">
      <c r="A29" s="9" t="n">
        <v>46100</v>
      </c>
      <c r="B29" s="20">
        <f>B28</f>
        <v/>
      </c>
      <c r="C29" t="n">
        <v>74.68000000000001</v>
      </c>
    </row>
    <row r="30">
      <c r="A30" s="9" t="n">
        <v>46101</v>
      </c>
      <c r="B30" s="20">
        <f>B29</f>
        <v/>
      </c>
      <c r="C30" t="n">
        <v>75.45999999999999</v>
      </c>
    </row>
    <row r="31">
      <c r="A31" s="9" t="n">
        <v>46104</v>
      </c>
      <c r="B31" s="20">
        <f>B30</f>
        <v/>
      </c>
      <c r="C31" t="n">
        <v>75.28</v>
      </c>
    </row>
    <row r="32">
      <c r="A32" s="9" t="n">
        <v>46105</v>
      </c>
      <c r="B32" s="20">
        <f>B31</f>
        <v/>
      </c>
      <c r="C32" t="n">
        <v>75.45999999999999</v>
      </c>
    </row>
    <row r="33">
      <c r="A33" s="9" t="n">
        <v>46107</v>
      </c>
      <c r="B33" s="20">
        <f>B32</f>
        <v/>
      </c>
      <c r="C33" t="n">
        <v>75.42</v>
      </c>
    </row>
    <row r="34">
      <c r="A34" s="9" t="n">
        <v>46108</v>
      </c>
      <c r="B34" s="20">
        <f>B33</f>
        <v/>
      </c>
      <c r="C34" t="n">
        <v>75.63</v>
      </c>
    </row>
    <row r="35">
      <c r="A35" s="9" t="n">
        <v>46111</v>
      </c>
      <c r="B35" s="20">
        <f>B34</f>
        <v/>
      </c>
      <c r="C35" t="n">
        <v>76.68000000000001</v>
      </c>
    </row>
    <row r="36">
      <c r="A36" s="9" t="n">
        <v>46112</v>
      </c>
      <c r="B36" s="20">
        <f>B35</f>
        <v/>
      </c>
      <c r="C36" t="n">
        <v>76.67</v>
      </c>
    </row>
    <row r="37">
      <c r="A37" s="9" t="n">
        <v>46113</v>
      </c>
      <c r="B37" s="20">
        <f>B45</f>
        <v/>
      </c>
      <c r="C37" t="n">
        <v>76.20999999999999</v>
      </c>
    </row>
    <row r="38">
      <c r="A38" s="9" t="n">
        <v>46114</v>
      </c>
      <c r="B38" s="20">
        <f>B46</f>
        <v/>
      </c>
      <c r="C38" t="n">
        <v>76.29000000000001</v>
      </c>
    </row>
    <row r="39">
      <c r="A39" s="9" t="n">
        <v>46118</v>
      </c>
      <c r="B39" s="20">
        <f>B47</f>
        <v/>
      </c>
      <c r="C39" t="n">
        <v>76.05</v>
      </c>
    </row>
    <row r="40">
      <c r="A40" s="9" t="n">
        <v>46120</v>
      </c>
      <c r="B40" s="20">
        <f>B48</f>
        <v/>
      </c>
      <c r="C40" t="n">
        <v>74.95</v>
      </c>
    </row>
    <row r="41">
      <c r="A41" s="9" t="n">
        <v>46121</v>
      </c>
      <c r="B41" s="20">
        <f>B49</f>
        <v/>
      </c>
      <c r="C41" t="n">
        <v>74.61</v>
      </c>
    </row>
    <row r="42">
      <c r="A42" s="9" t="n">
        <v>46122</v>
      </c>
      <c r="B42" s="20">
        <f>B50</f>
        <v/>
      </c>
      <c r="C42" t="n">
        <v>73.97</v>
      </c>
    </row>
    <row r="43">
      <c r="A43" s="9" t="n">
        <v>46125</v>
      </c>
      <c r="B43" s="20">
        <f>B51</f>
        <v/>
      </c>
      <c r="C43" t="n">
        <v>73.70999999999999</v>
      </c>
    </row>
    <row r="44">
      <c r="A44" s="9" t="n">
        <v>46126</v>
      </c>
      <c r="B44" s="20">
        <f>B52</f>
        <v/>
      </c>
      <c r="C44" t="n">
        <v>73.52</v>
      </c>
    </row>
    <row r="45">
      <c r="A45" s="9" t="n">
        <v>46127</v>
      </c>
      <c r="B45" s="20">
        <f>B53</f>
        <v/>
      </c>
      <c r="C45" t="n">
        <v>73.06</v>
      </c>
    </row>
    <row r="46">
      <c r="A46" s="9" t="n">
        <v>46128</v>
      </c>
      <c r="B46" s="20">
        <f>B54</f>
        <v/>
      </c>
      <c r="C46" t="n">
        <v>73.29000000000001</v>
      </c>
    </row>
    <row r="47">
      <c r="A47" s="9" t="n">
        <v>46129</v>
      </c>
      <c r="B47" s="20">
        <f>B46</f>
        <v/>
      </c>
      <c r="C47" t="n">
        <v>73.09</v>
      </c>
    </row>
    <row r="48">
      <c r="A48" s="9" t="n">
        <v>46132</v>
      </c>
      <c r="B48" s="20">
        <f>B47</f>
        <v/>
      </c>
      <c r="C48" t="n">
        <v>73.84999999999999</v>
      </c>
    </row>
    <row r="49">
      <c r="A49" s="9" t="n">
        <v>46134</v>
      </c>
      <c r="B49" s="20">
        <f>B48</f>
        <v/>
      </c>
      <c r="C49" t="n">
        <v>74.72</v>
      </c>
    </row>
    <row r="50">
      <c r="A50" s="9" t="n">
        <v>46135</v>
      </c>
      <c r="B50" s="20">
        <f>B49</f>
        <v/>
      </c>
      <c r="C50" t="n">
        <v>74.29000000000001</v>
      </c>
    </row>
    <row r="51">
      <c r="A51" s="9" t="n">
        <v>46136</v>
      </c>
      <c r="B51" s="20">
        <f>B50</f>
        <v/>
      </c>
      <c r="C51" t="n">
        <v>74.5</v>
      </c>
    </row>
    <row r="52">
      <c r="A52" s="9" t="n">
        <v>46139</v>
      </c>
      <c r="B52" s="20">
        <f>B51</f>
        <v/>
      </c>
      <c r="C52" t="n">
        <v>75</v>
      </c>
    </row>
    <row r="53">
      <c r="A53" s="9" t="n">
        <v>46140</v>
      </c>
      <c r="B53" s="20">
        <f>B52</f>
        <v/>
      </c>
      <c r="C53" t="n">
        <v>74.76000000000001</v>
      </c>
    </row>
    <row r="54">
      <c r="A54" s="9" t="n">
        <v>46141</v>
      </c>
      <c r="B54" s="20">
        <f>B53</f>
        <v/>
      </c>
      <c r="C54" t="n">
        <v>75.16</v>
      </c>
    </row>
    <row r="55">
      <c r="A55" s="9" t="n">
        <v>46142</v>
      </c>
      <c r="B55" s="20">
        <f>B54</f>
        <v/>
      </c>
      <c r="C55" t="n">
        <v>74.84999999999999</v>
      </c>
    </row>
    <row r="56">
      <c r="A56" s="9" t="n">
        <v>46146</v>
      </c>
      <c r="B56" s="20">
        <f>B55</f>
        <v/>
      </c>
      <c r="C56" t="n">
        <v>74.69</v>
      </c>
    </row>
    <row r="57">
      <c r="A57" s="9" t="n">
        <v>46147</v>
      </c>
      <c r="B57" s="20">
        <f>B56</f>
        <v/>
      </c>
      <c r="C57" t="n">
        <v>73.98999999999999</v>
      </c>
    </row>
    <row r="58">
      <c r="A58" s="9" t="n">
        <v>46148</v>
      </c>
      <c r="B58" s="20">
        <f>B57</f>
        <v/>
      </c>
      <c r="C58" t="n">
        <v>73.56999999999999</v>
      </c>
    </row>
    <row r="59">
      <c r="A59" s="9" t="n">
        <v>46149</v>
      </c>
      <c r="B59" s="20">
        <f>B58</f>
        <v/>
      </c>
      <c r="C59" t="n">
        <v>73.77</v>
      </c>
    </row>
    <row r="60">
      <c r="A60" s="9" t="n">
        <v>46150</v>
      </c>
      <c r="B60" s="20">
        <f>B59</f>
        <v/>
      </c>
      <c r="C60" t="n">
        <v>74.12</v>
      </c>
    </row>
    <row r="61">
      <c r="A61" s="9" t="n">
        <v>46153</v>
      </c>
      <c r="B61" s="20">
        <f>B60</f>
        <v/>
      </c>
      <c r="C61" t="n">
        <v>74.37</v>
      </c>
    </row>
    <row r="62">
      <c r="A62" s="9" t="n">
        <v>46154</v>
      </c>
      <c r="B62" s="20">
        <f>B61</f>
        <v/>
      </c>
      <c r="C62" t="n">
        <v>74.62</v>
      </c>
    </row>
    <row r="63">
      <c r="A63" s="9" t="n">
        <v>46155</v>
      </c>
      <c r="B63" s="20">
        <f>B62</f>
        <v/>
      </c>
      <c r="C63" t="n">
        <v>74.34</v>
      </c>
    </row>
    <row r="64">
      <c r="A64" s="9" t="n">
        <v>46156</v>
      </c>
      <c r="B64" s="20">
        <f>B63</f>
        <v/>
      </c>
      <c r="C64" t="n">
        <v>74.31999999999999</v>
      </c>
    </row>
    <row r="65">
      <c r="A65" s="9" t="n">
        <v>46157</v>
      </c>
      <c r="B65" s="20">
        <f>B64</f>
        <v/>
      </c>
      <c r="C65" t="n">
        <v>74.37</v>
      </c>
    </row>
    <row r="66">
      <c r="A66" s="9" t="n">
        <v>46160</v>
      </c>
      <c r="B66" s="20">
        <f>B65</f>
        <v/>
      </c>
      <c r="C66" t="n">
        <v>74.31999999999999</v>
      </c>
    </row>
    <row r="67">
      <c r="A67" s="9" t="n">
        <v>46161</v>
      </c>
      <c r="B67" s="20">
        <f>B66</f>
        <v/>
      </c>
      <c r="C67" t="n">
        <v>74.48999999999999</v>
      </c>
    </row>
    <row r="68">
      <c r="A68" s="9" t="n">
        <v>46162</v>
      </c>
      <c r="B68" s="20">
        <f>B67</f>
        <v/>
      </c>
      <c r="C68" t="n">
        <v>74.65000000000001</v>
      </c>
    </row>
    <row r="69">
      <c r="A69" s="9" t="n">
        <v>46163</v>
      </c>
      <c r="B69" s="20">
        <f>B68</f>
        <v/>
      </c>
      <c r="C69" t="n">
        <v>74.77</v>
      </c>
    </row>
    <row r="70">
      <c r="A70" s="9" t="n">
        <v>46164</v>
      </c>
      <c r="B70" s="20">
        <f>B69</f>
        <v/>
      </c>
      <c r="C70" t="n">
        <v>74.90000000000001</v>
      </c>
    </row>
    <row r="71">
      <c r="A71" s="9" t="n">
        <v>46167</v>
      </c>
      <c r="B71" s="20">
        <f>B70</f>
        <v/>
      </c>
      <c r="C71" t="n">
        <v>74.61</v>
      </c>
    </row>
    <row r="72">
      <c r="A72" s="9" t="n">
        <v>46168</v>
      </c>
      <c r="B72" s="20">
        <f>B71</f>
        <v/>
      </c>
      <c r="C72" t="n">
        <v>74.3</v>
      </c>
    </row>
    <row r="73">
      <c r="A73" s="9" t="n">
        <v>46169</v>
      </c>
      <c r="B73" s="20">
        <f>B72</f>
        <v/>
      </c>
      <c r="C73" t="n">
        <v>73.64</v>
      </c>
    </row>
    <row r="74">
      <c r="A74" s="9" t="n">
        <v>46170</v>
      </c>
      <c r="B74" s="20">
        <f>B73</f>
        <v/>
      </c>
      <c r="C74" t="n">
        <v>73.95</v>
      </c>
    </row>
    <row r="75">
      <c r="A75" s="9" t="n">
        <v>46171</v>
      </c>
      <c r="B75" s="20">
        <f>B74</f>
        <v/>
      </c>
      <c r="C75" t="n">
        <v>73.39</v>
      </c>
    </row>
    <row r="76">
      <c r="A76" s="9" t="n">
        <v>46174</v>
      </c>
      <c r="B76" s="20">
        <f>B75</f>
        <v/>
      </c>
      <c r="C76" t="n">
        <v>73.34999999999999</v>
      </c>
    </row>
    <row r="77">
      <c r="A77" s="9" t="n">
        <v>46175</v>
      </c>
      <c r="B77" s="20">
        <f>B76</f>
        <v/>
      </c>
      <c r="C77" t="n">
        <v>73.2</v>
      </c>
    </row>
    <row r="78">
      <c r="A78" s="9" t="n">
        <v>46176</v>
      </c>
      <c r="B78" s="20">
        <f>B77</f>
        <v/>
      </c>
      <c r="C78" t="n">
        <v>73.77</v>
      </c>
    </row>
    <row r="79">
      <c r="A79" s="9" t="n">
        <v>46178</v>
      </c>
      <c r="B79" s="20">
        <f>B78</f>
        <v/>
      </c>
      <c r="C79" t="n">
        <v>74.23999999999999</v>
      </c>
    </row>
    <row r="80">
      <c r="A80" s="9" t="n">
        <v>46181</v>
      </c>
      <c r="B80" s="20">
        <f>B79</f>
        <v/>
      </c>
      <c r="C80" t="n">
        <v>73.48999999999999</v>
      </c>
    </row>
    <row r="81">
      <c r="A81" s="9" t="n">
        <v>46182</v>
      </c>
      <c r="B81" s="20">
        <f>B80</f>
        <v/>
      </c>
      <c r="C81" t="n">
        <v>73.55</v>
      </c>
    </row>
    <row r="82">
      <c r="A82" s="9" t="n">
        <v>46183</v>
      </c>
      <c r="B82" s="20">
        <f>B81</f>
        <v/>
      </c>
      <c r="C82" t="n">
        <v>73.28</v>
      </c>
    </row>
    <row r="83">
      <c r="A83" s="9" t="n">
        <v>46184</v>
      </c>
      <c r="B83" s="20">
        <f>B82</f>
        <v/>
      </c>
      <c r="C83" t="n">
        <v>73.08</v>
      </c>
    </row>
    <row r="84">
      <c r="A84" s="9" t="n">
        <v>46185</v>
      </c>
      <c r="B84" s="20">
        <f>B83</f>
        <v/>
      </c>
      <c r="C84" t="n">
        <v>73.34999999999999</v>
      </c>
    </row>
    <row r="85">
      <c r="A85" s="9" t="n">
        <v>46188</v>
      </c>
      <c r="B85" s="20">
        <f>B84</f>
        <v/>
      </c>
      <c r="C85" t="n">
        <v>73.5</v>
      </c>
    </row>
    <row r="86">
      <c r="A86" s="9" t="n">
        <v>46189</v>
      </c>
      <c r="B86" s="20">
        <f>B85</f>
        <v/>
      </c>
      <c r="C86" t="n">
        <v>73.33</v>
      </c>
    </row>
    <row r="87">
      <c r="A87" s="9" t="n">
        <v>46190</v>
      </c>
      <c r="B87" s="20">
        <f>B86</f>
        <v/>
      </c>
      <c r="C87" t="n">
        <v>73.41</v>
      </c>
    </row>
    <row r="88">
      <c r="A88" s="9" t="n">
        <v>46191</v>
      </c>
      <c r="B88" s="20">
        <f>B87</f>
        <v/>
      </c>
      <c r="C88" t="n">
        <v>73.41</v>
      </c>
    </row>
    <row r="89">
      <c r="A89" s="9" t="n">
        <v>46192</v>
      </c>
      <c r="B89" s="20">
        <f>B88</f>
        <v/>
      </c>
      <c r="C89" t="n">
        <v>73.14</v>
      </c>
    </row>
    <row r="90">
      <c r="A90" s="9" t="n">
        <v>46195</v>
      </c>
      <c r="B90" s="20">
        <f>B89</f>
        <v/>
      </c>
      <c r="C90" t="n">
        <v>73.09</v>
      </c>
    </row>
    <row r="91">
      <c r="A91" s="9" t="n">
        <v>46196</v>
      </c>
      <c r="B91" s="20">
        <f>B90</f>
        <v/>
      </c>
      <c r="C91" t="n">
        <v>73.36</v>
      </c>
    </row>
    <row r="92">
      <c r="A92" s="9" t="n">
        <v>46197</v>
      </c>
      <c r="B92" s="20">
        <f>B91</f>
        <v/>
      </c>
      <c r="C92" t="n">
        <v>73.17</v>
      </c>
    </row>
    <row r="93">
      <c r="A93" s="9" t="n">
        <v>46198</v>
      </c>
      <c r="B93" s="20">
        <f>B92</f>
        <v/>
      </c>
      <c r="C93" t="n">
        <v>73.61</v>
      </c>
    </row>
    <row r="94">
      <c r="A94" s="9" t="n">
        <v>46199</v>
      </c>
      <c r="B94" s="20">
        <f>B93</f>
        <v/>
      </c>
      <c r="C94" t="n">
        <v>73.56999999999999</v>
      </c>
    </row>
    <row r="95">
      <c r="A95" s="9" t="n">
        <v>46202</v>
      </c>
      <c r="B95" s="20">
        <f>B94</f>
        <v/>
      </c>
      <c r="C95" t="n">
        <v>73.53</v>
      </c>
    </row>
    <row r="96">
      <c r="A96" s="9" t="n">
        <v>46203</v>
      </c>
      <c r="B96" s="20">
        <f>B95</f>
        <v/>
      </c>
      <c r="C96" t="n">
        <v>73.8</v>
      </c>
    </row>
    <row r="97">
      <c r="A97" s="9" t="n">
        <v>46204</v>
      </c>
      <c r="B97" s="20">
        <f>B96</f>
        <v/>
      </c>
      <c r="C97" t="n">
        <v>73.73</v>
      </c>
    </row>
    <row r="98">
      <c r="A98" s="9" t="n">
        <v>46205</v>
      </c>
      <c r="B98" s="20">
        <f>B97</f>
        <v/>
      </c>
      <c r="C98" t="n">
        <v>73.56999999999999</v>
      </c>
    </row>
    <row r="99">
      <c r="A99" s="9" t="n">
        <v>46206</v>
      </c>
      <c r="B99" s="20">
        <f>B98</f>
        <v/>
      </c>
      <c r="C99" t="n">
        <v>73.37</v>
      </c>
    </row>
    <row r="100">
      <c r="A100" s="9" t="n">
        <v>46209</v>
      </c>
      <c r="B100" s="20">
        <f>B99</f>
        <v/>
      </c>
      <c r="C100" t="n">
        <v>73.87</v>
      </c>
    </row>
    <row r="101">
      <c r="A101" s="9" t="n">
        <v>46210</v>
      </c>
      <c r="B101" s="20">
        <f>B100</f>
        <v/>
      </c>
      <c r="C101" t="n">
        <v>74.01000000000001</v>
      </c>
    </row>
    <row r="102">
      <c r="A102" s="9" t="n">
        <v>46211</v>
      </c>
      <c r="B102" s="20">
        <f>B101</f>
        <v/>
      </c>
      <c r="C102" t="n">
        <v>73.94</v>
      </c>
    </row>
    <row r="103">
      <c r="A103" s="9" t="n">
        <v>46212</v>
      </c>
      <c r="B103" s="20">
        <f>B102</f>
        <v/>
      </c>
      <c r="C103" t="n">
        <v>73.67</v>
      </c>
    </row>
    <row r="104">
      <c r="A104" s="9" t="n">
        <v>46213</v>
      </c>
      <c r="B104" s="20">
        <f>B103</f>
        <v/>
      </c>
      <c r="C104" t="n">
        <v>73.63</v>
      </c>
    </row>
    <row r="105">
      <c r="A105" s="9" t="n">
        <v>46216</v>
      </c>
      <c r="B105" s="20">
        <f>B104</f>
        <v/>
      </c>
      <c r="C105" t="n">
        <v>73.81999999999999</v>
      </c>
    </row>
    <row r="106">
      <c r="A106" s="9" t="n">
        <v>46217</v>
      </c>
      <c r="B106" s="20">
        <f>B105</f>
        <v/>
      </c>
      <c r="C106" t="n">
        <v>73.97</v>
      </c>
    </row>
    <row r="107">
      <c r="A107" s="9" t="n"/>
      <c r="B107" s="20">
        <f>B115</f>
        <v/>
      </c>
    </row>
    <row r="108">
      <c r="A108" s="9" t="n"/>
      <c r="B108" s="20">
        <f>B116</f>
        <v/>
      </c>
    </row>
    <row r="109">
      <c r="A109" s="9" t="n"/>
      <c r="B109" s="20">
        <f>B117</f>
        <v/>
      </c>
    </row>
    <row r="110">
      <c r="A110" s="9" t="n"/>
      <c r="B110" s="20">
        <f>B118</f>
        <v/>
      </c>
    </row>
    <row r="111">
      <c r="A111" s="9" t="n"/>
      <c r="B111" s="20">
        <f>B119</f>
        <v/>
      </c>
    </row>
    <row r="112">
      <c r="A112" s="9" t="n"/>
      <c r="B112" s="20">
        <f>B120</f>
        <v/>
      </c>
    </row>
    <row r="113">
      <c r="A113" s="9" t="n"/>
      <c r="B113" s="20">
        <f>B121</f>
        <v/>
      </c>
    </row>
    <row r="114">
      <c r="A114" s="9" t="n"/>
      <c r="B114" s="20">
        <f>B122</f>
        <v/>
      </c>
    </row>
    <row r="115">
      <c r="A115" s="9" t="n"/>
      <c r="B115" s="20">
        <f>B123</f>
        <v/>
      </c>
    </row>
    <row r="116">
      <c r="A116" s="9" t="n"/>
      <c r="B116" s="20">
        <f>B124</f>
        <v/>
      </c>
    </row>
    <row r="117">
      <c r="A117" s="9" t="n"/>
      <c r="B117" s="20">
        <f>B125</f>
        <v/>
      </c>
    </row>
    <row r="118">
      <c r="A118" s="9" t="n"/>
      <c r="B118" s="20">
        <f>B126</f>
        <v/>
      </c>
    </row>
    <row r="119">
      <c r="A119" s="9" t="n"/>
      <c r="B119" s="20">
        <f>B127</f>
        <v/>
      </c>
    </row>
    <row r="120">
      <c r="A120" s="9" t="n"/>
      <c r="B120" s="20">
        <f>B128</f>
        <v/>
      </c>
    </row>
    <row r="121">
      <c r="A121" s="9" t="n"/>
      <c r="B121" s="20">
        <f>B129</f>
        <v/>
      </c>
    </row>
    <row r="122">
      <c r="A122" s="9" t="n"/>
      <c r="B122" s="20">
        <f>B130</f>
        <v/>
      </c>
    </row>
    <row r="123">
      <c r="A123" s="9" t="n"/>
      <c r="B123" s="20">
        <f>B131</f>
        <v/>
      </c>
    </row>
    <row r="124">
      <c r="A124" s="9" t="n"/>
      <c r="B124" s="20">
        <f>B132</f>
        <v/>
      </c>
    </row>
    <row r="125">
      <c r="A125" s="9" t="n"/>
      <c r="B125" s="20">
        <f>B133</f>
        <v/>
      </c>
    </row>
    <row r="126">
      <c r="A126" s="9" t="n"/>
      <c r="B126" s="20">
        <f>B134</f>
        <v/>
      </c>
    </row>
    <row r="127">
      <c r="A127" s="9" t="n"/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6.xml><?xml version="1.0" encoding="utf-8"?>
<worksheet xmlns="http://schemas.openxmlformats.org/spreadsheetml/2006/main">
  <sheetPr codeName="Planilha46">
    <outlinePr summaryBelow="1" summaryRight="1"/>
    <pageSetUpPr/>
  </sheetPr>
  <dimension ref="A1:C191"/>
  <sheetViews>
    <sheetView topLeftCell="A1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CCMH27</t>
        </is>
      </c>
      <c r="C2" t="n">
        <v>75.16</v>
      </c>
    </row>
    <row r="3">
      <c r="A3" s="9" t="n">
        <v>46062</v>
      </c>
      <c r="B3" s="20">
        <f>B2</f>
        <v/>
      </c>
      <c r="C3" t="n">
        <v>74.7</v>
      </c>
    </row>
    <row r="4">
      <c r="A4" s="9" t="n">
        <v>46063</v>
      </c>
      <c r="B4" s="20">
        <f>B3</f>
        <v/>
      </c>
      <c r="C4" t="n">
        <v>74.7</v>
      </c>
    </row>
    <row r="5">
      <c r="A5" s="9" t="n">
        <v>46064</v>
      </c>
      <c r="B5" s="20">
        <f>B4</f>
        <v/>
      </c>
      <c r="C5" t="n">
        <v>74.69</v>
      </c>
    </row>
    <row r="6">
      <c r="A6" s="9" t="n">
        <v>46065</v>
      </c>
      <c r="B6" s="20">
        <f>B5</f>
        <v/>
      </c>
      <c r="C6" t="n">
        <v>74.59999999999999</v>
      </c>
    </row>
    <row r="7">
      <c r="A7" s="9" t="n">
        <v>46066</v>
      </c>
      <c r="B7" s="20">
        <f>B6</f>
        <v/>
      </c>
      <c r="C7" t="n">
        <v>74.65000000000001</v>
      </c>
    </row>
    <row r="8">
      <c r="A8" s="9" t="n">
        <v>46071</v>
      </c>
      <c r="B8" s="20">
        <f>B7</f>
        <v/>
      </c>
      <c r="C8" t="n">
        <v>74.45999999999999</v>
      </c>
    </row>
    <row r="9">
      <c r="A9" s="9" t="n">
        <v>46072</v>
      </c>
      <c r="B9" s="20">
        <f>B8</f>
        <v/>
      </c>
      <c r="C9" t="n">
        <v>74.40000000000001</v>
      </c>
    </row>
    <row r="10">
      <c r="A10" s="9" t="n">
        <v>46073</v>
      </c>
      <c r="B10" s="20">
        <f>B9</f>
        <v/>
      </c>
      <c r="C10" t="n">
        <v>74.40000000000001</v>
      </c>
    </row>
    <row r="11">
      <c r="A11" s="9" t="n">
        <v>46076</v>
      </c>
      <c r="B11" s="20">
        <f>B10</f>
        <v/>
      </c>
      <c r="C11" t="n">
        <v>74.06999999999999</v>
      </c>
    </row>
    <row r="12">
      <c r="A12" s="9" t="n">
        <v>46077</v>
      </c>
      <c r="B12" s="20">
        <f>B11</f>
        <v/>
      </c>
      <c r="C12" t="n">
        <v>73.89</v>
      </c>
    </row>
    <row r="13">
      <c r="A13" s="9" t="n">
        <v>46078</v>
      </c>
      <c r="B13" s="20">
        <f>B12</f>
        <v/>
      </c>
      <c r="C13" t="n">
        <v>73.73999999999999</v>
      </c>
    </row>
    <row r="14">
      <c r="A14" s="9" t="n">
        <v>46079</v>
      </c>
      <c r="B14" s="20">
        <f>B13</f>
        <v/>
      </c>
      <c r="C14" t="n">
        <v>73.73999999999999</v>
      </c>
    </row>
    <row r="15">
      <c r="A15" s="9" t="n">
        <v>46080</v>
      </c>
      <c r="B15" s="20">
        <f>B14</f>
        <v/>
      </c>
      <c r="C15" t="n">
        <v>74.40000000000001</v>
      </c>
    </row>
    <row r="16">
      <c r="A16" s="9" t="n">
        <v>46083</v>
      </c>
      <c r="B16" s="20">
        <f>B15</f>
        <v/>
      </c>
      <c r="C16" t="n">
        <v>74.84</v>
      </c>
    </row>
    <row r="17">
      <c r="A17" s="9" t="n">
        <v>46084</v>
      </c>
      <c r="B17" s="20">
        <f>B16</f>
        <v/>
      </c>
      <c r="C17" t="n">
        <v>74.98999999999999</v>
      </c>
    </row>
    <row r="18">
      <c r="A18" s="9" t="n">
        <v>46085</v>
      </c>
      <c r="B18" s="20">
        <f>B17</f>
        <v/>
      </c>
      <c r="C18" t="n">
        <v>75</v>
      </c>
    </row>
    <row r="19">
      <c r="A19" s="9" t="n">
        <v>46086</v>
      </c>
      <c r="B19" s="20">
        <f>B18</f>
        <v/>
      </c>
      <c r="C19" t="n">
        <v>75.12</v>
      </c>
    </row>
    <row r="20">
      <c r="A20" s="4" t="n">
        <v>46087</v>
      </c>
      <c r="B20" s="20">
        <f>B19</f>
        <v/>
      </c>
      <c r="C20" t="n">
        <v>75.13</v>
      </c>
    </row>
    <row r="21">
      <c r="A21" s="4" t="n">
        <v>46090</v>
      </c>
      <c r="B21" s="20">
        <f>B20</f>
        <v/>
      </c>
      <c r="C21" t="n">
        <v>75.34999999999999</v>
      </c>
    </row>
    <row r="22">
      <c r="A22" s="4" t="n">
        <v>46091</v>
      </c>
      <c r="B22" s="20">
        <f>B21</f>
        <v/>
      </c>
      <c r="C22" t="n">
        <v>75.31999999999999</v>
      </c>
    </row>
    <row r="23">
      <c r="A23" s="4" t="n">
        <v>46092</v>
      </c>
      <c r="B23" s="20">
        <f>B22</f>
        <v/>
      </c>
      <c r="C23" t="n">
        <v>75.37</v>
      </c>
    </row>
    <row r="24">
      <c r="A24" s="4" t="n">
        <v>46093</v>
      </c>
      <c r="B24" s="20">
        <f>B23</f>
        <v/>
      </c>
      <c r="C24" t="n">
        <v>75.91</v>
      </c>
    </row>
    <row r="25">
      <c r="A25" s="4" t="n">
        <v>46094</v>
      </c>
      <c r="B25" s="20">
        <f>B24</f>
        <v/>
      </c>
      <c r="C25" t="n">
        <v>76.2</v>
      </c>
    </row>
    <row r="26">
      <c r="A26" s="4" t="n">
        <v>46097</v>
      </c>
      <c r="B26" s="20">
        <f>B25</f>
        <v/>
      </c>
      <c r="C26" t="n">
        <v>75.14</v>
      </c>
    </row>
    <row r="27">
      <c r="A27" s="4" t="n">
        <v>46098</v>
      </c>
      <c r="B27" s="20">
        <f>B26</f>
        <v/>
      </c>
      <c r="C27" t="n">
        <v>74.81999999999999</v>
      </c>
    </row>
    <row r="28">
      <c r="A28" s="4" t="n">
        <v>46099</v>
      </c>
      <c r="B28" s="20">
        <f>B27</f>
        <v/>
      </c>
      <c r="C28" t="n">
        <v>75.59</v>
      </c>
    </row>
    <row r="29">
      <c r="A29" s="4" t="n">
        <v>46100</v>
      </c>
      <c r="B29" s="20">
        <f>B28</f>
        <v/>
      </c>
      <c r="C29" t="n">
        <v>75.48</v>
      </c>
    </row>
    <row r="30">
      <c r="A30" s="4" t="n">
        <v>46101</v>
      </c>
      <c r="B30" s="20">
        <f>B29</f>
        <v/>
      </c>
      <c r="C30" t="n">
        <v>76.26000000000001</v>
      </c>
    </row>
    <row r="31">
      <c r="A31" s="4" t="n">
        <v>46104</v>
      </c>
      <c r="B31" s="20">
        <f>B30</f>
        <v/>
      </c>
      <c r="C31" t="n">
        <v>76.08</v>
      </c>
    </row>
    <row r="32">
      <c r="A32" s="9" t="n">
        <v>46105</v>
      </c>
      <c r="B32" s="20">
        <f>B31</f>
        <v/>
      </c>
      <c r="C32" t="n">
        <v>76</v>
      </c>
    </row>
    <row r="33">
      <c r="A33" s="4" t="n">
        <v>46107</v>
      </c>
      <c r="B33" s="20">
        <f>B32</f>
        <v/>
      </c>
      <c r="C33" t="n">
        <v>75.95999999999999</v>
      </c>
    </row>
    <row r="34">
      <c r="A34" s="4" t="n">
        <v>46108</v>
      </c>
      <c r="B34" s="20">
        <f>B33</f>
        <v/>
      </c>
      <c r="C34" t="n">
        <v>76</v>
      </c>
    </row>
    <row r="35">
      <c r="A35" s="9" t="n">
        <v>46111</v>
      </c>
      <c r="B35" s="20">
        <f>B34</f>
        <v/>
      </c>
      <c r="C35" t="n">
        <v>77.06999999999999</v>
      </c>
    </row>
    <row r="36">
      <c r="A36" s="9" t="n">
        <v>46112</v>
      </c>
      <c r="B36" s="20">
        <f>B35</f>
        <v/>
      </c>
      <c r="C36" t="n">
        <v>76.91</v>
      </c>
    </row>
    <row r="37">
      <c r="A37" s="9" t="n">
        <v>46113</v>
      </c>
      <c r="B37" s="20">
        <f>B45</f>
        <v/>
      </c>
      <c r="C37" t="n">
        <v>76.78</v>
      </c>
    </row>
    <row r="38">
      <c r="A38" s="9" t="n">
        <v>46114</v>
      </c>
      <c r="B38" s="20">
        <f>B46</f>
        <v/>
      </c>
      <c r="C38" t="n">
        <v>76.86</v>
      </c>
    </row>
    <row r="39">
      <c r="A39" s="9" t="n">
        <v>46118</v>
      </c>
      <c r="B39" s="20">
        <f>B47</f>
        <v/>
      </c>
      <c r="C39" t="n">
        <v>76.63</v>
      </c>
    </row>
    <row r="40">
      <c r="A40" s="9" t="n">
        <v>46120</v>
      </c>
      <c r="B40" s="20">
        <f>B48</f>
        <v/>
      </c>
      <c r="C40" t="n">
        <v>75.70999999999999</v>
      </c>
    </row>
    <row r="41">
      <c r="A41" s="9" t="n">
        <v>46121</v>
      </c>
      <c r="B41" s="20">
        <f>B49</f>
        <v/>
      </c>
      <c r="C41" t="n">
        <v>75.64</v>
      </c>
    </row>
    <row r="42">
      <c r="A42" s="9" t="n">
        <v>46122</v>
      </c>
      <c r="B42" s="20">
        <f>B50</f>
        <v/>
      </c>
      <c r="C42" t="n">
        <v>75.39</v>
      </c>
    </row>
    <row r="43">
      <c r="A43" s="9" t="n">
        <v>46125</v>
      </c>
      <c r="B43" s="20">
        <f>B51</f>
        <v/>
      </c>
      <c r="C43" t="n">
        <v>75.5</v>
      </c>
    </row>
    <row r="44">
      <c r="A44" s="9" t="n">
        <v>46126</v>
      </c>
      <c r="B44" s="20">
        <f>B52</f>
        <v/>
      </c>
      <c r="C44" t="n">
        <v>75.31</v>
      </c>
    </row>
    <row r="45">
      <c r="A45" s="9" t="n">
        <v>46127</v>
      </c>
      <c r="B45" s="20">
        <f>B53</f>
        <v/>
      </c>
      <c r="C45" t="n">
        <v>75.18000000000001</v>
      </c>
    </row>
    <row r="46">
      <c r="A46" s="9" t="n">
        <v>46128</v>
      </c>
      <c r="B46" s="20">
        <f>B54</f>
        <v/>
      </c>
      <c r="C46" t="n">
        <v>75.2</v>
      </c>
    </row>
    <row r="47">
      <c r="A47" s="9" t="n">
        <v>46129</v>
      </c>
      <c r="B47" s="20">
        <f>B46</f>
        <v/>
      </c>
      <c r="C47" t="n">
        <v>75.11</v>
      </c>
    </row>
    <row r="48">
      <c r="A48" s="9" t="n">
        <v>46132</v>
      </c>
      <c r="B48" s="20">
        <f>B47</f>
        <v/>
      </c>
      <c r="C48" t="n">
        <v>75.06</v>
      </c>
    </row>
    <row r="49">
      <c r="A49" s="9" t="n">
        <v>46134</v>
      </c>
      <c r="B49" s="20">
        <f>B48</f>
        <v/>
      </c>
      <c r="C49" t="n">
        <v>75.88</v>
      </c>
    </row>
    <row r="50">
      <c r="A50" s="9" t="n">
        <v>46135</v>
      </c>
      <c r="B50" s="20">
        <f>B49</f>
        <v/>
      </c>
      <c r="C50" t="n">
        <v>75.39</v>
      </c>
    </row>
    <row r="51">
      <c r="A51" s="9" t="n">
        <v>46136</v>
      </c>
      <c r="B51" s="20">
        <f>B50</f>
        <v/>
      </c>
      <c r="C51" t="n">
        <v>75.26000000000001</v>
      </c>
    </row>
    <row r="52">
      <c r="A52" s="9" t="n">
        <v>46139</v>
      </c>
      <c r="B52" s="20">
        <f>B51</f>
        <v/>
      </c>
      <c r="C52" t="n">
        <v>75.67</v>
      </c>
    </row>
    <row r="53">
      <c r="A53" s="9" t="n">
        <v>46140</v>
      </c>
      <c r="B53" s="20">
        <f>B52</f>
        <v/>
      </c>
      <c r="C53" t="n">
        <v>75.5</v>
      </c>
    </row>
    <row r="54">
      <c r="A54" s="9" t="n">
        <v>46141</v>
      </c>
      <c r="B54" s="20">
        <f>B53</f>
        <v/>
      </c>
      <c r="C54" t="n">
        <v>75.52</v>
      </c>
    </row>
    <row r="55">
      <c r="A55" s="9" t="n">
        <v>46142</v>
      </c>
      <c r="B55" s="20">
        <f>B54</f>
        <v/>
      </c>
      <c r="C55" t="n">
        <v>75.11</v>
      </c>
    </row>
    <row r="56">
      <c r="A56" s="9" t="n">
        <v>46146</v>
      </c>
      <c r="B56" s="20">
        <f>B55</f>
        <v/>
      </c>
      <c r="C56" t="n">
        <v>74.90000000000001</v>
      </c>
    </row>
    <row r="57">
      <c r="A57" s="9" t="n">
        <v>46147</v>
      </c>
      <c r="B57" s="20">
        <f>B56</f>
        <v/>
      </c>
      <c r="C57" t="n">
        <v>74.52</v>
      </c>
    </row>
    <row r="58">
      <c r="A58" s="9" t="n">
        <v>46148</v>
      </c>
      <c r="B58" s="20">
        <f>B57</f>
        <v/>
      </c>
      <c r="C58" t="n">
        <v>74.14</v>
      </c>
    </row>
    <row r="59">
      <c r="A59" s="9" t="n">
        <v>46149</v>
      </c>
      <c r="B59" s="20">
        <f>B58</f>
        <v/>
      </c>
      <c r="C59" t="n">
        <v>74.26000000000001</v>
      </c>
    </row>
    <row r="60">
      <c r="A60" s="9" t="n">
        <v>46150</v>
      </c>
      <c r="B60" s="20">
        <f>B59</f>
        <v/>
      </c>
      <c r="C60" t="n">
        <v>74.44</v>
      </c>
    </row>
    <row r="61">
      <c r="A61" s="9" t="n">
        <v>46153</v>
      </c>
      <c r="B61" s="20">
        <f>B60</f>
        <v/>
      </c>
      <c r="C61" t="n">
        <v>75.02</v>
      </c>
    </row>
    <row r="62">
      <c r="A62" s="9" t="n">
        <v>46154</v>
      </c>
      <c r="B62" s="20">
        <f>B61</f>
        <v/>
      </c>
      <c r="C62" t="n">
        <v>75.01000000000001</v>
      </c>
    </row>
    <row r="63">
      <c r="A63" s="9" t="n">
        <v>46155</v>
      </c>
      <c r="B63" s="20">
        <f>B62</f>
        <v/>
      </c>
      <c r="C63" t="n">
        <v>74.92</v>
      </c>
    </row>
    <row r="64">
      <c r="A64" s="9" t="n">
        <v>46156</v>
      </c>
      <c r="B64" s="20">
        <f>B63</f>
        <v/>
      </c>
      <c r="C64" t="n">
        <v>74.83</v>
      </c>
    </row>
    <row r="65">
      <c r="A65" s="9" t="n">
        <v>46157</v>
      </c>
      <c r="B65" s="20">
        <f>B64</f>
        <v/>
      </c>
      <c r="C65" t="n">
        <v>74.93000000000001</v>
      </c>
    </row>
    <row r="66">
      <c r="A66" s="9" t="n">
        <v>46160</v>
      </c>
      <c r="B66" s="20">
        <f>B65</f>
        <v/>
      </c>
      <c r="C66" t="n">
        <v>75.14</v>
      </c>
    </row>
    <row r="67">
      <c r="A67" s="9" t="n">
        <v>46161</v>
      </c>
      <c r="B67" s="20">
        <f>B66</f>
        <v/>
      </c>
      <c r="C67" t="n">
        <v>75.20999999999999</v>
      </c>
    </row>
    <row r="68">
      <c r="A68" s="9" t="n">
        <v>46162</v>
      </c>
      <c r="B68" s="20">
        <f>B67</f>
        <v/>
      </c>
      <c r="C68" t="n">
        <v>75.37</v>
      </c>
    </row>
    <row r="69">
      <c r="A69" s="9" t="n">
        <v>46163</v>
      </c>
      <c r="B69" s="20">
        <f>B68</f>
        <v/>
      </c>
      <c r="C69" t="n">
        <v>75.68000000000001</v>
      </c>
    </row>
    <row r="70">
      <c r="A70" s="9" t="n">
        <v>46164</v>
      </c>
      <c r="B70" s="20">
        <f>B69</f>
        <v/>
      </c>
      <c r="C70" t="n">
        <v>75.84999999999999</v>
      </c>
    </row>
    <row r="71">
      <c r="A71" s="9" t="n">
        <v>46167</v>
      </c>
      <c r="B71" s="20">
        <f>B70</f>
        <v/>
      </c>
      <c r="C71" t="n">
        <v>75.31</v>
      </c>
    </row>
    <row r="72">
      <c r="A72" s="9" t="n">
        <v>46168</v>
      </c>
      <c r="B72" s="20">
        <f>B71</f>
        <v/>
      </c>
      <c r="C72" t="n">
        <v>75.39</v>
      </c>
    </row>
    <row r="73">
      <c r="A73" s="9" t="n">
        <v>46169</v>
      </c>
      <c r="B73" s="20">
        <f>B72</f>
        <v/>
      </c>
      <c r="C73" t="n">
        <v>75.11</v>
      </c>
    </row>
    <row r="74">
      <c r="A74" s="9" t="n">
        <v>46170</v>
      </c>
      <c r="B74" s="20">
        <f>B73</f>
        <v/>
      </c>
      <c r="C74" t="n">
        <v>75.23</v>
      </c>
    </row>
    <row r="75">
      <c r="A75" s="9" t="n">
        <v>46171</v>
      </c>
      <c r="B75" s="20">
        <f>B74</f>
        <v/>
      </c>
      <c r="C75" t="n">
        <v>75</v>
      </c>
    </row>
    <row r="76">
      <c r="A76" s="9" t="n">
        <v>46174</v>
      </c>
      <c r="B76" s="20">
        <f>B75</f>
        <v/>
      </c>
      <c r="C76" t="n">
        <v>75.02</v>
      </c>
    </row>
    <row r="77">
      <c r="A77" s="9" t="n">
        <v>46175</v>
      </c>
      <c r="B77" s="20">
        <f>B76</f>
        <v/>
      </c>
      <c r="C77" t="n">
        <v>74.97</v>
      </c>
    </row>
    <row r="78">
      <c r="A78" s="9" t="n">
        <v>46176</v>
      </c>
      <c r="B78" s="20">
        <f>B77</f>
        <v/>
      </c>
      <c r="C78" t="n">
        <v>75.17</v>
      </c>
    </row>
    <row r="79">
      <c r="A79" s="9" t="n">
        <v>46178</v>
      </c>
      <c r="B79" s="20">
        <f>B78</f>
        <v/>
      </c>
      <c r="C79" t="n">
        <v>75.79000000000001</v>
      </c>
    </row>
    <row r="80">
      <c r="A80" s="9" t="n">
        <v>46181</v>
      </c>
      <c r="B80" s="20">
        <f>B79</f>
        <v/>
      </c>
      <c r="C80" t="n">
        <v>75.23999999999999</v>
      </c>
    </row>
    <row r="81">
      <c r="A81" s="9" t="n">
        <v>46182</v>
      </c>
      <c r="B81" s="20">
        <f>B80</f>
        <v/>
      </c>
      <c r="C81" t="n">
        <v>75.14</v>
      </c>
    </row>
    <row r="82">
      <c r="A82" s="9" t="n">
        <v>46183</v>
      </c>
      <c r="B82" s="20">
        <f>B81</f>
        <v/>
      </c>
      <c r="C82" t="n">
        <v>75.09</v>
      </c>
    </row>
    <row r="83">
      <c r="A83" s="9" t="n">
        <v>46184</v>
      </c>
      <c r="B83" s="20">
        <f>B82</f>
        <v/>
      </c>
      <c r="C83" t="n">
        <v>74.98999999999999</v>
      </c>
    </row>
    <row r="84">
      <c r="A84" s="9" t="n">
        <v>46185</v>
      </c>
      <c r="B84" s="20">
        <f>B83</f>
        <v/>
      </c>
      <c r="C84" t="n">
        <v>75.13</v>
      </c>
    </row>
    <row r="85">
      <c r="A85" s="9" t="n">
        <v>46188</v>
      </c>
      <c r="B85" s="20">
        <f>B84</f>
        <v/>
      </c>
      <c r="C85" t="n">
        <v>75.22</v>
      </c>
    </row>
    <row r="86">
      <c r="A86" s="9" t="n">
        <v>46189</v>
      </c>
      <c r="B86" s="20">
        <f>B85</f>
        <v/>
      </c>
      <c r="C86" t="n">
        <v>75.11</v>
      </c>
    </row>
    <row r="87">
      <c r="A87" s="9" t="n">
        <v>46190</v>
      </c>
      <c r="B87" s="20">
        <f>B86</f>
        <v/>
      </c>
      <c r="C87" t="n">
        <v>75.09999999999999</v>
      </c>
    </row>
    <row r="88">
      <c r="A88" s="9" t="n">
        <v>46191</v>
      </c>
      <c r="B88" s="20">
        <f>B87</f>
        <v/>
      </c>
      <c r="C88" t="n">
        <v>75.13</v>
      </c>
    </row>
    <row r="89">
      <c r="A89" s="9" t="n">
        <v>46192</v>
      </c>
      <c r="B89" s="20">
        <f>B88</f>
        <v/>
      </c>
      <c r="C89" t="n">
        <v>74.88</v>
      </c>
    </row>
    <row r="90">
      <c r="A90" s="9" t="n">
        <v>46195</v>
      </c>
      <c r="B90" s="20">
        <f>B89</f>
        <v/>
      </c>
      <c r="C90" t="n">
        <v>74.92</v>
      </c>
    </row>
    <row r="91">
      <c r="A91" s="9" t="n">
        <v>46196</v>
      </c>
      <c r="B91" s="20">
        <f>B90</f>
        <v/>
      </c>
      <c r="C91" t="n">
        <v>75.13</v>
      </c>
    </row>
    <row r="92">
      <c r="A92" s="9" t="n">
        <v>46197</v>
      </c>
      <c r="B92" s="20">
        <f>B91</f>
        <v/>
      </c>
      <c r="C92" t="n">
        <v>75.09</v>
      </c>
    </row>
    <row r="93">
      <c r="A93" s="9" t="n">
        <v>46198</v>
      </c>
      <c r="B93" s="20">
        <f>B92</f>
        <v/>
      </c>
      <c r="C93" t="n">
        <v>75.19</v>
      </c>
    </row>
    <row r="94">
      <c r="A94" s="9" t="n">
        <v>46199</v>
      </c>
      <c r="B94" s="20">
        <f>B93</f>
        <v/>
      </c>
      <c r="C94" t="n">
        <v>74.98999999999999</v>
      </c>
    </row>
    <row r="95">
      <c r="A95" s="9" t="n">
        <v>46202</v>
      </c>
      <c r="B95" s="20">
        <f>B94</f>
        <v/>
      </c>
      <c r="C95" t="n">
        <v>75</v>
      </c>
    </row>
    <row r="96">
      <c r="A96" s="9" t="n">
        <v>46203</v>
      </c>
      <c r="B96" s="20">
        <f>B95</f>
        <v/>
      </c>
      <c r="C96" t="n">
        <v>75.09999999999999</v>
      </c>
    </row>
    <row r="97">
      <c r="A97" s="9" t="n">
        <v>46204</v>
      </c>
      <c r="B97" s="20">
        <f>B96</f>
        <v/>
      </c>
      <c r="C97" t="n">
        <v>74.98999999999999</v>
      </c>
    </row>
    <row r="98">
      <c r="A98" s="9" t="n">
        <v>46205</v>
      </c>
      <c r="B98" s="20">
        <f>B97</f>
        <v/>
      </c>
      <c r="C98" t="n">
        <v>75</v>
      </c>
    </row>
    <row r="99">
      <c r="A99" s="9" t="n">
        <v>46206</v>
      </c>
      <c r="B99" s="20">
        <f>B98</f>
        <v/>
      </c>
      <c r="C99" t="n">
        <v>75.02</v>
      </c>
    </row>
    <row r="100">
      <c r="A100" s="9" t="n">
        <v>46209</v>
      </c>
      <c r="B100" s="20">
        <f>B99</f>
        <v/>
      </c>
      <c r="C100" t="n">
        <v>75.38</v>
      </c>
    </row>
    <row r="101">
      <c r="A101" s="9" t="n">
        <v>46210</v>
      </c>
      <c r="B101" s="20">
        <f>B100</f>
        <v/>
      </c>
      <c r="C101" t="n">
        <v>75.42</v>
      </c>
    </row>
    <row r="102">
      <c r="A102" s="9" t="n">
        <v>46211</v>
      </c>
      <c r="B102" s="20">
        <f>B101</f>
        <v/>
      </c>
      <c r="C102" t="n">
        <v>75.45</v>
      </c>
    </row>
    <row r="103">
      <c r="A103" s="9" t="n">
        <v>46212</v>
      </c>
      <c r="B103" s="20">
        <f>B102</f>
        <v/>
      </c>
      <c r="C103" t="n">
        <v>75.31</v>
      </c>
    </row>
    <row r="104">
      <c r="A104" s="9" t="n">
        <v>46213</v>
      </c>
      <c r="B104" s="20">
        <f>B103</f>
        <v/>
      </c>
      <c r="C104" t="n">
        <v>75.38</v>
      </c>
    </row>
    <row r="105">
      <c r="A105" s="9" t="n">
        <v>46216</v>
      </c>
      <c r="B105" s="20">
        <f>B104</f>
        <v/>
      </c>
      <c r="C105" t="n">
        <v>75.51000000000001</v>
      </c>
    </row>
    <row r="106">
      <c r="A106" s="9" t="n">
        <v>46217</v>
      </c>
      <c r="B106" s="20">
        <f>B105</f>
        <v/>
      </c>
      <c r="C106" t="n">
        <v>75.63</v>
      </c>
    </row>
    <row r="107">
      <c r="A107" s="9">
        <f>IF('S.H BOI GORDO'!A7186=""," ",'S.H BOI GORDO'!A7186)</f>
        <v/>
      </c>
      <c r="B107" s="20">
        <f>B115</f>
        <v/>
      </c>
    </row>
    <row r="108">
      <c r="A108" s="9">
        <f>IF('S.H BOI GORDO'!A7187=""," ",'S.H BOI GORDO'!A7187)</f>
        <v/>
      </c>
      <c r="B108" s="20">
        <f>B116</f>
        <v/>
      </c>
    </row>
    <row r="109">
      <c r="A109" s="9">
        <f>IF('S.H BOI GORDO'!A7188=""," ",'S.H BOI GORDO'!A7188)</f>
        <v/>
      </c>
      <c r="B109" s="20">
        <f>B117</f>
        <v/>
      </c>
    </row>
    <row r="110">
      <c r="A110" s="9">
        <f>IF('S.H BOI GORDO'!A7189=""," ",'S.H BOI GORDO'!A7189)</f>
        <v/>
      </c>
      <c r="B110" s="20">
        <f>B118</f>
        <v/>
      </c>
    </row>
    <row r="111">
      <c r="A111" s="9">
        <f>IF('S.H BOI GORDO'!A7190=""," ",'S.H BOI GORDO'!A7190)</f>
        <v/>
      </c>
      <c r="B111" s="20">
        <f>B119</f>
        <v/>
      </c>
    </row>
    <row r="112">
      <c r="A112" s="9">
        <f>IF('S.H BOI GORDO'!A7191=""," ",'S.H BOI GORDO'!A7191)</f>
        <v/>
      </c>
      <c r="B112" s="20">
        <f>B120</f>
        <v/>
      </c>
    </row>
    <row r="113">
      <c r="A113" s="9">
        <f>IF('S.H BOI GORDO'!A7192=""," ",'S.H BOI GORDO'!A7192)</f>
        <v/>
      </c>
      <c r="B113" s="20">
        <f>B121</f>
        <v/>
      </c>
    </row>
    <row r="114">
      <c r="A114" s="9">
        <f>IF('S.H BOI GORDO'!A7193=""," ",'S.H BOI GORDO'!A7193)</f>
        <v/>
      </c>
      <c r="B114" s="20">
        <f>B122</f>
        <v/>
      </c>
    </row>
    <row r="115">
      <c r="A115" s="9">
        <f>IF('S.H BOI GORDO'!A7194=""," ",'S.H BOI GORDO'!A7194)</f>
        <v/>
      </c>
      <c r="B115" s="20">
        <f>B123</f>
        <v/>
      </c>
    </row>
    <row r="116">
      <c r="A116" s="9">
        <f>IF('S.H BOI GORDO'!A7195=""," ",'S.H BOI GORDO'!A7195)</f>
        <v/>
      </c>
      <c r="B116" s="20">
        <f>B124</f>
        <v/>
      </c>
    </row>
    <row r="117">
      <c r="A117" s="9">
        <f>IF('S.H BOI GORDO'!A7196=""," ",'S.H BOI GORDO'!A7196)</f>
        <v/>
      </c>
      <c r="B117" s="20">
        <f>B125</f>
        <v/>
      </c>
    </row>
    <row r="118">
      <c r="A118" s="9">
        <f>IF('S.H BOI GORDO'!A7197=""," ",'S.H BOI GORDO'!A7197)</f>
        <v/>
      </c>
      <c r="B118" s="20">
        <f>B126</f>
        <v/>
      </c>
    </row>
    <row r="119">
      <c r="A119" s="9">
        <f>IF('S.H BOI GORDO'!A7198=""," ",'S.H BOI GORDO'!A7198)</f>
        <v/>
      </c>
      <c r="B119" s="20">
        <f>B127</f>
        <v/>
      </c>
    </row>
    <row r="120">
      <c r="A120" s="9">
        <f>IF('S.H BOI GORDO'!A7199=""," ",'S.H BOI GORDO'!A7199)</f>
        <v/>
      </c>
      <c r="B120" s="20">
        <f>B128</f>
        <v/>
      </c>
    </row>
    <row r="121">
      <c r="A121" s="9">
        <f>IF('S.H BOI GORDO'!A7200=""," ",'S.H BOI GORDO'!A7200)</f>
        <v/>
      </c>
      <c r="B121" s="20">
        <f>B129</f>
        <v/>
      </c>
    </row>
    <row r="122">
      <c r="A122" s="9">
        <f>IF('S.H BOI GORDO'!A7201=""," ",'S.H BOI GORDO'!A7201)</f>
        <v/>
      </c>
      <c r="B122" s="20">
        <f>B130</f>
        <v/>
      </c>
    </row>
    <row r="123">
      <c r="A123" s="9">
        <f>IF('S.H BOI GORDO'!A7202=""," ",'S.H BOI GORDO'!A7202)</f>
        <v/>
      </c>
      <c r="B123" s="20">
        <f>B131</f>
        <v/>
      </c>
    </row>
    <row r="124">
      <c r="A124" s="9">
        <f>IF('S.H BOI GORDO'!A7203=""," ",'S.H BOI GORDO'!A7203)</f>
        <v/>
      </c>
      <c r="B124" s="20">
        <f>B132</f>
        <v/>
      </c>
    </row>
    <row r="125">
      <c r="A125" s="9">
        <f>IF('S.H BOI GORDO'!A7204=""," ",'S.H BOI GORDO'!A7204)</f>
        <v/>
      </c>
      <c r="B125" s="20">
        <f>B133</f>
        <v/>
      </c>
    </row>
    <row r="126">
      <c r="A126" s="9">
        <f>IF('S.H BOI GORDO'!A7205=""," ",'S.H BOI GORDO'!A7205)</f>
        <v/>
      </c>
      <c r="B126" s="20">
        <f>B134</f>
        <v/>
      </c>
    </row>
    <row r="127">
      <c r="A127" s="9">
        <f>IF('S.H BOI GORDO'!A7206=""," ",'S.H BOI GORDO'!A7206)</f>
        <v/>
      </c>
      <c r="B127" s="20">
        <f>B135</f>
        <v/>
      </c>
    </row>
    <row r="128"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7.xml><?xml version="1.0" encoding="utf-8"?>
<worksheet xmlns="http://schemas.openxmlformats.org/spreadsheetml/2006/main">
  <sheetPr codeName="Planilha47">
    <outlinePr summaryBelow="1" summaryRight="1"/>
    <pageSetUpPr/>
  </sheetPr>
  <dimension ref="A1:C190"/>
  <sheetViews>
    <sheetView topLeftCell="A70" zoomScale="90" zoomScaleNormal="90" workbookViewId="0">
      <selection activeCell="A25" sqref="A25:XFD25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CCMK27</t>
        </is>
      </c>
      <c r="C2" t="n">
        <v>71.23</v>
      </c>
    </row>
    <row r="3">
      <c r="A3" s="9" t="n">
        <v>46062</v>
      </c>
      <c r="B3" s="20">
        <f>B2</f>
        <v/>
      </c>
      <c r="C3" t="n">
        <v>71.22</v>
      </c>
    </row>
    <row r="4">
      <c r="A4" s="9" t="n">
        <v>46063</v>
      </c>
      <c r="B4" s="20">
        <f>B3</f>
        <v/>
      </c>
      <c r="C4" t="n">
        <v>71.23</v>
      </c>
    </row>
    <row r="5">
      <c r="A5" s="9" t="n">
        <v>46064</v>
      </c>
      <c r="B5" s="20">
        <f>B4</f>
        <v/>
      </c>
      <c r="C5" t="n">
        <v>71.25</v>
      </c>
    </row>
    <row r="6">
      <c r="A6" s="9" t="n">
        <v>46065</v>
      </c>
      <c r="B6" s="20">
        <f>B5</f>
        <v/>
      </c>
      <c r="C6" t="n">
        <v>71.16</v>
      </c>
    </row>
    <row r="7">
      <c r="A7" s="9" t="n">
        <v>46066</v>
      </c>
      <c r="B7" s="20">
        <f>B6</f>
        <v/>
      </c>
      <c r="C7" t="n">
        <v>71.34</v>
      </c>
    </row>
    <row r="8">
      <c r="A8" s="9" t="n">
        <v>46071</v>
      </c>
      <c r="B8" s="20">
        <f>B7</f>
        <v/>
      </c>
      <c r="C8" t="n">
        <v>71.15000000000001</v>
      </c>
    </row>
    <row r="9">
      <c r="A9" s="9" t="n">
        <v>46072</v>
      </c>
      <c r="B9" s="20">
        <f>B8</f>
        <v/>
      </c>
      <c r="C9" t="n">
        <v>71.09</v>
      </c>
    </row>
    <row r="10">
      <c r="A10" s="9" t="n">
        <v>46073</v>
      </c>
      <c r="B10" s="20">
        <f>B9</f>
        <v/>
      </c>
      <c r="C10" t="n">
        <v>71.09</v>
      </c>
    </row>
    <row r="11">
      <c r="A11" s="9" t="n">
        <v>46076</v>
      </c>
      <c r="B11" s="20">
        <f>B10</f>
        <v/>
      </c>
      <c r="C11" t="n">
        <v>70.76000000000001</v>
      </c>
    </row>
    <row r="12">
      <c r="A12" s="9" t="n">
        <v>46077</v>
      </c>
      <c r="B12" s="20">
        <f>B11</f>
        <v/>
      </c>
      <c r="C12" t="n">
        <v>70.58</v>
      </c>
    </row>
    <row r="13">
      <c r="A13" s="9" t="n">
        <v>46078</v>
      </c>
      <c r="B13" s="20">
        <f>B12</f>
        <v/>
      </c>
      <c r="C13" t="n">
        <v>70.43000000000001</v>
      </c>
    </row>
    <row r="14">
      <c r="A14" s="9" t="n">
        <v>46079</v>
      </c>
      <c r="B14" s="20">
        <f>B13</f>
        <v/>
      </c>
      <c r="C14" t="n">
        <v>70.68000000000001</v>
      </c>
    </row>
    <row r="15">
      <c r="A15" s="9" t="n">
        <v>46080</v>
      </c>
      <c r="B15" s="20">
        <f>B14</f>
        <v/>
      </c>
      <c r="C15" t="n">
        <v>71.09</v>
      </c>
    </row>
    <row r="16">
      <c r="A16" s="9" t="n">
        <v>46083</v>
      </c>
      <c r="B16" s="20">
        <f>B15</f>
        <v/>
      </c>
      <c r="C16" t="n">
        <v>71.53</v>
      </c>
    </row>
    <row r="17">
      <c r="A17" s="9" t="n">
        <v>46084</v>
      </c>
      <c r="B17" s="20">
        <f>B16</f>
        <v/>
      </c>
      <c r="C17" t="n">
        <v>71.68000000000001</v>
      </c>
    </row>
    <row r="18">
      <c r="A18" s="9" t="n">
        <v>46085</v>
      </c>
      <c r="B18" s="20">
        <f>B17</f>
        <v/>
      </c>
      <c r="C18" t="n">
        <v>71.69</v>
      </c>
    </row>
    <row r="19">
      <c r="A19" s="9" t="n">
        <v>46086</v>
      </c>
      <c r="B19" s="20">
        <f>B18</f>
        <v/>
      </c>
      <c r="C19" t="n">
        <v>71.81</v>
      </c>
    </row>
    <row r="20">
      <c r="A20" s="4" t="n">
        <v>46087</v>
      </c>
      <c r="B20" s="20">
        <f>B19</f>
        <v/>
      </c>
      <c r="C20" t="n">
        <v>71.81999999999999</v>
      </c>
    </row>
    <row r="21">
      <c r="A21" s="4" t="n">
        <v>46090</v>
      </c>
      <c r="B21" s="20">
        <f>B20</f>
        <v/>
      </c>
      <c r="C21" t="n">
        <v>72.04000000000001</v>
      </c>
    </row>
    <row r="22">
      <c r="A22" s="4" t="n">
        <v>46091</v>
      </c>
      <c r="B22" s="20">
        <f>B21</f>
        <v/>
      </c>
      <c r="C22" t="n">
        <v>72.09</v>
      </c>
    </row>
    <row r="23">
      <c r="A23" s="4" t="n">
        <v>46092</v>
      </c>
      <c r="B23" s="20">
        <f>B22</f>
        <v/>
      </c>
      <c r="C23" t="n">
        <v>72.54000000000001</v>
      </c>
    </row>
    <row r="24">
      <c r="A24" s="4" t="n">
        <v>46093</v>
      </c>
      <c r="B24" s="20">
        <f>B23</f>
        <v/>
      </c>
      <c r="C24" t="n">
        <v>73.08</v>
      </c>
    </row>
    <row r="25">
      <c r="A25" s="4" t="n">
        <v>46094</v>
      </c>
      <c r="B25" s="20">
        <f>B24</f>
        <v/>
      </c>
      <c r="C25" t="n">
        <v>73.37</v>
      </c>
    </row>
    <row r="26">
      <c r="A26" s="4" t="n">
        <v>46097</v>
      </c>
      <c r="B26" s="20">
        <f>B25</f>
        <v/>
      </c>
      <c r="C26" t="n">
        <v>72.31</v>
      </c>
    </row>
    <row r="27">
      <c r="A27" s="4" t="n">
        <v>46098</v>
      </c>
      <c r="B27" s="20">
        <f>B26</f>
        <v/>
      </c>
      <c r="C27" t="n">
        <v>71.98999999999999</v>
      </c>
    </row>
    <row r="28">
      <c r="A28" s="4" t="n">
        <v>46099</v>
      </c>
      <c r="B28" s="20">
        <f>B27</f>
        <v/>
      </c>
      <c r="C28" t="n">
        <v>72.76000000000001</v>
      </c>
    </row>
    <row r="29">
      <c r="A29" s="4" t="n">
        <v>46100</v>
      </c>
      <c r="B29" s="20">
        <f>B28</f>
        <v/>
      </c>
      <c r="C29" t="n">
        <v>72.65000000000001</v>
      </c>
    </row>
    <row r="30">
      <c r="A30" s="4" t="n">
        <v>46101</v>
      </c>
      <c r="B30" s="20">
        <f>B29</f>
        <v/>
      </c>
      <c r="C30" t="n">
        <v>74.75</v>
      </c>
    </row>
    <row r="31">
      <c r="A31" s="4" t="n">
        <v>46104</v>
      </c>
      <c r="B31" s="20">
        <f>B30</f>
        <v/>
      </c>
      <c r="C31" t="n">
        <v>74.33</v>
      </c>
    </row>
    <row r="32">
      <c r="A32" s="9" t="n">
        <v>46105</v>
      </c>
      <c r="B32" s="20">
        <f>B31</f>
        <v/>
      </c>
      <c r="C32" t="n">
        <v>74.2</v>
      </c>
    </row>
    <row r="33">
      <c r="A33" s="4" t="n">
        <v>46107</v>
      </c>
      <c r="B33" s="20">
        <f>B32</f>
        <v/>
      </c>
      <c r="C33" t="n">
        <v>74.16</v>
      </c>
    </row>
    <row r="34">
      <c r="A34" s="4" t="n">
        <v>46108</v>
      </c>
      <c r="B34" s="20">
        <f>B33</f>
        <v/>
      </c>
      <c r="C34" t="n">
        <v>74.2</v>
      </c>
    </row>
    <row r="35">
      <c r="A35" s="9" t="n">
        <v>46111</v>
      </c>
      <c r="B35" s="20">
        <f>B34</f>
        <v/>
      </c>
      <c r="C35" t="n">
        <v>75.27</v>
      </c>
    </row>
    <row r="36">
      <c r="A36" s="9" t="n">
        <v>46112</v>
      </c>
      <c r="B36" s="20">
        <f>B35</f>
        <v/>
      </c>
      <c r="C36" t="n">
        <v>75.11</v>
      </c>
    </row>
    <row r="37">
      <c r="A37" s="9" t="n">
        <v>46113</v>
      </c>
      <c r="B37" s="20">
        <f>B46</f>
        <v/>
      </c>
      <c r="C37" t="n">
        <v>74.98</v>
      </c>
    </row>
    <row r="38">
      <c r="A38" s="9" t="n">
        <v>46114</v>
      </c>
      <c r="B38" s="20">
        <f>B47</f>
        <v/>
      </c>
      <c r="C38" t="n">
        <v>74.73999999999999</v>
      </c>
    </row>
    <row r="39">
      <c r="A39" s="9" t="n">
        <v>46118</v>
      </c>
      <c r="B39" s="20">
        <f>B48</f>
        <v/>
      </c>
      <c r="C39" t="n">
        <v>74.51000000000001</v>
      </c>
    </row>
    <row r="40">
      <c r="A40" s="9" t="n">
        <v>46119</v>
      </c>
      <c r="B40" s="20">
        <f>B49</f>
        <v/>
      </c>
      <c r="C40" t="n">
        <v>74.17</v>
      </c>
    </row>
    <row r="41">
      <c r="A41" s="9" t="n">
        <v>46120</v>
      </c>
      <c r="B41" s="20">
        <f>B50</f>
        <v/>
      </c>
      <c r="C41" t="n">
        <v>73.41</v>
      </c>
    </row>
    <row r="42">
      <c r="A42" s="9" t="n">
        <v>46121</v>
      </c>
      <c r="B42" s="20">
        <f>B51</f>
        <v/>
      </c>
      <c r="C42" t="n">
        <v>73.06999999999999</v>
      </c>
    </row>
    <row r="43">
      <c r="A43" s="9" t="n">
        <v>46122</v>
      </c>
      <c r="B43" s="20">
        <f>B52</f>
        <v/>
      </c>
      <c r="C43" t="n">
        <v>72.43000000000001</v>
      </c>
    </row>
    <row r="44">
      <c r="A44" s="9" t="n">
        <v>46125</v>
      </c>
      <c r="B44" s="20">
        <f>B53</f>
        <v/>
      </c>
      <c r="C44" t="n">
        <v>72.17</v>
      </c>
    </row>
    <row r="45">
      <c r="A45" s="9" t="n">
        <v>46126</v>
      </c>
      <c r="B45" s="20">
        <f>B54</f>
        <v/>
      </c>
      <c r="C45" t="n">
        <v>71.98</v>
      </c>
    </row>
    <row r="46">
      <c r="A46" s="9" t="n">
        <v>46127</v>
      </c>
      <c r="B46" s="20">
        <f>B55</f>
        <v/>
      </c>
      <c r="C46" t="n">
        <v>71.52</v>
      </c>
    </row>
    <row r="47">
      <c r="A47" s="9" t="n">
        <v>46128</v>
      </c>
      <c r="B47" s="20">
        <f>B56</f>
        <v/>
      </c>
      <c r="C47" t="n">
        <v>71.75</v>
      </c>
    </row>
    <row r="48">
      <c r="A48" s="9" t="n">
        <v>46129</v>
      </c>
      <c r="B48" s="20">
        <f>B47</f>
        <v/>
      </c>
      <c r="C48" t="n">
        <v>71.55</v>
      </c>
    </row>
    <row r="49">
      <c r="A49" s="9" t="n">
        <v>46132</v>
      </c>
      <c r="B49" s="20">
        <f>B48</f>
        <v/>
      </c>
      <c r="C49" t="n">
        <v>72.31</v>
      </c>
    </row>
    <row r="50">
      <c r="A50" s="9" t="n">
        <v>46134</v>
      </c>
      <c r="B50" s="20">
        <f>B49</f>
        <v/>
      </c>
      <c r="C50" t="n">
        <v>73.18000000000001</v>
      </c>
    </row>
    <row r="51">
      <c r="A51" s="9" t="n">
        <v>46135</v>
      </c>
      <c r="B51" s="20">
        <f>B50</f>
        <v/>
      </c>
      <c r="C51" t="n">
        <v>72.75</v>
      </c>
    </row>
    <row r="52">
      <c r="A52" s="9" t="n">
        <v>46136</v>
      </c>
      <c r="B52" s="20">
        <f>B51</f>
        <v/>
      </c>
      <c r="C52" t="n">
        <v>72.95999999999999</v>
      </c>
    </row>
    <row r="53">
      <c r="A53" s="9" t="n">
        <v>46139</v>
      </c>
      <c r="B53" s="20">
        <f>B52</f>
        <v/>
      </c>
      <c r="C53" t="n">
        <v>73.45999999999999</v>
      </c>
    </row>
    <row r="54">
      <c r="A54" s="9" t="n">
        <v>46140</v>
      </c>
      <c r="B54" s="20">
        <f>B53</f>
        <v/>
      </c>
      <c r="C54" t="n">
        <v>73.22</v>
      </c>
    </row>
    <row r="55">
      <c r="A55" s="9" t="n">
        <v>46141</v>
      </c>
      <c r="B55" s="20">
        <f>B54</f>
        <v/>
      </c>
      <c r="C55" t="n">
        <v>73.62</v>
      </c>
    </row>
    <row r="56">
      <c r="A56" s="9" t="n">
        <v>46142</v>
      </c>
      <c r="B56" s="20">
        <f>B55</f>
        <v/>
      </c>
      <c r="C56" t="n">
        <v>73.31</v>
      </c>
    </row>
    <row r="57">
      <c r="A57" s="9" t="n">
        <v>46146</v>
      </c>
      <c r="B57" s="20">
        <f>B56</f>
        <v/>
      </c>
      <c r="C57" t="n">
        <v>73.15000000000001</v>
      </c>
    </row>
    <row r="58">
      <c r="A58" s="9" t="n">
        <v>46147</v>
      </c>
      <c r="B58" s="20">
        <f>B57</f>
        <v/>
      </c>
      <c r="C58" t="n">
        <v>72.45</v>
      </c>
    </row>
    <row r="59">
      <c r="A59" s="9" t="n">
        <v>46148</v>
      </c>
      <c r="B59" s="20">
        <f>B58</f>
        <v/>
      </c>
      <c r="C59" t="n">
        <v>72.03</v>
      </c>
    </row>
    <row r="60">
      <c r="A60" s="9" t="n">
        <v>46149</v>
      </c>
      <c r="B60" s="20">
        <f>B59</f>
        <v/>
      </c>
      <c r="C60" t="n">
        <v>72.40000000000001</v>
      </c>
    </row>
    <row r="61">
      <c r="A61" s="9" t="n">
        <v>46150</v>
      </c>
      <c r="B61" s="20">
        <f>B60</f>
        <v/>
      </c>
      <c r="C61" t="n">
        <v>72.75</v>
      </c>
    </row>
    <row r="62">
      <c r="A62" s="9" t="n">
        <v>46153</v>
      </c>
      <c r="B62" s="20">
        <f>B61</f>
        <v/>
      </c>
      <c r="C62" t="n">
        <v>73</v>
      </c>
    </row>
    <row r="63">
      <c r="A63" s="9" t="n">
        <v>46154</v>
      </c>
      <c r="B63" s="20">
        <f>B62</f>
        <v/>
      </c>
      <c r="C63" t="n">
        <v>73.25</v>
      </c>
    </row>
    <row r="64">
      <c r="A64" s="9" t="n">
        <v>46155</v>
      </c>
      <c r="B64" s="20">
        <f>B63</f>
        <v/>
      </c>
      <c r="C64" t="n">
        <v>72.97</v>
      </c>
    </row>
    <row r="65">
      <c r="A65" s="9" t="n">
        <v>46156</v>
      </c>
      <c r="B65" s="20">
        <f>B64</f>
        <v/>
      </c>
      <c r="C65" t="n">
        <v>72.95</v>
      </c>
    </row>
    <row r="66">
      <c r="A66" s="9" t="n">
        <v>46157</v>
      </c>
      <c r="B66" s="20">
        <f>B65</f>
        <v/>
      </c>
      <c r="C66" t="n">
        <v>73</v>
      </c>
    </row>
    <row r="67">
      <c r="A67" s="9" t="n">
        <v>46160</v>
      </c>
      <c r="B67" s="20">
        <f>B66</f>
        <v/>
      </c>
      <c r="C67" t="n">
        <v>72.95</v>
      </c>
    </row>
    <row r="68">
      <c r="A68" s="9" t="n">
        <v>46161</v>
      </c>
      <c r="B68" s="20">
        <f>B67</f>
        <v/>
      </c>
      <c r="C68" t="n">
        <v>73.12</v>
      </c>
    </row>
    <row r="69">
      <c r="A69" s="9" t="n">
        <v>46162</v>
      </c>
      <c r="B69" s="20">
        <f>B68</f>
        <v/>
      </c>
      <c r="C69" t="n">
        <v>73.28</v>
      </c>
    </row>
    <row r="70">
      <c r="A70" s="9" t="n">
        <v>46163</v>
      </c>
      <c r="B70" s="20">
        <f>B69</f>
        <v/>
      </c>
      <c r="C70" t="n">
        <v>73.40000000000001</v>
      </c>
    </row>
    <row r="71">
      <c r="A71" s="9" t="n">
        <v>46164</v>
      </c>
      <c r="B71" s="20">
        <f>B70</f>
        <v/>
      </c>
      <c r="C71" t="n">
        <v>73.53</v>
      </c>
    </row>
    <row r="72">
      <c r="A72" s="9" t="n">
        <v>46167</v>
      </c>
      <c r="B72" s="20">
        <f>B71</f>
        <v/>
      </c>
      <c r="C72" t="n">
        <v>73.23999999999999</v>
      </c>
    </row>
    <row r="73">
      <c r="A73" s="9" t="n">
        <v>46168</v>
      </c>
      <c r="B73" s="20">
        <f>B72</f>
        <v/>
      </c>
      <c r="C73" t="n">
        <v>73.01000000000001</v>
      </c>
    </row>
    <row r="74">
      <c r="A74" s="9" t="n">
        <v>46169</v>
      </c>
      <c r="B74" s="20">
        <f>B73</f>
        <v/>
      </c>
      <c r="C74" t="n">
        <v>72.34999999999999</v>
      </c>
    </row>
    <row r="75">
      <c r="A75" s="9" t="n">
        <v>46170</v>
      </c>
      <c r="B75" s="20">
        <f>B74</f>
        <v/>
      </c>
      <c r="C75" t="n">
        <v>72.66</v>
      </c>
    </row>
    <row r="76">
      <c r="A76" s="9" t="n">
        <v>46171</v>
      </c>
      <c r="B76" s="20">
        <f>B75</f>
        <v/>
      </c>
      <c r="C76" t="n">
        <v>72.66</v>
      </c>
    </row>
    <row r="77">
      <c r="A77" s="9" t="n">
        <v>46174</v>
      </c>
      <c r="B77" s="20">
        <f>B76</f>
        <v/>
      </c>
      <c r="C77" t="n">
        <v>73.58</v>
      </c>
    </row>
    <row r="78">
      <c r="A78" s="9" t="n">
        <v>46175</v>
      </c>
      <c r="B78" s="20">
        <f>B77</f>
        <v/>
      </c>
      <c r="C78" t="n">
        <v>73.75</v>
      </c>
    </row>
    <row r="79">
      <c r="A79" s="9" t="n">
        <v>46176</v>
      </c>
      <c r="B79" s="20">
        <f>B78</f>
        <v/>
      </c>
      <c r="C79" t="n">
        <v>74.31999999999999</v>
      </c>
    </row>
    <row r="80">
      <c r="A80" s="9" t="n">
        <v>46178</v>
      </c>
      <c r="B80" s="20">
        <f>B79</f>
        <v/>
      </c>
      <c r="C80" t="n">
        <v>74.79000000000001</v>
      </c>
    </row>
    <row r="81">
      <c r="A81" s="9" t="n">
        <v>46181</v>
      </c>
      <c r="B81" s="20">
        <f>B80</f>
        <v/>
      </c>
      <c r="C81" t="n">
        <v>74.48999999999999</v>
      </c>
    </row>
    <row r="82">
      <c r="A82" s="9" t="n">
        <v>46182</v>
      </c>
      <c r="B82" s="20">
        <f>B81</f>
        <v/>
      </c>
      <c r="C82" t="n">
        <v>74.38</v>
      </c>
    </row>
    <row r="83">
      <c r="A83" s="9" t="n">
        <v>46183</v>
      </c>
      <c r="B83" s="20">
        <f>B82</f>
        <v/>
      </c>
      <c r="C83" t="n">
        <v>74.11</v>
      </c>
    </row>
    <row r="84">
      <c r="A84" s="9" t="n">
        <v>46184</v>
      </c>
      <c r="B84" s="20">
        <f>B83</f>
        <v/>
      </c>
      <c r="C84" t="n">
        <v>73.91</v>
      </c>
    </row>
    <row r="85">
      <c r="A85" s="9" t="n">
        <v>46185</v>
      </c>
      <c r="B85" s="20">
        <f>B84</f>
        <v/>
      </c>
      <c r="C85" t="n">
        <v>74.18000000000001</v>
      </c>
    </row>
    <row r="86">
      <c r="A86" s="9" t="n">
        <v>46188</v>
      </c>
      <c r="B86" s="20">
        <f>B85</f>
        <v/>
      </c>
      <c r="C86" t="n">
        <v>74.33</v>
      </c>
    </row>
    <row r="87">
      <c r="A87" s="9" t="n">
        <v>46189</v>
      </c>
      <c r="B87" s="20">
        <f>B86</f>
        <v/>
      </c>
      <c r="C87" t="n">
        <v>74.16</v>
      </c>
    </row>
    <row r="88">
      <c r="A88" s="9" t="n">
        <v>46190</v>
      </c>
      <c r="B88" s="20">
        <f>B87</f>
        <v/>
      </c>
      <c r="C88" t="n">
        <v>74.23999999999999</v>
      </c>
    </row>
    <row r="89">
      <c r="A89" s="9" t="n">
        <v>46191</v>
      </c>
      <c r="B89" s="20">
        <f>B88</f>
        <v/>
      </c>
      <c r="C89" t="n">
        <v>74.18000000000001</v>
      </c>
    </row>
    <row r="90">
      <c r="A90" s="9" t="n">
        <v>46192</v>
      </c>
      <c r="B90" s="20">
        <f>B89</f>
        <v/>
      </c>
      <c r="C90" t="n">
        <v>73.56</v>
      </c>
    </row>
    <row r="91">
      <c r="A91" s="9" t="n">
        <v>46195</v>
      </c>
      <c r="B91" s="20">
        <f>B90</f>
        <v/>
      </c>
      <c r="C91" t="n">
        <v>73.15000000000001</v>
      </c>
    </row>
    <row r="92">
      <c r="A92" s="9" t="n">
        <v>46196</v>
      </c>
      <c r="B92" s="20">
        <f>B91</f>
        <v/>
      </c>
      <c r="C92" t="n">
        <v>73.5</v>
      </c>
    </row>
    <row r="93">
      <c r="A93" s="9" t="n">
        <v>46197</v>
      </c>
      <c r="B93" s="20">
        <f>B92</f>
        <v/>
      </c>
      <c r="C93" t="n">
        <v>73.41</v>
      </c>
    </row>
    <row r="94">
      <c r="A94" s="9" t="n">
        <v>46198</v>
      </c>
      <c r="B94" s="20">
        <f>B93</f>
        <v/>
      </c>
      <c r="C94" t="n">
        <v>73.42</v>
      </c>
    </row>
    <row r="95">
      <c r="A95" s="9" t="n">
        <v>46199</v>
      </c>
      <c r="B95" s="20">
        <f>B94</f>
        <v/>
      </c>
      <c r="C95" t="n">
        <v>73.38</v>
      </c>
    </row>
    <row r="96">
      <c r="A96" s="9" t="n">
        <v>46202</v>
      </c>
      <c r="B96" s="20">
        <f>B95</f>
        <v/>
      </c>
      <c r="C96" t="n">
        <v>73.34</v>
      </c>
    </row>
    <row r="97">
      <c r="A97" s="9" t="n">
        <v>46203</v>
      </c>
      <c r="B97" s="20">
        <f>B96</f>
        <v/>
      </c>
      <c r="C97" t="n">
        <v>73.45999999999999</v>
      </c>
    </row>
    <row r="98">
      <c r="A98" s="9" t="n">
        <v>46204</v>
      </c>
      <c r="B98" s="20">
        <f>B97</f>
        <v/>
      </c>
      <c r="C98" t="n">
        <v>73.39</v>
      </c>
    </row>
    <row r="99">
      <c r="A99" s="9" t="n">
        <v>46205</v>
      </c>
      <c r="B99" s="20">
        <f>B98</f>
        <v/>
      </c>
      <c r="C99" t="n">
        <v>73.23</v>
      </c>
    </row>
    <row r="100">
      <c r="A100" s="9" t="n">
        <v>46206</v>
      </c>
      <c r="B100" s="20">
        <f>B99</f>
        <v/>
      </c>
      <c r="C100" t="n">
        <v>73.34999999999999</v>
      </c>
    </row>
    <row r="101">
      <c r="A101" s="9" t="n">
        <v>46209</v>
      </c>
      <c r="B101" s="20">
        <f>B100</f>
        <v/>
      </c>
      <c r="C101" t="n">
        <v>73.84999999999999</v>
      </c>
    </row>
    <row r="102">
      <c r="A102" s="9" t="n">
        <v>46210</v>
      </c>
      <c r="B102" s="20">
        <f>B101</f>
        <v/>
      </c>
      <c r="C102" t="n">
        <v>73.98999999999999</v>
      </c>
    </row>
    <row r="103">
      <c r="A103" s="9" t="n">
        <v>46211</v>
      </c>
      <c r="B103" s="20">
        <f>B102</f>
        <v/>
      </c>
      <c r="C103" t="n">
        <v>73.92</v>
      </c>
    </row>
    <row r="104">
      <c r="A104" s="9" t="n">
        <v>46212</v>
      </c>
      <c r="B104" s="20">
        <f>B103</f>
        <v/>
      </c>
      <c r="C104" t="n">
        <v>73.90000000000001</v>
      </c>
    </row>
    <row r="105">
      <c r="A105" s="9" t="n">
        <v>46213</v>
      </c>
      <c r="B105" s="20">
        <f>B104</f>
        <v/>
      </c>
      <c r="C105" t="n">
        <v>73.86</v>
      </c>
    </row>
    <row r="106">
      <c r="A106" s="9" t="n">
        <v>46216</v>
      </c>
      <c r="B106" s="20">
        <f>B105</f>
        <v/>
      </c>
      <c r="C106" t="n">
        <v>74.05</v>
      </c>
    </row>
    <row r="107">
      <c r="A107" s="9" t="n">
        <v>46217</v>
      </c>
      <c r="B107" s="20">
        <f>B106</f>
        <v/>
      </c>
      <c r="C107" t="n">
        <v>74.2</v>
      </c>
    </row>
    <row r="108">
      <c r="A108" s="9">
        <f>IF('S.H BOI GORDO'!A7190=""," ",'S.H BOI GORDO'!A7190)</f>
        <v/>
      </c>
      <c r="B108" s="20">
        <f>B117</f>
        <v/>
      </c>
    </row>
    <row r="109">
      <c r="A109" s="9">
        <f>IF('S.H BOI GORDO'!A7191=""," ",'S.H BOI GORDO'!A7191)</f>
        <v/>
      </c>
      <c r="B109" s="20">
        <f>B118</f>
        <v/>
      </c>
    </row>
    <row r="110">
      <c r="A110" s="9">
        <f>IF('S.H BOI GORDO'!A7192=""," ",'S.H BOI GORDO'!A7192)</f>
        <v/>
      </c>
      <c r="B110" s="20">
        <f>B119</f>
        <v/>
      </c>
    </row>
    <row r="111">
      <c r="A111" s="9">
        <f>IF('S.H BOI GORDO'!A7193=""," ",'S.H BOI GORDO'!A7193)</f>
        <v/>
      </c>
      <c r="B111" s="20">
        <f>B120</f>
        <v/>
      </c>
    </row>
    <row r="112">
      <c r="A112" s="9">
        <f>IF('S.H BOI GORDO'!A7194=""," ",'S.H BOI GORDO'!A7194)</f>
        <v/>
      </c>
      <c r="B112" s="20">
        <f>B121</f>
        <v/>
      </c>
    </row>
    <row r="113">
      <c r="A113" s="9">
        <f>IF('S.H BOI GORDO'!A7195=""," ",'S.H BOI GORDO'!A7195)</f>
        <v/>
      </c>
      <c r="B113" s="20">
        <f>B122</f>
        <v/>
      </c>
    </row>
    <row r="114">
      <c r="A114" s="9">
        <f>IF('S.H BOI GORDO'!A7196=""," ",'S.H BOI GORDO'!A7196)</f>
        <v/>
      </c>
      <c r="B114" s="20">
        <f>B123</f>
        <v/>
      </c>
    </row>
    <row r="115">
      <c r="A115" s="9">
        <f>IF('S.H BOI GORDO'!A7197=""," ",'S.H BOI GORDO'!A7197)</f>
        <v/>
      </c>
      <c r="B115" s="20">
        <f>B124</f>
        <v/>
      </c>
    </row>
    <row r="116">
      <c r="A116" s="9">
        <f>IF('S.H BOI GORDO'!A7198=""," ",'S.H BOI GORDO'!A7198)</f>
        <v/>
      </c>
      <c r="B116" s="20">
        <f>B125</f>
        <v/>
      </c>
    </row>
    <row r="117">
      <c r="A117" s="9">
        <f>IF('S.H BOI GORDO'!A7199=""," ",'S.H BOI GORDO'!A7199)</f>
        <v/>
      </c>
      <c r="B117" s="20">
        <f>B126</f>
        <v/>
      </c>
    </row>
    <row r="118">
      <c r="A118" s="9">
        <f>IF('S.H BOI GORDO'!A7200=""," ",'S.H BOI GORDO'!A7200)</f>
        <v/>
      </c>
      <c r="B118" s="20">
        <f>B127</f>
        <v/>
      </c>
    </row>
    <row r="119">
      <c r="A119" s="9">
        <f>IF('S.H BOI GORDO'!A7201=""," ",'S.H BOI GORDO'!A7201)</f>
        <v/>
      </c>
      <c r="B119" s="20">
        <f>B128</f>
        <v/>
      </c>
    </row>
    <row r="120">
      <c r="A120" s="9">
        <f>IF('S.H BOI GORDO'!A7202=""," ",'S.H BOI GORDO'!A7202)</f>
        <v/>
      </c>
      <c r="B120" s="20">
        <f>B129</f>
        <v/>
      </c>
    </row>
    <row r="121">
      <c r="A121" s="9">
        <f>IF('S.H BOI GORDO'!A7203=""," ",'S.H BOI GORDO'!A7203)</f>
        <v/>
      </c>
      <c r="B121" s="20">
        <f>B130</f>
        <v/>
      </c>
    </row>
    <row r="122">
      <c r="A122" s="9">
        <f>IF('S.H BOI GORDO'!A7204=""," ",'S.H BOI GORDO'!A7204)</f>
        <v/>
      </c>
      <c r="B122" s="20">
        <f>B131</f>
        <v/>
      </c>
    </row>
    <row r="123">
      <c r="A123" s="9">
        <f>IF('S.H BOI GORDO'!A7205=""," ",'S.H BOI GORDO'!A7205)</f>
        <v/>
      </c>
      <c r="B123" s="20">
        <f>B132</f>
        <v/>
      </c>
    </row>
    <row r="124">
      <c r="A124" s="9">
        <f>IF('S.H BOI GORDO'!A7206=""," ",'S.H BOI GORDO'!A7206)</f>
        <v/>
      </c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8.xml><?xml version="1.0" encoding="utf-8"?>
<worksheet xmlns="http://schemas.openxmlformats.org/spreadsheetml/2006/main">
  <sheetPr codeName="Planilha48">
    <outlinePr summaryBelow="1" summaryRight="1"/>
    <pageSetUpPr/>
  </sheetPr>
  <dimension ref="A1:C190"/>
  <sheetViews>
    <sheetView topLeftCell="A10" zoomScale="90" zoomScaleNormal="90" workbookViewId="0">
      <selection activeCell="C17" sqref="C17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46063</v>
      </c>
      <c r="B2" s="1" t="inlineStr">
        <is>
          <t>CCMK27</t>
        </is>
      </c>
      <c r="C2" t="n">
        <v>70.38</v>
      </c>
    </row>
    <row r="3">
      <c r="A3" s="9" t="n">
        <v>46064</v>
      </c>
      <c r="B3" s="20">
        <f>B2</f>
        <v/>
      </c>
      <c r="C3" t="n">
        <v>70.40000000000001</v>
      </c>
    </row>
    <row r="4">
      <c r="A4" s="9" t="n">
        <v>46065</v>
      </c>
      <c r="B4" s="20">
        <f>B3</f>
        <v/>
      </c>
      <c r="C4" t="n">
        <v>70.31</v>
      </c>
    </row>
    <row r="5">
      <c r="A5" s="9" t="n">
        <v>46066</v>
      </c>
      <c r="B5" s="20">
        <f>B4</f>
        <v/>
      </c>
      <c r="C5" t="n">
        <v>70.48999999999999</v>
      </c>
    </row>
    <row r="6">
      <c r="A6" s="9" t="n">
        <v>46071</v>
      </c>
      <c r="B6" s="20">
        <f>B5</f>
        <v/>
      </c>
      <c r="C6" t="n">
        <v>70.3</v>
      </c>
    </row>
    <row r="7">
      <c r="A7" s="9" t="n">
        <v>46072</v>
      </c>
      <c r="B7" s="20">
        <f>B6</f>
        <v/>
      </c>
      <c r="C7" t="n">
        <v>70.23999999999999</v>
      </c>
    </row>
    <row r="8">
      <c r="A8" s="9" t="n">
        <v>46073</v>
      </c>
      <c r="B8" s="20">
        <f>B7</f>
        <v/>
      </c>
      <c r="C8" t="n">
        <v>70.23999999999999</v>
      </c>
    </row>
    <row r="9">
      <c r="A9" s="9" t="n">
        <v>46076</v>
      </c>
      <c r="B9" s="20">
        <f>B8</f>
        <v/>
      </c>
      <c r="C9" t="n">
        <v>69.91</v>
      </c>
    </row>
    <row r="10">
      <c r="A10" s="9" t="n">
        <v>46077</v>
      </c>
      <c r="B10" s="20">
        <f>B9</f>
        <v/>
      </c>
      <c r="C10" t="n">
        <v>69.73</v>
      </c>
    </row>
    <row r="11">
      <c r="A11" s="9" t="n">
        <v>46078</v>
      </c>
      <c r="B11" s="20">
        <f>B10</f>
        <v/>
      </c>
      <c r="C11" t="n">
        <v>69.58</v>
      </c>
    </row>
    <row r="12">
      <c r="A12" s="9" t="n">
        <v>46079</v>
      </c>
      <c r="B12" s="20">
        <f>B11</f>
        <v/>
      </c>
      <c r="C12" t="n">
        <v>69.83</v>
      </c>
    </row>
    <row r="13">
      <c r="A13" s="9" t="n">
        <v>46080</v>
      </c>
      <c r="B13" s="20">
        <f>B12</f>
        <v/>
      </c>
      <c r="C13" t="n">
        <v>70.23999999999999</v>
      </c>
    </row>
    <row r="14">
      <c r="A14" s="9" t="n">
        <v>46083</v>
      </c>
      <c r="B14" s="20">
        <f>B13</f>
        <v/>
      </c>
      <c r="C14" t="n">
        <v>70.68000000000001</v>
      </c>
    </row>
    <row r="15">
      <c r="A15" s="9" t="n">
        <v>46084</v>
      </c>
      <c r="B15" s="20">
        <f>B14</f>
        <v/>
      </c>
      <c r="C15" t="n">
        <v>70.83</v>
      </c>
    </row>
    <row r="16">
      <c r="A16" s="9" t="n">
        <v>46085</v>
      </c>
      <c r="B16" s="20">
        <f>B15</f>
        <v/>
      </c>
      <c r="C16" t="n">
        <v>70.84</v>
      </c>
    </row>
    <row r="17">
      <c r="A17" s="9" t="n">
        <v>46086</v>
      </c>
      <c r="B17" s="20">
        <f>B16</f>
        <v/>
      </c>
      <c r="C17" t="n">
        <v>70.95999999999999</v>
      </c>
    </row>
    <row r="18">
      <c r="A18" s="4" t="n">
        <v>46087</v>
      </c>
      <c r="B18" s="20">
        <f>B17</f>
        <v/>
      </c>
      <c r="C18" t="n">
        <v>70.97</v>
      </c>
    </row>
    <row r="19">
      <c r="A19" s="4" t="n">
        <v>46090</v>
      </c>
      <c r="B19" s="20">
        <f>B18</f>
        <v/>
      </c>
      <c r="C19" t="n">
        <v>71.19</v>
      </c>
    </row>
    <row r="20">
      <c r="A20" s="4" t="n">
        <v>46091</v>
      </c>
      <c r="B20" s="20">
        <f>B19</f>
        <v/>
      </c>
      <c r="C20" t="n">
        <v>71.23999999999999</v>
      </c>
    </row>
    <row r="21">
      <c r="A21" s="4" t="n">
        <v>46092</v>
      </c>
      <c r="B21" s="20">
        <f>B20</f>
        <v/>
      </c>
      <c r="C21" t="n">
        <v>71.69</v>
      </c>
    </row>
    <row r="22">
      <c r="A22" s="4" t="n">
        <v>46093</v>
      </c>
      <c r="B22" s="20">
        <f>B21</f>
        <v/>
      </c>
      <c r="C22" t="n">
        <v>72.23</v>
      </c>
    </row>
    <row r="23">
      <c r="A23" s="4" t="n">
        <v>46094</v>
      </c>
      <c r="B23" s="20">
        <f>B22</f>
        <v/>
      </c>
      <c r="C23" t="n">
        <v>72.52</v>
      </c>
    </row>
    <row r="24">
      <c r="A24" s="4" t="n">
        <v>46097</v>
      </c>
      <c r="B24" s="20">
        <f>B23</f>
        <v/>
      </c>
      <c r="C24" t="n">
        <v>71.45999999999999</v>
      </c>
    </row>
    <row r="25">
      <c r="A25" s="4" t="n">
        <v>46098</v>
      </c>
      <c r="B25" s="20">
        <f>B24</f>
        <v/>
      </c>
      <c r="C25" t="n">
        <v>71.14</v>
      </c>
    </row>
    <row r="26">
      <c r="A26" s="4" t="n">
        <v>46099</v>
      </c>
      <c r="B26" s="20">
        <f>B25</f>
        <v/>
      </c>
      <c r="C26" t="n">
        <v>71.91</v>
      </c>
    </row>
    <row r="27">
      <c r="A27" s="4" t="n">
        <v>46100</v>
      </c>
      <c r="B27" s="20">
        <f>B26</f>
        <v/>
      </c>
      <c r="C27" t="n">
        <v>71.8</v>
      </c>
    </row>
    <row r="28">
      <c r="A28" s="4" t="n">
        <v>46101</v>
      </c>
      <c r="B28" s="20">
        <f>B27</f>
        <v/>
      </c>
      <c r="C28" t="n">
        <v>72.58</v>
      </c>
    </row>
    <row r="29">
      <c r="A29" s="4" t="n">
        <v>46104</v>
      </c>
      <c r="B29" s="20">
        <f>B28</f>
        <v/>
      </c>
      <c r="C29" t="n">
        <v>72.40000000000001</v>
      </c>
    </row>
    <row r="30">
      <c r="A30" s="4" t="n">
        <v>46105</v>
      </c>
      <c r="B30" s="20">
        <f>B29</f>
        <v/>
      </c>
      <c r="C30" t="n">
        <v>72.31999999999999</v>
      </c>
    </row>
    <row r="31">
      <c r="A31" s="4" t="n">
        <v>46106</v>
      </c>
      <c r="B31" s="20">
        <f>B30</f>
        <v/>
      </c>
      <c r="C31" t="n">
        <v>72.28</v>
      </c>
    </row>
    <row r="32">
      <c r="A32" s="4" t="n">
        <v>46107</v>
      </c>
      <c r="B32" s="20">
        <f>B31</f>
        <v/>
      </c>
      <c r="C32" t="n">
        <v>72.28</v>
      </c>
    </row>
    <row r="33">
      <c r="A33" s="9" t="n">
        <v>46108</v>
      </c>
      <c r="B33" s="20">
        <f>B32</f>
        <v/>
      </c>
      <c r="C33" t="n">
        <v>72.31999999999999</v>
      </c>
    </row>
    <row r="34">
      <c r="A34" s="4" t="n">
        <v>46111</v>
      </c>
      <c r="B34" s="20">
        <f>B33</f>
        <v/>
      </c>
      <c r="C34" t="n">
        <v>73.39</v>
      </c>
    </row>
    <row r="35">
      <c r="A35" s="4" t="n">
        <v>46112</v>
      </c>
      <c r="B35" s="20">
        <f>B34</f>
        <v/>
      </c>
      <c r="C35" t="n">
        <v>73.23</v>
      </c>
    </row>
    <row r="36">
      <c r="A36" s="9" t="n">
        <v>46113</v>
      </c>
      <c r="B36" s="20">
        <f>B45</f>
        <v/>
      </c>
      <c r="C36" t="n">
        <v>73.09999999999999</v>
      </c>
    </row>
    <row r="37">
      <c r="A37" s="9" t="n">
        <v>46114</v>
      </c>
      <c r="B37" s="20">
        <f>B46</f>
        <v/>
      </c>
      <c r="C37" t="n">
        <v>73.18000000000001</v>
      </c>
    </row>
    <row r="38">
      <c r="A38" s="9" t="n">
        <v>46118</v>
      </c>
      <c r="B38" s="20">
        <f>B47</f>
        <v/>
      </c>
      <c r="C38" t="n">
        <v>72.95</v>
      </c>
    </row>
    <row r="39">
      <c r="A39" s="9" t="n">
        <v>46119</v>
      </c>
      <c r="B39" s="20">
        <f>B48</f>
        <v/>
      </c>
      <c r="C39" t="n">
        <v>72.61</v>
      </c>
    </row>
    <row r="40">
      <c r="A40" s="9" t="n">
        <v>46120</v>
      </c>
      <c r="B40" s="20">
        <f>B49</f>
        <v/>
      </c>
      <c r="C40" t="n">
        <v>71.84999999999999</v>
      </c>
    </row>
    <row r="41">
      <c r="A41" s="9" t="n">
        <v>46121</v>
      </c>
      <c r="B41" s="20">
        <f>B50</f>
        <v/>
      </c>
      <c r="C41" t="n">
        <v>71.51000000000001</v>
      </c>
    </row>
    <row r="42">
      <c r="A42" s="9" t="n">
        <v>46122</v>
      </c>
      <c r="B42" s="20">
        <f>B51</f>
        <v/>
      </c>
      <c r="C42" t="n">
        <v>70.87</v>
      </c>
    </row>
    <row r="43">
      <c r="A43" s="9" t="n">
        <v>46125</v>
      </c>
      <c r="B43" s="20">
        <f>B52</f>
        <v/>
      </c>
      <c r="C43" t="n">
        <v>70.61</v>
      </c>
    </row>
    <row r="44">
      <c r="A44" s="9" t="n">
        <v>46126</v>
      </c>
      <c r="B44" s="20">
        <f>B53</f>
        <v/>
      </c>
      <c r="C44" t="n">
        <v>72.27</v>
      </c>
    </row>
    <row r="45">
      <c r="A45" s="9" t="n">
        <v>46127</v>
      </c>
      <c r="B45" s="20">
        <f>B54</f>
        <v/>
      </c>
      <c r="C45" t="n">
        <v>71.81</v>
      </c>
    </row>
    <row r="46">
      <c r="A46" s="9" t="n">
        <v>46128</v>
      </c>
      <c r="B46" s="20">
        <f>B55</f>
        <v/>
      </c>
      <c r="C46" t="n">
        <v>72.04000000000001</v>
      </c>
    </row>
    <row r="47">
      <c r="A47" s="9" t="n">
        <v>46129</v>
      </c>
      <c r="B47" s="20">
        <f>B46</f>
        <v/>
      </c>
      <c r="C47" t="n">
        <v>71.84</v>
      </c>
    </row>
    <row r="48">
      <c r="A48" s="9" t="n">
        <v>46132</v>
      </c>
      <c r="B48" s="20">
        <f>B47</f>
        <v/>
      </c>
      <c r="C48" t="n">
        <v>71.98</v>
      </c>
    </row>
    <row r="49">
      <c r="A49" s="9" t="n">
        <v>46134</v>
      </c>
      <c r="B49" s="20">
        <f>B48</f>
        <v/>
      </c>
      <c r="C49" t="n">
        <v>72.51000000000001</v>
      </c>
    </row>
    <row r="50">
      <c r="A50" s="9" t="n">
        <v>46135</v>
      </c>
      <c r="B50" s="20">
        <f>B49</f>
        <v/>
      </c>
      <c r="C50" t="n">
        <v>72.08</v>
      </c>
    </row>
    <row r="51">
      <c r="A51" s="9" t="n">
        <v>46136</v>
      </c>
      <c r="B51" s="20">
        <f>B50</f>
        <v/>
      </c>
      <c r="C51" t="n">
        <v>72.31999999999999</v>
      </c>
    </row>
    <row r="52">
      <c r="A52" s="9" t="n">
        <v>46139</v>
      </c>
      <c r="B52" s="20">
        <f>B51</f>
        <v/>
      </c>
      <c r="C52" t="n">
        <v>72.81999999999999</v>
      </c>
    </row>
    <row r="53">
      <c r="A53" s="9" t="n">
        <v>46140</v>
      </c>
      <c r="B53" s="20">
        <f>B52</f>
        <v/>
      </c>
      <c r="C53" t="n">
        <v>72.42</v>
      </c>
    </row>
    <row r="54">
      <c r="A54" s="9" t="n">
        <v>46141</v>
      </c>
      <c r="B54" s="20">
        <f>B53</f>
        <v/>
      </c>
      <c r="C54" t="n">
        <v>72.81999999999999</v>
      </c>
    </row>
    <row r="55">
      <c r="A55" s="9" t="n">
        <v>46142</v>
      </c>
      <c r="B55" s="20">
        <f>B54</f>
        <v/>
      </c>
      <c r="C55" t="n">
        <v>72.51000000000001</v>
      </c>
    </row>
    <row r="56">
      <c r="A56" s="9" t="n">
        <v>46146</v>
      </c>
      <c r="B56" s="20">
        <f>B55</f>
        <v/>
      </c>
      <c r="C56" t="n">
        <v>72.47</v>
      </c>
    </row>
    <row r="57">
      <c r="A57" s="9" t="n">
        <v>46147</v>
      </c>
      <c r="B57" s="20">
        <f>B56</f>
        <v/>
      </c>
      <c r="C57" t="n">
        <v>72.27</v>
      </c>
    </row>
    <row r="58">
      <c r="A58" s="9" t="n">
        <v>46148</v>
      </c>
      <c r="B58" s="20">
        <f>B57</f>
        <v/>
      </c>
      <c r="C58" t="n">
        <v>71.84</v>
      </c>
    </row>
    <row r="59">
      <c r="A59" s="9" t="n">
        <v>46149</v>
      </c>
      <c r="B59" s="20">
        <f>B58</f>
        <v/>
      </c>
      <c r="C59" t="n">
        <v>72.04000000000001</v>
      </c>
    </row>
    <row r="60">
      <c r="A60" s="9" t="n">
        <v>46150</v>
      </c>
      <c r="B60" s="20">
        <f>B59</f>
        <v/>
      </c>
      <c r="C60" t="n">
        <v>72.09</v>
      </c>
    </row>
    <row r="61">
      <c r="A61" s="9" t="n">
        <v>46153</v>
      </c>
      <c r="B61" s="20">
        <f>B60</f>
        <v/>
      </c>
      <c r="C61" t="n">
        <v>72.05</v>
      </c>
    </row>
    <row r="62">
      <c r="A62" s="9" t="n">
        <v>46154</v>
      </c>
      <c r="B62" s="20">
        <f>B61</f>
        <v/>
      </c>
      <c r="C62" t="n">
        <v>71.81</v>
      </c>
    </row>
    <row r="63">
      <c r="A63" s="9" t="n">
        <v>46155</v>
      </c>
      <c r="B63" s="20">
        <f>B62</f>
        <v/>
      </c>
      <c r="C63" t="n">
        <v>71.84999999999999</v>
      </c>
    </row>
    <row r="64">
      <c r="A64" s="9" t="n">
        <v>46156</v>
      </c>
      <c r="B64" s="20">
        <f>B63</f>
        <v/>
      </c>
      <c r="C64" t="n">
        <v>71.75</v>
      </c>
    </row>
    <row r="65">
      <c r="A65" s="9" t="n">
        <v>46157</v>
      </c>
      <c r="B65" s="20">
        <f>B64</f>
        <v/>
      </c>
      <c r="C65" t="n">
        <v>71.87</v>
      </c>
    </row>
    <row r="66">
      <c r="A66" s="9" t="n">
        <v>46160</v>
      </c>
      <c r="B66" s="20">
        <f>B65</f>
        <v/>
      </c>
      <c r="C66" t="n">
        <v>71.81999999999999</v>
      </c>
    </row>
    <row r="67">
      <c r="A67" s="9" t="n">
        <v>46161</v>
      </c>
      <c r="B67" s="20">
        <f>B66</f>
        <v/>
      </c>
      <c r="C67" t="n">
        <v>71.98999999999999</v>
      </c>
    </row>
    <row r="68">
      <c r="A68" s="9" t="n">
        <v>46162</v>
      </c>
      <c r="B68" s="20">
        <f>B67</f>
        <v/>
      </c>
      <c r="C68" t="n">
        <v>71.84</v>
      </c>
    </row>
    <row r="69">
      <c r="A69" s="9" t="n">
        <v>46163</v>
      </c>
      <c r="B69" s="20">
        <f>B68</f>
        <v/>
      </c>
      <c r="C69" t="n">
        <v>71.83</v>
      </c>
    </row>
    <row r="70">
      <c r="A70" s="9" t="n">
        <v>46164</v>
      </c>
      <c r="B70" s="20">
        <f>B69</f>
        <v/>
      </c>
      <c r="C70" t="n">
        <v>72.02</v>
      </c>
    </row>
    <row r="71">
      <c r="A71" s="9" t="n">
        <v>46167</v>
      </c>
      <c r="B71" s="20">
        <f>B70</f>
        <v/>
      </c>
      <c r="C71" t="n">
        <v>71.89</v>
      </c>
    </row>
    <row r="72">
      <c r="A72" s="9" t="n">
        <v>46168</v>
      </c>
      <c r="B72" s="20">
        <f>B71</f>
        <v/>
      </c>
      <c r="C72" t="n">
        <v>71.95</v>
      </c>
    </row>
    <row r="73">
      <c r="A73" s="9" t="n">
        <v>46169</v>
      </c>
      <c r="B73" s="20">
        <f>B72</f>
        <v/>
      </c>
      <c r="C73" t="n">
        <v>71.8</v>
      </c>
    </row>
    <row r="74">
      <c r="A74" s="9" t="n">
        <v>46170</v>
      </c>
      <c r="B74" s="20">
        <f>B73</f>
        <v/>
      </c>
      <c r="C74" t="n">
        <v>71.91</v>
      </c>
    </row>
    <row r="75">
      <c r="A75" s="9" t="n">
        <v>46171</v>
      </c>
      <c r="B75" s="20">
        <f>B74</f>
        <v/>
      </c>
      <c r="C75" t="n">
        <v>72</v>
      </c>
    </row>
    <row r="76">
      <c r="A76" s="9" t="n">
        <v>46174</v>
      </c>
      <c r="B76" s="20">
        <f>B75</f>
        <v/>
      </c>
      <c r="C76" t="n">
        <v>71.70999999999999</v>
      </c>
    </row>
    <row r="77">
      <c r="A77" s="9" t="n">
        <v>46175</v>
      </c>
      <c r="B77" s="20">
        <f>B76</f>
        <v/>
      </c>
      <c r="C77" t="n">
        <v>71.48999999999999</v>
      </c>
    </row>
    <row r="78">
      <c r="A78" s="9" t="n">
        <v>46176</v>
      </c>
      <c r="B78" s="20">
        <f>B77</f>
        <v/>
      </c>
      <c r="C78" t="n">
        <v>71.88</v>
      </c>
    </row>
    <row r="79">
      <c r="A79" s="9" t="n">
        <v>46178</v>
      </c>
      <c r="B79" s="20">
        <f>B78</f>
        <v/>
      </c>
      <c r="C79" t="n">
        <v>71.91</v>
      </c>
    </row>
    <row r="80">
      <c r="A80" s="9" t="n">
        <v>46181</v>
      </c>
      <c r="B80" s="20">
        <f>B79</f>
        <v/>
      </c>
      <c r="C80" t="n">
        <v>71.65000000000001</v>
      </c>
    </row>
    <row r="81">
      <c r="A81" s="9" t="n">
        <v>46182</v>
      </c>
      <c r="B81" s="20">
        <f>B80</f>
        <v/>
      </c>
      <c r="C81" t="n">
        <v>71.40000000000001</v>
      </c>
    </row>
    <row r="82">
      <c r="A82" s="9" t="n">
        <v>46183</v>
      </c>
      <c r="B82" s="20">
        <f>B81</f>
        <v/>
      </c>
      <c r="C82" t="n">
        <v>71.61</v>
      </c>
    </row>
    <row r="83">
      <c r="A83" s="9" t="n">
        <v>46184</v>
      </c>
      <c r="B83" s="20">
        <f>B82</f>
        <v/>
      </c>
      <c r="C83" t="n">
        <v>71.59</v>
      </c>
    </row>
    <row r="84">
      <c r="A84" s="9" t="n">
        <v>46185</v>
      </c>
      <c r="B84" s="20">
        <f>B83</f>
        <v/>
      </c>
      <c r="C84" t="n">
        <v>71.63</v>
      </c>
    </row>
    <row r="85">
      <c r="A85" s="9" t="n">
        <v>46188</v>
      </c>
      <c r="B85" s="20">
        <f>B84</f>
        <v/>
      </c>
      <c r="C85" t="n">
        <v>71.5</v>
      </c>
    </row>
    <row r="86">
      <c r="A86" s="9" t="n">
        <v>46189</v>
      </c>
      <c r="B86" s="20">
        <f>B85</f>
        <v/>
      </c>
      <c r="C86" t="n">
        <v>71.19</v>
      </c>
    </row>
    <row r="87">
      <c r="A87" s="9" t="n">
        <v>46190</v>
      </c>
      <c r="B87" s="20">
        <f>B86</f>
        <v/>
      </c>
      <c r="C87" t="n">
        <v>71.34999999999999</v>
      </c>
    </row>
    <row r="88">
      <c r="A88" s="9" t="n">
        <v>46191</v>
      </c>
      <c r="B88" s="20">
        <f>B87</f>
        <v/>
      </c>
      <c r="C88" t="n">
        <v>71.36</v>
      </c>
    </row>
    <row r="89">
      <c r="A89" s="9" t="n">
        <v>46192</v>
      </c>
      <c r="B89" s="20">
        <f>B88</f>
        <v/>
      </c>
      <c r="C89" t="n">
        <v>71.18000000000001</v>
      </c>
    </row>
    <row r="90">
      <c r="A90" s="9" t="n">
        <v>46195</v>
      </c>
      <c r="B90" s="20">
        <f>B89</f>
        <v/>
      </c>
      <c r="C90" t="n">
        <v>71.20999999999999</v>
      </c>
    </row>
    <row r="91">
      <c r="A91" s="9" t="n">
        <v>46196</v>
      </c>
      <c r="B91" s="20">
        <f>B90</f>
        <v/>
      </c>
      <c r="C91" t="n">
        <v>71.20999999999999</v>
      </c>
    </row>
    <row r="92">
      <c r="A92" s="9" t="n">
        <v>46197</v>
      </c>
      <c r="B92" s="20">
        <f>B91</f>
        <v/>
      </c>
      <c r="C92" t="n">
        <v>71.20999999999999</v>
      </c>
    </row>
    <row r="93">
      <c r="A93" s="9" t="n">
        <v>46198</v>
      </c>
      <c r="B93" s="20">
        <f>B92</f>
        <v/>
      </c>
      <c r="C93" t="n">
        <v>71.2</v>
      </c>
    </row>
    <row r="94">
      <c r="A94" s="9" t="n">
        <v>46199</v>
      </c>
      <c r="B94" s="20">
        <f>B93</f>
        <v/>
      </c>
      <c r="C94" t="n">
        <v>71.39</v>
      </c>
    </row>
    <row r="95">
      <c r="A95" s="9" t="n">
        <v>46202</v>
      </c>
      <c r="B95" s="20">
        <f>B94</f>
        <v/>
      </c>
      <c r="C95" t="n">
        <v>71.38</v>
      </c>
    </row>
    <row r="96">
      <c r="A96" s="9" t="n">
        <v>46203</v>
      </c>
      <c r="B96" s="20">
        <f>B95</f>
        <v/>
      </c>
      <c r="C96" t="n">
        <v>71.36</v>
      </c>
    </row>
    <row r="97">
      <c r="A97" s="9" t="n">
        <v>46204</v>
      </c>
      <c r="B97" s="20">
        <f>B96</f>
        <v/>
      </c>
      <c r="C97" t="n">
        <v>71.47</v>
      </c>
    </row>
    <row r="98">
      <c r="A98" s="9" t="n">
        <v>46205</v>
      </c>
      <c r="B98" s="20">
        <f>B97</f>
        <v/>
      </c>
      <c r="C98" t="n">
        <v>71.40000000000001</v>
      </c>
    </row>
    <row r="99">
      <c r="A99" s="9" t="n">
        <v>46206</v>
      </c>
      <c r="B99" s="20">
        <f>B98</f>
        <v/>
      </c>
      <c r="C99" t="n">
        <v>71.34</v>
      </c>
    </row>
    <row r="100">
      <c r="A100" s="9" t="n">
        <v>46209</v>
      </c>
      <c r="B100" s="20">
        <f>B99</f>
        <v/>
      </c>
      <c r="C100" t="n">
        <v>71.52</v>
      </c>
    </row>
    <row r="101">
      <c r="A101" s="9" t="n">
        <v>46210</v>
      </c>
      <c r="B101" s="20">
        <f>B100</f>
        <v/>
      </c>
      <c r="C101" t="n">
        <v>71.56</v>
      </c>
    </row>
    <row r="102">
      <c r="A102" s="9" t="n">
        <v>46211</v>
      </c>
      <c r="B102" s="20">
        <f>B101</f>
        <v/>
      </c>
      <c r="C102" t="n">
        <v>71.5</v>
      </c>
    </row>
    <row r="103">
      <c r="A103" s="9" t="n">
        <v>46212</v>
      </c>
      <c r="B103" s="20">
        <f>B102</f>
        <v/>
      </c>
      <c r="C103" t="n">
        <v>71.41</v>
      </c>
    </row>
    <row r="104">
      <c r="A104" s="9" t="n">
        <v>46213</v>
      </c>
      <c r="B104" s="20">
        <f>B103</f>
        <v/>
      </c>
      <c r="C104" t="n">
        <v>71.36</v>
      </c>
    </row>
    <row r="105">
      <c r="A105" s="9" t="n">
        <v>46216</v>
      </c>
      <c r="B105" s="20">
        <f>B104</f>
        <v/>
      </c>
      <c r="C105" t="n">
        <v>71.83</v>
      </c>
    </row>
    <row r="106">
      <c r="A106" s="9" t="n">
        <v>46217</v>
      </c>
      <c r="B106" s="20">
        <f>B105</f>
        <v/>
      </c>
      <c r="C106" t="n">
        <v>71.89</v>
      </c>
    </row>
    <row r="107">
      <c r="A107" s="9">
        <f>IF('S.H BOI GORDO'!A7188=""," ",'S.H BOI GORDO'!A7188)</f>
        <v/>
      </c>
      <c r="B107" s="20">
        <f>B116</f>
        <v/>
      </c>
    </row>
    <row r="108">
      <c r="A108" s="9">
        <f>IF('S.H BOI GORDO'!A7189=""," ",'S.H BOI GORDO'!A7189)</f>
        <v/>
      </c>
      <c r="B108" s="20">
        <f>B117</f>
        <v/>
      </c>
    </row>
    <row r="109">
      <c r="A109" s="9">
        <f>IF('S.H BOI GORDO'!A7190=""," ",'S.H BOI GORDO'!A7190)</f>
        <v/>
      </c>
      <c r="B109" s="20">
        <f>B118</f>
        <v/>
      </c>
    </row>
    <row r="110">
      <c r="A110" s="9">
        <f>IF('S.H BOI GORDO'!A7191=""," ",'S.H BOI GORDO'!A7191)</f>
        <v/>
      </c>
      <c r="B110" s="20">
        <f>B119</f>
        <v/>
      </c>
    </row>
    <row r="111">
      <c r="A111" s="9">
        <f>IF('S.H BOI GORDO'!A7192=""," ",'S.H BOI GORDO'!A7192)</f>
        <v/>
      </c>
      <c r="B111" s="20">
        <f>B120</f>
        <v/>
      </c>
    </row>
    <row r="112">
      <c r="A112" s="9">
        <f>IF('S.H BOI GORDO'!A7193=""," ",'S.H BOI GORDO'!A7193)</f>
        <v/>
      </c>
      <c r="B112" s="20">
        <f>B121</f>
        <v/>
      </c>
    </row>
    <row r="113">
      <c r="A113" s="9">
        <f>IF('S.H BOI GORDO'!A7194=""," ",'S.H BOI GORDO'!A7194)</f>
        <v/>
      </c>
      <c r="B113" s="20">
        <f>B122</f>
        <v/>
      </c>
    </row>
    <row r="114">
      <c r="A114" s="9">
        <f>IF('S.H BOI GORDO'!A7195=""," ",'S.H BOI GORDO'!A7195)</f>
        <v/>
      </c>
      <c r="B114" s="20">
        <f>B123</f>
        <v/>
      </c>
    </row>
    <row r="115">
      <c r="A115" s="9">
        <f>IF('S.H BOI GORDO'!A7196=""," ",'S.H BOI GORDO'!A7196)</f>
        <v/>
      </c>
      <c r="B115" s="20">
        <f>B124</f>
        <v/>
      </c>
    </row>
    <row r="116">
      <c r="A116" s="9">
        <f>IF('S.H BOI GORDO'!A7197=""," ",'S.H BOI GORDO'!A7197)</f>
        <v/>
      </c>
      <c r="B116" s="20">
        <f>B125</f>
        <v/>
      </c>
    </row>
    <row r="117">
      <c r="A117" s="9">
        <f>IF('S.H BOI GORDO'!A7198=""," ",'S.H BOI GORDO'!A7198)</f>
        <v/>
      </c>
      <c r="B117" s="20">
        <f>B126</f>
        <v/>
      </c>
    </row>
    <row r="118">
      <c r="A118" s="9">
        <f>IF('S.H BOI GORDO'!A7199=""," ",'S.H BOI GORDO'!A7199)</f>
        <v/>
      </c>
      <c r="B118" s="20">
        <f>B127</f>
        <v/>
      </c>
    </row>
    <row r="119">
      <c r="A119" s="9">
        <f>IF('S.H BOI GORDO'!A7200=""," ",'S.H BOI GORDO'!A7200)</f>
        <v/>
      </c>
      <c r="B119" s="20">
        <f>B128</f>
        <v/>
      </c>
    </row>
    <row r="120">
      <c r="A120" s="9">
        <f>IF('S.H BOI GORDO'!A7201=""," ",'S.H BOI GORDO'!A7201)</f>
        <v/>
      </c>
      <c r="B120" s="20">
        <f>B129</f>
        <v/>
      </c>
    </row>
    <row r="121">
      <c r="A121" s="9">
        <f>IF('S.H BOI GORDO'!A7202=""," ",'S.H BOI GORDO'!A7202)</f>
        <v/>
      </c>
      <c r="B121" s="20">
        <f>B130</f>
        <v/>
      </c>
    </row>
    <row r="122">
      <c r="A122" s="9">
        <f>IF('S.H BOI GORDO'!A7203=""," ",'S.H BOI GORDO'!A7203)</f>
        <v/>
      </c>
      <c r="B122" s="20">
        <f>B131</f>
        <v/>
      </c>
    </row>
    <row r="123">
      <c r="A123" s="9">
        <f>IF('S.H BOI GORDO'!A7204=""," ",'S.H BOI GORDO'!A7204)</f>
        <v/>
      </c>
      <c r="B123" s="20">
        <f>B132</f>
        <v/>
      </c>
    </row>
    <row r="124">
      <c r="A124" s="9">
        <f>IF('S.H BOI GORDO'!A7205=""," ",'S.H BOI GORDO'!A7205)</f>
        <v/>
      </c>
      <c r="B124" s="20">
        <f>B133</f>
        <v/>
      </c>
    </row>
    <row r="125">
      <c r="A125" s="9">
        <f>IF('S.H BOI GORDO'!A7206=""," ",'S.H BOI GORDO'!A7206)</f>
        <v/>
      </c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  <row r="138">
      <c r="B138" s="20">
        <f>B147</f>
        <v/>
      </c>
    </row>
    <row r="139">
      <c r="B139" s="20">
        <f>B148</f>
        <v/>
      </c>
    </row>
    <row r="140">
      <c r="B140" s="20">
        <f>B149</f>
        <v/>
      </c>
    </row>
    <row r="141">
      <c r="B141" s="20">
        <f>B150</f>
        <v/>
      </c>
    </row>
    <row r="142">
      <c r="B142" s="20">
        <f>B151</f>
        <v/>
      </c>
    </row>
    <row r="143">
      <c r="B143" s="20">
        <f>B152</f>
        <v/>
      </c>
    </row>
    <row r="144">
      <c r="B144" s="20">
        <f>B153</f>
        <v/>
      </c>
    </row>
    <row r="145"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49.xml><?xml version="1.0" encoding="utf-8"?>
<worksheet xmlns="http://schemas.openxmlformats.org/spreadsheetml/2006/main">
  <sheetPr codeName="Planilha49">
    <outlinePr summaryBelow="1" summaryRight="1"/>
    <pageSetUpPr/>
  </sheetPr>
  <dimension ref="A1:C191"/>
  <sheetViews>
    <sheetView topLeftCell="A73" zoomScale="90" zoomScaleNormal="90" workbookViewId="0">
      <selection activeCell="C19" sqref="C19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CCMU27</t>
        </is>
      </c>
      <c r="C2" t="n">
        <v>69.52</v>
      </c>
    </row>
    <row r="3">
      <c r="A3" s="9" t="n">
        <v>46062</v>
      </c>
      <c r="B3" s="20">
        <f>B2</f>
        <v/>
      </c>
      <c r="C3" t="n">
        <v>69.51000000000001</v>
      </c>
    </row>
    <row r="4">
      <c r="A4" s="9" t="n">
        <v>46063</v>
      </c>
      <c r="B4" s="20">
        <f>B3</f>
        <v/>
      </c>
      <c r="C4" t="n">
        <v>69.52</v>
      </c>
    </row>
    <row r="5">
      <c r="A5" s="9" t="n">
        <v>46064</v>
      </c>
      <c r="B5" s="20">
        <f>B4</f>
        <v/>
      </c>
      <c r="C5" t="n">
        <v>69.54000000000001</v>
      </c>
    </row>
    <row r="6">
      <c r="A6" s="9" t="n">
        <v>46065</v>
      </c>
      <c r="B6" s="20">
        <f>B5</f>
        <v/>
      </c>
      <c r="C6" t="n">
        <v>69.45</v>
      </c>
    </row>
    <row r="7">
      <c r="A7" s="9" t="n">
        <v>46066</v>
      </c>
      <c r="B7" s="20">
        <f>B6</f>
        <v/>
      </c>
      <c r="C7" t="n">
        <v>69.63</v>
      </c>
    </row>
    <row r="8">
      <c r="A8" s="9" t="n">
        <v>46071</v>
      </c>
      <c r="B8" s="20">
        <f>B7</f>
        <v/>
      </c>
      <c r="C8" t="n">
        <v>69.44</v>
      </c>
    </row>
    <row r="9">
      <c r="A9" s="9" t="n">
        <v>46072</v>
      </c>
      <c r="B9" s="20">
        <f>B8</f>
        <v/>
      </c>
      <c r="C9" t="n">
        <v>69.38</v>
      </c>
    </row>
    <row r="10">
      <c r="A10" s="9" t="n">
        <v>46073</v>
      </c>
      <c r="B10" s="20">
        <f>B9</f>
        <v/>
      </c>
      <c r="C10" t="n">
        <v>69.38</v>
      </c>
    </row>
    <row r="11">
      <c r="A11" s="9" t="n">
        <v>46076</v>
      </c>
      <c r="B11" s="20">
        <f>B10</f>
        <v/>
      </c>
      <c r="C11" t="n">
        <v>69.05</v>
      </c>
    </row>
    <row r="12">
      <c r="A12" s="9" t="n">
        <v>46077</v>
      </c>
      <c r="B12" s="20">
        <f>B11</f>
        <v/>
      </c>
      <c r="C12" t="n">
        <v>68.87</v>
      </c>
    </row>
    <row r="13">
      <c r="A13" s="9" t="n">
        <v>46078</v>
      </c>
      <c r="B13" s="20">
        <f>B12</f>
        <v/>
      </c>
      <c r="C13" t="n">
        <v>68.72</v>
      </c>
    </row>
    <row r="14">
      <c r="A14" s="9" t="n">
        <v>46079</v>
      </c>
      <c r="B14" s="20">
        <f>B13</f>
        <v/>
      </c>
      <c r="C14" t="n">
        <v>68.72</v>
      </c>
    </row>
    <row r="15">
      <c r="A15" s="9" t="n">
        <v>46080</v>
      </c>
      <c r="B15" s="20">
        <f>B14</f>
        <v/>
      </c>
      <c r="C15" t="n">
        <v>69.38</v>
      </c>
    </row>
    <row r="16">
      <c r="A16" s="9" t="n">
        <v>46083</v>
      </c>
      <c r="B16" s="20">
        <f>B15</f>
        <v/>
      </c>
      <c r="C16" t="n">
        <v>69.81999999999999</v>
      </c>
    </row>
    <row r="17">
      <c r="A17" s="9" t="n">
        <v>46084</v>
      </c>
      <c r="B17" s="20">
        <f>B16</f>
        <v/>
      </c>
      <c r="C17" t="n">
        <v>69.97</v>
      </c>
    </row>
    <row r="18">
      <c r="A18" s="9" t="n">
        <v>46085</v>
      </c>
      <c r="B18" s="20">
        <f>B17</f>
        <v/>
      </c>
      <c r="C18" t="n">
        <v>69.98</v>
      </c>
    </row>
    <row r="19">
      <c r="A19" s="9" t="n">
        <v>46086</v>
      </c>
      <c r="B19" s="20">
        <f>B18</f>
        <v/>
      </c>
      <c r="C19" t="n">
        <v>70.09999999999999</v>
      </c>
    </row>
    <row r="20">
      <c r="A20" s="4" t="n">
        <v>46087</v>
      </c>
      <c r="B20" s="20">
        <f>B19</f>
        <v/>
      </c>
      <c r="C20" t="n">
        <v>70.11</v>
      </c>
    </row>
    <row r="21">
      <c r="A21" s="4" t="n">
        <v>46090</v>
      </c>
      <c r="B21" s="20">
        <f>B20</f>
        <v/>
      </c>
      <c r="C21" t="n">
        <v>70.33</v>
      </c>
    </row>
    <row r="22">
      <c r="A22" s="4" t="n">
        <v>46091</v>
      </c>
      <c r="B22" s="20">
        <f>B21</f>
        <v/>
      </c>
      <c r="C22" t="n">
        <v>70.38</v>
      </c>
    </row>
    <row r="23">
      <c r="A23" s="4" t="n">
        <v>46092</v>
      </c>
      <c r="B23" s="20">
        <f>B22</f>
        <v/>
      </c>
      <c r="C23" t="n">
        <v>70.83</v>
      </c>
    </row>
    <row r="24">
      <c r="A24" s="4" t="n">
        <v>46093</v>
      </c>
      <c r="B24" s="20">
        <f>B23</f>
        <v/>
      </c>
      <c r="C24" t="n">
        <v>71.37</v>
      </c>
    </row>
    <row r="25">
      <c r="A25" s="4" t="n">
        <v>46094</v>
      </c>
      <c r="B25" s="20">
        <f>B24</f>
        <v/>
      </c>
      <c r="C25" t="n">
        <v>71.66</v>
      </c>
    </row>
    <row r="26">
      <c r="A26" s="4" t="n">
        <v>46097</v>
      </c>
      <c r="B26" s="20">
        <f>B25</f>
        <v/>
      </c>
      <c r="C26" t="n">
        <v>70.59999999999999</v>
      </c>
    </row>
    <row r="27">
      <c r="A27" s="4" t="n">
        <v>46098</v>
      </c>
      <c r="B27" s="20">
        <f>B26</f>
        <v/>
      </c>
      <c r="C27" t="n">
        <v>70.28</v>
      </c>
    </row>
    <row r="28">
      <c r="A28" s="4" t="n">
        <v>46099</v>
      </c>
      <c r="B28" s="20">
        <f>B27</f>
        <v/>
      </c>
      <c r="C28" t="n">
        <v>71.05</v>
      </c>
    </row>
    <row r="29">
      <c r="A29" s="4" t="n">
        <v>46100</v>
      </c>
      <c r="B29" s="20">
        <f>B28</f>
        <v/>
      </c>
      <c r="C29" t="n">
        <v>70.94</v>
      </c>
    </row>
    <row r="30">
      <c r="A30" s="4" t="n">
        <v>46101</v>
      </c>
      <c r="B30" s="20">
        <f>B29</f>
        <v/>
      </c>
      <c r="C30" t="n">
        <v>71.72</v>
      </c>
    </row>
    <row r="31">
      <c r="A31" s="4" t="n">
        <v>46104</v>
      </c>
      <c r="B31" s="20">
        <f>B30</f>
        <v/>
      </c>
      <c r="C31" t="n">
        <v>71.54000000000001</v>
      </c>
    </row>
    <row r="32">
      <c r="A32" s="4" t="n">
        <v>46105</v>
      </c>
      <c r="B32" s="20">
        <f>B31</f>
        <v/>
      </c>
      <c r="C32" t="n">
        <v>71.45999999999999</v>
      </c>
    </row>
    <row r="33">
      <c r="A33" s="9" t="n">
        <v>46107</v>
      </c>
      <c r="B33" s="20">
        <f>B32</f>
        <v/>
      </c>
      <c r="C33" t="n">
        <v>71.42</v>
      </c>
    </row>
    <row r="34">
      <c r="A34" s="4" t="n">
        <v>46108</v>
      </c>
      <c r="B34" s="20">
        <f>B33</f>
        <v/>
      </c>
      <c r="C34" t="n">
        <v>71.45999999999999</v>
      </c>
    </row>
    <row r="35">
      <c r="A35" s="4" t="n">
        <v>46111</v>
      </c>
      <c r="B35" s="20">
        <f>B34</f>
        <v/>
      </c>
      <c r="C35" t="n">
        <v>72.53</v>
      </c>
    </row>
    <row r="36">
      <c r="A36" s="9" t="n">
        <v>46112</v>
      </c>
      <c r="B36" s="20">
        <f>B35</f>
        <v/>
      </c>
      <c r="C36" t="n">
        <v>72.37</v>
      </c>
    </row>
    <row r="37">
      <c r="A37" s="9" t="n">
        <v>46113</v>
      </c>
      <c r="B37" s="20">
        <f>B45</f>
        <v/>
      </c>
      <c r="C37" t="n">
        <v>72.25</v>
      </c>
    </row>
    <row r="38">
      <c r="A38" s="9" t="n">
        <v>46114</v>
      </c>
      <c r="B38" s="20">
        <f>B46</f>
        <v/>
      </c>
      <c r="C38" t="n">
        <v>72.5</v>
      </c>
    </row>
    <row r="39">
      <c r="A39" s="9" t="n">
        <v>46118</v>
      </c>
      <c r="B39" s="20">
        <f>B47</f>
        <v/>
      </c>
      <c r="C39" t="n">
        <v>72.52</v>
      </c>
    </row>
    <row r="40">
      <c r="A40" s="9" t="n">
        <v>46120</v>
      </c>
      <c r="B40" s="20">
        <f>B48</f>
        <v/>
      </c>
      <c r="C40" t="n">
        <v>72.08</v>
      </c>
    </row>
    <row r="41">
      <c r="A41" s="9" t="n">
        <v>46121</v>
      </c>
      <c r="B41" s="20">
        <f>B49</f>
        <v/>
      </c>
      <c r="C41" t="n">
        <v>71.73999999999999</v>
      </c>
    </row>
    <row r="42">
      <c r="A42" s="9" t="n">
        <v>46122</v>
      </c>
      <c r="B42" s="20">
        <f>B50</f>
        <v/>
      </c>
      <c r="C42" t="n">
        <v>71.09999999999999</v>
      </c>
    </row>
    <row r="43">
      <c r="A43" s="9" t="n">
        <v>46125</v>
      </c>
      <c r="B43" s="20">
        <f>B51</f>
        <v/>
      </c>
      <c r="C43" t="n">
        <v>70.84</v>
      </c>
    </row>
    <row r="44">
      <c r="A44" s="9" t="n">
        <v>46126</v>
      </c>
      <c r="B44" s="20">
        <f>B52</f>
        <v/>
      </c>
      <c r="C44" t="n">
        <v>72.5</v>
      </c>
    </row>
    <row r="45">
      <c r="A45" s="9" t="n">
        <v>46127</v>
      </c>
      <c r="B45" s="20">
        <f>B53</f>
        <v/>
      </c>
      <c r="C45" t="n">
        <v>72.04000000000001</v>
      </c>
    </row>
    <row r="46">
      <c r="A46" s="9" t="n">
        <v>46128</v>
      </c>
      <c r="B46" s="20">
        <f>B54</f>
        <v/>
      </c>
      <c r="C46" t="n">
        <v>72.27</v>
      </c>
    </row>
    <row r="47">
      <c r="A47" s="9" t="n">
        <v>46129</v>
      </c>
      <c r="B47" s="20">
        <f>B46</f>
        <v/>
      </c>
      <c r="C47" t="n">
        <v>72.06999999999999</v>
      </c>
    </row>
    <row r="48">
      <c r="A48" s="9" t="n">
        <v>46132</v>
      </c>
      <c r="B48" s="20">
        <f>B47</f>
        <v/>
      </c>
      <c r="C48" t="n">
        <v>72.20999999999999</v>
      </c>
    </row>
    <row r="49">
      <c r="A49" s="9" t="n">
        <v>46134</v>
      </c>
      <c r="B49" s="20">
        <f>B48</f>
        <v/>
      </c>
      <c r="C49" t="n">
        <v>72.73999999999999</v>
      </c>
    </row>
    <row r="50">
      <c r="A50" s="9" t="n">
        <v>46135</v>
      </c>
      <c r="B50" s="20">
        <f>B49</f>
        <v/>
      </c>
      <c r="C50" t="n">
        <v>72.45999999999999</v>
      </c>
    </row>
    <row r="51">
      <c r="A51" s="9" t="n">
        <v>46136</v>
      </c>
      <c r="B51" s="20">
        <f>B50</f>
        <v/>
      </c>
      <c r="C51" t="n">
        <v>72.7</v>
      </c>
    </row>
    <row r="52">
      <c r="A52" s="9" t="n">
        <v>46139</v>
      </c>
      <c r="B52" s="20">
        <f>B51</f>
        <v/>
      </c>
      <c r="C52" t="n">
        <v>73.2</v>
      </c>
    </row>
    <row r="53">
      <c r="A53" s="9" t="n">
        <v>46140</v>
      </c>
      <c r="B53" s="20">
        <f>B52</f>
        <v/>
      </c>
      <c r="C53" t="n">
        <v>72.8</v>
      </c>
    </row>
    <row r="54">
      <c r="A54" s="9" t="n">
        <v>46141</v>
      </c>
      <c r="B54" s="20">
        <f>B53</f>
        <v/>
      </c>
      <c r="C54" t="n">
        <v>73.2</v>
      </c>
    </row>
    <row r="55">
      <c r="A55" s="9" t="n">
        <v>46142</v>
      </c>
      <c r="B55" s="20">
        <f>B54</f>
        <v/>
      </c>
      <c r="C55" t="n">
        <v>72.89</v>
      </c>
    </row>
    <row r="56">
      <c r="A56" s="9" t="n">
        <v>46146</v>
      </c>
      <c r="B56" s="20">
        <f>B55</f>
        <v/>
      </c>
      <c r="C56" t="n">
        <v>72.84999999999999</v>
      </c>
    </row>
    <row r="57">
      <c r="A57" s="9" t="n">
        <v>46147</v>
      </c>
      <c r="B57" s="20">
        <f>B56</f>
        <v/>
      </c>
      <c r="C57" t="n">
        <v>72.65000000000001</v>
      </c>
    </row>
    <row r="58">
      <c r="A58" s="9" t="n">
        <v>46148</v>
      </c>
      <c r="B58" s="20">
        <f>B57</f>
        <v/>
      </c>
      <c r="C58" t="n">
        <v>72.22</v>
      </c>
    </row>
    <row r="59">
      <c r="A59" s="9" t="n">
        <v>46149</v>
      </c>
      <c r="B59" s="20">
        <f>B58</f>
        <v/>
      </c>
      <c r="C59" t="n">
        <v>72.42</v>
      </c>
    </row>
    <row r="60">
      <c r="A60" s="9" t="n">
        <v>46150</v>
      </c>
      <c r="B60" s="20">
        <f>B59</f>
        <v/>
      </c>
      <c r="C60" t="n">
        <v>72.47</v>
      </c>
    </row>
    <row r="61">
      <c r="A61" s="9" t="n">
        <v>46153</v>
      </c>
      <c r="B61" s="20">
        <f>B60</f>
        <v/>
      </c>
      <c r="C61" t="n">
        <v>72.43000000000001</v>
      </c>
    </row>
    <row r="62">
      <c r="A62" s="9" t="n">
        <v>46154</v>
      </c>
      <c r="B62" s="20">
        <f>B61</f>
        <v/>
      </c>
      <c r="C62" t="n">
        <v>72.19</v>
      </c>
    </row>
    <row r="63">
      <c r="A63" s="9" t="n">
        <v>46155</v>
      </c>
      <c r="B63" s="20">
        <f>B62</f>
        <v/>
      </c>
      <c r="C63" t="n">
        <v>72.23</v>
      </c>
    </row>
    <row r="64">
      <c r="A64" s="9" t="n">
        <v>46156</v>
      </c>
      <c r="B64" s="20">
        <f>B63</f>
        <v/>
      </c>
      <c r="C64" t="n">
        <v>72.13</v>
      </c>
    </row>
    <row r="65">
      <c r="A65" s="9" t="n">
        <v>46157</v>
      </c>
      <c r="B65" s="20">
        <f>B64</f>
        <v/>
      </c>
      <c r="C65" t="n">
        <v>72.25</v>
      </c>
    </row>
    <row r="66">
      <c r="A66" s="9" t="n">
        <v>46160</v>
      </c>
      <c r="B66" s="20">
        <f>B65</f>
        <v/>
      </c>
      <c r="C66" t="n">
        <v>72.2</v>
      </c>
    </row>
    <row r="67">
      <c r="A67" s="9" t="n">
        <v>46161</v>
      </c>
      <c r="B67" s="20">
        <f>B66</f>
        <v/>
      </c>
      <c r="C67" t="n">
        <v>72.37</v>
      </c>
    </row>
    <row r="68">
      <c r="A68" s="9" t="n">
        <v>46162</v>
      </c>
      <c r="B68" s="20">
        <f>B67</f>
        <v/>
      </c>
      <c r="C68" t="n">
        <v>72.22</v>
      </c>
    </row>
    <row r="69">
      <c r="A69" s="9" t="n">
        <v>46163</v>
      </c>
      <c r="B69" s="20">
        <f>B68</f>
        <v/>
      </c>
      <c r="C69" t="n">
        <v>72.20999999999999</v>
      </c>
    </row>
    <row r="70">
      <c r="A70" s="9" t="n">
        <v>46164</v>
      </c>
      <c r="B70" s="20">
        <f>B69</f>
        <v/>
      </c>
      <c r="C70" t="n">
        <v>72.40000000000001</v>
      </c>
    </row>
    <row r="71">
      <c r="A71" s="9" t="n">
        <v>46167</v>
      </c>
      <c r="B71" s="20">
        <f>B70</f>
        <v/>
      </c>
      <c r="C71" t="n">
        <v>72.27</v>
      </c>
    </row>
    <row r="72">
      <c r="A72" s="9" t="n">
        <v>46168</v>
      </c>
      <c r="B72" s="20">
        <f>B71</f>
        <v/>
      </c>
      <c r="C72" t="n">
        <v>72.33</v>
      </c>
    </row>
    <row r="73">
      <c r="A73" s="9" t="n">
        <v>46169</v>
      </c>
      <c r="B73" s="20">
        <f>B72</f>
        <v/>
      </c>
      <c r="C73" t="n">
        <v>72.18000000000001</v>
      </c>
    </row>
    <row r="74">
      <c r="A74" s="9" t="n">
        <v>46170</v>
      </c>
      <c r="B74" s="20">
        <f>B73</f>
        <v/>
      </c>
      <c r="C74" t="n">
        <v>72.29000000000001</v>
      </c>
    </row>
    <row r="75">
      <c r="A75" s="9" t="n">
        <v>46171</v>
      </c>
      <c r="B75" s="20">
        <f>B74</f>
        <v/>
      </c>
      <c r="C75" t="n">
        <v>72.01000000000001</v>
      </c>
    </row>
    <row r="76">
      <c r="A76" s="9" t="n">
        <v>46174</v>
      </c>
      <c r="B76" s="20">
        <f>B75</f>
        <v/>
      </c>
      <c r="C76" t="n">
        <v>71.72</v>
      </c>
    </row>
    <row r="77">
      <c r="A77" s="9" t="n">
        <v>46175</v>
      </c>
      <c r="B77" s="20">
        <f>B76</f>
        <v/>
      </c>
      <c r="C77" t="n">
        <v>71.5</v>
      </c>
    </row>
    <row r="78">
      <c r="A78" s="9" t="n">
        <v>46176</v>
      </c>
      <c r="B78" s="20">
        <f>B77</f>
        <v/>
      </c>
      <c r="C78" t="n">
        <v>71.89</v>
      </c>
    </row>
    <row r="79">
      <c r="A79" s="9" t="n">
        <v>46178</v>
      </c>
      <c r="B79" s="20">
        <f>B78</f>
        <v/>
      </c>
      <c r="C79" t="n">
        <v>71.92</v>
      </c>
    </row>
    <row r="80">
      <c r="A80" s="9" t="n">
        <v>46181</v>
      </c>
      <c r="B80" s="20">
        <f>B79</f>
        <v/>
      </c>
      <c r="C80" t="n">
        <v>71.66</v>
      </c>
    </row>
    <row r="81">
      <c r="A81" s="9" t="n">
        <v>46182</v>
      </c>
      <c r="B81" s="20">
        <f>B80</f>
        <v/>
      </c>
      <c r="C81" t="n">
        <v>71.41</v>
      </c>
    </row>
    <row r="82">
      <c r="A82" s="9" t="n">
        <v>46183</v>
      </c>
      <c r="B82" s="20">
        <f>B81</f>
        <v/>
      </c>
      <c r="C82" t="n">
        <v>71.62</v>
      </c>
    </row>
    <row r="83">
      <c r="A83" s="9" t="n">
        <v>46184</v>
      </c>
      <c r="B83" s="20">
        <f>B82</f>
        <v/>
      </c>
      <c r="C83" t="n">
        <v>71.59999999999999</v>
      </c>
    </row>
    <row r="84">
      <c r="A84" s="9" t="n">
        <v>46185</v>
      </c>
      <c r="B84" s="20">
        <f>B83</f>
        <v/>
      </c>
      <c r="C84" t="n">
        <v>71.64</v>
      </c>
    </row>
    <row r="85">
      <c r="A85" s="9" t="n">
        <v>46188</v>
      </c>
      <c r="B85" s="20">
        <f>B84</f>
        <v/>
      </c>
      <c r="C85" t="n">
        <v>71.51000000000001</v>
      </c>
    </row>
    <row r="86">
      <c r="A86" s="9" t="n">
        <v>46189</v>
      </c>
      <c r="B86" s="20">
        <f>B85</f>
        <v/>
      </c>
      <c r="C86" t="n">
        <v>71.2</v>
      </c>
    </row>
    <row r="87">
      <c r="A87" s="9" t="n">
        <v>46190</v>
      </c>
      <c r="B87" s="20">
        <f>B86</f>
        <v/>
      </c>
      <c r="C87" t="n">
        <v>71.36</v>
      </c>
    </row>
    <row r="88">
      <c r="A88" s="9" t="n">
        <v>46191</v>
      </c>
      <c r="B88" s="20">
        <f>B87</f>
        <v/>
      </c>
      <c r="C88" t="n">
        <v>71.37</v>
      </c>
    </row>
    <row r="89">
      <c r="A89" s="9" t="n">
        <v>46192</v>
      </c>
      <c r="B89" s="20">
        <f>B88</f>
        <v/>
      </c>
      <c r="C89" t="n">
        <v>71.19</v>
      </c>
    </row>
    <row r="90">
      <c r="A90" s="9" t="n">
        <v>46195</v>
      </c>
      <c r="B90" s="20">
        <f>B89</f>
        <v/>
      </c>
      <c r="C90" t="n">
        <v>71.22</v>
      </c>
    </row>
    <row r="91">
      <c r="A91" s="9" t="n">
        <v>46196</v>
      </c>
      <c r="B91" s="20">
        <f>B90</f>
        <v/>
      </c>
      <c r="C91" t="n">
        <v>71.22</v>
      </c>
    </row>
    <row r="92">
      <c r="A92" s="9" t="n">
        <v>46197</v>
      </c>
      <c r="B92" s="20">
        <f>B91</f>
        <v/>
      </c>
      <c r="C92" t="n">
        <v>71.22</v>
      </c>
    </row>
    <row r="93">
      <c r="A93" s="9" t="n">
        <v>46198</v>
      </c>
      <c r="B93" s="20">
        <f>B92</f>
        <v/>
      </c>
      <c r="C93" t="n">
        <v>71.16</v>
      </c>
    </row>
    <row r="94">
      <c r="A94" s="9" t="n">
        <v>46199</v>
      </c>
      <c r="B94" s="20">
        <f>B93</f>
        <v/>
      </c>
      <c r="C94" t="n">
        <v>71.09</v>
      </c>
    </row>
    <row r="95">
      <c r="A95" s="9" t="n">
        <v>46202</v>
      </c>
      <c r="B95" s="20">
        <f>B94</f>
        <v/>
      </c>
      <c r="C95" t="n">
        <v>71.08</v>
      </c>
    </row>
    <row r="96">
      <c r="A96" s="9" t="n">
        <v>46203</v>
      </c>
      <c r="B96" s="20">
        <f>B95</f>
        <v/>
      </c>
      <c r="C96" t="n">
        <v>71.06</v>
      </c>
    </row>
    <row r="97">
      <c r="A97" s="9" t="n">
        <v>46204</v>
      </c>
      <c r="B97" s="20">
        <f>B96</f>
        <v/>
      </c>
      <c r="C97" t="n">
        <v>71.17</v>
      </c>
    </row>
    <row r="98">
      <c r="A98" s="9" t="n">
        <v>46205</v>
      </c>
      <c r="B98" s="20">
        <f>B97</f>
        <v/>
      </c>
      <c r="C98" t="n">
        <v>71.09999999999999</v>
      </c>
    </row>
    <row r="99">
      <c r="A99" s="9" t="n">
        <v>46206</v>
      </c>
      <c r="B99" s="20">
        <f>B98</f>
        <v/>
      </c>
      <c r="C99" t="n">
        <v>71.04000000000001</v>
      </c>
    </row>
    <row r="100">
      <c r="A100" s="9" t="n">
        <v>46209</v>
      </c>
      <c r="B100" s="20">
        <f>B99</f>
        <v/>
      </c>
      <c r="C100" t="n">
        <v>71.22</v>
      </c>
    </row>
    <row r="101">
      <c r="A101" s="9" t="n">
        <v>46210</v>
      </c>
      <c r="B101" s="20">
        <f>B100</f>
        <v/>
      </c>
      <c r="C101" t="n">
        <v>71.38</v>
      </c>
    </row>
    <row r="102">
      <c r="A102" s="9" t="n">
        <v>46211</v>
      </c>
      <c r="B102" s="20">
        <f>B101</f>
        <v/>
      </c>
      <c r="C102" t="n">
        <v>71.31</v>
      </c>
    </row>
    <row r="103">
      <c r="A103" s="9" t="n">
        <v>46212</v>
      </c>
      <c r="B103" s="20">
        <f>B102</f>
        <v/>
      </c>
      <c r="C103" t="n">
        <v>71.22</v>
      </c>
    </row>
    <row r="104">
      <c r="A104" s="9" t="n">
        <v>46213</v>
      </c>
      <c r="B104" s="20">
        <f>B103</f>
        <v/>
      </c>
      <c r="C104" t="n">
        <v>71.17</v>
      </c>
    </row>
    <row r="105">
      <c r="A105" s="9" t="n">
        <v>46216</v>
      </c>
      <c r="B105" s="20">
        <f>B104</f>
        <v/>
      </c>
      <c r="C105" t="n">
        <v>71.20999999999999</v>
      </c>
    </row>
    <row r="106">
      <c r="A106" s="9" t="n">
        <v>46217</v>
      </c>
      <c r="B106" s="20">
        <f>B105</f>
        <v/>
      </c>
      <c r="C106" t="n">
        <v>71.27</v>
      </c>
    </row>
    <row r="107">
      <c r="A107" s="9">
        <f>IF('S.H BOI GORDO'!A7185=""," ",'S.H BOI GORDO'!A7185)</f>
        <v/>
      </c>
      <c r="B107" s="20">
        <f>B115</f>
        <v/>
      </c>
    </row>
    <row r="108">
      <c r="A108" s="9">
        <f>IF('S.H BOI GORDO'!A7186=""," ",'S.H BOI GORDO'!A7186)</f>
        <v/>
      </c>
      <c r="B108" s="20">
        <f>B116</f>
        <v/>
      </c>
    </row>
    <row r="109">
      <c r="A109" s="9">
        <f>IF('S.H BOI GORDO'!A7187=""," ",'S.H BOI GORDO'!A7187)</f>
        <v/>
      </c>
      <c r="B109" s="20">
        <f>B117</f>
        <v/>
      </c>
    </row>
    <row r="110">
      <c r="A110" s="9">
        <f>IF('S.H BOI GORDO'!A7188=""," ",'S.H BOI GORDO'!A7188)</f>
        <v/>
      </c>
      <c r="B110" s="20">
        <f>B118</f>
        <v/>
      </c>
    </row>
    <row r="111">
      <c r="A111" s="9">
        <f>IF('S.H BOI GORDO'!A7189=""," ",'S.H BOI GORDO'!A7189)</f>
        <v/>
      </c>
      <c r="B111" s="20">
        <f>B119</f>
        <v/>
      </c>
    </row>
    <row r="112">
      <c r="A112" s="9">
        <f>IF('S.H BOI GORDO'!A7190=""," ",'S.H BOI GORDO'!A7190)</f>
        <v/>
      </c>
      <c r="B112" s="20">
        <f>B120</f>
        <v/>
      </c>
    </row>
    <row r="113">
      <c r="A113" s="9">
        <f>IF('S.H BOI GORDO'!A7191=""," ",'S.H BOI GORDO'!A7191)</f>
        <v/>
      </c>
      <c r="B113" s="20">
        <f>B121</f>
        <v/>
      </c>
    </row>
    <row r="114">
      <c r="A114" s="9">
        <f>IF('S.H BOI GORDO'!A7192=""," ",'S.H BOI GORDO'!A7192)</f>
        <v/>
      </c>
      <c r="B114" s="20">
        <f>B122</f>
        <v/>
      </c>
    </row>
    <row r="115">
      <c r="A115" s="9">
        <f>IF('S.H BOI GORDO'!A7193=""," ",'S.H BOI GORDO'!A7193)</f>
        <v/>
      </c>
      <c r="B115" s="20">
        <f>B123</f>
        <v/>
      </c>
    </row>
    <row r="116">
      <c r="A116" s="9">
        <f>IF('S.H BOI GORDO'!A7194=""," ",'S.H BOI GORDO'!A7194)</f>
        <v/>
      </c>
      <c r="B116" s="20">
        <f>B124</f>
        <v/>
      </c>
    </row>
    <row r="117">
      <c r="A117" s="9">
        <f>IF('S.H BOI GORDO'!A7195=""," ",'S.H BOI GORDO'!A7195)</f>
        <v/>
      </c>
      <c r="B117" s="20">
        <f>B125</f>
        <v/>
      </c>
    </row>
    <row r="118">
      <c r="A118" s="9">
        <f>IF('S.H BOI GORDO'!A7196=""," ",'S.H BOI GORDO'!A7196)</f>
        <v/>
      </c>
      <c r="B118" s="20">
        <f>B126</f>
        <v/>
      </c>
    </row>
    <row r="119">
      <c r="A119" s="9">
        <f>IF('S.H BOI GORDO'!A7197=""," ",'S.H BOI GORDO'!A7197)</f>
        <v/>
      </c>
      <c r="B119" s="20">
        <f>B127</f>
        <v/>
      </c>
    </row>
    <row r="120">
      <c r="A120" s="9">
        <f>IF('S.H BOI GORDO'!A7198=""," ",'S.H BOI GORDO'!A7198)</f>
        <v/>
      </c>
      <c r="B120" s="20">
        <f>B128</f>
        <v/>
      </c>
    </row>
    <row r="121">
      <c r="A121" s="9">
        <f>IF('S.H BOI GORDO'!A7199=""," ",'S.H BOI GORDO'!A7199)</f>
        <v/>
      </c>
      <c r="B121" s="20">
        <f>B129</f>
        <v/>
      </c>
    </row>
    <row r="122">
      <c r="A122" s="9">
        <f>IF('S.H BOI GORDO'!A7200=""," ",'S.H BOI GORDO'!A7200)</f>
        <v/>
      </c>
      <c r="B122" s="20">
        <f>B130</f>
        <v/>
      </c>
    </row>
    <row r="123">
      <c r="A123" s="9">
        <f>IF('S.H BOI GORDO'!A7201=""," ",'S.H BOI GORDO'!A7201)</f>
        <v/>
      </c>
      <c r="B123" s="20">
        <f>B131</f>
        <v/>
      </c>
    </row>
    <row r="124">
      <c r="A124" s="9">
        <f>IF('S.H BOI GORDO'!A7202=""," ",'S.H BOI GORDO'!A7202)</f>
        <v/>
      </c>
      <c r="B124" s="20">
        <f>B132</f>
        <v/>
      </c>
    </row>
    <row r="125">
      <c r="A125" s="9">
        <f>IF('S.H BOI GORDO'!A7203=""," ",'S.H BOI GORDO'!A7203)</f>
        <v/>
      </c>
      <c r="B125" s="20">
        <f>B133</f>
        <v/>
      </c>
    </row>
    <row r="126">
      <c r="A126" s="9">
        <f>IF('S.H BOI GORDO'!A7204=""," ",'S.H BOI GORDO'!A7204)</f>
        <v/>
      </c>
      <c r="B126" s="20">
        <f>B134</f>
        <v/>
      </c>
    </row>
    <row r="127">
      <c r="A127" s="9">
        <f>IF('S.H BOI GORDO'!A7205=""," ",'S.H BOI GORDO'!A7205)</f>
        <v/>
      </c>
      <c r="B127" s="20">
        <f>B135</f>
        <v/>
      </c>
    </row>
    <row r="128">
      <c r="A128" s="9">
        <f>IF('S.H BOI GORDO'!A7206=""," ",'S.H BOI GORDO'!A7206)</f>
        <v/>
      </c>
      <c r="B128" s="20">
        <f>B136</f>
        <v/>
      </c>
    </row>
    <row r="129">
      <c r="B129" s="20">
        <f>B137</f>
        <v/>
      </c>
    </row>
    <row r="130">
      <c r="B130" s="20">
        <f>B138</f>
        <v/>
      </c>
    </row>
    <row r="131">
      <c r="B131" s="20">
        <f>B139</f>
        <v/>
      </c>
    </row>
    <row r="132">
      <c r="B132" s="20">
        <f>B140</f>
        <v/>
      </c>
    </row>
    <row r="133">
      <c r="B133" s="20">
        <f>B141</f>
        <v/>
      </c>
    </row>
    <row r="134">
      <c r="B134" s="20">
        <f>B142</f>
        <v/>
      </c>
    </row>
    <row r="135">
      <c r="B135" s="20">
        <f>B143</f>
        <v/>
      </c>
    </row>
    <row r="136">
      <c r="B136" s="20">
        <f>B144</f>
        <v/>
      </c>
    </row>
    <row r="137">
      <c r="B137" s="20">
        <f>B145</f>
        <v/>
      </c>
    </row>
    <row r="138">
      <c r="B138" s="20">
        <f>B146</f>
        <v/>
      </c>
    </row>
    <row r="139">
      <c r="B139" s="20">
        <f>B147</f>
        <v/>
      </c>
    </row>
    <row r="140">
      <c r="B140" s="20">
        <f>B148</f>
        <v/>
      </c>
    </row>
    <row r="141">
      <c r="B141" s="20">
        <f>B149</f>
        <v/>
      </c>
    </row>
    <row r="142">
      <c r="B142" s="20">
        <f>B150</f>
        <v/>
      </c>
    </row>
    <row r="143">
      <c r="B143" s="20">
        <f>B151</f>
        <v/>
      </c>
    </row>
    <row r="144">
      <c r="B144" s="20">
        <f>B152</f>
        <v/>
      </c>
    </row>
    <row r="145">
      <c r="B145" s="20">
        <f>B153</f>
        <v/>
      </c>
    </row>
    <row r="146">
      <c r="B146" s="20">
        <f>B154</f>
        <v/>
      </c>
    </row>
    <row r="147">
      <c r="B147" s="20">
        <f>B155</f>
        <v/>
      </c>
    </row>
    <row r="148">
      <c r="B148" s="20">
        <f>B156</f>
        <v/>
      </c>
    </row>
    <row r="149">
      <c r="B149" s="20">
        <f>B157</f>
        <v/>
      </c>
    </row>
    <row r="150">
      <c r="B150" s="20">
        <f>B158</f>
        <v/>
      </c>
    </row>
    <row r="151">
      <c r="B151" s="20">
        <f>B159</f>
        <v/>
      </c>
    </row>
    <row r="152">
      <c r="B152" s="20">
        <f>B160</f>
        <v/>
      </c>
    </row>
    <row r="153">
      <c r="B153" s="20">
        <f>B161</f>
        <v/>
      </c>
    </row>
    <row r="154">
      <c r="B154" s="20">
        <f>B162</f>
        <v/>
      </c>
    </row>
    <row r="155">
      <c r="B155" s="20">
        <f>B163</f>
        <v/>
      </c>
    </row>
    <row r="156">
      <c r="B156" s="20">
        <f>B164</f>
        <v/>
      </c>
    </row>
    <row r="157">
      <c r="B157" s="20">
        <f>B165</f>
        <v/>
      </c>
    </row>
    <row r="158">
      <c r="B158" s="20">
        <f>B166</f>
        <v/>
      </c>
    </row>
    <row r="159">
      <c r="B159" s="20">
        <f>B167</f>
        <v/>
      </c>
    </row>
    <row r="160">
      <c r="B160" s="20">
        <f>B168</f>
        <v/>
      </c>
    </row>
    <row r="161">
      <c r="B161" s="20">
        <f>B169</f>
        <v/>
      </c>
    </row>
    <row r="162">
      <c r="B162" s="20">
        <f>B170</f>
        <v/>
      </c>
    </row>
    <row r="163">
      <c r="B163" s="20">
        <f>B171</f>
        <v/>
      </c>
    </row>
    <row r="164">
      <c r="B164" s="20">
        <f>B172</f>
        <v/>
      </c>
    </row>
    <row r="165">
      <c r="B165" s="20">
        <f>B173</f>
        <v/>
      </c>
    </row>
    <row r="166">
      <c r="B166" s="20">
        <f>B174</f>
        <v/>
      </c>
    </row>
    <row r="167">
      <c r="B167" s="20">
        <f>B175</f>
        <v/>
      </c>
    </row>
    <row r="168">
      <c r="B168" s="20">
        <f>B176</f>
        <v/>
      </c>
    </row>
    <row r="169">
      <c r="B169" s="20">
        <f>B177</f>
        <v/>
      </c>
    </row>
    <row r="170">
      <c r="B170" s="20">
        <f>B178</f>
        <v/>
      </c>
    </row>
    <row r="171">
      <c r="B171" s="20">
        <f>B179</f>
        <v/>
      </c>
    </row>
    <row r="172">
      <c r="B172" s="20">
        <f>B180</f>
        <v/>
      </c>
    </row>
    <row r="173">
      <c r="B173" s="20">
        <f>B181</f>
        <v/>
      </c>
    </row>
    <row r="174">
      <c r="B174" s="20">
        <f>B182</f>
        <v/>
      </c>
    </row>
    <row r="175">
      <c r="B175" s="20">
        <f>B183</f>
        <v/>
      </c>
    </row>
    <row r="176">
      <c r="B176" s="20">
        <f>B184</f>
        <v/>
      </c>
    </row>
    <row r="177">
      <c r="B177" s="20">
        <f>B185</f>
        <v/>
      </c>
    </row>
    <row r="178">
      <c r="B178" s="20">
        <f>B186</f>
        <v/>
      </c>
    </row>
    <row r="179">
      <c r="B179" s="20">
        <f>B187</f>
        <v/>
      </c>
    </row>
    <row r="180">
      <c r="B180" s="20">
        <f>B188</f>
        <v/>
      </c>
    </row>
    <row r="181">
      <c r="B181" s="20">
        <f>B189</f>
        <v/>
      </c>
    </row>
    <row r="182">
      <c r="B182" s="20">
        <f>B190</f>
        <v/>
      </c>
    </row>
    <row r="183">
      <c r="B183" s="20">
        <f>B191</f>
        <v/>
      </c>
    </row>
    <row r="184">
      <c r="B184" s="20">
        <f>B192</f>
        <v/>
      </c>
    </row>
    <row r="185">
      <c r="B185" s="20">
        <f>B193</f>
        <v/>
      </c>
    </row>
    <row r="186">
      <c r="B186" s="20">
        <f>B194</f>
        <v/>
      </c>
    </row>
    <row r="187">
      <c r="B187" s="20">
        <f>B195</f>
        <v/>
      </c>
    </row>
    <row r="188">
      <c r="B188" s="20">
        <f>B196</f>
        <v/>
      </c>
    </row>
    <row r="189">
      <c r="B189" s="20">
        <f>B197</f>
        <v/>
      </c>
    </row>
    <row r="190">
      <c r="B190" s="20">
        <f>B198</f>
        <v/>
      </c>
    </row>
    <row r="191">
      <c r="B191" s="20">
        <f>B199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0.xml><?xml version="1.0" encoding="utf-8"?>
<worksheet xmlns="http://schemas.openxmlformats.org/spreadsheetml/2006/main">
  <sheetPr codeName="Planilha50">
    <outlinePr summaryBelow="1" summaryRight="1"/>
    <pageSetUpPr/>
  </sheetPr>
  <dimension ref="A1:C137"/>
  <sheetViews>
    <sheetView topLeftCell="A5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2" t="n">
        <v>46149</v>
      </c>
      <c r="B2" s="1" t="inlineStr">
        <is>
          <t>CCMX27</t>
        </is>
      </c>
      <c r="C2" s="1" t="n">
        <v>72.42</v>
      </c>
    </row>
    <row r="3">
      <c r="A3" s="9" t="n">
        <v>46150</v>
      </c>
      <c r="B3" s="1" t="inlineStr">
        <is>
          <t>CCMX27</t>
        </is>
      </c>
      <c r="C3" t="n">
        <v>72.47</v>
      </c>
    </row>
    <row r="4">
      <c r="A4" s="9" t="n">
        <v>46153</v>
      </c>
      <c r="B4" s="20">
        <f>B3</f>
        <v/>
      </c>
      <c r="C4" t="n">
        <v>72.43000000000001</v>
      </c>
    </row>
    <row r="5">
      <c r="A5" s="9" t="n">
        <v>46154</v>
      </c>
      <c r="B5" s="20">
        <f>B4</f>
        <v/>
      </c>
      <c r="C5" t="n">
        <v>72.19</v>
      </c>
    </row>
    <row r="6">
      <c r="A6" s="9" t="n">
        <v>46155</v>
      </c>
      <c r="B6" s="20">
        <f>B5</f>
        <v/>
      </c>
      <c r="C6" t="n">
        <v>72.23</v>
      </c>
    </row>
    <row r="7">
      <c r="A7" s="9" t="n">
        <v>46156</v>
      </c>
      <c r="B7" s="20">
        <f>B6</f>
        <v/>
      </c>
      <c r="C7" t="n">
        <v>72.13</v>
      </c>
    </row>
    <row r="8">
      <c r="A8" s="9" t="n">
        <v>46157</v>
      </c>
      <c r="B8" s="20">
        <f>B7</f>
        <v/>
      </c>
      <c r="C8" t="n">
        <v>72.25</v>
      </c>
    </row>
    <row r="9">
      <c r="A9" s="9" t="n">
        <v>46160</v>
      </c>
      <c r="B9" s="20">
        <f>B8</f>
        <v/>
      </c>
      <c r="C9" t="n">
        <v>72.2</v>
      </c>
    </row>
    <row r="10">
      <c r="A10" s="9" t="n">
        <v>46161</v>
      </c>
      <c r="B10" s="20">
        <f>B9</f>
        <v/>
      </c>
      <c r="C10" t="n">
        <v>72.37</v>
      </c>
    </row>
    <row r="11">
      <c r="A11" s="9" t="n">
        <v>46162</v>
      </c>
      <c r="B11" s="20">
        <f>B10</f>
        <v/>
      </c>
      <c r="C11" t="n">
        <v>72.22</v>
      </c>
    </row>
    <row r="12">
      <c r="A12" s="9" t="n">
        <v>46163</v>
      </c>
      <c r="B12" s="20">
        <f>B11</f>
        <v/>
      </c>
      <c r="C12" t="n">
        <v>72.20999999999999</v>
      </c>
    </row>
    <row r="13">
      <c r="A13" s="9" t="n">
        <v>46164</v>
      </c>
      <c r="B13" s="20">
        <f>B12</f>
        <v/>
      </c>
      <c r="C13" t="n">
        <v>72.40000000000001</v>
      </c>
    </row>
    <row r="14">
      <c r="A14" s="9" t="n">
        <v>46167</v>
      </c>
      <c r="B14" s="20">
        <f>B13</f>
        <v/>
      </c>
      <c r="C14" t="n">
        <v>72.27</v>
      </c>
    </row>
    <row r="15">
      <c r="A15" s="9" t="n">
        <v>46168</v>
      </c>
      <c r="B15" s="20">
        <f>B14</f>
        <v/>
      </c>
      <c r="C15" t="n">
        <v>73</v>
      </c>
    </row>
    <row r="16">
      <c r="A16" s="9" t="n">
        <v>46169</v>
      </c>
      <c r="B16" s="20">
        <f>B15</f>
        <v/>
      </c>
      <c r="C16" t="n">
        <v>72.84999999999999</v>
      </c>
    </row>
    <row r="17">
      <c r="A17" s="9" t="n">
        <v>46170</v>
      </c>
      <c r="B17" s="20">
        <f>B16</f>
        <v/>
      </c>
      <c r="C17" t="n">
        <v>72.95999999999999</v>
      </c>
    </row>
    <row r="18">
      <c r="A18" s="9" t="n">
        <v>46171</v>
      </c>
      <c r="B18" s="20">
        <f>B17</f>
        <v/>
      </c>
      <c r="C18" t="n">
        <v>73</v>
      </c>
    </row>
    <row r="19">
      <c r="A19" s="9" t="n">
        <v>46174</v>
      </c>
      <c r="B19" s="20">
        <f>B18</f>
        <v/>
      </c>
      <c r="C19" t="n">
        <v>72.70999999999999</v>
      </c>
    </row>
    <row r="20">
      <c r="A20" s="9" t="n">
        <v>46175</v>
      </c>
      <c r="B20" s="20">
        <f>B19</f>
        <v/>
      </c>
      <c r="C20" t="n">
        <v>72.48999999999999</v>
      </c>
    </row>
    <row r="21">
      <c r="A21" s="4" t="n">
        <v>46176</v>
      </c>
      <c r="B21" s="20">
        <f>B20</f>
        <v/>
      </c>
      <c r="C21" t="n">
        <v>72.88</v>
      </c>
    </row>
    <row r="22">
      <c r="A22" s="4" t="n">
        <v>46178</v>
      </c>
      <c r="B22" s="20">
        <f>B21</f>
        <v/>
      </c>
      <c r="C22" t="n">
        <v>72.91</v>
      </c>
    </row>
    <row r="23">
      <c r="A23" s="4" t="n">
        <v>46181</v>
      </c>
      <c r="B23" s="20">
        <f>B22</f>
        <v/>
      </c>
      <c r="C23" t="n">
        <v>72.65000000000001</v>
      </c>
    </row>
    <row r="24">
      <c r="A24" s="4" t="n">
        <v>46182</v>
      </c>
      <c r="B24" s="20">
        <f>B23</f>
        <v/>
      </c>
      <c r="C24" t="n">
        <v>72.40000000000001</v>
      </c>
    </row>
    <row r="25">
      <c r="A25" s="9" t="n">
        <v>46183</v>
      </c>
      <c r="B25" s="20">
        <f>B24</f>
        <v/>
      </c>
      <c r="C25" t="n">
        <v>72.61</v>
      </c>
    </row>
    <row r="26">
      <c r="A26" s="9" t="n">
        <v>46184</v>
      </c>
      <c r="B26" s="20">
        <f>B25</f>
        <v/>
      </c>
      <c r="C26" t="n">
        <v>72.59</v>
      </c>
    </row>
    <row r="27">
      <c r="A27" s="9" t="n">
        <v>46185</v>
      </c>
      <c r="B27" s="20">
        <f>B26</f>
        <v/>
      </c>
      <c r="C27" t="n">
        <v>72.63</v>
      </c>
    </row>
    <row r="28">
      <c r="A28" s="9" t="n">
        <v>46188</v>
      </c>
      <c r="B28" s="20">
        <f>B27</f>
        <v/>
      </c>
      <c r="C28" t="n">
        <v>72.5</v>
      </c>
    </row>
    <row r="29">
      <c r="A29" s="9" t="n">
        <v>46189</v>
      </c>
      <c r="B29" s="20">
        <f>B28</f>
        <v/>
      </c>
      <c r="C29" t="n">
        <v>72.19</v>
      </c>
    </row>
    <row r="30">
      <c r="A30" s="9" t="n">
        <v>46190</v>
      </c>
      <c r="B30" s="20">
        <f>B29</f>
        <v/>
      </c>
      <c r="C30" t="n">
        <v>72.34999999999999</v>
      </c>
    </row>
    <row r="31">
      <c r="A31" s="9" t="n">
        <v>46191</v>
      </c>
      <c r="B31" s="20">
        <f>B30</f>
        <v/>
      </c>
      <c r="C31" t="n">
        <v>72.36</v>
      </c>
    </row>
    <row r="32">
      <c r="A32" s="9" t="n">
        <v>46192</v>
      </c>
      <c r="B32" s="20">
        <f>B31</f>
        <v/>
      </c>
      <c r="C32" t="n">
        <v>72.18000000000001</v>
      </c>
    </row>
    <row r="33">
      <c r="A33" s="9" t="n">
        <v>46195</v>
      </c>
      <c r="B33" s="20">
        <f>B32</f>
        <v/>
      </c>
      <c r="C33" t="n">
        <v>72.20999999999999</v>
      </c>
    </row>
    <row r="34">
      <c r="A34" s="9" t="n">
        <v>46196</v>
      </c>
      <c r="B34" s="20">
        <f>B33</f>
        <v/>
      </c>
      <c r="C34" t="n">
        <v>72.3</v>
      </c>
    </row>
    <row r="35">
      <c r="A35" s="9" t="n">
        <v>46197</v>
      </c>
      <c r="B35" s="20">
        <f>B34</f>
        <v/>
      </c>
      <c r="C35" t="n">
        <v>72.3</v>
      </c>
    </row>
    <row r="36">
      <c r="A36" s="9" t="n">
        <v>46198</v>
      </c>
      <c r="B36" s="20">
        <f>B35</f>
        <v/>
      </c>
      <c r="C36" t="n">
        <v>72.23999999999999</v>
      </c>
    </row>
    <row r="37">
      <c r="A37" s="9" t="n">
        <v>46199</v>
      </c>
      <c r="B37" s="20">
        <f>B36</f>
        <v/>
      </c>
      <c r="C37" t="n">
        <v>72.31999999999999</v>
      </c>
    </row>
    <row r="38">
      <c r="A38" s="9" t="n">
        <v>46202</v>
      </c>
      <c r="B38" s="20">
        <f>B37</f>
        <v/>
      </c>
      <c r="C38" t="n">
        <v>72.73</v>
      </c>
    </row>
    <row r="39">
      <c r="A39" s="9" t="n">
        <v>46203</v>
      </c>
      <c r="B39" s="20">
        <f>B38</f>
        <v/>
      </c>
      <c r="C39" t="n">
        <v>72.70999999999999</v>
      </c>
    </row>
    <row r="40">
      <c r="A40" s="9" t="n">
        <v>46204</v>
      </c>
      <c r="B40" s="20">
        <f>B39</f>
        <v/>
      </c>
      <c r="C40" t="n">
        <v>72.81999999999999</v>
      </c>
    </row>
    <row r="41">
      <c r="A41" s="9" t="n">
        <v>46205</v>
      </c>
      <c r="B41" s="20">
        <f>B40</f>
        <v/>
      </c>
      <c r="C41" t="n">
        <v>72.75</v>
      </c>
    </row>
    <row r="42">
      <c r="A42" s="9" t="n">
        <v>46206</v>
      </c>
      <c r="B42" s="20">
        <f>B41</f>
        <v/>
      </c>
      <c r="C42" t="n">
        <v>72.69</v>
      </c>
    </row>
    <row r="43">
      <c r="A43" s="9" t="n">
        <v>46209</v>
      </c>
      <c r="B43" s="20">
        <f>B42</f>
        <v/>
      </c>
      <c r="C43" t="n">
        <v>72.87</v>
      </c>
    </row>
    <row r="44">
      <c r="A44" s="9" t="n">
        <v>46210</v>
      </c>
      <c r="B44" s="20">
        <f>B43</f>
        <v/>
      </c>
      <c r="C44" t="n">
        <v>73.03</v>
      </c>
    </row>
    <row r="45">
      <c r="A45" s="9" t="n">
        <v>46211</v>
      </c>
      <c r="B45" s="20">
        <f>B44</f>
        <v/>
      </c>
      <c r="C45" t="n">
        <v>72.95999999999999</v>
      </c>
    </row>
    <row r="46">
      <c r="A46" s="9" t="n">
        <v>46212</v>
      </c>
      <c r="B46" s="20">
        <f>B45</f>
        <v/>
      </c>
      <c r="C46" t="n">
        <v>72.87</v>
      </c>
    </row>
    <row r="47">
      <c r="A47" s="9" t="n">
        <v>46213</v>
      </c>
      <c r="B47" s="20">
        <f>B46</f>
        <v/>
      </c>
      <c r="C47" t="n">
        <v>72.81999999999999</v>
      </c>
    </row>
    <row r="48">
      <c r="A48" s="9" t="n">
        <v>46216</v>
      </c>
      <c r="B48" s="20">
        <f>B47</f>
        <v/>
      </c>
      <c r="C48" t="n">
        <v>72.86</v>
      </c>
    </row>
    <row r="49">
      <c r="A49" s="9" t="n">
        <v>46217</v>
      </c>
      <c r="B49" s="20">
        <f>B48</f>
        <v/>
      </c>
      <c r="C49" t="n">
        <v>72.92</v>
      </c>
    </row>
    <row r="50">
      <c r="A50" s="9">
        <f>IF('S.H BOI GORDO'!A7182=""," ",'S.H BOI GORDO'!A7182)</f>
        <v/>
      </c>
      <c r="B50" s="20">
        <f>B59</f>
        <v/>
      </c>
    </row>
    <row r="51">
      <c r="A51" s="9">
        <f>IF('S.H BOI GORDO'!A7183=""," ",'S.H BOI GORDO'!A7183)</f>
        <v/>
      </c>
      <c r="B51" s="20">
        <f>B60</f>
        <v/>
      </c>
    </row>
    <row r="52">
      <c r="A52" s="9">
        <f>IF('S.H BOI GORDO'!A7184=""," ",'S.H BOI GORDO'!A7184)</f>
        <v/>
      </c>
      <c r="B52" s="20">
        <f>B61</f>
        <v/>
      </c>
    </row>
    <row r="53">
      <c r="A53" s="9">
        <f>IF('S.H BOI GORDO'!A7185=""," ",'S.H BOI GORDO'!A7185)</f>
        <v/>
      </c>
      <c r="B53" s="20">
        <f>B62</f>
        <v/>
      </c>
    </row>
    <row r="54">
      <c r="A54" s="9">
        <f>IF('S.H BOI GORDO'!A7186=""," ",'S.H BOI GORDO'!A7186)</f>
        <v/>
      </c>
      <c r="B54" s="20">
        <f>B63</f>
        <v/>
      </c>
    </row>
    <row r="55">
      <c r="A55" s="9">
        <f>IF('S.H BOI GORDO'!A7187=""," ",'S.H BOI GORDO'!A7187)</f>
        <v/>
      </c>
      <c r="B55" s="20">
        <f>B64</f>
        <v/>
      </c>
    </row>
    <row r="56">
      <c r="A56" s="9">
        <f>IF('S.H BOI GORDO'!A7188=""," ",'S.H BOI GORDO'!A7188)</f>
        <v/>
      </c>
      <c r="B56" s="20">
        <f>B65</f>
        <v/>
      </c>
    </row>
    <row r="57">
      <c r="A57" s="9">
        <f>IF('S.H BOI GORDO'!A7189=""," ",'S.H BOI GORDO'!A7189)</f>
        <v/>
      </c>
      <c r="B57" s="20">
        <f>B66</f>
        <v/>
      </c>
    </row>
    <row r="58">
      <c r="A58" s="9">
        <f>IF('S.H BOI GORDO'!A7190=""," ",'S.H BOI GORDO'!A7190)</f>
        <v/>
      </c>
      <c r="B58" s="20">
        <f>B67</f>
        <v/>
      </c>
    </row>
    <row r="59">
      <c r="A59" s="9">
        <f>IF('S.H BOI GORDO'!A7191=""," ",'S.H BOI GORDO'!A7191)</f>
        <v/>
      </c>
      <c r="B59" s="20">
        <f>B68</f>
        <v/>
      </c>
    </row>
    <row r="60">
      <c r="A60" s="9">
        <f>IF('S.H BOI GORDO'!A7192=""," ",'S.H BOI GORDO'!A7192)</f>
        <v/>
      </c>
      <c r="B60" s="20">
        <f>B69</f>
        <v/>
      </c>
    </row>
    <row r="61">
      <c r="A61" s="9">
        <f>IF('S.H BOI GORDO'!A7193=""," ",'S.H BOI GORDO'!A7193)</f>
        <v/>
      </c>
      <c r="B61" s="20">
        <f>B70</f>
        <v/>
      </c>
    </row>
    <row r="62">
      <c r="A62" s="9">
        <f>IF('S.H BOI GORDO'!A7194=""," ",'S.H BOI GORDO'!A7194)</f>
        <v/>
      </c>
      <c r="B62" s="20">
        <f>B71</f>
        <v/>
      </c>
    </row>
    <row r="63">
      <c r="A63" s="9">
        <f>IF('S.H BOI GORDO'!A7195=""," ",'S.H BOI GORDO'!A7195)</f>
        <v/>
      </c>
      <c r="B63" s="20">
        <f>B72</f>
        <v/>
      </c>
    </row>
    <row r="64">
      <c r="A64" s="9">
        <f>IF('S.H BOI GORDO'!A7196=""," ",'S.H BOI GORDO'!A7196)</f>
        <v/>
      </c>
      <c r="B64" s="20">
        <f>B73</f>
        <v/>
      </c>
    </row>
    <row r="65">
      <c r="A65" s="9">
        <f>IF('S.H BOI GORDO'!A7197=""," ",'S.H BOI GORDO'!A7197)</f>
        <v/>
      </c>
      <c r="B65" s="20">
        <f>B74</f>
        <v/>
      </c>
    </row>
    <row r="66">
      <c r="A66" s="9">
        <f>IF('S.H BOI GORDO'!A7198=""," ",'S.H BOI GORDO'!A7198)</f>
        <v/>
      </c>
      <c r="B66" s="20">
        <f>B75</f>
        <v/>
      </c>
    </row>
    <row r="67">
      <c r="A67" s="9">
        <f>IF('S.H BOI GORDO'!A7199=""," ",'S.H BOI GORDO'!A7199)</f>
        <v/>
      </c>
      <c r="B67" s="20">
        <f>B76</f>
        <v/>
      </c>
    </row>
    <row r="68">
      <c r="A68" s="9">
        <f>IF('S.H BOI GORDO'!A7200=""," ",'S.H BOI GORDO'!A7200)</f>
        <v/>
      </c>
      <c r="B68" s="20">
        <f>B77</f>
        <v/>
      </c>
    </row>
    <row r="69">
      <c r="A69" s="9">
        <f>IF('S.H BOI GORDO'!A7201=""," ",'S.H BOI GORDO'!A7201)</f>
        <v/>
      </c>
      <c r="B69" s="20">
        <f>B78</f>
        <v/>
      </c>
    </row>
    <row r="70">
      <c r="A70" s="9">
        <f>IF('S.H BOI GORDO'!A7202=""," ",'S.H BOI GORDO'!A7202)</f>
        <v/>
      </c>
      <c r="B70" s="20">
        <f>B79</f>
        <v/>
      </c>
    </row>
    <row r="71">
      <c r="A71" s="9">
        <f>IF('S.H BOI GORDO'!A7203=""," ",'S.H BOI GORDO'!A7203)</f>
        <v/>
      </c>
      <c r="B71" s="20">
        <f>B80</f>
        <v/>
      </c>
    </row>
    <row r="72">
      <c r="A72" s="9">
        <f>IF('S.H BOI GORDO'!A7204=""," ",'S.H BOI GORDO'!A7204)</f>
        <v/>
      </c>
      <c r="B72" s="20">
        <f>B81</f>
        <v/>
      </c>
    </row>
    <row r="73">
      <c r="A73" s="9">
        <f>IF('S.H BOI GORDO'!A7205=""," ",'S.H BOI GORDO'!A7205)</f>
        <v/>
      </c>
      <c r="B73" s="20">
        <f>B82</f>
        <v/>
      </c>
    </row>
    <row r="74">
      <c r="A74" s="9">
        <f>IF('S.H BOI GORDO'!A7206=""," ",'S.H BOI GORDO'!A7206)</f>
        <v/>
      </c>
      <c r="B74" s="20">
        <f>B83</f>
        <v/>
      </c>
    </row>
    <row r="75">
      <c r="B75" s="20">
        <f>B84</f>
        <v/>
      </c>
    </row>
    <row r="76">
      <c r="B76" s="20">
        <f>B85</f>
        <v/>
      </c>
    </row>
    <row r="77">
      <c r="B77" s="20">
        <f>B86</f>
        <v/>
      </c>
    </row>
    <row r="78">
      <c r="B78" s="20">
        <f>B87</f>
        <v/>
      </c>
    </row>
    <row r="79">
      <c r="B79" s="20">
        <f>B88</f>
        <v/>
      </c>
    </row>
    <row r="80">
      <c r="B80" s="20">
        <f>B89</f>
        <v/>
      </c>
    </row>
    <row r="81">
      <c r="B81" s="20">
        <f>B90</f>
        <v/>
      </c>
    </row>
    <row r="82">
      <c r="B82" s="20">
        <f>B91</f>
        <v/>
      </c>
    </row>
    <row r="83">
      <c r="B83" s="20">
        <f>B92</f>
        <v/>
      </c>
    </row>
    <row r="84">
      <c r="B84" s="20">
        <f>B93</f>
        <v/>
      </c>
    </row>
    <row r="85">
      <c r="B85" s="20">
        <f>B94</f>
        <v/>
      </c>
    </row>
    <row r="86">
      <c r="B86" s="20">
        <f>B95</f>
        <v/>
      </c>
    </row>
    <row r="87">
      <c r="B87" s="20">
        <f>B96</f>
        <v/>
      </c>
    </row>
    <row r="88">
      <c r="B88" s="20">
        <f>B97</f>
        <v/>
      </c>
    </row>
    <row r="89">
      <c r="B89" s="20">
        <f>B98</f>
        <v/>
      </c>
    </row>
    <row r="90">
      <c r="B90" s="20">
        <f>B99</f>
        <v/>
      </c>
    </row>
    <row r="91">
      <c r="B91" s="20">
        <f>B100</f>
        <v/>
      </c>
    </row>
    <row r="92">
      <c r="B92" s="20">
        <f>B101</f>
        <v/>
      </c>
    </row>
    <row r="93">
      <c r="B93" s="20">
        <f>B102</f>
        <v/>
      </c>
    </row>
    <row r="94">
      <c r="B94" s="20">
        <f>B103</f>
        <v/>
      </c>
    </row>
    <row r="95">
      <c r="B95" s="20">
        <f>B104</f>
        <v/>
      </c>
    </row>
    <row r="96">
      <c r="B96" s="20">
        <f>B105</f>
        <v/>
      </c>
    </row>
    <row r="97">
      <c r="B97" s="20">
        <f>B106</f>
        <v/>
      </c>
    </row>
    <row r="98">
      <c r="B98" s="20">
        <f>B107</f>
        <v/>
      </c>
    </row>
    <row r="99">
      <c r="B99" s="20">
        <f>B108</f>
        <v/>
      </c>
    </row>
    <row r="100">
      <c r="B100" s="20">
        <f>B109</f>
        <v/>
      </c>
    </row>
    <row r="101">
      <c r="B101" s="20">
        <f>B110</f>
        <v/>
      </c>
    </row>
    <row r="102">
      <c r="B102" s="20">
        <f>B111</f>
        <v/>
      </c>
    </row>
    <row r="103">
      <c r="B103" s="20">
        <f>B112</f>
        <v/>
      </c>
    </row>
    <row r="104">
      <c r="B104" s="20">
        <f>B113</f>
        <v/>
      </c>
    </row>
    <row r="105">
      <c r="B105" s="20">
        <f>B114</f>
        <v/>
      </c>
    </row>
    <row r="106">
      <c r="B106" s="20">
        <f>B115</f>
        <v/>
      </c>
    </row>
    <row r="107">
      <c r="B107" s="20">
        <f>B116</f>
        <v/>
      </c>
    </row>
    <row r="108">
      <c r="B108" s="20">
        <f>B117</f>
        <v/>
      </c>
    </row>
    <row r="109">
      <c r="B109" s="20">
        <f>B118</f>
        <v/>
      </c>
    </row>
    <row r="110">
      <c r="B110" s="20">
        <f>B119</f>
        <v/>
      </c>
    </row>
    <row r="111">
      <c r="B111" s="20">
        <f>B120</f>
        <v/>
      </c>
    </row>
    <row r="112">
      <c r="B112" s="20">
        <f>B121</f>
        <v/>
      </c>
    </row>
    <row r="113">
      <c r="B113" s="20">
        <f>B122</f>
        <v/>
      </c>
    </row>
    <row r="114">
      <c r="B114" s="20">
        <f>B123</f>
        <v/>
      </c>
    </row>
    <row r="115">
      <c r="B115" s="20">
        <f>B124</f>
        <v/>
      </c>
    </row>
    <row r="116">
      <c r="B116" s="20">
        <f>B125</f>
        <v/>
      </c>
    </row>
    <row r="117">
      <c r="B117" s="20">
        <f>B126</f>
        <v/>
      </c>
    </row>
    <row r="118">
      <c r="B118" s="20">
        <f>B127</f>
        <v/>
      </c>
    </row>
    <row r="119">
      <c r="B119" s="20">
        <f>B128</f>
        <v/>
      </c>
    </row>
    <row r="120">
      <c r="B120" s="20">
        <f>B129</f>
        <v/>
      </c>
    </row>
    <row r="121">
      <c r="B121" s="20">
        <f>B130</f>
        <v/>
      </c>
    </row>
    <row r="122">
      <c r="B122" s="20">
        <f>B131</f>
        <v/>
      </c>
    </row>
    <row r="123">
      <c r="B123" s="20">
        <f>B132</f>
        <v/>
      </c>
    </row>
    <row r="124">
      <c r="B124" s="20">
        <f>B133</f>
        <v/>
      </c>
    </row>
    <row r="125">
      <c r="B125" s="20">
        <f>B134</f>
        <v/>
      </c>
    </row>
    <row r="126">
      <c r="B126" s="20">
        <f>B135</f>
        <v/>
      </c>
    </row>
    <row r="127">
      <c r="B127" s="20">
        <f>B136</f>
        <v/>
      </c>
    </row>
    <row r="128">
      <c r="B128" s="20">
        <f>B137</f>
        <v/>
      </c>
    </row>
    <row r="129">
      <c r="B129" s="20">
        <f>B138</f>
        <v/>
      </c>
    </row>
    <row r="130">
      <c r="B130" s="20">
        <f>B139</f>
        <v/>
      </c>
    </row>
    <row r="131">
      <c r="B131" s="20">
        <f>B140</f>
        <v/>
      </c>
    </row>
    <row r="132">
      <c r="B132" s="20">
        <f>B141</f>
        <v/>
      </c>
    </row>
    <row r="133">
      <c r="B133" s="20">
        <f>B142</f>
        <v/>
      </c>
    </row>
    <row r="134">
      <c r="B134" s="20">
        <f>B143</f>
        <v/>
      </c>
    </row>
    <row r="135">
      <c r="B135" s="20">
        <f>B144</f>
        <v/>
      </c>
    </row>
    <row r="136">
      <c r="B136" s="20">
        <f>B145</f>
        <v/>
      </c>
    </row>
    <row r="137">
      <c r="B137" s="20">
        <f>B146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1.xml><?xml version="1.0" encoding="utf-8"?>
<worksheet xmlns="http://schemas.openxmlformats.org/spreadsheetml/2006/main">
  <sheetPr codeName="Planilha51">
    <outlinePr summaryBelow="1" summaryRight="1"/>
    <pageSetUpPr/>
  </sheetPr>
  <dimension ref="A1:C250"/>
  <sheetViews>
    <sheetView topLeftCell="A22" workbookViewId="0">
      <selection activeCell="A1" sqref="A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SJCH26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/>
      <c r="B25" s="1">
        <f>B24</f>
        <v/>
      </c>
    </row>
    <row r="26">
      <c r="A26" s="9" t="n"/>
      <c r="B26" s="1">
        <f>B25</f>
        <v/>
      </c>
    </row>
    <row r="27">
      <c r="A27" s="9" t="n"/>
      <c r="B27" s="1">
        <f>B26</f>
        <v/>
      </c>
    </row>
    <row r="28">
      <c r="A28" s="9" t="n"/>
      <c r="B28" s="1">
        <f>B27</f>
        <v/>
      </c>
    </row>
    <row r="29">
      <c r="A29" s="9" t="n"/>
      <c r="B29" s="1">
        <f>B28</f>
        <v/>
      </c>
    </row>
    <row r="30">
      <c r="A30" s="9" t="n"/>
      <c r="B30" s="1">
        <f>B29</f>
        <v/>
      </c>
    </row>
    <row r="31">
      <c r="A31" s="9" t="n"/>
      <c r="B31" s="1">
        <f>B30</f>
        <v/>
      </c>
    </row>
    <row r="32">
      <c r="A32" s="9" t="n"/>
      <c r="B32" s="1">
        <f>B31</f>
        <v/>
      </c>
    </row>
    <row r="33">
      <c r="A33" s="9" t="n"/>
      <c r="B33" s="1">
        <f>B32</f>
        <v/>
      </c>
    </row>
    <row r="34">
      <c r="A34" s="9" t="n"/>
      <c r="B34" s="1">
        <f>B33</f>
        <v/>
      </c>
    </row>
    <row r="35">
      <c r="A35" s="9" t="n"/>
      <c r="B35" s="1">
        <f>B34</f>
        <v/>
      </c>
    </row>
    <row r="36">
      <c r="A36" s="9" t="n"/>
      <c r="B36" s="1">
        <f>B35</f>
        <v/>
      </c>
    </row>
    <row r="37">
      <c r="A37" s="9" t="n"/>
      <c r="B37" s="1">
        <f>B36</f>
        <v/>
      </c>
    </row>
    <row r="38">
      <c r="A38" s="9" t="n"/>
      <c r="B38" s="1">
        <f>B37</f>
        <v/>
      </c>
    </row>
    <row r="39">
      <c r="A39" s="9" t="n"/>
      <c r="B39" s="1">
        <f>B38</f>
        <v/>
      </c>
    </row>
    <row r="40">
      <c r="A40" s="9" t="n"/>
      <c r="B40" s="1">
        <f>B39</f>
        <v/>
      </c>
    </row>
    <row r="41">
      <c r="A41" s="9" t="n"/>
      <c r="B41" s="1">
        <f>B40</f>
        <v/>
      </c>
    </row>
    <row r="42">
      <c r="A42" s="9" t="n"/>
      <c r="B42" s="1">
        <f>B41</f>
        <v/>
      </c>
    </row>
    <row r="43">
      <c r="A43" s="9" t="n"/>
      <c r="B43" s="1">
        <f>B42</f>
        <v/>
      </c>
    </row>
    <row r="44">
      <c r="A44" s="9" t="n"/>
      <c r="B44" s="1">
        <f>B43</f>
        <v/>
      </c>
    </row>
    <row r="45">
      <c r="A45" s="9" t="n"/>
      <c r="B45" s="1">
        <f>B44</f>
        <v/>
      </c>
    </row>
    <row r="46">
      <c r="A46" s="9" t="n"/>
      <c r="B46" s="1">
        <f>B45</f>
        <v/>
      </c>
    </row>
    <row r="47">
      <c r="A47" s="9" t="n"/>
      <c r="B47" s="1">
        <f>B46</f>
        <v/>
      </c>
    </row>
    <row r="48">
      <c r="A48" s="9" t="n"/>
      <c r="B48" s="1">
        <f>B47</f>
        <v/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B52</f>
        <v/>
      </c>
    </row>
    <row r="54">
      <c r="A54" s="9" t="n"/>
      <c r="B54" s="1">
        <f>B53</f>
        <v/>
      </c>
    </row>
    <row r="55">
      <c r="A55" s="9" t="n"/>
      <c r="B55" s="1">
        <f>B54</f>
        <v/>
      </c>
    </row>
    <row r="56">
      <c r="A56" s="9" t="n"/>
      <c r="B56" s="1">
        <f>B55</f>
        <v/>
      </c>
    </row>
    <row r="57">
      <c r="A57" s="9" t="n"/>
      <c r="B57" s="1">
        <f>B56</f>
        <v/>
      </c>
    </row>
    <row r="58">
      <c r="A58" s="9" t="n"/>
      <c r="B58" s="1">
        <f>B57</f>
        <v/>
      </c>
    </row>
    <row r="59">
      <c r="A59" s="9" t="n"/>
      <c r="B59" s="1">
        <f>B58</f>
        <v/>
      </c>
    </row>
    <row r="60">
      <c r="A60" s="9" t="n"/>
      <c r="B60" s="1">
        <f>B59</f>
        <v/>
      </c>
    </row>
    <row r="61">
      <c r="A61" s="9" t="n"/>
      <c r="B61" s="1">
        <f>B60</f>
        <v/>
      </c>
    </row>
    <row r="62">
      <c r="A62" s="9" t="n"/>
      <c r="B62" s="1">
        <f>B61</f>
        <v/>
      </c>
    </row>
    <row r="63">
      <c r="A63" s="9" t="n"/>
      <c r="B63" s="1">
        <f>B62</f>
        <v/>
      </c>
    </row>
    <row r="64">
      <c r="A64" s="9" t="n"/>
      <c r="B64" s="1">
        <f>B63</f>
        <v/>
      </c>
    </row>
    <row r="65">
      <c r="A65" s="9" t="n"/>
      <c r="B65" s="1">
        <f>B64</f>
        <v/>
      </c>
    </row>
    <row r="66">
      <c r="A66" s="9" t="n"/>
      <c r="B66" s="1">
        <f>B65</f>
        <v/>
      </c>
    </row>
    <row r="67">
      <c r="A67" s="9">
        <f>IF('S.H BOI GORDO'!A7149=""," ",'S.H BOI GORDO'!A7149)</f>
        <v/>
      </c>
      <c r="B67" s="1">
        <f>B66</f>
        <v/>
      </c>
    </row>
    <row r="68">
      <c r="A68" s="9">
        <f>IF('S.H BOI GORDO'!A7150=""," ",'S.H BOI GORDO'!A7150)</f>
        <v/>
      </c>
      <c r="B68" s="1">
        <f>B67</f>
        <v/>
      </c>
    </row>
    <row r="69">
      <c r="A69" s="9">
        <f>IF('S.H BOI GORDO'!A7151=""," ",'S.H BOI GORDO'!A7151)</f>
        <v/>
      </c>
      <c r="B69" s="1">
        <f>B68</f>
        <v/>
      </c>
    </row>
    <row r="70">
      <c r="A70" s="9">
        <f>IF('S.H BOI GORDO'!A7152=""," ",'S.H BOI GORDO'!A7152)</f>
        <v/>
      </c>
      <c r="B70" s="1">
        <f>B69</f>
        <v/>
      </c>
    </row>
    <row r="71">
      <c r="A71" s="9">
        <f>IF('S.H BOI GORDO'!A7153=""," ",'S.H BOI GORDO'!A7153)</f>
        <v/>
      </c>
      <c r="B71" s="1">
        <f>B70</f>
        <v/>
      </c>
    </row>
    <row r="72">
      <c r="A72" s="9">
        <f>IF('S.H BOI GORDO'!A7154=""," ",'S.H BOI GORDO'!A7154)</f>
        <v/>
      </c>
      <c r="B72" s="1">
        <f>B71</f>
        <v/>
      </c>
    </row>
    <row r="73">
      <c r="A73" s="9">
        <f>IF('S.H BOI GORDO'!A7155=""," ",'S.H BOI GORDO'!A7155)</f>
        <v/>
      </c>
      <c r="B73" s="1">
        <f>B72</f>
        <v/>
      </c>
    </row>
    <row r="74">
      <c r="A74" s="9">
        <f>IF('S.H BOI GORDO'!A7156=""," ",'S.H BOI GORDO'!A7156)</f>
        <v/>
      </c>
      <c r="B74" s="1">
        <f>B73</f>
        <v/>
      </c>
    </row>
    <row r="75">
      <c r="A75" s="9">
        <f>IF('S.H BOI GORDO'!A7157=""," ",'S.H BOI GORDO'!A7157)</f>
        <v/>
      </c>
      <c r="B75" s="1">
        <f>B74</f>
        <v/>
      </c>
    </row>
    <row r="76">
      <c r="A76" s="9">
        <f>IF('S.H BOI GORDO'!A7158=""," ",'S.H BOI GORDO'!A7158)</f>
        <v/>
      </c>
      <c r="B76" s="1">
        <f>B75</f>
        <v/>
      </c>
    </row>
    <row r="77">
      <c r="A77" s="9">
        <f>IF('S.H BOI GORDO'!A7159=""," ",'S.H BOI GORDO'!A7159)</f>
        <v/>
      </c>
      <c r="B77" s="1">
        <f>B76</f>
        <v/>
      </c>
    </row>
    <row r="78">
      <c r="A78" s="9">
        <f>IF('S.H BOI GORDO'!A7160=""," ",'S.H BOI GORDO'!A7160)</f>
        <v/>
      </c>
      <c r="B78" s="1">
        <f>B77</f>
        <v/>
      </c>
    </row>
    <row r="79">
      <c r="A79" s="9">
        <f>IF('S.H BOI GORDO'!A7161=""," ",'S.H BOI GORDO'!A7161)</f>
        <v/>
      </c>
      <c r="B79" s="1">
        <f>B78</f>
        <v/>
      </c>
    </row>
    <row r="80">
      <c r="A80" s="9">
        <f>IF('S.H BOI GORDO'!A7162=""," ",'S.H BOI GORDO'!A7162)</f>
        <v/>
      </c>
      <c r="B80" s="1">
        <f>B79</f>
        <v/>
      </c>
    </row>
    <row r="81">
      <c r="A81" s="9">
        <f>IF('S.H BOI GORDO'!A7163=""," ",'S.H BOI GORDO'!A7163)</f>
        <v/>
      </c>
      <c r="B81" s="1">
        <f>B80</f>
        <v/>
      </c>
    </row>
    <row r="82">
      <c r="A82" s="9">
        <f>IF('S.H BOI GORDO'!A7164=""," ",'S.H BOI GORDO'!A7164)</f>
        <v/>
      </c>
      <c r="B82" s="1">
        <f>B81</f>
        <v/>
      </c>
    </row>
    <row r="83">
      <c r="A83" s="9">
        <f>IF('S.H BOI GORDO'!A7165=""," ",'S.H BOI GORDO'!A7165)</f>
        <v/>
      </c>
      <c r="B83" s="1">
        <f>B82</f>
        <v/>
      </c>
    </row>
    <row r="84">
      <c r="A84" s="9">
        <f>IF('S.H BOI GORDO'!A7166=""," ",'S.H BOI GORDO'!A7166)</f>
        <v/>
      </c>
      <c r="B84" s="1">
        <f>B83</f>
        <v/>
      </c>
    </row>
    <row r="85">
      <c r="A85" s="9">
        <f>IF('S.H BOI GORDO'!A7167=""," ",'S.H BOI GORDO'!A7167)</f>
        <v/>
      </c>
      <c r="B85" s="1">
        <f>B84</f>
        <v/>
      </c>
    </row>
    <row r="86">
      <c r="A86" s="9">
        <f>IF('S.H BOI GORDO'!A7168=""," ",'S.H BOI GORDO'!A7168)</f>
        <v/>
      </c>
      <c r="B86" s="1">
        <f>B85</f>
        <v/>
      </c>
    </row>
    <row r="87">
      <c r="A87" s="9">
        <f>IF('S.H BOI GORDO'!A7169=""," ",'S.H BOI GORDO'!A7169)</f>
        <v/>
      </c>
      <c r="B87" s="1">
        <f>B86</f>
        <v/>
      </c>
    </row>
    <row r="88">
      <c r="A88" s="9">
        <f>IF('S.H BOI GORDO'!A7170=""," ",'S.H BOI GORDO'!A7170)</f>
        <v/>
      </c>
      <c r="B88" s="1">
        <f>B87</f>
        <v/>
      </c>
    </row>
    <row r="89">
      <c r="A89" s="9">
        <f>IF('S.H BOI GORDO'!A7171=""," ",'S.H BOI GORDO'!A7171)</f>
        <v/>
      </c>
      <c r="B89" s="1">
        <f>B88</f>
        <v/>
      </c>
    </row>
    <row r="90">
      <c r="A90" s="9">
        <f>IF('S.H BOI GORDO'!A7172=""," ",'S.H BOI GORDO'!A7172)</f>
        <v/>
      </c>
      <c r="B90" s="1">
        <f>B89</f>
        <v/>
      </c>
    </row>
    <row r="91">
      <c r="A91" s="9">
        <f>IF('S.H BOI GORDO'!A7173=""," ",'S.H BOI GORDO'!A7173)</f>
        <v/>
      </c>
      <c r="B91" s="1">
        <f>B90</f>
        <v/>
      </c>
    </row>
    <row r="92">
      <c r="A92" s="9">
        <f>IF('S.H BOI GORDO'!A7174=""," ",'S.H BOI GORDO'!A7174)</f>
        <v/>
      </c>
      <c r="B92" s="1">
        <f>B91</f>
        <v/>
      </c>
    </row>
    <row r="93">
      <c r="A93" s="9">
        <f>IF('S.H BOI GORDO'!A7175=""," ",'S.H BOI GORDO'!A7175)</f>
        <v/>
      </c>
      <c r="B93" s="1">
        <f>B92</f>
        <v/>
      </c>
    </row>
    <row r="94">
      <c r="A94" s="9">
        <f>IF('S.H BOI GORDO'!A7176=""," ",'S.H BOI GORDO'!A7176)</f>
        <v/>
      </c>
      <c r="B94" s="1">
        <f>B93</f>
        <v/>
      </c>
    </row>
    <row r="95">
      <c r="A95" s="9">
        <f>IF('S.H BOI GORDO'!A7177=""," ",'S.H BOI GORDO'!A7177)</f>
        <v/>
      </c>
      <c r="B95" s="1">
        <f>B94</f>
        <v/>
      </c>
    </row>
    <row r="96">
      <c r="A96" s="9">
        <f>IF('S.H BOI GORDO'!A7178=""," ",'S.H BOI GORDO'!A7178)</f>
        <v/>
      </c>
      <c r="B96" s="1">
        <f>B95</f>
        <v/>
      </c>
    </row>
    <row r="97">
      <c r="A97" s="9">
        <f>IF('S.H BOI GORDO'!A7179=""," ",'S.H BOI GORDO'!A7179)</f>
        <v/>
      </c>
      <c r="B97" s="1">
        <f>B96</f>
        <v/>
      </c>
    </row>
    <row r="98">
      <c r="A98" s="9">
        <f>IF('S.H BOI GORDO'!A7180=""," ",'S.H BOI GORDO'!A7180)</f>
        <v/>
      </c>
      <c r="B98" s="1">
        <f>B97</f>
        <v/>
      </c>
    </row>
    <row r="99">
      <c r="A99" s="9">
        <f>IF('S.H BOI GORDO'!A7181=""," ",'S.H BOI GORDO'!A7181)</f>
        <v/>
      </c>
      <c r="B99" s="1">
        <f>B98</f>
        <v/>
      </c>
    </row>
    <row r="100">
      <c r="A100" s="9">
        <f>IF('S.H BOI GORDO'!A7182=""," ",'S.H BOI GORDO'!A7182)</f>
        <v/>
      </c>
      <c r="B100" s="1">
        <f>B99</f>
        <v/>
      </c>
    </row>
    <row r="101">
      <c r="A101" s="9">
        <f>IF('S.H BOI GORDO'!A7183=""," ",'S.H BOI GORDO'!A7183)</f>
        <v/>
      </c>
      <c r="B101" s="1">
        <f>B100</f>
        <v/>
      </c>
    </row>
    <row r="102">
      <c r="A102" s="9">
        <f>IF('S.H BOI GORDO'!A7184=""," ",'S.H BOI GORDO'!A7184)</f>
        <v/>
      </c>
      <c r="B102" s="1">
        <f>B101</f>
        <v/>
      </c>
    </row>
    <row r="103">
      <c r="A103" s="9">
        <f>IF('S.H BOI GORDO'!A7185=""," ",'S.H BOI GORDO'!A7185)</f>
        <v/>
      </c>
      <c r="B103" s="1">
        <f>B102</f>
        <v/>
      </c>
    </row>
    <row r="104">
      <c r="A104" s="9">
        <f>IF('S.H BOI GORDO'!A7186=""," ",'S.H BOI GORDO'!A7186)</f>
        <v/>
      </c>
      <c r="B104" s="1">
        <f>B103</f>
        <v/>
      </c>
    </row>
    <row r="105">
      <c r="A105" s="9">
        <f>IF('S.H BOI GORDO'!A7187=""," ",'S.H BOI GORDO'!A7187)</f>
        <v/>
      </c>
      <c r="B105" s="1">
        <f>B104</f>
        <v/>
      </c>
    </row>
    <row r="106">
      <c r="A106" s="9">
        <f>IF('S.H BOI GORDO'!A7188=""," ",'S.H BOI GORDO'!A7188)</f>
        <v/>
      </c>
      <c r="B106" s="1">
        <f>B105</f>
        <v/>
      </c>
    </row>
    <row r="107">
      <c r="A107" s="9">
        <f>IF('S.H BOI GORDO'!A7189=""," ",'S.H BOI GORDO'!A7189)</f>
        <v/>
      </c>
      <c r="B107" s="1">
        <f>B106</f>
        <v/>
      </c>
    </row>
    <row r="108">
      <c r="A108" s="9">
        <f>IF('S.H BOI GORDO'!A7190=""," ",'S.H BOI GORDO'!A7190)</f>
        <v/>
      </c>
      <c r="B108" s="1">
        <f>B107</f>
        <v/>
      </c>
    </row>
    <row r="109">
      <c r="A109" s="9">
        <f>IF('S.H BOI GORDO'!A7191=""," ",'S.H BOI GORDO'!A7191)</f>
        <v/>
      </c>
      <c r="B109" s="1">
        <f>B108</f>
        <v/>
      </c>
    </row>
    <row r="110">
      <c r="A110" s="9">
        <f>IF('S.H BOI GORDO'!A7192=""," ",'S.H BOI GORDO'!A7192)</f>
        <v/>
      </c>
      <c r="B110" s="1">
        <f>B109</f>
        <v/>
      </c>
    </row>
    <row r="111">
      <c r="A111" s="9">
        <f>IF('S.H BOI GORDO'!A7193=""," ",'S.H BOI GORDO'!A7193)</f>
        <v/>
      </c>
      <c r="B111" s="1">
        <f>B110</f>
        <v/>
      </c>
    </row>
    <row r="112">
      <c r="A112" s="9">
        <f>IF('S.H BOI GORDO'!A7194=""," ",'S.H BOI GORDO'!A7194)</f>
        <v/>
      </c>
      <c r="B112" s="1">
        <f>B111</f>
        <v/>
      </c>
    </row>
    <row r="113">
      <c r="A113" s="9">
        <f>IF('S.H BOI GORDO'!A7195=""," ",'S.H BOI GORDO'!A7195)</f>
        <v/>
      </c>
      <c r="B113" s="1">
        <f>B112</f>
        <v/>
      </c>
    </row>
    <row r="114">
      <c r="A114" s="9">
        <f>IF('S.H BOI GORDO'!A7196=""," ",'S.H BOI GORDO'!A7196)</f>
        <v/>
      </c>
      <c r="B114" s="1">
        <f>B113</f>
        <v/>
      </c>
    </row>
    <row r="115">
      <c r="A115" s="9">
        <f>IF('S.H BOI GORDO'!A7197=""," ",'S.H BOI GORDO'!A7197)</f>
        <v/>
      </c>
      <c r="B115" s="1">
        <f>B114</f>
        <v/>
      </c>
    </row>
    <row r="116">
      <c r="A116" s="9">
        <f>IF('S.H BOI GORDO'!A7198=""," ",'S.H BOI GORDO'!A7198)</f>
        <v/>
      </c>
      <c r="B116" s="1">
        <f>B115</f>
        <v/>
      </c>
    </row>
    <row r="117">
      <c r="A117" s="9">
        <f>IF('S.H BOI GORDO'!A7199=""," ",'S.H BOI GORDO'!A7199)</f>
        <v/>
      </c>
      <c r="B117" s="1">
        <f>B116</f>
        <v/>
      </c>
    </row>
    <row r="118">
      <c r="A118" s="9">
        <f>IF('S.H BOI GORDO'!A7200=""," ",'S.H BOI GORDO'!A7200)</f>
        <v/>
      </c>
      <c r="B118" s="1">
        <f>B117</f>
        <v/>
      </c>
    </row>
    <row r="119">
      <c r="A119" s="9">
        <f>IF('S.H BOI GORDO'!A7201=""," ",'S.H BOI GORDO'!A7201)</f>
        <v/>
      </c>
      <c r="B119" s="1">
        <f>B118</f>
        <v/>
      </c>
    </row>
    <row r="120">
      <c r="A120" s="9">
        <f>IF('S.H BOI GORDO'!A7202=""," ",'S.H BOI GORDO'!A7202)</f>
        <v/>
      </c>
      <c r="B120" s="1">
        <f>B119</f>
        <v/>
      </c>
    </row>
    <row r="121">
      <c r="A121" s="9">
        <f>IF('S.H BOI GORDO'!A7203=""," ",'S.H BOI GORDO'!A7203)</f>
        <v/>
      </c>
      <c r="B121" s="1">
        <f>B120</f>
        <v/>
      </c>
    </row>
    <row r="122">
      <c r="A122" s="9">
        <f>IF('S.H BOI GORDO'!A7204=""," ",'S.H BOI GORDO'!A7204)</f>
        <v/>
      </c>
      <c r="B122" s="1">
        <f>B121</f>
        <v/>
      </c>
    </row>
    <row r="123">
      <c r="A123" s="9">
        <f>IF('S.H BOI GORDO'!A7205=""," ",'S.H BOI GORDO'!A7205)</f>
        <v/>
      </c>
      <c r="B123" s="1">
        <f>B122</f>
        <v/>
      </c>
    </row>
    <row r="124">
      <c r="A124" s="9">
        <f>IF('S.H BOI GORDO'!A7206=""," ",'S.H BOI GORDO'!A7206)</f>
        <v/>
      </c>
      <c r="B124" s="1">
        <f>B123</f>
        <v/>
      </c>
    </row>
    <row r="125">
      <c r="A125" s="9">
        <f>IF('S.H BOI GORDO'!A7207=""," ",'S.H BOI GORDO'!A7207)</f>
        <v/>
      </c>
      <c r="B125" s="1">
        <f>B124</f>
        <v/>
      </c>
    </row>
    <row r="126">
      <c r="A126" s="9">
        <f>IF('S.H BOI GORDO'!A7208=""," ",'S.H BOI GORDO'!A7208)</f>
        <v/>
      </c>
      <c r="B126" s="1">
        <f>B125</f>
        <v/>
      </c>
    </row>
    <row r="127">
      <c r="A127" s="9">
        <f>IF('S.H BOI GORDO'!A7209=""," ",'S.H BOI GORDO'!A7209)</f>
        <v/>
      </c>
      <c r="B127" s="1">
        <f>B126</f>
        <v/>
      </c>
    </row>
    <row r="128">
      <c r="A128" s="9">
        <f>IF('S.H BOI GORDO'!A7210=""," ",'S.H BOI GORDO'!A7210)</f>
        <v/>
      </c>
      <c r="B128" s="1">
        <f>B127</f>
        <v/>
      </c>
    </row>
    <row r="129">
      <c r="A129" s="9">
        <f>IF('S.H BOI GORDO'!A7211=""," ",'S.H BOI GORDO'!A7211)</f>
        <v/>
      </c>
      <c r="B129" s="1">
        <f>B128</f>
        <v/>
      </c>
    </row>
    <row r="130">
      <c r="A130" s="9">
        <f>IF('S.H BOI GORDO'!A7212=""," ",'S.H BOI GORDO'!A7212)</f>
        <v/>
      </c>
      <c r="B130" s="1">
        <f>B129</f>
        <v/>
      </c>
    </row>
    <row r="131">
      <c r="A131" s="9">
        <f>IF('S.H BOI GORDO'!A7213=""," ",'S.H BOI GORDO'!A7213)</f>
        <v/>
      </c>
      <c r="B131" s="1">
        <f>B130</f>
        <v/>
      </c>
    </row>
    <row r="132">
      <c r="A132" s="9">
        <f>IF('S.H BOI GORDO'!A7214=""," ",'S.H BOI GORDO'!A7214)</f>
        <v/>
      </c>
      <c r="B132" s="1">
        <f>B131</f>
        <v/>
      </c>
    </row>
    <row r="133">
      <c r="A133" s="9">
        <f>IF('S.H BOI GORDO'!A7215=""," ",'S.H BOI GORDO'!A7215)</f>
        <v/>
      </c>
      <c r="B133" s="1">
        <f>B132</f>
        <v/>
      </c>
    </row>
    <row r="134">
      <c r="A134" s="9">
        <f>IF('S.H BOI GORDO'!A7216=""," ",'S.H BOI GORDO'!A7216)</f>
        <v/>
      </c>
      <c r="B134" s="1">
        <f>B133</f>
        <v/>
      </c>
    </row>
    <row r="135">
      <c r="A135" s="9">
        <f>IF('S.H BOI GORDO'!A7217=""," ",'S.H BOI GORDO'!A7217)</f>
        <v/>
      </c>
      <c r="B135" s="1">
        <f>B134</f>
        <v/>
      </c>
    </row>
    <row r="136">
      <c r="A136" s="9">
        <f>IF('S.H BOI GORDO'!A7218=""," ",'S.H BOI GORDO'!A7218)</f>
        <v/>
      </c>
      <c r="B136" s="1">
        <f>B135</f>
        <v/>
      </c>
    </row>
    <row r="137">
      <c r="A137" s="9">
        <f>IF('S.H BOI GORDO'!A7219=""," ",'S.H BOI GORDO'!A7219)</f>
        <v/>
      </c>
      <c r="B137" s="1">
        <f>B136</f>
        <v/>
      </c>
    </row>
    <row r="138">
      <c r="A138" s="9">
        <f>IF('S.H BOI GORDO'!A7220=""," ",'S.H BOI GORDO'!A7220)</f>
        <v/>
      </c>
      <c r="B138" s="1">
        <f>B137</f>
        <v/>
      </c>
    </row>
    <row r="139">
      <c r="A139" s="9">
        <f>IF('S.H BOI GORDO'!A7221=""," ",'S.H BOI GORDO'!A7221)</f>
        <v/>
      </c>
      <c r="B139" s="1">
        <f>B138</f>
        <v/>
      </c>
    </row>
    <row r="140">
      <c r="A140" s="9">
        <f>IF('S.H BOI GORDO'!A7222=""," ",'S.H BOI GORDO'!A7222)</f>
        <v/>
      </c>
      <c r="B140" s="1">
        <f>B139</f>
        <v/>
      </c>
    </row>
    <row r="141">
      <c r="A141" s="9">
        <f>IF('S.H BOI GORDO'!A7223=""," ",'S.H BOI GORDO'!A7223)</f>
        <v/>
      </c>
      <c r="B141" s="1">
        <f>B140</f>
        <v/>
      </c>
    </row>
    <row r="142">
      <c r="A142" s="9">
        <f>IF('S.H BOI GORDO'!A7224=""," ",'S.H BOI GORDO'!A7224)</f>
        <v/>
      </c>
      <c r="B142" s="1">
        <f>B141</f>
        <v/>
      </c>
    </row>
    <row r="143">
      <c r="A143" s="9">
        <f>IF('S.H BOI GORDO'!A7225=""," ",'S.H BOI GORDO'!A7225)</f>
        <v/>
      </c>
      <c r="B143" s="1">
        <f>B142</f>
        <v/>
      </c>
    </row>
    <row r="144">
      <c r="A144" s="9">
        <f>IF('S.H BOI GORDO'!A7226=""," ",'S.H BOI GORDO'!A7226)</f>
        <v/>
      </c>
      <c r="B144" s="1">
        <f>B143</f>
        <v/>
      </c>
    </row>
    <row r="145">
      <c r="A145" s="9">
        <f>IF('S.H BOI GORDO'!A7227=""," ",'S.H BOI GORDO'!A7227)</f>
        <v/>
      </c>
      <c r="B145" s="1">
        <f>B144</f>
        <v/>
      </c>
    </row>
    <row r="146">
      <c r="A146" s="9">
        <f>IF('S.H BOI GORDO'!A7228=""," ",'S.H BOI GORDO'!A7228)</f>
        <v/>
      </c>
      <c r="B146" s="1">
        <f>B145</f>
        <v/>
      </c>
    </row>
    <row r="147">
      <c r="A147" s="9">
        <f>IF('S.H BOI GORDO'!A7229=""," ",'S.H BOI GORDO'!A7229)</f>
        <v/>
      </c>
      <c r="B147" s="1">
        <f>B146</f>
        <v/>
      </c>
    </row>
    <row r="148">
      <c r="A148" s="9">
        <f>IF('S.H BOI GORDO'!A7230=""," ",'S.H BOI GORDO'!A7230)</f>
        <v/>
      </c>
      <c r="B148" s="1">
        <f>B147</f>
        <v/>
      </c>
    </row>
    <row r="149">
      <c r="A149" s="9">
        <f>IF('S.H BOI GORDO'!A7231=""," ",'S.H BOI GORDO'!A7231)</f>
        <v/>
      </c>
      <c r="B149" s="1">
        <f>B148</f>
        <v/>
      </c>
    </row>
    <row r="150">
      <c r="A150" s="9">
        <f>IF('S.H BOI GORDO'!A7232=""," ",'S.H BOI GORDO'!A7232)</f>
        <v/>
      </c>
      <c r="B150" s="1">
        <f>B149</f>
        <v/>
      </c>
    </row>
    <row r="151">
      <c r="A151" s="9">
        <f>IF('S.H BOI GORDO'!A7233=""," ",'S.H BOI GORDO'!A7233)</f>
        <v/>
      </c>
      <c r="B151" s="1">
        <f>B150</f>
        <v/>
      </c>
    </row>
    <row r="152">
      <c r="A152" s="9">
        <f>IF('S.H BOI GORDO'!A7234=""," ",'S.H BOI GORDO'!A7234)</f>
        <v/>
      </c>
      <c r="B152" s="1">
        <f>B151</f>
        <v/>
      </c>
    </row>
    <row r="153">
      <c r="A153" s="9">
        <f>IF('S.H BOI GORDO'!A7235=""," ",'S.H BOI GORDO'!A7235)</f>
        <v/>
      </c>
      <c r="B153" s="1">
        <f>B152</f>
        <v/>
      </c>
    </row>
    <row r="154">
      <c r="A154" s="9">
        <f>IF('S.H BOI GORDO'!A7236=""," ",'S.H BOI GORDO'!A7236)</f>
        <v/>
      </c>
      <c r="B154" s="1">
        <f>B153</f>
        <v/>
      </c>
    </row>
    <row r="155">
      <c r="A155" s="9">
        <f>IF('S.H BOI GORDO'!A7237=""," ",'S.H BOI GORDO'!A7237)</f>
        <v/>
      </c>
      <c r="B155" s="1">
        <f>B154</f>
        <v/>
      </c>
    </row>
    <row r="156">
      <c r="A156" s="9">
        <f>IF('S.H BOI GORDO'!A7238=""," ",'S.H BOI GORDO'!A7238)</f>
        <v/>
      </c>
      <c r="B156" s="1">
        <f>B155</f>
        <v/>
      </c>
    </row>
    <row r="157">
      <c r="A157" s="9">
        <f>IF('S.H BOI GORDO'!A7239=""," ",'S.H BOI GORDO'!A7239)</f>
        <v/>
      </c>
      <c r="B157" s="1">
        <f>B156</f>
        <v/>
      </c>
    </row>
    <row r="158">
      <c r="A158" s="9">
        <f>IF('S.H BOI GORDO'!A7240=""," ",'S.H BOI GORDO'!A7240)</f>
        <v/>
      </c>
      <c r="B158" s="1">
        <f>B157</f>
        <v/>
      </c>
    </row>
    <row r="159">
      <c r="A159" s="9">
        <f>IF('S.H BOI GORDO'!A7241=""," ",'S.H BOI GORDO'!A7241)</f>
        <v/>
      </c>
      <c r="B159" s="1">
        <f>B158</f>
        <v/>
      </c>
    </row>
    <row r="160">
      <c r="A160" s="9">
        <f>IF('S.H BOI GORDO'!A7242=""," ",'S.H BOI GORDO'!A7242)</f>
        <v/>
      </c>
      <c r="B160" s="1">
        <f>B159</f>
        <v/>
      </c>
    </row>
    <row r="161">
      <c r="A161" s="9">
        <f>IF('S.H BOI GORDO'!A7243=""," ",'S.H BOI GORDO'!A7243)</f>
        <v/>
      </c>
      <c r="B161" s="1">
        <f>B160</f>
        <v/>
      </c>
    </row>
    <row r="162">
      <c r="A162" s="9">
        <f>IF('S.H BOI GORDO'!A7244=""," ",'S.H BOI GORDO'!A7244)</f>
        <v/>
      </c>
      <c r="B162" s="1">
        <f>B161</f>
        <v/>
      </c>
    </row>
    <row r="163">
      <c r="A163" s="9">
        <f>IF('S.H BOI GORDO'!A7245=""," ",'S.H BOI GORDO'!A7245)</f>
        <v/>
      </c>
      <c r="B163" s="1">
        <f>B162</f>
        <v/>
      </c>
    </row>
    <row r="164">
      <c r="A164" s="9">
        <f>IF('S.H BOI GORDO'!A7246=""," ",'S.H BOI GORDO'!A7246)</f>
        <v/>
      </c>
      <c r="B164" s="1">
        <f>B163</f>
        <v/>
      </c>
    </row>
    <row r="165">
      <c r="A165" s="9">
        <f>IF('S.H BOI GORDO'!A7247=""," ",'S.H BOI GORDO'!A7247)</f>
        <v/>
      </c>
      <c r="B165" s="1">
        <f>B164</f>
        <v/>
      </c>
    </row>
    <row r="166">
      <c r="A166" s="9">
        <f>IF('S.H BOI GORDO'!A7248=""," ",'S.H BOI GORDO'!A7248)</f>
        <v/>
      </c>
      <c r="B166" s="1">
        <f>B165</f>
        <v/>
      </c>
    </row>
    <row r="167">
      <c r="A167" s="9">
        <f>IF('S.H BOI GORDO'!A7249=""," ",'S.H BOI GORDO'!A7249)</f>
        <v/>
      </c>
      <c r="B167" s="1">
        <f>B166</f>
        <v/>
      </c>
    </row>
    <row r="168">
      <c r="A168" s="9">
        <f>IF('S.H BOI GORDO'!A7250=""," ",'S.H BOI GORDO'!A7250)</f>
        <v/>
      </c>
      <c r="B168" s="1">
        <f>B167</f>
        <v/>
      </c>
    </row>
    <row r="169">
      <c r="A169" s="9">
        <f>IF('S.H BOI GORDO'!A7251=""," ",'S.H BOI GORDO'!A7251)</f>
        <v/>
      </c>
      <c r="B169" s="1">
        <f>B168</f>
        <v/>
      </c>
    </row>
    <row r="170">
      <c r="A170" s="9">
        <f>IF('S.H BOI GORDO'!A7252=""," ",'S.H BOI GORDO'!A7252)</f>
        <v/>
      </c>
      <c r="B170" s="1">
        <f>B169</f>
        <v/>
      </c>
    </row>
    <row r="171">
      <c r="A171" s="9">
        <f>IF('S.H BOI GORDO'!A7253=""," ",'S.H BOI GORDO'!A7253)</f>
        <v/>
      </c>
      <c r="B171" s="1">
        <f>B170</f>
        <v/>
      </c>
    </row>
    <row r="172">
      <c r="B172" s="1">
        <f>B171</f>
        <v/>
      </c>
    </row>
    <row r="173">
      <c r="B173" s="1">
        <f>B172</f>
        <v/>
      </c>
    </row>
    <row r="174">
      <c r="B174" s="1">
        <f>B173</f>
        <v/>
      </c>
    </row>
    <row r="175">
      <c r="B175" s="1">
        <f>B174</f>
        <v/>
      </c>
    </row>
    <row r="176">
      <c r="B176" s="1">
        <f>B175</f>
        <v/>
      </c>
    </row>
    <row r="177">
      <c r="B177" s="1">
        <f>B176</f>
        <v/>
      </c>
    </row>
    <row r="178">
      <c r="B178" s="1">
        <f>B177</f>
        <v/>
      </c>
    </row>
    <row r="179">
      <c r="B179" s="1">
        <f>B178</f>
        <v/>
      </c>
    </row>
    <row r="180">
      <c r="B180" s="1">
        <f>B179</f>
        <v/>
      </c>
    </row>
    <row r="181">
      <c r="B181" s="1">
        <f>B180</f>
        <v/>
      </c>
    </row>
    <row r="182">
      <c r="B182" s="1">
        <f>B181</f>
        <v/>
      </c>
    </row>
    <row r="183">
      <c r="B183" s="1">
        <f>B182</f>
        <v/>
      </c>
    </row>
    <row r="184">
      <c r="B184" s="1">
        <f>B183</f>
        <v/>
      </c>
    </row>
    <row r="185">
      <c r="B185" s="1">
        <f>B184</f>
        <v/>
      </c>
    </row>
    <row r="186">
      <c r="B186" s="1">
        <f>B185</f>
        <v/>
      </c>
    </row>
    <row r="187">
      <c r="B187" s="1">
        <f>B186</f>
        <v/>
      </c>
    </row>
    <row r="188">
      <c r="B188" s="1">
        <f>B187</f>
        <v/>
      </c>
    </row>
    <row r="189">
      <c r="B189" s="1">
        <f>B188</f>
        <v/>
      </c>
    </row>
    <row r="190">
      <c r="B190" s="1">
        <f>B189</f>
        <v/>
      </c>
    </row>
    <row r="191">
      <c r="B191" s="1">
        <f>B190</f>
        <v/>
      </c>
    </row>
    <row r="192">
      <c r="B192" s="1">
        <f>B191</f>
        <v/>
      </c>
    </row>
    <row r="193">
      <c r="B193" s="1">
        <f>B192</f>
        <v/>
      </c>
    </row>
    <row r="194">
      <c r="B194" s="1">
        <f>B193</f>
        <v/>
      </c>
    </row>
    <row r="195">
      <c r="B195" s="1">
        <f>B194</f>
        <v/>
      </c>
    </row>
    <row r="196">
      <c r="B196" s="1">
        <f>B195</f>
        <v/>
      </c>
    </row>
    <row r="197">
      <c r="B197" s="1">
        <f>B196</f>
        <v/>
      </c>
    </row>
    <row r="198">
      <c r="B198" s="1">
        <f>B197</f>
        <v/>
      </c>
    </row>
    <row r="199">
      <c r="B199" s="1">
        <f>B198</f>
        <v/>
      </c>
    </row>
    <row r="200">
      <c r="B200" s="1">
        <f>B199</f>
        <v/>
      </c>
    </row>
    <row r="201">
      <c r="B201" s="1">
        <f>B200</f>
        <v/>
      </c>
    </row>
    <row r="202">
      <c r="B202" s="1">
        <f>B201</f>
        <v/>
      </c>
    </row>
    <row r="203">
      <c r="B203" s="1">
        <f>B202</f>
        <v/>
      </c>
    </row>
    <row r="204">
      <c r="B204" s="1">
        <f>B203</f>
        <v/>
      </c>
    </row>
    <row r="205">
      <c r="B205" s="1">
        <f>B204</f>
        <v/>
      </c>
    </row>
    <row r="206">
      <c r="B206" s="1">
        <f>B205</f>
        <v/>
      </c>
    </row>
    <row r="207">
      <c r="B207" s="1">
        <f>B206</f>
        <v/>
      </c>
    </row>
    <row r="208">
      <c r="B208" s="1">
        <f>B207</f>
        <v/>
      </c>
    </row>
    <row r="209">
      <c r="B209" s="1">
        <f>B208</f>
        <v/>
      </c>
    </row>
    <row r="210">
      <c r="B210" s="1">
        <f>B209</f>
        <v/>
      </c>
    </row>
    <row r="211">
      <c r="B211" s="1">
        <f>B210</f>
        <v/>
      </c>
    </row>
    <row r="212">
      <c r="B212" s="1">
        <f>B211</f>
        <v/>
      </c>
    </row>
    <row r="213">
      <c r="B213" s="1">
        <f>B212</f>
        <v/>
      </c>
    </row>
    <row r="214">
      <c r="B214" s="1">
        <f>B213</f>
        <v/>
      </c>
    </row>
    <row r="215">
      <c r="B215" s="1">
        <f>B214</f>
        <v/>
      </c>
    </row>
    <row r="216">
      <c r="B216" s="1">
        <f>B215</f>
        <v/>
      </c>
    </row>
    <row r="217">
      <c r="B217" s="1">
        <f>B216</f>
        <v/>
      </c>
    </row>
    <row r="218">
      <c r="B218" s="1">
        <f>B217</f>
        <v/>
      </c>
    </row>
    <row r="219">
      <c r="B219" s="1">
        <f>B218</f>
        <v/>
      </c>
    </row>
    <row r="220">
      <c r="B220" s="1">
        <f>B219</f>
        <v/>
      </c>
    </row>
    <row r="221">
      <c r="B221" s="1">
        <f>B220</f>
        <v/>
      </c>
    </row>
    <row r="222">
      <c r="B222" s="1">
        <f>B221</f>
        <v/>
      </c>
    </row>
    <row r="223">
      <c r="B223" s="1">
        <f>B222</f>
        <v/>
      </c>
    </row>
    <row r="224">
      <c r="B224" s="1">
        <f>B223</f>
        <v/>
      </c>
    </row>
    <row r="225">
      <c r="B225" s="1">
        <f>B224</f>
        <v/>
      </c>
    </row>
    <row r="226">
      <c r="B226" s="1">
        <f>B225</f>
        <v/>
      </c>
    </row>
    <row r="227">
      <c r="B227" s="1">
        <f>B226</f>
        <v/>
      </c>
    </row>
    <row r="228">
      <c r="B228" s="1">
        <f>B227</f>
        <v/>
      </c>
    </row>
    <row r="229">
      <c r="B229" s="1">
        <f>B228</f>
        <v/>
      </c>
    </row>
    <row r="230">
      <c r="B230" s="1">
        <f>B229</f>
        <v/>
      </c>
    </row>
    <row r="231">
      <c r="B231" s="1">
        <f>B230</f>
        <v/>
      </c>
    </row>
    <row r="232">
      <c r="B232" s="1">
        <f>B231</f>
        <v/>
      </c>
    </row>
    <row r="233">
      <c r="B233" s="1">
        <f>B232</f>
        <v/>
      </c>
    </row>
    <row r="234">
      <c r="B234" s="1">
        <f>B233</f>
        <v/>
      </c>
    </row>
    <row r="235">
      <c r="B235" s="1">
        <f>B234</f>
        <v/>
      </c>
    </row>
    <row r="236">
      <c r="B236" s="1">
        <f>B235</f>
        <v/>
      </c>
    </row>
    <row r="237">
      <c r="B237" s="1">
        <f>B236</f>
        <v/>
      </c>
    </row>
    <row r="238">
      <c r="B238" s="1">
        <f>B237</f>
        <v/>
      </c>
    </row>
    <row r="239">
      <c r="B239" s="1">
        <f>B238</f>
        <v/>
      </c>
    </row>
    <row r="240">
      <c r="B240" s="1">
        <f>B239</f>
        <v/>
      </c>
    </row>
    <row r="241">
      <c r="B241" s="1">
        <f>B240</f>
        <v/>
      </c>
    </row>
    <row r="242">
      <c r="B242" s="1">
        <f>B241</f>
        <v/>
      </c>
    </row>
    <row r="243">
      <c r="B243" s="1">
        <f>B242</f>
        <v/>
      </c>
    </row>
    <row r="244">
      <c r="B244" s="1">
        <f>B243</f>
        <v/>
      </c>
    </row>
    <row r="245">
      <c r="B245" s="1">
        <f>B244</f>
        <v/>
      </c>
    </row>
    <row r="246">
      <c r="B246" s="1">
        <f>B245</f>
        <v/>
      </c>
    </row>
    <row r="247">
      <c r="B247" s="1">
        <f>B246</f>
        <v/>
      </c>
    </row>
    <row r="248">
      <c r="B248" s="1">
        <f>B247</f>
        <v/>
      </c>
    </row>
    <row r="249">
      <c r="B249" s="1">
        <f>B248</f>
        <v/>
      </c>
    </row>
    <row r="250">
      <c r="B250" s="1">
        <f>B249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2.xml><?xml version="1.0" encoding="utf-8"?>
<worksheet xmlns="http://schemas.openxmlformats.org/spreadsheetml/2006/main">
  <sheetPr codeName="Planilha52">
    <outlinePr summaryBelow="1" summaryRight="1"/>
    <pageSetUpPr/>
  </sheetPr>
  <dimension ref="A1:C210"/>
  <sheetViews>
    <sheetView topLeftCell="A155" zoomScale="80" zoomScaleNormal="80" workbookViewId="0">
      <selection activeCell="F168" sqref="F168"/>
    </sheetView>
  </sheetViews>
  <sheetFormatPr baseColWidth="8" defaultRowHeight="15" outlineLevelCol="0"/>
  <cols>
    <col width="18.140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45902</v>
      </c>
      <c r="B2" s="1" t="inlineStr">
        <is>
          <t>SJCK26</t>
        </is>
      </c>
      <c r="C2" t="n">
        <v>23.96</v>
      </c>
    </row>
    <row r="3">
      <c r="A3" s="4" t="n">
        <v>45903</v>
      </c>
      <c r="B3" s="1">
        <f>B2</f>
        <v/>
      </c>
      <c r="C3" t="n">
        <v>23.79</v>
      </c>
    </row>
    <row r="4">
      <c r="A4" s="4" t="n">
        <v>45904</v>
      </c>
      <c r="B4" s="1">
        <f>B3</f>
        <v/>
      </c>
      <c r="C4" t="n">
        <v>23.8</v>
      </c>
    </row>
    <row r="5">
      <c r="A5" s="4" t="n">
        <v>45905</v>
      </c>
      <c r="B5" s="1">
        <f>B4</f>
        <v/>
      </c>
      <c r="C5" t="n">
        <v>23.7</v>
      </c>
    </row>
    <row r="6">
      <c r="A6" s="4" t="n">
        <v>45908</v>
      </c>
      <c r="B6" s="1">
        <f>B5</f>
        <v/>
      </c>
      <c r="C6" t="n">
        <v>23.7</v>
      </c>
    </row>
    <row r="7">
      <c r="A7" s="4" t="n">
        <v>45909</v>
      </c>
      <c r="B7" s="1">
        <f>B6</f>
        <v/>
      </c>
      <c r="C7" t="n">
        <v>23.8</v>
      </c>
    </row>
    <row r="8">
      <c r="A8" s="4" t="n">
        <v>45910</v>
      </c>
      <c r="B8" s="1">
        <f>B7</f>
        <v/>
      </c>
      <c r="C8" t="n">
        <v>23.7</v>
      </c>
    </row>
    <row r="9">
      <c r="A9" s="4" t="n">
        <v>45911</v>
      </c>
      <c r="B9" s="1">
        <f>B8</f>
        <v/>
      </c>
      <c r="C9" t="n">
        <v>23.87</v>
      </c>
    </row>
    <row r="10">
      <c r="A10" s="4" t="n">
        <v>45912</v>
      </c>
      <c r="B10" s="1">
        <f>B9</f>
        <v/>
      </c>
      <c r="C10" t="n">
        <v>24.1</v>
      </c>
    </row>
    <row r="11">
      <c r="A11" s="4" t="n">
        <v>45915</v>
      </c>
      <c r="B11" s="1">
        <f>B10</f>
        <v/>
      </c>
      <c r="C11" t="n">
        <v>24.1</v>
      </c>
    </row>
    <row r="12">
      <c r="A12" s="4" t="n">
        <v>45916</v>
      </c>
      <c r="B12" s="1">
        <f>B11</f>
        <v/>
      </c>
      <c r="C12" t="n">
        <v>24.2</v>
      </c>
    </row>
    <row r="13">
      <c r="A13" s="4" t="n">
        <v>45917</v>
      </c>
      <c r="B13" s="1">
        <f>B12</f>
        <v/>
      </c>
      <c r="C13" t="n">
        <v>24.04</v>
      </c>
    </row>
    <row r="14">
      <c r="A14" s="4" t="n">
        <v>45918</v>
      </c>
      <c r="B14" s="1">
        <f>B13</f>
        <v/>
      </c>
      <c r="C14" t="n">
        <v>23.9</v>
      </c>
    </row>
    <row r="15">
      <c r="A15" s="4" t="n">
        <v>45919</v>
      </c>
      <c r="B15" s="1">
        <f>B14</f>
        <v/>
      </c>
      <c r="C15" t="n">
        <v>23.68</v>
      </c>
    </row>
    <row r="16">
      <c r="A16" s="4" t="n">
        <v>45922</v>
      </c>
      <c r="B16" s="1">
        <f>B15</f>
        <v/>
      </c>
      <c r="C16" t="n">
        <v>23.36</v>
      </c>
    </row>
    <row r="17">
      <c r="A17" s="4" t="n">
        <v>45923</v>
      </c>
      <c r="B17" s="1">
        <f>B16</f>
        <v/>
      </c>
      <c r="C17" t="n">
        <v>23.36</v>
      </c>
    </row>
    <row r="18">
      <c r="A18" s="4" t="n">
        <v>45924</v>
      </c>
      <c r="B18" s="1">
        <f>B17</f>
        <v/>
      </c>
      <c r="C18" t="n">
        <v>23.5</v>
      </c>
    </row>
    <row r="19">
      <c r="A19" s="4" t="n">
        <v>45925</v>
      </c>
      <c r="B19" s="1">
        <f>B18</f>
        <v/>
      </c>
      <c r="C19" t="n">
        <v>23.42</v>
      </c>
    </row>
    <row r="20">
      <c r="A20" s="4" t="n">
        <v>45926</v>
      </c>
      <c r="B20" s="1">
        <f>B19</f>
        <v/>
      </c>
      <c r="C20" t="n">
        <v>23.4</v>
      </c>
    </row>
    <row r="21">
      <c r="A21" s="4" t="n">
        <v>45929</v>
      </c>
      <c r="B21" s="1">
        <f>B20</f>
        <v/>
      </c>
      <c r="C21" t="n">
        <v>23.4</v>
      </c>
    </row>
    <row r="22">
      <c r="A22" s="4" t="n">
        <v>45930</v>
      </c>
      <c r="B22" s="1">
        <f>B21</f>
        <v/>
      </c>
      <c r="C22" t="n">
        <v>23.2</v>
      </c>
    </row>
    <row r="23">
      <c r="A23" s="4" t="n">
        <v>45931</v>
      </c>
      <c r="B23" s="1">
        <f>B22</f>
        <v/>
      </c>
      <c r="C23" t="n">
        <v>23.4</v>
      </c>
    </row>
    <row r="24">
      <c r="A24" s="4" t="n">
        <v>45932</v>
      </c>
      <c r="B24" s="1">
        <f>B23</f>
        <v/>
      </c>
      <c r="C24" t="n">
        <v>23.6</v>
      </c>
    </row>
    <row r="25">
      <c r="A25" s="4" t="n">
        <v>45933</v>
      </c>
      <c r="B25" s="1">
        <f>B24</f>
        <v/>
      </c>
      <c r="C25" t="n">
        <v>23.52</v>
      </c>
    </row>
    <row r="26">
      <c r="A26" s="4" t="n">
        <v>45936</v>
      </c>
      <c r="B26" s="1">
        <f>B25</f>
        <v/>
      </c>
      <c r="C26" t="n">
        <v>23.52</v>
      </c>
    </row>
    <row r="27">
      <c r="A27" s="4" t="n">
        <v>45937</v>
      </c>
      <c r="B27" s="1">
        <f>B26</f>
        <v/>
      </c>
      <c r="C27" t="n">
        <v>23.55</v>
      </c>
    </row>
    <row r="28">
      <c r="A28" s="4" t="n">
        <v>45938</v>
      </c>
      <c r="B28" s="1">
        <f>B27</f>
        <v/>
      </c>
      <c r="C28" t="n">
        <v>23.6</v>
      </c>
    </row>
    <row r="29">
      <c r="A29" s="4" t="n">
        <v>45939</v>
      </c>
      <c r="B29" s="1">
        <f>B28</f>
        <v/>
      </c>
      <c r="C29" t="n">
        <v>23.5</v>
      </c>
    </row>
    <row r="30">
      <c r="A30" s="4" t="n">
        <v>45940</v>
      </c>
      <c r="B30" s="1">
        <f>B29</f>
        <v/>
      </c>
      <c r="C30" t="n">
        <v>23.17</v>
      </c>
    </row>
    <row r="31">
      <c r="A31" s="4" t="n">
        <v>45943</v>
      </c>
      <c r="B31" s="1">
        <f>B30</f>
        <v/>
      </c>
      <c r="C31" t="n">
        <v>23.23</v>
      </c>
    </row>
    <row r="32">
      <c r="A32" s="4" t="n">
        <v>45944</v>
      </c>
      <c r="B32" s="1">
        <f>B31</f>
        <v/>
      </c>
      <c r="C32" t="n">
        <v>23.15</v>
      </c>
    </row>
    <row r="33">
      <c r="A33" s="4" t="n">
        <v>45945</v>
      </c>
      <c r="B33" s="1">
        <f>B32</f>
        <v/>
      </c>
      <c r="C33" t="n">
        <v>23.3</v>
      </c>
    </row>
    <row r="34">
      <c r="A34" s="4" t="n">
        <v>45946</v>
      </c>
      <c r="B34" s="1">
        <f>B33</f>
        <v/>
      </c>
      <c r="C34" t="n">
        <v>23.4</v>
      </c>
    </row>
    <row r="35">
      <c r="A35" s="4" t="n">
        <v>45947</v>
      </c>
      <c r="B35" s="1">
        <f>B34</f>
        <v/>
      </c>
      <c r="C35" t="n">
        <v>23.5</v>
      </c>
    </row>
    <row r="36">
      <c r="A36" s="4" t="n">
        <v>45950</v>
      </c>
      <c r="B36" s="1">
        <f>B35</f>
        <v/>
      </c>
      <c r="C36" t="n">
        <v>23.7</v>
      </c>
    </row>
    <row r="37">
      <c r="A37" s="4" t="n">
        <v>45951</v>
      </c>
      <c r="B37" s="1">
        <f>B36</f>
        <v/>
      </c>
      <c r="C37" t="n">
        <v>23.67</v>
      </c>
    </row>
    <row r="38">
      <c r="A38" s="4" t="n">
        <v>45952</v>
      </c>
      <c r="B38" s="1">
        <f>B37</f>
        <v/>
      </c>
      <c r="C38" t="n">
        <v>23.67</v>
      </c>
    </row>
    <row r="39">
      <c r="A39" s="4" t="n">
        <v>45953</v>
      </c>
      <c r="B39" s="1">
        <f>B38</f>
        <v/>
      </c>
      <c r="C39" t="n">
        <v>23.9</v>
      </c>
    </row>
    <row r="40">
      <c r="A40" s="4" t="n">
        <v>45954</v>
      </c>
      <c r="B40" s="1">
        <f>B39</f>
        <v/>
      </c>
      <c r="C40" t="n">
        <v>23.95</v>
      </c>
    </row>
    <row r="41">
      <c r="A41" s="4" t="n">
        <v>45957</v>
      </c>
      <c r="B41" s="1">
        <f>B40</f>
        <v/>
      </c>
      <c r="C41" t="n">
        <v>24.4</v>
      </c>
    </row>
    <row r="42">
      <c r="A42" s="4" t="n">
        <v>45958</v>
      </c>
      <c r="B42" s="1">
        <f>B41</f>
        <v/>
      </c>
      <c r="C42" t="n">
        <v>24.63</v>
      </c>
    </row>
    <row r="43">
      <c r="A43" s="4" t="n">
        <v>45959</v>
      </c>
      <c r="B43" s="1">
        <f>B42</f>
        <v/>
      </c>
      <c r="C43" t="n">
        <v>24.6</v>
      </c>
    </row>
    <row r="44">
      <c r="A44" s="4" t="n">
        <v>45960</v>
      </c>
      <c r="B44" s="1">
        <f>B43</f>
        <v/>
      </c>
      <c r="C44" t="n">
        <v>24.8</v>
      </c>
    </row>
    <row r="45">
      <c r="A45" s="4" t="n">
        <v>45961</v>
      </c>
      <c r="B45" s="1">
        <f>B44</f>
        <v/>
      </c>
      <c r="C45" t="n">
        <v>24.95</v>
      </c>
    </row>
    <row r="46">
      <c r="A46" s="4" t="n">
        <v>45964</v>
      </c>
      <c r="B46" s="1">
        <f>B45</f>
        <v/>
      </c>
      <c r="C46" t="n">
        <v>25.3</v>
      </c>
    </row>
    <row r="47">
      <c r="A47" s="4" t="n">
        <v>45965</v>
      </c>
      <c r="B47" s="1">
        <f>B46</f>
        <v/>
      </c>
      <c r="C47" t="n">
        <v>25.06</v>
      </c>
    </row>
    <row r="48">
      <c r="A48" s="4" t="n">
        <v>45966</v>
      </c>
      <c r="B48" s="1">
        <f>B47</f>
        <v/>
      </c>
      <c r="C48" t="n">
        <v>25.36</v>
      </c>
    </row>
    <row r="49">
      <c r="A49" s="4" t="n">
        <v>45967</v>
      </c>
      <c r="B49" s="1">
        <f>B48</f>
        <v/>
      </c>
      <c r="C49" t="n">
        <v>24.87</v>
      </c>
    </row>
    <row r="50">
      <c r="A50" s="4" t="n">
        <v>45968</v>
      </c>
      <c r="B50" s="1">
        <f>B49</f>
        <v/>
      </c>
      <c r="C50" t="n">
        <v>25.0441</v>
      </c>
    </row>
    <row r="51">
      <c r="A51" s="4" t="n">
        <v>45971</v>
      </c>
      <c r="B51" s="1">
        <f>B50</f>
        <v/>
      </c>
      <c r="C51" t="n">
        <v>25.3417</v>
      </c>
    </row>
    <row r="52">
      <c r="A52" s="4" t="n">
        <v>45972</v>
      </c>
      <c r="B52" s="1">
        <f>B51</f>
        <v/>
      </c>
      <c r="C52" t="n">
        <v>25.3362</v>
      </c>
    </row>
    <row r="53">
      <c r="A53" s="4" t="n">
        <v>45973</v>
      </c>
      <c r="B53" s="1">
        <f>B52</f>
        <v/>
      </c>
      <c r="C53" t="n">
        <v>25.463</v>
      </c>
    </row>
    <row r="54">
      <c r="A54" s="4" t="n">
        <v>45974</v>
      </c>
      <c r="B54" s="1">
        <f>B53</f>
        <v/>
      </c>
      <c r="C54" t="n">
        <v>25.711</v>
      </c>
    </row>
    <row r="55">
      <c r="A55" s="4" t="n">
        <v>45975</v>
      </c>
      <c r="B55" s="1">
        <f>B54</f>
        <v/>
      </c>
      <c r="C55" t="n">
        <v>25.2756</v>
      </c>
    </row>
    <row r="56">
      <c r="A56" s="4" t="n">
        <v>45978</v>
      </c>
      <c r="B56" s="1">
        <f>B55</f>
        <v/>
      </c>
      <c r="C56" t="n">
        <v>25.7937</v>
      </c>
    </row>
    <row r="57">
      <c r="A57" s="4" t="n">
        <v>45979</v>
      </c>
      <c r="B57" s="1">
        <f>B56</f>
        <v/>
      </c>
      <c r="C57" t="n">
        <v>25.733</v>
      </c>
    </row>
    <row r="58">
      <c r="A58" s="4" t="n">
        <v>45980</v>
      </c>
      <c r="B58" s="1">
        <f>B57</f>
        <v/>
      </c>
      <c r="C58" t="n">
        <v>25.4078</v>
      </c>
    </row>
    <row r="59">
      <c r="A59" s="4" t="n">
        <v>45982</v>
      </c>
      <c r="B59" s="1">
        <f>B58</f>
        <v/>
      </c>
      <c r="C59" t="n">
        <v>25.2039</v>
      </c>
    </row>
    <row r="60">
      <c r="A60" s="4" t="n">
        <v>45985</v>
      </c>
      <c r="B60" s="1">
        <f>B59</f>
        <v/>
      </c>
      <c r="C60" t="n">
        <v>25.1764</v>
      </c>
    </row>
    <row r="61">
      <c r="A61" s="4" t="n">
        <v>45986</v>
      </c>
      <c r="B61" s="1">
        <f>B60</f>
        <v/>
      </c>
      <c r="C61" t="n">
        <v>25.2425</v>
      </c>
    </row>
    <row r="62">
      <c r="A62" s="4" t="n">
        <v>45987</v>
      </c>
      <c r="B62" s="1">
        <f>B61</f>
        <v/>
      </c>
      <c r="C62" t="n">
        <v>25.3638</v>
      </c>
    </row>
    <row r="63">
      <c r="A63" s="4" t="n">
        <v>45989</v>
      </c>
      <c r="B63" s="1">
        <f>B62</f>
        <v/>
      </c>
      <c r="C63" t="n">
        <v>25.4685</v>
      </c>
    </row>
    <row r="64">
      <c r="A64" s="4" t="n">
        <v>45992</v>
      </c>
      <c r="B64" s="1">
        <f>B63</f>
        <v/>
      </c>
      <c r="C64" t="n">
        <v>25.2976</v>
      </c>
    </row>
    <row r="65">
      <c r="A65" s="4" t="n">
        <v>45993</v>
      </c>
      <c r="B65" s="1">
        <f>B64</f>
        <v/>
      </c>
      <c r="C65" t="n">
        <v>25.237</v>
      </c>
    </row>
    <row r="66">
      <c r="A66" s="4" t="n">
        <v>45994</v>
      </c>
      <c r="B66" s="1">
        <f>B65</f>
        <v/>
      </c>
      <c r="C66" t="n">
        <v>25.0165</v>
      </c>
    </row>
    <row r="67">
      <c r="A67" s="4" t="n">
        <v>45995</v>
      </c>
      <c r="B67" s="1">
        <f>B66</f>
        <v/>
      </c>
      <c r="C67" s="1" t="n">
        <v>25.0716</v>
      </c>
    </row>
    <row r="68">
      <c r="A68" s="4" t="n">
        <v>45996</v>
      </c>
      <c r="B68" s="1">
        <f>B67</f>
        <v/>
      </c>
      <c r="C68" s="1" t="n">
        <v>24.8126</v>
      </c>
    </row>
    <row r="69">
      <c r="A69" s="4" t="n">
        <v>45999</v>
      </c>
      <c r="B69" s="1">
        <f>B68</f>
        <v/>
      </c>
      <c r="C69" s="1" t="n">
        <v>24.6197</v>
      </c>
    </row>
    <row r="70">
      <c r="A70" s="4" t="n">
        <v>46000</v>
      </c>
      <c r="B70" s="1">
        <f>B69</f>
        <v/>
      </c>
      <c r="C70" s="1" t="n">
        <v>24.4433</v>
      </c>
    </row>
    <row r="71">
      <c r="A71" s="4" t="n">
        <v>46001</v>
      </c>
      <c r="B71" s="1">
        <f>B70</f>
        <v/>
      </c>
      <c r="C71" s="1" t="n">
        <v>24.4819</v>
      </c>
    </row>
    <row r="72">
      <c r="A72" s="4" t="n">
        <v>46002</v>
      </c>
      <c r="B72" s="1">
        <f>B71</f>
        <v/>
      </c>
      <c r="C72" s="1" t="n">
        <v>24.5205</v>
      </c>
    </row>
    <row r="73">
      <c r="A73" s="4" t="n">
        <v>46003</v>
      </c>
      <c r="B73" s="1">
        <f>B72</f>
        <v/>
      </c>
      <c r="C73" s="1" t="n">
        <v>24.1843</v>
      </c>
    </row>
    <row r="74">
      <c r="A74" s="4" t="n">
        <v>46006</v>
      </c>
      <c r="B74" s="1">
        <f>B73</f>
        <v/>
      </c>
      <c r="C74" t="n">
        <v>24.0961</v>
      </c>
    </row>
    <row r="75">
      <c r="A75" s="4" t="n">
        <v>46007</v>
      </c>
      <c r="B75" s="1">
        <f>B74</f>
        <v/>
      </c>
      <c r="C75" t="n">
        <v>23.8757</v>
      </c>
    </row>
    <row r="76">
      <c r="A76" s="4" t="n">
        <v>46008</v>
      </c>
      <c r="B76" s="1">
        <f>B75</f>
        <v/>
      </c>
      <c r="C76" t="n">
        <v>23.8095</v>
      </c>
    </row>
    <row r="77">
      <c r="A77" s="4" t="n">
        <v>46009</v>
      </c>
      <c r="B77" s="1">
        <f>B76</f>
        <v/>
      </c>
      <c r="C77" t="n">
        <v>23.6607</v>
      </c>
    </row>
    <row r="78">
      <c r="A78" s="4" t="n">
        <v>46010</v>
      </c>
      <c r="B78" s="1">
        <f>B77</f>
        <v/>
      </c>
      <c r="C78" t="n">
        <v>23.6001</v>
      </c>
    </row>
    <row r="79">
      <c r="A79" s="4" t="n">
        <v>46013</v>
      </c>
      <c r="B79" s="1">
        <f>B78</f>
        <v/>
      </c>
      <c r="C79" t="n">
        <v>23.7103</v>
      </c>
    </row>
    <row r="80">
      <c r="A80" s="4" t="n">
        <v>46014</v>
      </c>
      <c r="B80" s="1">
        <f>B79</f>
        <v/>
      </c>
      <c r="C80" t="n">
        <v>23.6828</v>
      </c>
    </row>
    <row r="81">
      <c r="A81" s="4" t="n">
        <v>46017</v>
      </c>
      <c r="B81" s="1">
        <f>B80</f>
        <v/>
      </c>
      <c r="C81" t="n">
        <v>23.9032</v>
      </c>
    </row>
    <row r="82">
      <c r="A82" s="4" t="n">
        <v>46020</v>
      </c>
      <c r="B82" s="1">
        <f>B81</f>
        <v/>
      </c>
      <c r="C82" t="n">
        <v>23.7048</v>
      </c>
    </row>
    <row r="83">
      <c r="A83" s="4" t="n">
        <v>46024</v>
      </c>
      <c r="B83" s="1">
        <f>B82</f>
        <v/>
      </c>
      <c r="C83" t="n">
        <v>23.3355</v>
      </c>
    </row>
    <row r="84">
      <c r="A84" s="4" t="n">
        <v>46027</v>
      </c>
      <c r="B84" s="1">
        <f>B83</f>
        <v/>
      </c>
      <c r="C84" t="n">
        <v>23.6828</v>
      </c>
    </row>
    <row r="85">
      <c r="A85" s="4" t="n">
        <v>46028</v>
      </c>
      <c r="B85" s="1">
        <f>B84</f>
        <v/>
      </c>
      <c r="C85" t="n">
        <v>23.545</v>
      </c>
    </row>
    <row r="86">
      <c r="A86" s="4" t="n">
        <v>46029</v>
      </c>
      <c r="B86" s="1">
        <f>B85</f>
        <v/>
      </c>
      <c r="C86" t="n">
        <v>23.782</v>
      </c>
    </row>
    <row r="87">
      <c r="A87" s="4" t="n">
        <v>46030</v>
      </c>
      <c r="B87" s="1">
        <f>B86</f>
        <v/>
      </c>
      <c r="C87" t="n">
        <v>23.6607</v>
      </c>
    </row>
    <row r="88">
      <c r="A88" s="4" t="n">
        <v>46031</v>
      </c>
      <c r="B88" s="1">
        <f>B87</f>
        <v/>
      </c>
      <c r="C88" t="n">
        <v>23.6883</v>
      </c>
    </row>
    <row r="89">
      <c r="A89" s="4" t="n">
        <v>46034</v>
      </c>
      <c r="B89" s="1">
        <f>B88</f>
        <v/>
      </c>
      <c r="C89" t="n">
        <v>23.4072</v>
      </c>
    </row>
    <row r="90">
      <c r="A90" s="4" t="n">
        <v>46035</v>
      </c>
      <c r="B90" s="1">
        <f>B89</f>
        <v/>
      </c>
      <c r="C90" t="n">
        <v>23.1922</v>
      </c>
    </row>
    <row r="91">
      <c r="A91" s="4" t="n">
        <v>46036</v>
      </c>
      <c r="B91" s="1">
        <f>B90</f>
        <v/>
      </c>
      <c r="C91" t="n">
        <v>23.2584</v>
      </c>
    </row>
    <row r="92">
      <c r="A92" s="4" t="n">
        <v>46037</v>
      </c>
      <c r="B92" s="1">
        <f>B91</f>
        <v/>
      </c>
      <c r="C92" t="n">
        <v>23.4623</v>
      </c>
    </row>
    <row r="93">
      <c r="A93" s="4" t="n">
        <v>46038</v>
      </c>
      <c r="B93" s="1">
        <f>B92</f>
        <v/>
      </c>
      <c r="C93" t="n">
        <v>23.5615</v>
      </c>
    </row>
    <row r="94">
      <c r="A94" s="4" t="n">
        <v>46041</v>
      </c>
      <c r="B94" s="1">
        <f>B93</f>
        <v/>
      </c>
      <c r="C94" t="n">
        <v>23.5615</v>
      </c>
    </row>
    <row r="95">
      <c r="A95" s="9" t="n">
        <v>46042</v>
      </c>
      <c r="B95" s="1">
        <f>B94</f>
        <v/>
      </c>
      <c r="C95" t="n">
        <v>23.4568</v>
      </c>
    </row>
    <row r="96">
      <c r="A96" s="4" t="n">
        <v>46043</v>
      </c>
      <c r="B96" s="1">
        <f>B95</f>
        <v/>
      </c>
      <c r="C96" t="n">
        <v>23.6993</v>
      </c>
    </row>
    <row r="97">
      <c r="A97" s="4" t="n">
        <v>46044</v>
      </c>
      <c r="B97" s="1">
        <f>B96</f>
        <v/>
      </c>
      <c r="C97" t="n">
        <v>23.7269</v>
      </c>
    </row>
    <row r="98">
      <c r="A98" s="9" t="n">
        <v>46045</v>
      </c>
      <c r="B98" s="1">
        <f>B97</f>
        <v/>
      </c>
      <c r="C98" t="n">
        <v>23.7985</v>
      </c>
    </row>
    <row r="99">
      <c r="A99" s="9" t="n">
        <v>46048</v>
      </c>
      <c r="B99" s="1">
        <f>B98</f>
        <v/>
      </c>
      <c r="C99" t="n">
        <v>23.6772</v>
      </c>
    </row>
    <row r="100">
      <c r="A100" s="9" t="n">
        <v>46049</v>
      </c>
      <c r="B100" s="1">
        <f>B99</f>
        <v/>
      </c>
      <c r="C100" t="n">
        <v>23.7985</v>
      </c>
    </row>
    <row r="101">
      <c r="A101" s="9" t="n">
        <v>46050</v>
      </c>
      <c r="B101" s="1">
        <f>B100</f>
        <v/>
      </c>
      <c r="C101" t="n">
        <v>23.9804</v>
      </c>
    </row>
    <row r="102">
      <c r="A102" s="9" t="n">
        <v>46051</v>
      </c>
      <c r="B102" s="1">
        <f>B101</f>
        <v/>
      </c>
      <c r="C102" t="n">
        <v>23.9363</v>
      </c>
    </row>
    <row r="103">
      <c r="A103" s="9" t="n">
        <v>46052</v>
      </c>
      <c r="B103" s="1">
        <f>B102</f>
        <v/>
      </c>
      <c r="C103" t="n">
        <v>23.7434</v>
      </c>
    </row>
    <row r="104">
      <c r="A104" s="9" t="n">
        <v>46055</v>
      </c>
      <c r="B104" s="1">
        <f>B103</f>
        <v/>
      </c>
      <c r="C104" t="n">
        <v>23.6442</v>
      </c>
    </row>
    <row r="105">
      <c r="A105" s="9" t="n">
        <v>46056</v>
      </c>
      <c r="B105" s="1">
        <f>B104</f>
        <v/>
      </c>
      <c r="C105" t="n">
        <v>23.7489</v>
      </c>
    </row>
    <row r="106">
      <c r="A106" s="9" t="n">
        <v>46057</v>
      </c>
      <c r="B106" s="1">
        <f>B105</f>
        <v/>
      </c>
      <c r="C106" t="n">
        <v>24.3552</v>
      </c>
    </row>
    <row r="107">
      <c r="A107" s="9" t="n">
        <v>46058</v>
      </c>
      <c r="B107" s="1">
        <f>B106</f>
        <v/>
      </c>
      <c r="C107" t="n">
        <v>24.8236</v>
      </c>
    </row>
    <row r="108">
      <c r="A108" s="9" t="n">
        <v>46059</v>
      </c>
      <c r="B108" s="1">
        <f>B107</f>
        <v/>
      </c>
      <c r="C108" t="n">
        <v>24.8843</v>
      </c>
    </row>
    <row r="109">
      <c r="A109" s="9" t="n">
        <v>46062</v>
      </c>
      <c r="B109" s="1">
        <f>B108</f>
        <v/>
      </c>
      <c r="C109" t="n">
        <v>24.8016</v>
      </c>
    </row>
    <row r="110">
      <c r="A110" s="9" t="n">
        <v>46063</v>
      </c>
      <c r="B110" s="1">
        <f>B109</f>
        <v/>
      </c>
      <c r="C110" t="n">
        <v>25.0772</v>
      </c>
    </row>
    <row r="111">
      <c r="A111" s="9" t="n">
        <v>46064</v>
      </c>
      <c r="B111" s="1">
        <f>B110</f>
        <v/>
      </c>
      <c r="C111" t="n">
        <v>25.1213</v>
      </c>
    </row>
    <row r="112">
      <c r="A112" s="9" t="n">
        <v>46065</v>
      </c>
      <c r="B112" s="1">
        <f>B111</f>
        <v/>
      </c>
      <c r="C112" t="n">
        <v>25.4023</v>
      </c>
    </row>
    <row r="113">
      <c r="A113" s="9" t="n">
        <v>46066</v>
      </c>
      <c r="B113" s="1">
        <f>B112</f>
        <v/>
      </c>
      <c r="C113" t="n">
        <v>25.3197</v>
      </c>
    </row>
    <row r="114">
      <c r="A114" s="9" t="n">
        <v>46071</v>
      </c>
      <c r="B114" s="1">
        <f>B113</f>
        <v/>
      </c>
      <c r="C114" t="n">
        <v>25.3307</v>
      </c>
    </row>
    <row r="115">
      <c r="A115" s="9" t="n">
        <v>46072</v>
      </c>
      <c r="B115" s="1">
        <f>B114</f>
        <v/>
      </c>
      <c r="C115" t="n">
        <v>25.485</v>
      </c>
    </row>
    <row r="116">
      <c r="A116" s="9" t="n">
        <v>46073</v>
      </c>
      <c r="B116" s="1">
        <f>B115</f>
        <v/>
      </c>
      <c r="C116" t="n">
        <v>25.4244</v>
      </c>
    </row>
    <row r="117">
      <c r="A117" s="9" t="n">
        <v>46076</v>
      </c>
      <c r="B117" s="1">
        <f>B116</f>
        <v/>
      </c>
      <c r="C117" t="n">
        <v>25.3472</v>
      </c>
    </row>
    <row r="118">
      <c r="A118" s="9" t="n">
        <v>46077</v>
      </c>
      <c r="B118" s="1">
        <f>B117</f>
        <v/>
      </c>
      <c r="C118" t="n">
        <v>25.4685</v>
      </c>
    </row>
    <row r="119">
      <c r="A119" s="9" t="n">
        <v>46078</v>
      </c>
      <c r="B119" s="1">
        <f>B118</f>
        <v/>
      </c>
      <c r="C119" t="n">
        <v>25.6834</v>
      </c>
    </row>
    <row r="120">
      <c r="A120" s="9" t="n">
        <v>46079</v>
      </c>
      <c r="B120" s="1">
        <f>B119</f>
        <v/>
      </c>
      <c r="C120" t="n">
        <v>25.6504</v>
      </c>
    </row>
    <row r="121">
      <c r="A121" s="9" t="n">
        <v>46080</v>
      </c>
      <c r="B121" s="1">
        <f>B120</f>
        <v/>
      </c>
      <c r="C121" t="n">
        <v>25.8102</v>
      </c>
    </row>
    <row r="122">
      <c r="A122" s="9" t="n">
        <v>46083</v>
      </c>
      <c r="B122" s="1">
        <f>B121</f>
        <v/>
      </c>
      <c r="C122" t="n">
        <v>25.6614</v>
      </c>
    </row>
    <row r="123">
      <c r="A123" s="9" t="n">
        <v>46084</v>
      </c>
      <c r="B123" s="1">
        <f>B122</f>
        <v/>
      </c>
      <c r="C123" t="n">
        <v>25.8047</v>
      </c>
    </row>
    <row r="124">
      <c r="A124" s="9" t="n">
        <v>46085</v>
      </c>
      <c r="B124" s="1">
        <f>B123</f>
        <v/>
      </c>
      <c r="C124" t="n">
        <v>25.7826</v>
      </c>
    </row>
    <row r="125">
      <c r="A125" s="9" t="n">
        <v>46086</v>
      </c>
      <c r="B125" s="1">
        <f>B124</f>
        <v/>
      </c>
      <c r="C125" t="n">
        <v>25.9976</v>
      </c>
    </row>
    <row r="126">
      <c r="A126" s="9" t="n">
        <v>46087</v>
      </c>
      <c r="B126" s="1">
        <f>B125</f>
        <v/>
      </c>
      <c r="C126" t="n">
        <v>26.4716</v>
      </c>
    </row>
    <row r="127">
      <c r="A127" s="9" t="n">
        <v>46090</v>
      </c>
      <c r="B127" s="1">
        <f>B126</f>
        <v/>
      </c>
      <c r="C127" t="n">
        <v>26.3724</v>
      </c>
    </row>
    <row r="128">
      <c r="A128" s="9" t="n">
        <v>46091</v>
      </c>
      <c r="B128" s="1">
        <f>B127</f>
        <v/>
      </c>
      <c r="C128" t="n">
        <v>26.4936</v>
      </c>
    </row>
    <row r="129">
      <c r="A129" s="9" t="n">
        <v>46092</v>
      </c>
      <c r="B129" s="1">
        <f>B128</f>
        <v/>
      </c>
      <c r="C129" t="n">
        <v>26.7637</v>
      </c>
    </row>
    <row r="130">
      <c r="A130" s="9" t="n">
        <v>46093</v>
      </c>
      <c r="B130" s="1">
        <f>B129</f>
        <v/>
      </c>
      <c r="C130" t="n">
        <v>27.0558</v>
      </c>
    </row>
    <row r="131">
      <c r="A131" s="9" t="n">
        <v>46094</v>
      </c>
      <c r="B131" s="1">
        <f>B130</f>
        <v/>
      </c>
      <c r="C131" t="n">
        <v>27.0117</v>
      </c>
    </row>
    <row r="132">
      <c r="A132" s="9" t="n">
        <v>46097</v>
      </c>
      <c r="B132" s="1">
        <f>B131</f>
        <v/>
      </c>
      <c r="C132" t="n">
        <v>25.47</v>
      </c>
    </row>
    <row r="133">
      <c r="A133" s="9" t="n">
        <v>46098</v>
      </c>
      <c r="B133" s="1">
        <f>B132</f>
        <v/>
      </c>
      <c r="C133" t="n">
        <v>25.5071</v>
      </c>
    </row>
    <row r="134">
      <c r="A134" s="9" t="n">
        <v>46099</v>
      </c>
      <c r="B134" s="1">
        <f>B133</f>
        <v/>
      </c>
      <c r="C134" t="n">
        <v>25.6118</v>
      </c>
    </row>
    <row r="135">
      <c r="A135" s="9" t="n">
        <v>46100</v>
      </c>
      <c r="B135" s="1">
        <f>B134</f>
        <v/>
      </c>
      <c r="C135" t="n">
        <v>25.7606</v>
      </c>
    </row>
    <row r="136">
      <c r="A136" s="9" t="n">
        <v>46101</v>
      </c>
      <c r="B136" s="1">
        <f>B135</f>
        <v/>
      </c>
      <c r="C136" t="n">
        <v>25.6007</v>
      </c>
    </row>
    <row r="137">
      <c r="A137" s="9" t="n">
        <v>46104</v>
      </c>
      <c r="B137" s="1">
        <f>B136</f>
        <v/>
      </c>
      <c r="C137" t="n">
        <v>25.6504</v>
      </c>
    </row>
    <row r="138">
      <c r="A138" s="9" t="n">
        <v>46105</v>
      </c>
      <c r="B138" s="1">
        <f>B137</f>
        <v/>
      </c>
      <c r="C138" t="n">
        <v>25.463</v>
      </c>
    </row>
    <row r="139">
      <c r="A139" s="9" t="n">
        <v>46106</v>
      </c>
      <c r="B139" s="1">
        <f>B138</f>
        <v/>
      </c>
      <c r="C139" t="n">
        <v>25.8322</v>
      </c>
    </row>
    <row r="140">
      <c r="A140" s="9" t="n">
        <v>46107</v>
      </c>
      <c r="B140" s="1">
        <f>B139</f>
        <v/>
      </c>
      <c r="C140" t="n">
        <v>25.8763</v>
      </c>
    </row>
    <row r="141">
      <c r="A141" s="9" t="n">
        <v>46108</v>
      </c>
      <c r="B141" s="1">
        <f>B140</f>
        <v/>
      </c>
      <c r="C141" t="n">
        <v>25.5567</v>
      </c>
    </row>
    <row r="142">
      <c r="A142" s="9" t="n">
        <v>46111</v>
      </c>
      <c r="B142" s="1">
        <f>B141</f>
        <v/>
      </c>
      <c r="C142" t="n">
        <v>25.5677</v>
      </c>
    </row>
    <row r="143">
      <c r="A143" s="9" t="n">
        <v>46112</v>
      </c>
      <c r="B143" s="1">
        <f>B142</f>
        <v/>
      </c>
      <c r="C143" t="n">
        <v>25.8157</v>
      </c>
    </row>
    <row r="144">
      <c r="A144" s="24" t="n">
        <v>46113</v>
      </c>
      <c r="B144" s="1">
        <f>B153</f>
        <v/>
      </c>
      <c r="C144" t="n">
        <v>25.7606</v>
      </c>
    </row>
    <row r="145">
      <c r="A145" s="24" t="n">
        <v>46114</v>
      </c>
      <c r="B145" s="1">
        <f>B154</f>
        <v/>
      </c>
      <c r="C145" t="n">
        <v>25.6504</v>
      </c>
    </row>
    <row r="146">
      <c r="A146" s="24" t="n">
        <v>46118</v>
      </c>
      <c r="B146" s="1">
        <f>B155</f>
        <v/>
      </c>
      <c r="C146" t="n">
        <v>25.722</v>
      </c>
    </row>
    <row r="147">
      <c r="A147" s="24" t="n">
        <v>46119</v>
      </c>
      <c r="B147" s="1">
        <f>B156</f>
        <v/>
      </c>
      <c r="C147" t="n">
        <v>25.5346</v>
      </c>
    </row>
    <row r="148">
      <c r="A148" s="24" t="n">
        <v>46120</v>
      </c>
      <c r="B148" s="1">
        <f>B157</f>
        <v/>
      </c>
      <c r="C148" t="n">
        <v>25.6173</v>
      </c>
    </row>
    <row r="149">
      <c r="A149" s="24" t="n">
        <v>46121</v>
      </c>
      <c r="B149" s="1">
        <f>B158</f>
        <v/>
      </c>
      <c r="C149" t="n">
        <v>25.6889</v>
      </c>
    </row>
    <row r="150">
      <c r="A150" s="24" t="n">
        <v>46122</v>
      </c>
      <c r="B150" s="1">
        <f>B159</f>
        <v/>
      </c>
      <c r="C150" t="n">
        <v>25.9204</v>
      </c>
    </row>
    <row r="151">
      <c r="A151" s="24" t="n">
        <v>46125</v>
      </c>
      <c r="B151" s="1">
        <f>B160</f>
        <v/>
      </c>
      <c r="C151" t="n">
        <v>25.6228</v>
      </c>
    </row>
    <row r="152">
      <c r="A152" s="24" t="n">
        <v>46126</v>
      </c>
      <c r="B152" s="1">
        <f>B161</f>
        <v/>
      </c>
      <c r="C152" t="n">
        <v>25.5291</v>
      </c>
    </row>
    <row r="153">
      <c r="A153" s="24" t="n">
        <v>46127</v>
      </c>
      <c r="B153" s="1">
        <f>B162</f>
        <v/>
      </c>
      <c r="C153" t="n">
        <v>25.7275</v>
      </c>
    </row>
    <row r="154">
      <c r="A154" s="24" t="n">
        <v>46128</v>
      </c>
      <c r="B154" s="1">
        <f>B163</f>
        <v/>
      </c>
      <c r="C154" t="n">
        <v>25.6559</v>
      </c>
    </row>
    <row r="155">
      <c r="A155" s="24" t="n">
        <v>46129</v>
      </c>
      <c r="B155" s="1">
        <f>B154</f>
        <v/>
      </c>
      <c r="C155" t="n">
        <v>25.733</v>
      </c>
    </row>
    <row r="156">
      <c r="A156" s="24" t="n">
        <v>46132</v>
      </c>
      <c r="B156" s="1">
        <f>B155</f>
        <v/>
      </c>
      <c r="C156" t="n">
        <v>25.7</v>
      </c>
    </row>
    <row r="157">
      <c r="A157" s="24" t="n">
        <v>46134</v>
      </c>
      <c r="B157" s="1">
        <f>B156</f>
        <v/>
      </c>
      <c r="C157" t="n">
        <v>25.6724</v>
      </c>
    </row>
    <row r="158">
      <c r="A158" s="24" t="n">
        <v>46135</v>
      </c>
      <c r="B158" s="1">
        <f>B157</f>
        <v/>
      </c>
      <c r="C158" t="n">
        <v>25.5677</v>
      </c>
    </row>
    <row r="159">
      <c r="A159" s="24" t="n">
        <v>46136</v>
      </c>
      <c r="B159" s="1">
        <f>B158</f>
        <v/>
      </c>
      <c r="C159" t="n">
        <v>25.6559</v>
      </c>
    </row>
    <row r="160">
      <c r="A160" s="24" t="n">
        <v>46139</v>
      </c>
      <c r="B160" s="1">
        <f>B159</f>
        <v/>
      </c>
      <c r="C160" t="n">
        <v>25.9535</v>
      </c>
    </row>
    <row r="161">
      <c r="A161" s="24" t="n">
        <v>46140</v>
      </c>
      <c r="B161" s="1">
        <f>B160</f>
        <v/>
      </c>
      <c r="C161" t="n">
        <v>25.8598</v>
      </c>
    </row>
    <row r="162">
      <c r="A162" s="24" t="n">
        <v>46141</v>
      </c>
      <c r="B162" s="1">
        <f>B161</f>
        <v/>
      </c>
      <c r="C162" t="n">
        <v>26.0637</v>
      </c>
    </row>
    <row r="163">
      <c r="B163" s="1">
        <f>B172</f>
        <v/>
      </c>
    </row>
    <row r="164">
      <c r="B164" s="1">
        <f>B173</f>
        <v/>
      </c>
    </row>
    <row r="165">
      <c r="A165" s="24" t="n"/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3.xml><?xml version="1.0" encoding="utf-8"?>
<worksheet xmlns="http://schemas.openxmlformats.org/spreadsheetml/2006/main">
  <sheetPr codeName="Planilha53">
    <outlinePr summaryBelow="1" summaryRight="1"/>
    <pageSetUpPr/>
  </sheetPr>
  <dimension ref="A1:C210"/>
  <sheetViews>
    <sheetView topLeftCell="A133" zoomScale="80" zoomScaleNormal="80" workbookViewId="0">
      <selection activeCell="E90" sqref="E90"/>
    </sheetView>
  </sheetViews>
  <sheetFormatPr baseColWidth="8" defaultRowHeight="15" outlineLevelCol="0"/>
  <cols>
    <col width="18.1406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45964</v>
      </c>
      <c r="B2" s="1" t="inlineStr">
        <is>
          <t>SJCN26</t>
        </is>
      </c>
      <c r="C2" t="n">
        <v>25.485</v>
      </c>
    </row>
    <row r="3">
      <c r="A3" s="4" t="n">
        <v>45965</v>
      </c>
      <c r="B3" s="1">
        <f>B2</f>
        <v/>
      </c>
      <c r="C3" t="n">
        <v>25.2205</v>
      </c>
    </row>
    <row r="4">
      <c r="A4" s="4" t="n">
        <v>45966</v>
      </c>
      <c r="B4" s="1">
        <f>B3</f>
        <v/>
      </c>
      <c r="C4" t="n">
        <v>25.5181</v>
      </c>
    </row>
    <row r="5">
      <c r="A5" s="4" t="n">
        <v>45967</v>
      </c>
      <c r="B5" s="1">
        <f>B4</f>
        <v/>
      </c>
      <c r="C5" t="n">
        <v>25.0661</v>
      </c>
    </row>
    <row r="6">
      <c r="A6" s="4" t="n">
        <v>45968</v>
      </c>
      <c r="B6" s="1">
        <f>B5</f>
        <v/>
      </c>
      <c r="C6" t="n">
        <v>25.2094</v>
      </c>
    </row>
    <row r="7">
      <c r="A7" s="4" t="n">
        <v>45971</v>
      </c>
      <c r="B7" s="1">
        <f>B6</f>
        <v/>
      </c>
      <c r="C7" t="n">
        <v>25.496</v>
      </c>
    </row>
    <row r="8">
      <c r="A8" s="4" t="n">
        <v>45972</v>
      </c>
      <c r="B8" s="1">
        <f>B7</f>
        <v/>
      </c>
      <c r="C8" t="n">
        <v>25.5071</v>
      </c>
    </row>
    <row r="9">
      <c r="A9" s="4" t="n">
        <v>45973</v>
      </c>
      <c r="B9" s="1">
        <f>B8</f>
        <v/>
      </c>
      <c r="C9" t="n">
        <v>25.6228</v>
      </c>
    </row>
    <row r="10">
      <c r="A10" s="4" t="n">
        <v>45974</v>
      </c>
      <c r="B10" s="1">
        <f>B9</f>
        <v/>
      </c>
      <c r="C10" t="n">
        <v>25.8543</v>
      </c>
    </row>
    <row r="11">
      <c r="A11" s="4" t="n">
        <v>45975</v>
      </c>
      <c r="B11" s="1">
        <f>B10</f>
        <v/>
      </c>
      <c r="C11" t="n">
        <v>25.4244</v>
      </c>
    </row>
    <row r="12">
      <c r="A12" s="4" t="n">
        <v>45978</v>
      </c>
      <c r="B12" s="1">
        <f>B11</f>
        <v/>
      </c>
      <c r="C12" t="n">
        <v>25.9094</v>
      </c>
    </row>
    <row r="13">
      <c r="A13" s="4" t="n">
        <v>45979</v>
      </c>
      <c r="B13" s="1">
        <f>B12</f>
        <v/>
      </c>
      <c r="C13" t="n">
        <v>25.8377</v>
      </c>
    </row>
    <row r="14">
      <c r="A14" s="4" t="n">
        <v>45980</v>
      </c>
      <c r="B14" s="1">
        <f>B13</f>
        <v/>
      </c>
      <c r="C14" t="n">
        <v>25.5346</v>
      </c>
    </row>
    <row r="15">
      <c r="A15" s="4" t="n">
        <v>45982</v>
      </c>
      <c r="B15" s="1">
        <f>B14</f>
        <v/>
      </c>
      <c r="C15" t="n">
        <v>25.3362</v>
      </c>
    </row>
    <row r="16">
      <c r="A16" s="4" t="n">
        <v>45985</v>
      </c>
      <c r="B16" s="1">
        <f>B15</f>
        <v/>
      </c>
      <c r="C16" t="n">
        <v>25.3417</v>
      </c>
    </row>
    <row r="17">
      <c r="A17" s="4" t="n">
        <v>45986</v>
      </c>
      <c r="B17" s="1">
        <f>B16</f>
        <v/>
      </c>
      <c r="C17" t="n">
        <v>25.4244</v>
      </c>
    </row>
    <row r="18">
      <c r="A18" s="4" t="n">
        <v>45987</v>
      </c>
      <c r="B18" s="1">
        <f>B17</f>
        <v/>
      </c>
      <c r="C18" t="n">
        <v>25.5401</v>
      </c>
    </row>
    <row r="19">
      <c r="A19" s="4" t="n">
        <v>45989</v>
      </c>
      <c r="B19" s="1">
        <f>B18</f>
        <v/>
      </c>
      <c r="C19" t="n">
        <v>25.6504</v>
      </c>
    </row>
    <row r="20">
      <c r="A20" s="4" t="n">
        <v>45992</v>
      </c>
      <c r="B20" s="1">
        <f>B19</f>
        <v/>
      </c>
      <c r="C20" t="n">
        <v>25.474</v>
      </c>
    </row>
    <row r="21">
      <c r="A21" s="4" t="n">
        <v>45993</v>
      </c>
      <c r="B21" s="1">
        <f>B20</f>
        <v/>
      </c>
      <c r="C21" t="n">
        <v>25.4244</v>
      </c>
    </row>
    <row r="22">
      <c r="A22" s="4" t="n">
        <v>45994</v>
      </c>
      <c r="B22" s="1">
        <f>B21</f>
        <v/>
      </c>
      <c r="C22" t="n">
        <v>25.1929</v>
      </c>
    </row>
    <row r="23">
      <c r="A23" s="4" t="n">
        <v>45995</v>
      </c>
      <c r="B23" s="1">
        <f>B22</f>
        <v/>
      </c>
      <c r="C23" t="n">
        <v>25.237</v>
      </c>
    </row>
    <row r="24">
      <c r="A24" s="4" t="n">
        <v>45996</v>
      </c>
      <c r="B24" s="1">
        <f>B23</f>
        <v/>
      </c>
      <c r="C24" t="n">
        <v>24.978</v>
      </c>
    </row>
    <row r="25">
      <c r="A25" s="4" t="n">
        <v>45999</v>
      </c>
      <c r="B25" s="1">
        <f>B24</f>
        <v/>
      </c>
      <c r="C25" t="n">
        <v>24.8181</v>
      </c>
    </row>
    <row r="26">
      <c r="A26" s="4" t="n">
        <v>46000</v>
      </c>
      <c r="B26" s="1">
        <f>B25</f>
        <v/>
      </c>
      <c r="C26" t="n">
        <v>24.6473</v>
      </c>
    </row>
    <row r="27">
      <c r="A27" s="4" t="n">
        <v>46001</v>
      </c>
      <c r="B27" s="1">
        <f>B26</f>
        <v/>
      </c>
      <c r="C27" t="n">
        <v>24.6803</v>
      </c>
    </row>
    <row r="28">
      <c r="A28" s="4" t="n">
        <v>46002</v>
      </c>
      <c r="B28" s="1">
        <f>B27</f>
        <v/>
      </c>
      <c r="C28" t="n">
        <v>24.7189</v>
      </c>
    </row>
    <row r="29">
      <c r="A29" s="4" t="n">
        <v>46003</v>
      </c>
      <c r="B29" s="1">
        <f>B28</f>
        <v/>
      </c>
      <c r="C29" t="n">
        <v>24.3937</v>
      </c>
    </row>
    <row r="30">
      <c r="A30" s="4" t="n">
        <v>46006</v>
      </c>
      <c r="B30" s="1">
        <f>B29</f>
        <v/>
      </c>
      <c r="C30" t="n">
        <v>24.3441</v>
      </c>
    </row>
    <row r="31">
      <c r="A31" s="4" t="n">
        <v>46007</v>
      </c>
      <c r="B31" s="1">
        <f>B30</f>
        <v/>
      </c>
      <c r="C31" t="n">
        <v>24.1237</v>
      </c>
    </row>
    <row r="32">
      <c r="A32" s="4" t="n">
        <v>46008</v>
      </c>
      <c r="B32" s="1">
        <f>B31</f>
        <v/>
      </c>
      <c r="C32" t="n">
        <v>24.0575</v>
      </c>
    </row>
    <row r="33">
      <c r="A33" s="4" t="n">
        <v>46009</v>
      </c>
      <c r="B33" s="1">
        <f>B32</f>
        <v/>
      </c>
      <c r="C33" t="n">
        <v>23.9198</v>
      </c>
    </row>
    <row r="34">
      <c r="A34" s="4" t="n">
        <v>46010</v>
      </c>
      <c r="B34" s="1">
        <f>B33</f>
        <v/>
      </c>
      <c r="C34" t="n">
        <v>23.8536</v>
      </c>
    </row>
    <row r="35">
      <c r="A35" s="4" t="n">
        <v>46013</v>
      </c>
      <c r="B35" s="1">
        <f>B34</f>
        <v/>
      </c>
      <c r="C35" t="n">
        <v>23.9473</v>
      </c>
    </row>
    <row r="36">
      <c r="A36" s="4" t="n">
        <v>46014</v>
      </c>
      <c r="B36" s="1">
        <f>B35</f>
        <v/>
      </c>
      <c r="C36" t="n">
        <v>23.8701</v>
      </c>
    </row>
    <row r="37">
      <c r="A37" s="4" t="n">
        <v>46017</v>
      </c>
      <c r="B37" s="1">
        <f>B36</f>
        <v/>
      </c>
      <c r="C37" t="n">
        <v>24.1512</v>
      </c>
    </row>
    <row r="38">
      <c r="A38" s="4" t="n">
        <v>46020</v>
      </c>
      <c r="B38" s="1">
        <f>B37</f>
        <v/>
      </c>
      <c r="C38" t="n">
        <v>23.9694</v>
      </c>
    </row>
    <row r="39">
      <c r="A39" s="4" t="n">
        <v>46024</v>
      </c>
      <c r="B39" s="1">
        <f>B38</f>
        <v/>
      </c>
      <c r="C39" t="n">
        <v>23.6332</v>
      </c>
    </row>
    <row r="40">
      <c r="A40" s="4" t="n">
        <v>46027</v>
      </c>
      <c r="B40" s="1">
        <f>B39</f>
        <v/>
      </c>
      <c r="C40" t="n">
        <v>23.9583</v>
      </c>
    </row>
    <row r="41">
      <c r="A41" s="4" t="n">
        <v>46028</v>
      </c>
      <c r="B41" s="1">
        <f>B40</f>
        <v/>
      </c>
      <c r="C41" t="n">
        <v>23.815</v>
      </c>
    </row>
    <row r="42">
      <c r="A42" s="4" t="n">
        <v>46029</v>
      </c>
      <c r="B42" s="1">
        <f>B41</f>
        <v/>
      </c>
      <c r="C42" t="n">
        <v>24.0355</v>
      </c>
    </row>
    <row r="43">
      <c r="A43" s="4" t="n">
        <v>46030</v>
      </c>
      <c r="B43" s="1">
        <f>B42</f>
        <v/>
      </c>
      <c r="C43" t="n">
        <v>23.9473</v>
      </c>
    </row>
    <row r="44">
      <c r="A44" s="4" t="n">
        <v>46031</v>
      </c>
      <c r="B44" s="1">
        <f>B43</f>
        <v/>
      </c>
      <c r="C44" t="n">
        <v>23.9804</v>
      </c>
    </row>
    <row r="45">
      <c r="A45" s="4" t="n">
        <v>46034</v>
      </c>
      <c r="B45" s="1">
        <f>B44</f>
        <v/>
      </c>
      <c r="C45" t="n">
        <v>23.7103</v>
      </c>
    </row>
    <row r="46">
      <c r="A46" s="2" t="n">
        <v>46035</v>
      </c>
      <c r="B46" s="1">
        <f>B45</f>
        <v/>
      </c>
      <c r="C46" t="n">
        <v>23.5009</v>
      </c>
    </row>
    <row r="47">
      <c r="A47" s="2" t="n">
        <v>46036</v>
      </c>
      <c r="B47" s="1">
        <f>B46</f>
        <v/>
      </c>
      <c r="C47" t="n">
        <v>23.5505</v>
      </c>
    </row>
    <row r="48">
      <c r="A48" s="4" t="n">
        <v>46037</v>
      </c>
      <c r="B48" s="1">
        <f>B47</f>
        <v/>
      </c>
      <c r="C48" t="n">
        <v>23.7269</v>
      </c>
    </row>
    <row r="49">
      <c r="A49" s="4" t="n">
        <v>46038</v>
      </c>
      <c r="B49" s="1">
        <f>B48</f>
        <v/>
      </c>
      <c r="C49" t="n">
        <v>23.8371</v>
      </c>
    </row>
    <row r="50">
      <c r="A50" s="4" t="n">
        <v>46041</v>
      </c>
      <c r="B50" s="1">
        <f>B49</f>
        <v/>
      </c>
      <c r="C50" t="n">
        <v>23.8371</v>
      </c>
    </row>
    <row r="51">
      <c r="A51" s="9" t="n">
        <v>46042</v>
      </c>
      <c r="B51" s="1">
        <f>B50</f>
        <v/>
      </c>
      <c r="C51" t="n">
        <v>23.7269</v>
      </c>
    </row>
    <row r="52">
      <c r="A52" s="4" t="n">
        <v>46043</v>
      </c>
      <c r="B52" s="1">
        <f>B51</f>
        <v/>
      </c>
      <c r="C52" t="n">
        <v>23.9694</v>
      </c>
    </row>
    <row r="53">
      <c r="A53" s="4" t="n">
        <v>46044</v>
      </c>
      <c r="B53" s="1">
        <f>B52</f>
        <v/>
      </c>
      <c r="C53" t="n">
        <v>24.0079</v>
      </c>
    </row>
    <row r="54">
      <c r="A54" s="9" t="n">
        <v>46045</v>
      </c>
      <c r="B54" s="1">
        <f>B53</f>
        <v/>
      </c>
      <c r="C54" t="n">
        <v>24.0851</v>
      </c>
    </row>
    <row r="55">
      <c r="A55" s="9" t="n">
        <v>46048</v>
      </c>
      <c r="B55" s="1">
        <f>B54</f>
        <v/>
      </c>
      <c r="C55" t="n">
        <v>23.9749</v>
      </c>
    </row>
    <row r="56">
      <c r="A56" s="9" t="n">
        <v>46049</v>
      </c>
      <c r="B56" s="1">
        <f>B55</f>
        <v/>
      </c>
      <c r="C56" t="n">
        <v>24.0851</v>
      </c>
    </row>
    <row r="57">
      <c r="A57" s="9" t="n">
        <v>46050</v>
      </c>
      <c r="B57" s="1">
        <f>B56</f>
        <v/>
      </c>
      <c r="C57" t="n">
        <v>24.2725</v>
      </c>
    </row>
    <row r="58">
      <c r="A58" s="9" t="n">
        <v>46051</v>
      </c>
      <c r="B58" s="1">
        <f>B57</f>
        <v/>
      </c>
      <c r="C58" t="n">
        <v>24.2449</v>
      </c>
    </row>
    <row r="59">
      <c r="A59" s="9" t="n">
        <v>46052</v>
      </c>
      <c r="B59" s="1">
        <f>B58</f>
        <v/>
      </c>
      <c r="C59" t="n">
        <v>24.041</v>
      </c>
    </row>
    <row r="60">
      <c r="A60" s="9" t="n">
        <v>46055</v>
      </c>
      <c r="B60" s="1">
        <f>B59</f>
        <v/>
      </c>
      <c r="C60" t="n">
        <v>23.9363</v>
      </c>
    </row>
    <row r="61">
      <c r="A61" s="9" t="n">
        <v>46056</v>
      </c>
      <c r="B61" s="1">
        <f>B60</f>
        <v/>
      </c>
      <c r="C61" t="n">
        <v>24.041</v>
      </c>
    </row>
    <row r="62">
      <c r="A62" s="9" t="n">
        <v>46057</v>
      </c>
      <c r="B62" s="1">
        <f>B61</f>
        <v/>
      </c>
      <c r="C62" t="n">
        <v>24.6197</v>
      </c>
    </row>
    <row r="63">
      <c r="A63" s="9" t="n">
        <v>46058</v>
      </c>
      <c r="B63" s="1">
        <f>B62</f>
        <v/>
      </c>
      <c r="C63" t="n">
        <v>25.0716</v>
      </c>
    </row>
    <row r="64">
      <c r="A64" s="9" t="n">
        <v>46059</v>
      </c>
      <c r="B64" s="1">
        <f>B63</f>
        <v/>
      </c>
      <c r="C64" t="n">
        <v>25.1213</v>
      </c>
    </row>
    <row r="65">
      <c r="A65" s="9" t="n">
        <v>46062</v>
      </c>
      <c r="B65" s="1">
        <f>B64</f>
        <v/>
      </c>
      <c r="C65" t="n">
        <v>25.0551</v>
      </c>
    </row>
    <row r="66">
      <c r="A66" s="9" t="n">
        <v>46063</v>
      </c>
      <c r="B66" s="1">
        <f>B65</f>
        <v/>
      </c>
      <c r="C66" t="n">
        <v>25.3417</v>
      </c>
    </row>
    <row r="67">
      <c r="A67" s="9" t="n">
        <v>46064</v>
      </c>
      <c r="B67" s="1">
        <f>B66</f>
        <v/>
      </c>
      <c r="C67" t="n">
        <v>25.4078</v>
      </c>
    </row>
    <row r="68">
      <c r="A68" s="9" t="n">
        <v>46065</v>
      </c>
      <c r="B68" s="1">
        <f>B67</f>
        <v/>
      </c>
      <c r="C68" t="n">
        <v>25.6559</v>
      </c>
    </row>
    <row r="69">
      <c r="A69" s="9" t="n">
        <v>46066</v>
      </c>
      <c r="B69" s="1">
        <f>B68</f>
        <v/>
      </c>
      <c r="C69" t="n">
        <v>25.5842</v>
      </c>
    </row>
    <row r="70">
      <c r="A70" s="9" t="n">
        <v>46071</v>
      </c>
      <c r="B70" s="1">
        <f>B69</f>
        <v/>
      </c>
      <c r="C70" t="n">
        <v>25.6063</v>
      </c>
    </row>
    <row r="71">
      <c r="A71" s="9" t="n">
        <v>46072</v>
      </c>
      <c r="B71" s="1">
        <f>B70</f>
        <v/>
      </c>
      <c r="C71" t="n">
        <v>25.7496</v>
      </c>
    </row>
    <row r="72">
      <c r="A72" s="9" t="n">
        <v>46073</v>
      </c>
      <c r="B72" s="1">
        <f>B71</f>
        <v/>
      </c>
      <c r="C72" t="n">
        <v>25.7055</v>
      </c>
    </row>
    <row r="73">
      <c r="A73" s="9" t="n">
        <v>46076</v>
      </c>
      <c r="B73" s="1">
        <f>B72</f>
        <v/>
      </c>
      <c r="C73" t="n">
        <v>25.6504</v>
      </c>
    </row>
    <row r="74">
      <c r="A74" s="9" t="n">
        <v>46077</v>
      </c>
      <c r="B74" s="1">
        <f>B73</f>
        <v/>
      </c>
      <c r="C74" t="n">
        <v>25.7551</v>
      </c>
    </row>
    <row r="75">
      <c r="A75" s="9" t="n">
        <v>46078</v>
      </c>
      <c r="B75" s="1">
        <f>B74</f>
        <v/>
      </c>
      <c r="C75" t="n">
        <v>25.959</v>
      </c>
    </row>
    <row r="76">
      <c r="A76" s="9" t="n">
        <v>46079</v>
      </c>
      <c r="B76" s="1">
        <f>B75</f>
        <v/>
      </c>
      <c r="C76" t="n">
        <v>25.9314</v>
      </c>
    </row>
    <row r="77">
      <c r="A77" s="9" t="n">
        <v>46080</v>
      </c>
      <c r="B77" s="1">
        <f>B76</f>
        <v/>
      </c>
      <c r="C77" t="n">
        <v>26.0747</v>
      </c>
    </row>
    <row r="78">
      <c r="A78" s="9" t="n">
        <v>46083</v>
      </c>
      <c r="B78" s="1">
        <f>B77</f>
        <v/>
      </c>
      <c r="C78" t="n">
        <v>25.948</v>
      </c>
    </row>
    <row r="79">
      <c r="A79" s="9" t="n">
        <v>46084</v>
      </c>
      <c r="B79" s="1">
        <f>B78</f>
        <v/>
      </c>
      <c r="C79" t="n">
        <v>26.0858</v>
      </c>
    </row>
    <row r="80">
      <c r="A80" s="9" t="n">
        <v>46085</v>
      </c>
      <c r="B80" s="1">
        <f>B79</f>
        <v/>
      </c>
      <c r="C80" t="n">
        <v>26.0802</v>
      </c>
    </row>
    <row r="81">
      <c r="A81" s="9" t="n">
        <v>46086</v>
      </c>
      <c r="B81" s="1">
        <f>B80</f>
        <v/>
      </c>
      <c r="C81" t="n">
        <v>26.2897</v>
      </c>
    </row>
    <row r="82">
      <c r="A82" s="9" t="n">
        <v>46087</v>
      </c>
      <c r="B82" s="1">
        <f>B81</f>
        <v/>
      </c>
      <c r="C82" t="n">
        <v>26.7416</v>
      </c>
    </row>
    <row r="83">
      <c r="A83" s="9" t="n">
        <v>46090</v>
      </c>
      <c r="B83" s="1">
        <f>B82</f>
        <v/>
      </c>
      <c r="C83" t="n">
        <v>26.6534</v>
      </c>
    </row>
    <row r="84">
      <c r="A84" s="9" t="n">
        <v>46091</v>
      </c>
      <c r="B84" s="1">
        <f>B83</f>
        <v/>
      </c>
      <c r="C84" t="n">
        <v>26.7857</v>
      </c>
    </row>
    <row r="85">
      <c r="A85" s="9" t="n">
        <v>46092</v>
      </c>
      <c r="B85" s="1">
        <f>B84</f>
        <v/>
      </c>
      <c r="C85" t="n">
        <v>27.0558</v>
      </c>
    </row>
    <row r="86">
      <c r="A86" s="9" t="n">
        <v>46093</v>
      </c>
      <c r="B86" s="1">
        <f>B85</f>
        <v/>
      </c>
      <c r="C86" t="n">
        <v>27.3369</v>
      </c>
    </row>
    <row r="87">
      <c r="A87" s="9" t="n">
        <v>46094</v>
      </c>
      <c r="B87" s="1">
        <f>B86</f>
        <v/>
      </c>
      <c r="C87" t="n">
        <v>27.2817</v>
      </c>
    </row>
    <row r="88">
      <c r="A88" s="9" t="n">
        <v>46097</v>
      </c>
      <c r="B88" s="1">
        <f>B87</f>
        <v/>
      </c>
      <c r="C88" t="n">
        <v>25.74</v>
      </c>
    </row>
    <row r="89">
      <c r="A89" s="9" t="n">
        <v>46098</v>
      </c>
      <c r="B89" s="1">
        <f>B88</f>
        <v/>
      </c>
      <c r="C89" t="n">
        <v>25.8212</v>
      </c>
    </row>
    <row r="90">
      <c r="A90" s="9" t="n">
        <v>46099</v>
      </c>
      <c r="B90" s="1">
        <f>B89</f>
        <v/>
      </c>
      <c r="C90" t="n">
        <v>25.9369</v>
      </c>
    </row>
    <row r="91">
      <c r="A91" s="9" t="n">
        <v>46100</v>
      </c>
      <c r="B91" s="1">
        <f>B90</f>
        <v/>
      </c>
      <c r="C91" t="n">
        <v>26.0858</v>
      </c>
    </row>
    <row r="92">
      <c r="A92" s="9" t="n">
        <v>46101</v>
      </c>
      <c r="B92" s="1">
        <f>B91</f>
        <v/>
      </c>
      <c r="C92" t="n">
        <v>25.9369</v>
      </c>
    </row>
    <row r="93">
      <c r="A93" s="9" t="n">
        <v>46104</v>
      </c>
      <c r="B93" s="1">
        <f>B92</f>
        <v/>
      </c>
      <c r="C93" t="n">
        <v>25.9921</v>
      </c>
    </row>
    <row r="94">
      <c r="A94" s="9" t="n">
        <v>46105</v>
      </c>
      <c r="B94" s="1">
        <f>B93</f>
        <v/>
      </c>
      <c r="C94" t="n">
        <v>25.8267</v>
      </c>
    </row>
    <row r="95">
      <c r="A95" s="9" t="n">
        <v>46106</v>
      </c>
      <c r="B95" s="1">
        <f>B94</f>
        <v/>
      </c>
      <c r="C95" t="n">
        <v>26.185</v>
      </c>
    </row>
    <row r="96">
      <c r="A96" s="9" t="n">
        <v>46107</v>
      </c>
      <c r="B96" s="1">
        <f>B95</f>
        <v/>
      </c>
      <c r="C96" t="n">
        <v>26.2235</v>
      </c>
    </row>
    <row r="97">
      <c r="A97" s="9" t="n">
        <v>46108</v>
      </c>
      <c r="B97" s="1">
        <f>B96</f>
        <v/>
      </c>
      <c r="C97" t="n">
        <v>25.9094</v>
      </c>
    </row>
    <row r="98">
      <c r="A98" s="9" t="n">
        <v>46111</v>
      </c>
      <c r="B98" s="1">
        <f>B97</f>
        <v/>
      </c>
      <c r="C98" t="n">
        <v>25.9039</v>
      </c>
    </row>
    <row r="99">
      <c r="A99" s="9" t="n">
        <v>46112</v>
      </c>
      <c r="B99" s="1">
        <f>B98</f>
        <v/>
      </c>
      <c r="C99" t="n">
        <v>26.1464</v>
      </c>
    </row>
    <row r="100">
      <c r="A100" s="9" t="n">
        <v>46113</v>
      </c>
      <c r="B100" s="1">
        <f>B109</f>
        <v/>
      </c>
      <c r="C100" t="n">
        <v>26.1133</v>
      </c>
    </row>
    <row r="101">
      <c r="A101" s="9" t="n">
        <v>46114</v>
      </c>
      <c r="B101" s="1">
        <f>B110</f>
        <v/>
      </c>
      <c r="C101" t="n">
        <v>26.0141</v>
      </c>
    </row>
    <row r="102">
      <c r="A102" s="9" t="n">
        <v>46118</v>
      </c>
      <c r="B102" s="1">
        <f>B111</f>
        <v/>
      </c>
      <c r="C102" t="n">
        <v>26.0858</v>
      </c>
    </row>
    <row r="103">
      <c r="A103" s="9" t="n">
        <v>46119</v>
      </c>
      <c r="B103" s="1">
        <f>B112</f>
        <v/>
      </c>
      <c r="C103" t="n">
        <v>25.8929</v>
      </c>
    </row>
    <row r="104">
      <c r="A104" s="9" t="n">
        <v>46120</v>
      </c>
      <c r="B104" s="1">
        <f>B113</f>
        <v/>
      </c>
      <c r="C104" t="n">
        <v>25.97</v>
      </c>
    </row>
    <row r="105">
      <c r="A105" s="9" t="n">
        <v>46121</v>
      </c>
      <c r="B105" s="1">
        <f>B114</f>
        <v/>
      </c>
      <c r="C105" t="n">
        <v>26.0362</v>
      </c>
    </row>
    <row r="106">
      <c r="A106" s="9" t="n">
        <v>46122</v>
      </c>
      <c r="B106" s="1">
        <f>B115</f>
        <v/>
      </c>
      <c r="C106" t="n">
        <v>26.2621</v>
      </c>
    </row>
    <row r="107">
      <c r="A107" s="9" t="n">
        <v>46125</v>
      </c>
      <c r="B107" s="1">
        <f>B116</f>
        <v/>
      </c>
      <c r="C107" t="n">
        <v>25.959</v>
      </c>
    </row>
    <row r="108">
      <c r="A108" s="9" t="n">
        <v>46126</v>
      </c>
      <c r="B108" s="1">
        <f>B117</f>
        <v/>
      </c>
      <c r="C108" t="n">
        <v>25.8543</v>
      </c>
    </row>
    <row r="109">
      <c r="A109" s="9" t="n">
        <v>46127</v>
      </c>
      <c r="B109" s="1">
        <f>B118</f>
        <v/>
      </c>
      <c r="C109" t="n">
        <v>26.0858</v>
      </c>
    </row>
    <row r="110">
      <c r="A110" s="9" t="n">
        <v>46128</v>
      </c>
      <c r="B110" s="1">
        <f>B119</f>
        <v/>
      </c>
      <c r="C110" t="n">
        <v>26.0251</v>
      </c>
    </row>
    <row r="111">
      <c r="A111" s="9" t="n">
        <v>46129</v>
      </c>
      <c r="B111" s="1">
        <f>B110</f>
        <v/>
      </c>
      <c r="C111" t="n">
        <v>26.0802</v>
      </c>
    </row>
    <row r="112">
      <c r="A112" s="9" t="n">
        <v>46132</v>
      </c>
      <c r="B112" s="1">
        <f>B111</f>
        <v/>
      </c>
      <c r="C112" t="n">
        <v>26.0527</v>
      </c>
    </row>
    <row r="113">
      <c r="A113" s="9" t="n">
        <v>46134</v>
      </c>
      <c r="B113" s="1">
        <f>B112</f>
        <v/>
      </c>
      <c r="C113" t="n">
        <v>26.0031</v>
      </c>
    </row>
    <row r="114">
      <c r="A114" s="9" t="n">
        <v>46135</v>
      </c>
      <c r="B114" s="1">
        <f>B113</f>
        <v/>
      </c>
      <c r="C114" t="n">
        <v>25.8984</v>
      </c>
    </row>
    <row r="115">
      <c r="A115" s="9" t="n">
        <v>46136</v>
      </c>
      <c r="B115" s="1">
        <f>B114</f>
        <v/>
      </c>
      <c r="C115" t="n">
        <v>25.981</v>
      </c>
    </row>
    <row r="116">
      <c r="A116" s="9" t="n">
        <v>46139</v>
      </c>
      <c r="B116" s="1">
        <f>B115</f>
        <v/>
      </c>
      <c r="C116" t="n">
        <v>26.2787</v>
      </c>
    </row>
    <row r="117">
      <c r="A117" s="9" t="n">
        <v>46140</v>
      </c>
      <c r="B117" s="1">
        <f>B116</f>
        <v/>
      </c>
      <c r="C117" t="n">
        <v>26.218</v>
      </c>
    </row>
    <row r="118">
      <c r="A118" s="9" t="n">
        <v>46141</v>
      </c>
      <c r="B118" s="1">
        <f>B117</f>
        <v/>
      </c>
      <c r="C118" t="n">
        <v>26.3889</v>
      </c>
    </row>
    <row r="119">
      <c r="A119" s="9" t="n">
        <v>46142</v>
      </c>
      <c r="B119" s="1">
        <f>B118</f>
        <v/>
      </c>
      <c r="C119" t="n">
        <v>26.3558</v>
      </c>
    </row>
    <row r="120">
      <c r="A120" s="9" t="n">
        <v>46146</v>
      </c>
      <c r="B120" s="1">
        <f>B119</f>
        <v/>
      </c>
      <c r="C120" t="n">
        <v>26.9566</v>
      </c>
    </row>
    <row r="121">
      <c r="A121" s="9" t="n">
        <v>46147</v>
      </c>
      <c r="B121" s="1">
        <f>B120</f>
        <v/>
      </c>
      <c r="C121" t="n">
        <v>26.7086</v>
      </c>
    </row>
    <row r="122">
      <c r="A122" s="9" t="n">
        <v>46148</v>
      </c>
      <c r="B122" s="1">
        <f>B121</f>
        <v/>
      </c>
      <c r="C122" t="n">
        <v>26.3393</v>
      </c>
    </row>
    <row r="123">
      <c r="A123" s="9" t="n">
        <v>46149</v>
      </c>
      <c r="B123" s="1">
        <f>B122</f>
        <v/>
      </c>
      <c r="C123" t="n">
        <v>26.2842</v>
      </c>
    </row>
    <row r="124">
      <c r="A124" s="9" t="n">
        <v>46150</v>
      </c>
      <c r="B124" s="1">
        <f>B123</f>
        <v/>
      </c>
      <c r="C124" t="n">
        <v>26.6314</v>
      </c>
    </row>
    <row r="125">
      <c r="A125" s="9" t="n">
        <v>46153</v>
      </c>
      <c r="B125" s="1">
        <f>B124</f>
        <v/>
      </c>
      <c r="C125" t="n">
        <v>26.7416</v>
      </c>
    </row>
    <row r="126">
      <c r="A126" s="9" t="n">
        <v>46154</v>
      </c>
      <c r="B126" s="1">
        <f>B125</f>
        <v/>
      </c>
      <c r="C126" t="n">
        <v>27.0448</v>
      </c>
    </row>
    <row r="127">
      <c r="A127" s="9" t="n">
        <v>46155</v>
      </c>
      <c r="B127" s="1">
        <f>B126</f>
        <v/>
      </c>
      <c r="C127" t="n">
        <v>27.0944</v>
      </c>
    </row>
    <row r="128">
      <c r="A128" s="9" t="n">
        <v>46156</v>
      </c>
      <c r="B128" s="1">
        <f>B127</f>
        <v/>
      </c>
      <c r="C128" t="n">
        <v>26.2897</v>
      </c>
    </row>
    <row r="129">
      <c r="A129" s="9" t="n">
        <v>46157</v>
      </c>
      <c r="B129" s="1">
        <f>B128</f>
        <v/>
      </c>
      <c r="C129" t="n">
        <v>25.948</v>
      </c>
    </row>
    <row r="130">
      <c r="A130" s="9" t="n">
        <v>46160</v>
      </c>
      <c r="B130" s="1">
        <f>B129</f>
        <v/>
      </c>
      <c r="C130" t="n">
        <v>26.7416</v>
      </c>
    </row>
    <row r="131">
      <c r="A131" s="9" t="n">
        <v>46161</v>
      </c>
      <c r="B131" s="1">
        <f>B130</f>
        <v/>
      </c>
      <c r="C131" t="n">
        <v>26.6645</v>
      </c>
    </row>
    <row r="132">
      <c r="A132" s="9" t="n">
        <v>46162</v>
      </c>
      <c r="B132" s="1">
        <f>B131</f>
        <v/>
      </c>
      <c r="C132" t="n">
        <v>26.4495</v>
      </c>
    </row>
    <row r="133">
      <c r="A133" s="9" t="n">
        <v>46163</v>
      </c>
      <c r="B133" s="1">
        <f>B132</f>
        <v/>
      </c>
      <c r="C133" t="n">
        <v>26.3283</v>
      </c>
    </row>
    <row r="134">
      <c r="A134" s="9" t="n">
        <v>46164</v>
      </c>
      <c r="B134" s="1">
        <f>B133</f>
        <v/>
      </c>
      <c r="C134" t="n">
        <v>26.3779</v>
      </c>
    </row>
    <row r="135">
      <c r="A135" s="9" t="n">
        <v>46167</v>
      </c>
      <c r="B135" s="1">
        <f>B134</f>
        <v/>
      </c>
      <c r="C135" t="n">
        <v>26.3779</v>
      </c>
    </row>
    <row r="136">
      <c r="A136" s="9" t="n">
        <v>46168</v>
      </c>
      <c r="B136" s="1">
        <f>B135</f>
        <v/>
      </c>
      <c r="C136" t="n">
        <v>26.1464</v>
      </c>
    </row>
    <row r="137">
      <c r="A137" s="9" t="n">
        <v>46169</v>
      </c>
      <c r="B137" s="1">
        <f>B136</f>
        <v/>
      </c>
      <c r="C137" t="n">
        <v>26.1299</v>
      </c>
    </row>
    <row r="138">
      <c r="A138" s="9" t="n">
        <v>46170</v>
      </c>
      <c r="B138" s="1">
        <f>B137</f>
        <v/>
      </c>
      <c r="C138" t="n">
        <v>26.3338</v>
      </c>
    </row>
    <row r="139">
      <c r="A139" s="9" t="n">
        <v>46171</v>
      </c>
      <c r="B139" s="1">
        <f>B138</f>
        <v/>
      </c>
      <c r="C139" t="n">
        <v>26.1629</v>
      </c>
    </row>
    <row r="140">
      <c r="A140" s="9" t="n">
        <v>46174</v>
      </c>
      <c r="B140" s="1">
        <f>B139</f>
        <v/>
      </c>
      <c r="C140" t="n">
        <v>26.0306</v>
      </c>
    </row>
    <row r="141">
      <c r="A141" s="9" t="n">
        <v>46175</v>
      </c>
      <c r="B141" s="1">
        <f>B140</f>
        <v/>
      </c>
      <c r="C141" t="n">
        <v>25.6889</v>
      </c>
    </row>
    <row r="142">
      <c r="A142" s="9" t="n">
        <v>46176</v>
      </c>
      <c r="B142" s="1">
        <f>B141</f>
        <v/>
      </c>
      <c r="C142" t="n">
        <v>25.4409</v>
      </c>
    </row>
    <row r="143">
      <c r="A143" s="24" t="n">
        <v>46178</v>
      </c>
      <c r="B143" s="1">
        <f>B142</f>
        <v/>
      </c>
      <c r="C143" t="n">
        <v>24.7244</v>
      </c>
    </row>
    <row r="144">
      <c r="A144" s="24" t="n">
        <v>46181</v>
      </c>
      <c r="B144" s="1">
        <f>B143</f>
        <v/>
      </c>
      <c r="C144" t="n">
        <v>24.5977</v>
      </c>
    </row>
    <row r="145">
      <c r="A145" s="24" t="n">
        <v>46182</v>
      </c>
      <c r="B145" s="1">
        <f>B144</f>
        <v/>
      </c>
      <c r="C145" t="n">
        <v>24.5536</v>
      </c>
    </row>
    <row r="146">
      <c r="A146" s="24" t="n">
        <v>46183</v>
      </c>
      <c r="B146" s="1">
        <f>B145</f>
        <v/>
      </c>
      <c r="C146" t="n">
        <v>24.7575</v>
      </c>
    </row>
    <row r="147">
      <c r="A147" s="24" t="n">
        <v>46184</v>
      </c>
      <c r="B147" s="1">
        <f>B146</f>
        <v/>
      </c>
      <c r="C147" t="n">
        <v>24.5811</v>
      </c>
    </row>
    <row r="148">
      <c r="A148" s="24" t="n">
        <v>46185</v>
      </c>
      <c r="B148" s="1">
        <f>B147</f>
        <v/>
      </c>
      <c r="C148" t="n">
        <v>24.5481</v>
      </c>
    </row>
    <row r="149">
      <c r="A149" s="24" t="n">
        <v>46188</v>
      </c>
      <c r="B149" s="1">
        <f>B148</f>
        <v/>
      </c>
      <c r="C149" t="n">
        <v>24.6748</v>
      </c>
    </row>
    <row r="150">
      <c r="A150" s="24" t="n">
        <v>46189</v>
      </c>
      <c r="B150" s="1">
        <f>B149</f>
        <v/>
      </c>
      <c r="C150" t="n">
        <v>24.9118</v>
      </c>
    </row>
    <row r="151">
      <c r="A151" s="24" t="n">
        <v>46190</v>
      </c>
      <c r="B151" s="1">
        <f>B150</f>
        <v/>
      </c>
      <c r="C151" t="n">
        <v>24.9559</v>
      </c>
    </row>
    <row r="152">
      <c r="A152" s="24" t="n">
        <v>46191</v>
      </c>
      <c r="B152" s="1">
        <f>B151</f>
        <v/>
      </c>
      <c r="C152" t="n">
        <v>24.752</v>
      </c>
    </row>
    <row r="153">
      <c r="A153" s="24" t="n">
        <v>46192</v>
      </c>
      <c r="B153" s="1">
        <f>B152</f>
        <v/>
      </c>
      <c r="C153" t="n">
        <v>24.752</v>
      </c>
    </row>
    <row r="154">
      <c r="A154" s="24" t="n">
        <v>46195</v>
      </c>
      <c r="B154" s="1">
        <f>B153</f>
        <v/>
      </c>
      <c r="C154" t="n">
        <v>24.5977</v>
      </c>
    </row>
    <row r="155">
      <c r="A155" s="24" t="n">
        <v>46196</v>
      </c>
      <c r="B155" s="1">
        <f>B154</f>
        <v/>
      </c>
      <c r="C155" t="n">
        <v>24.6252</v>
      </c>
    </row>
    <row r="156">
      <c r="A156" s="24" t="n">
        <v>46197</v>
      </c>
      <c r="B156" s="1">
        <f>B155</f>
        <v/>
      </c>
      <c r="C156" t="n">
        <v>24.4433</v>
      </c>
    </row>
    <row r="157">
      <c r="A157" s="24" t="n">
        <v>46198</v>
      </c>
      <c r="B157" s="1">
        <f>B156</f>
        <v/>
      </c>
      <c r="C157" t="n">
        <v>24.8567</v>
      </c>
    </row>
    <row r="158">
      <c r="A158" s="24" t="n">
        <v>46199</v>
      </c>
      <c r="B158" s="1">
        <f>B157</f>
        <v/>
      </c>
      <c r="C158" t="n">
        <v>24.8291</v>
      </c>
    </row>
    <row r="159">
      <c r="A159" s="24" t="n">
        <v>46202</v>
      </c>
      <c r="B159" s="1">
        <f>B158</f>
        <v/>
      </c>
      <c r="C159" t="n">
        <v>24.4433</v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4.xml><?xml version="1.0" encoding="utf-8"?>
<worksheet xmlns="http://schemas.openxmlformats.org/spreadsheetml/2006/main">
  <sheetPr codeName="Planilha54">
    <outlinePr summaryBelow="1" summaryRight="1"/>
    <pageSetUpPr/>
  </sheetPr>
  <dimension ref="A1:C210"/>
  <sheetViews>
    <sheetView topLeftCell="A35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SJCQ26</t>
        </is>
      </c>
      <c r="C2" t="n">
        <v>23.8757</v>
      </c>
    </row>
    <row r="3">
      <c r="A3" s="4" t="n">
        <v>46024</v>
      </c>
      <c r="B3" s="1">
        <f>B2</f>
        <v/>
      </c>
      <c r="C3" t="n">
        <v>23.6001</v>
      </c>
    </row>
    <row r="4">
      <c r="A4" s="4" t="n">
        <v>46027</v>
      </c>
      <c r="B4" s="1">
        <f>B3</f>
        <v/>
      </c>
      <c r="C4" t="n">
        <v>23.9087</v>
      </c>
    </row>
    <row r="5">
      <c r="A5" s="4" t="n">
        <v>46028</v>
      </c>
      <c r="B5" s="1">
        <f>B4</f>
        <v/>
      </c>
      <c r="C5" t="n">
        <v>23.7599</v>
      </c>
    </row>
    <row r="6">
      <c r="A6" s="4" t="n">
        <v>46029</v>
      </c>
      <c r="B6" s="1">
        <f>B5</f>
        <v/>
      </c>
      <c r="C6" t="n">
        <v>23.9528</v>
      </c>
    </row>
    <row r="7">
      <c r="A7" s="4" t="n">
        <v>46030</v>
      </c>
      <c r="B7" s="1">
        <f>B6</f>
        <v/>
      </c>
      <c r="C7" t="n">
        <v>23.8757</v>
      </c>
    </row>
    <row r="8">
      <c r="A8" s="4" t="n">
        <v>46031</v>
      </c>
      <c r="B8" s="1">
        <f>B7</f>
        <v/>
      </c>
      <c r="C8" t="n">
        <v>23.8977</v>
      </c>
    </row>
    <row r="9">
      <c r="A9" s="4" t="n">
        <v>46034</v>
      </c>
      <c r="B9" s="1">
        <f>B8</f>
        <v/>
      </c>
      <c r="C9" t="n">
        <v>23.6717</v>
      </c>
    </row>
    <row r="10">
      <c r="A10" s="4" t="n">
        <v>46035</v>
      </c>
      <c r="B10" s="1">
        <f>B9</f>
        <v/>
      </c>
      <c r="C10" t="n">
        <v>23.4678</v>
      </c>
    </row>
    <row r="11">
      <c r="A11" s="4" t="n">
        <v>46036</v>
      </c>
      <c r="B11" s="1">
        <f>B10</f>
        <v/>
      </c>
      <c r="C11" t="n">
        <v>23.4899</v>
      </c>
    </row>
    <row r="12">
      <c r="A12" s="4" t="n">
        <v>46037</v>
      </c>
      <c r="B12" s="1">
        <f>B11</f>
        <v/>
      </c>
      <c r="C12" t="n">
        <v>23.6607</v>
      </c>
    </row>
    <row r="13">
      <c r="A13" s="4" t="n">
        <v>46038</v>
      </c>
      <c r="B13" s="1">
        <f>B12</f>
        <v/>
      </c>
      <c r="C13" t="n">
        <v>23.7599</v>
      </c>
    </row>
    <row r="14">
      <c r="A14" s="4" t="n">
        <v>46041</v>
      </c>
      <c r="B14" s="1">
        <f>B13</f>
        <v/>
      </c>
      <c r="C14" t="n">
        <v>23.7599</v>
      </c>
    </row>
    <row r="15">
      <c r="A15" s="9" t="n">
        <v>46042</v>
      </c>
      <c r="B15" s="1">
        <f>B14</f>
        <v/>
      </c>
      <c r="C15" t="n">
        <v>23.6552</v>
      </c>
    </row>
    <row r="16">
      <c r="A16" s="4" t="n">
        <v>46043</v>
      </c>
      <c r="B16" s="1">
        <f>B15</f>
        <v/>
      </c>
      <c r="C16" t="n">
        <v>23.8977</v>
      </c>
    </row>
    <row r="17">
      <c r="A17" s="4" t="n">
        <v>46044</v>
      </c>
      <c r="B17" s="1">
        <f>B16</f>
        <v/>
      </c>
      <c r="C17" t="n">
        <v>23.9583</v>
      </c>
    </row>
    <row r="18">
      <c r="A18" s="9" t="n">
        <v>46045</v>
      </c>
      <c r="B18" s="1">
        <f>B17</f>
        <v/>
      </c>
      <c r="C18" t="n">
        <v>24.041</v>
      </c>
    </row>
    <row r="19">
      <c r="A19" s="9" t="n">
        <v>46048</v>
      </c>
      <c r="B19" s="1">
        <f>B18</f>
        <v/>
      </c>
      <c r="C19" t="n">
        <v>23.9418</v>
      </c>
    </row>
    <row r="20">
      <c r="A20" s="9" t="n">
        <v>46049</v>
      </c>
      <c r="B20" s="1">
        <f>B19</f>
        <v/>
      </c>
      <c r="C20" t="n">
        <v>24.0465</v>
      </c>
    </row>
    <row r="21">
      <c r="A21" s="9" t="n">
        <v>46050</v>
      </c>
      <c r="B21" s="1">
        <f>B20</f>
        <v/>
      </c>
      <c r="C21" t="n">
        <v>24.2174</v>
      </c>
    </row>
    <row r="22">
      <c r="A22" s="9" t="n">
        <v>46051</v>
      </c>
      <c r="B22" s="1">
        <f>B21</f>
        <v/>
      </c>
      <c r="C22" t="n">
        <v>24.1953</v>
      </c>
    </row>
    <row r="23">
      <c r="A23" s="9" t="n">
        <v>46052</v>
      </c>
      <c r="B23" s="1">
        <f>B22</f>
        <v/>
      </c>
      <c r="C23" t="n">
        <v>23.9914</v>
      </c>
    </row>
    <row r="24">
      <c r="A24" s="9" t="n">
        <v>46055</v>
      </c>
      <c r="B24" s="1">
        <f>B23</f>
        <v/>
      </c>
      <c r="C24" t="n">
        <v>23.8812</v>
      </c>
    </row>
    <row r="25">
      <c r="A25" s="9" t="n">
        <v>46056</v>
      </c>
      <c r="B25" s="1">
        <f>B24</f>
        <v/>
      </c>
      <c r="C25" t="n">
        <v>23.9804</v>
      </c>
    </row>
    <row r="26">
      <c r="A26" s="9" t="n">
        <v>46057</v>
      </c>
      <c r="B26" s="1">
        <f>B25</f>
        <v/>
      </c>
      <c r="C26" t="n">
        <v>24.4378</v>
      </c>
    </row>
    <row r="27">
      <c r="A27" s="9" t="n">
        <v>46058</v>
      </c>
      <c r="B27" s="1">
        <f>B26</f>
        <v/>
      </c>
      <c r="C27" t="n">
        <v>24.8457</v>
      </c>
    </row>
    <row r="28">
      <c r="A28" s="9" t="n">
        <v>46059</v>
      </c>
      <c r="B28" s="1">
        <f>B27</f>
        <v/>
      </c>
      <c r="C28" t="n">
        <v>24.8677</v>
      </c>
    </row>
    <row r="29">
      <c r="A29" s="9" t="n">
        <v>46062</v>
      </c>
      <c r="B29" s="1">
        <f>B28</f>
        <v/>
      </c>
      <c r="C29" t="n">
        <v>24.8236</v>
      </c>
    </row>
    <row r="30">
      <c r="A30" s="9" t="n">
        <v>46063</v>
      </c>
      <c r="B30" s="1">
        <f>B29</f>
        <v/>
      </c>
      <c r="C30" t="n">
        <v>25.1047</v>
      </c>
    </row>
    <row r="31">
      <c r="A31" s="9" t="n">
        <v>46064</v>
      </c>
      <c r="B31" s="1">
        <f>B30</f>
        <v/>
      </c>
      <c r="C31" t="n">
        <v>25.1874</v>
      </c>
    </row>
    <row r="32">
      <c r="A32" s="9" t="n">
        <v>46065</v>
      </c>
      <c r="B32" s="1">
        <f>B31</f>
        <v/>
      </c>
      <c r="C32" t="n">
        <v>25.4023</v>
      </c>
    </row>
    <row r="33">
      <c r="A33" s="9" t="n">
        <v>46066</v>
      </c>
      <c r="B33" s="1">
        <f>B32</f>
        <v/>
      </c>
      <c r="C33" t="n">
        <v>25.3252</v>
      </c>
    </row>
    <row r="34">
      <c r="A34" s="9" t="n">
        <v>46071</v>
      </c>
      <c r="B34" s="1">
        <f>B33</f>
        <v/>
      </c>
      <c r="C34" t="n">
        <v>25.4078</v>
      </c>
    </row>
    <row r="35">
      <c r="A35" s="9" t="n">
        <v>46072</v>
      </c>
      <c r="B35" s="1">
        <f>B34</f>
        <v/>
      </c>
      <c r="C35" t="n">
        <v>25.5181</v>
      </c>
    </row>
    <row r="36">
      <c r="A36" s="9" t="n">
        <v>46073</v>
      </c>
      <c r="B36" s="1">
        <f>B35</f>
        <v/>
      </c>
      <c r="C36" t="n">
        <v>25.485</v>
      </c>
    </row>
    <row r="37">
      <c r="A37" s="9" t="n">
        <v>46076</v>
      </c>
      <c r="B37" s="1">
        <f>B36</f>
        <v/>
      </c>
      <c r="C37" t="n">
        <v>25.4464</v>
      </c>
    </row>
    <row r="38">
      <c r="A38" s="9" t="n">
        <v>46077</v>
      </c>
      <c r="B38" s="1">
        <f>B37</f>
        <v/>
      </c>
      <c r="C38" t="n">
        <v>25.5346</v>
      </c>
    </row>
    <row r="39">
      <c r="A39" s="9" t="n">
        <v>46078</v>
      </c>
      <c r="B39" s="1">
        <f>B38</f>
        <v/>
      </c>
      <c r="C39" t="n">
        <v>25.7385</v>
      </c>
    </row>
    <row r="40">
      <c r="A40" s="9" t="n">
        <v>46079</v>
      </c>
      <c r="B40" s="1">
        <f>B39</f>
        <v/>
      </c>
      <c r="C40" t="n">
        <v>25.722</v>
      </c>
    </row>
    <row r="41">
      <c r="A41" s="9" t="n">
        <v>46080</v>
      </c>
      <c r="B41" s="1">
        <f>B40</f>
        <v/>
      </c>
      <c r="C41" t="n">
        <v>25.8157</v>
      </c>
    </row>
    <row r="42">
      <c r="A42" s="9" t="n">
        <v>46083</v>
      </c>
      <c r="B42" s="1">
        <f>B41</f>
        <v/>
      </c>
      <c r="C42" t="n">
        <v>25.7275</v>
      </c>
    </row>
    <row r="43">
      <c r="A43" s="9" t="n">
        <v>46084</v>
      </c>
      <c r="B43" s="1">
        <f>B42</f>
        <v/>
      </c>
      <c r="C43" t="n">
        <v>25.8543</v>
      </c>
    </row>
    <row r="44">
      <c r="A44" s="9" t="n">
        <v>46085</v>
      </c>
      <c r="B44" s="1">
        <f>B43</f>
        <v/>
      </c>
      <c r="C44" t="n">
        <v>25.8433</v>
      </c>
    </row>
    <row r="45">
      <c r="A45" s="9" t="n">
        <v>46086</v>
      </c>
      <c r="B45" s="1">
        <f>B44</f>
        <v/>
      </c>
      <c r="C45" t="n">
        <v>26.0251</v>
      </c>
    </row>
    <row r="46">
      <c r="A46" s="9" t="n">
        <v>46087</v>
      </c>
      <c r="B46" s="1">
        <f>B45</f>
        <v/>
      </c>
      <c r="C46" t="n">
        <v>26.3944</v>
      </c>
    </row>
    <row r="47">
      <c r="A47" s="9" t="n">
        <v>46090</v>
      </c>
      <c r="B47" s="1">
        <f>B46</f>
        <v/>
      </c>
      <c r="C47" t="n">
        <v>26.3613</v>
      </c>
    </row>
    <row r="48">
      <c r="A48" s="9" t="n">
        <v>46091</v>
      </c>
      <c r="B48" s="1">
        <f>B47</f>
        <v/>
      </c>
      <c r="C48" t="n">
        <v>26.4605</v>
      </c>
    </row>
    <row r="49">
      <c r="A49" s="9" t="n">
        <v>46092</v>
      </c>
      <c r="B49" s="1">
        <f>B48</f>
        <v/>
      </c>
      <c r="C49" t="n">
        <v>26.7086</v>
      </c>
    </row>
    <row r="50">
      <c r="A50" s="9" t="n">
        <v>46093</v>
      </c>
      <c r="B50" s="1">
        <f>B49</f>
        <v/>
      </c>
      <c r="C50" t="n">
        <v>26.9235</v>
      </c>
    </row>
    <row r="51">
      <c r="A51" s="9" t="n">
        <v>46094</v>
      </c>
      <c r="B51" s="1">
        <f>B50</f>
        <v/>
      </c>
      <c r="C51" t="n">
        <v>26.8574</v>
      </c>
    </row>
    <row r="52">
      <c r="A52" s="9" t="n">
        <v>46097</v>
      </c>
      <c r="B52" s="1">
        <f>B51</f>
        <v/>
      </c>
      <c r="C52" t="n">
        <v>25.4023</v>
      </c>
    </row>
    <row r="53">
      <c r="A53" s="9" t="n">
        <v>46098</v>
      </c>
      <c r="B53" s="1">
        <f>B52</f>
        <v/>
      </c>
      <c r="C53" t="n">
        <v>25.6283</v>
      </c>
    </row>
    <row r="54">
      <c r="A54" s="9" t="n">
        <v>46099</v>
      </c>
      <c r="B54" s="1">
        <f>B53</f>
        <v/>
      </c>
      <c r="C54" t="n">
        <v>25.7881</v>
      </c>
    </row>
    <row r="55">
      <c r="A55" s="9" t="n">
        <v>46100</v>
      </c>
      <c r="B55" s="1">
        <f>B54</f>
        <v/>
      </c>
      <c r="C55" t="n">
        <v>25.9369</v>
      </c>
    </row>
    <row r="56">
      <c r="A56" s="9" t="n">
        <v>46101</v>
      </c>
      <c r="B56" s="1">
        <f>B55</f>
        <v/>
      </c>
      <c r="C56" t="n">
        <v>25.7937</v>
      </c>
    </row>
    <row r="57">
      <c r="A57" s="9" t="n">
        <v>46104</v>
      </c>
      <c r="B57" s="1">
        <f>B56</f>
        <v/>
      </c>
      <c r="C57" t="n">
        <v>25.8598</v>
      </c>
    </row>
    <row r="58">
      <c r="A58" s="9" t="n">
        <v>46105</v>
      </c>
      <c r="B58" s="1">
        <f>B57</f>
        <v/>
      </c>
      <c r="C58" t="n">
        <v>25.722</v>
      </c>
    </row>
    <row r="59">
      <c r="A59" s="9" t="n">
        <v>46106</v>
      </c>
      <c r="B59" s="1">
        <f>B58</f>
        <v/>
      </c>
      <c r="C59" t="n">
        <v>26.0196</v>
      </c>
    </row>
    <row r="60">
      <c r="A60" s="9" t="n">
        <v>46107</v>
      </c>
      <c r="B60" s="1">
        <f>B59</f>
        <v/>
      </c>
      <c r="C60" t="n">
        <v>26.0802</v>
      </c>
    </row>
    <row r="61">
      <c r="A61" s="9" t="n">
        <v>46108</v>
      </c>
      <c r="B61" s="1">
        <f>B60</f>
        <v/>
      </c>
      <c r="C61" t="n">
        <v>25.8047</v>
      </c>
    </row>
    <row r="62">
      <c r="A62" s="9" t="n">
        <v>46111</v>
      </c>
      <c r="B62" s="1">
        <f>B61</f>
        <v/>
      </c>
      <c r="C62" t="n">
        <v>25.8157</v>
      </c>
    </row>
    <row r="63">
      <c r="A63" s="9" t="n">
        <v>46112</v>
      </c>
      <c r="B63" s="1">
        <f>B62</f>
        <v/>
      </c>
      <c r="C63" t="n">
        <v>26.0913</v>
      </c>
    </row>
    <row r="64">
      <c r="A64" s="9" t="n">
        <v>46113</v>
      </c>
      <c r="B64" s="1">
        <f>B73</f>
        <v/>
      </c>
      <c r="C64" t="n">
        <v>26.0251</v>
      </c>
    </row>
    <row r="65">
      <c r="A65" s="9" t="n">
        <v>46114</v>
      </c>
      <c r="B65" s="1">
        <f>B74</f>
        <v/>
      </c>
      <c r="C65" t="n">
        <v>25.9094</v>
      </c>
    </row>
    <row r="66">
      <c r="A66" s="9" t="n">
        <v>46118</v>
      </c>
      <c r="B66" s="1">
        <f>B75</f>
        <v/>
      </c>
      <c r="C66" t="n">
        <v>25.9755</v>
      </c>
    </row>
    <row r="67">
      <c r="A67" s="9" t="n">
        <v>46119</v>
      </c>
      <c r="B67" s="1">
        <f>B76</f>
        <v/>
      </c>
      <c r="C67" t="n">
        <v>25.8047</v>
      </c>
    </row>
    <row r="68">
      <c r="A68" s="9" t="n">
        <v>46120</v>
      </c>
      <c r="B68" s="1">
        <f>B77</f>
        <v/>
      </c>
      <c r="C68" t="n">
        <v>25.8653</v>
      </c>
    </row>
    <row r="69">
      <c r="A69" s="9" t="n">
        <v>46121</v>
      </c>
      <c r="B69" s="1">
        <f>B78</f>
        <v/>
      </c>
      <c r="C69" t="n">
        <v>25.9204</v>
      </c>
    </row>
    <row r="70">
      <c r="A70" s="9" t="n">
        <v>46122</v>
      </c>
      <c r="B70" s="1">
        <f>B79</f>
        <v/>
      </c>
      <c r="C70" t="n">
        <v>26.0692</v>
      </c>
    </row>
    <row r="71">
      <c r="A71" s="9" t="n">
        <v>46125</v>
      </c>
      <c r="B71" s="1">
        <f>B80</f>
        <v/>
      </c>
      <c r="C71" t="n">
        <v>25.8102</v>
      </c>
    </row>
    <row r="72">
      <c r="A72" s="9" t="n">
        <v>46126</v>
      </c>
      <c r="B72" s="1">
        <f>B81</f>
        <v/>
      </c>
      <c r="C72" t="n">
        <v>25.7055</v>
      </c>
    </row>
    <row r="73">
      <c r="A73" s="9" t="n">
        <v>46127</v>
      </c>
      <c r="B73" s="1">
        <f>B82</f>
        <v/>
      </c>
      <c r="C73" t="n">
        <v>25.9369</v>
      </c>
    </row>
    <row r="74">
      <c r="A74" s="9" t="n">
        <v>46128</v>
      </c>
      <c r="B74" s="1">
        <f>B83</f>
        <v/>
      </c>
      <c r="C74" t="n">
        <v>25.9039</v>
      </c>
    </row>
    <row r="75">
      <c r="A75" s="9" t="n">
        <v>46129</v>
      </c>
      <c r="B75" s="1">
        <f>B74</f>
        <v/>
      </c>
      <c r="C75" t="n">
        <v>25.9369</v>
      </c>
    </row>
    <row r="76">
      <c r="A76" s="9" t="n">
        <v>46132</v>
      </c>
      <c r="B76" s="1">
        <f>B75</f>
        <v/>
      </c>
      <c r="C76" t="n">
        <v>25.9204</v>
      </c>
    </row>
    <row r="77">
      <c r="A77" s="9" t="n">
        <v>46134</v>
      </c>
      <c r="B77" s="1">
        <f>B76</f>
        <v/>
      </c>
      <c r="C77" t="n">
        <v>25.8653</v>
      </c>
    </row>
    <row r="78">
      <c r="A78" s="9" t="n">
        <v>46135</v>
      </c>
      <c r="B78" s="1">
        <f>B77</f>
        <v/>
      </c>
      <c r="C78" t="n">
        <v>25.7716</v>
      </c>
    </row>
    <row r="79">
      <c r="A79" s="9" t="n">
        <v>46136</v>
      </c>
      <c r="B79" s="1">
        <f>B78</f>
        <v/>
      </c>
      <c r="C79" t="n">
        <v>25.8267</v>
      </c>
    </row>
    <row r="80">
      <c r="A80" s="9" t="n">
        <v>46139</v>
      </c>
      <c r="B80" s="1">
        <f>B79</f>
        <v/>
      </c>
      <c r="C80" t="n">
        <v>26.1078</v>
      </c>
    </row>
    <row r="81">
      <c r="A81" s="9" t="n">
        <v>46140</v>
      </c>
      <c r="B81" s="1">
        <f>B80</f>
        <v/>
      </c>
      <c r="C81" t="n">
        <v>26.0858</v>
      </c>
    </row>
    <row r="82">
      <c r="A82" s="9" t="n">
        <v>46141</v>
      </c>
      <c r="B82" s="1">
        <f>B81</f>
        <v/>
      </c>
      <c r="C82" t="n">
        <v>26.2291</v>
      </c>
    </row>
    <row r="83">
      <c r="A83" s="9" t="n">
        <v>46142</v>
      </c>
      <c r="B83" s="1">
        <f>B82</f>
        <v/>
      </c>
      <c r="C83" t="n">
        <v>26.218</v>
      </c>
    </row>
    <row r="84">
      <c r="A84" s="9" t="n">
        <v>46146</v>
      </c>
      <c r="B84" s="1">
        <f>B83</f>
        <v/>
      </c>
      <c r="C84" t="n">
        <v>26.8078</v>
      </c>
    </row>
    <row r="85">
      <c r="A85" s="9" t="n">
        <v>46147</v>
      </c>
      <c r="B85" s="1">
        <f>B84</f>
        <v/>
      </c>
      <c r="C85" t="n">
        <v>26.5653</v>
      </c>
    </row>
    <row r="86">
      <c r="A86" s="9" t="n">
        <v>46148</v>
      </c>
      <c r="B86" s="1">
        <f>B85</f>
        <v/>
      </c>
      <c r="C86" t="n">
        <v>26.2125</v>
      </c>
    </row>
    <row r="87">
      <c r="A87" s="9" t="n">
        <v>46149</v>
      </c>
      <c r="B87" s="1">
        <f>B86</f>
        <v/>
      </c>
      <c r="C87" t="n">
        <v>26.1629</v>
      </c>
    </row>
    <row r="88">
      <c r="A88" s="9" t="n">
        <v>46150</v>
      </c>
      <c r="B88" s="1">
        <f>B87</f>
        <v/>
      </c>
      <c r="C88" t="n">
        <v>26.5157</v>
      </c>
    </row>
    <row r="89">
      <c r="A89" s="9" t="n">
        <v>46153</v>
      </c>
      <c r="B89" s="1">
        <f>B88</f>
        <v/>
      </c>
      <c r="C89" t="n">
        <v>26.6314</v>
      </c>
    </row>
    <row r="90">
      <c r="A90" s="9" t="n">
        <v>46154</v>
      </c>
      <c r="B90" s="1">
        <f>B89</f>
        <v/>
      </c>
      <c r="C90" t="n">
        <v>26.9345</v>
      </c>
    </row>
    <row r="91">
      <c r="A91" s="9" t="n">
        <v>46155</v>
      </c>
      <c r="B91" s="1">
        <f>B90</f>
        <v/>
      </c>
      <c r="C91" t="n">
        <v>26.9731</v>
      </c>
    </row>
    <row r="92">
      <c r="A92" s="9" t="n">
        <v>46156</v>
      </c>
      <c r="B92" s="1">
        <f>B91</f>
        <v/>
      </c>
      <c r="C92" t="n">
        <v>26.2291</v>
      </c>
    </row>
    <row r="93">
      <c r="A93" s="9" t="n">
        <v>46157</v>
      </c>
      <c r="B93" s="1">
        <f>B92</f>
        <v/>
      </c>
      <c r="C93" t="n">
        <v>25.9369</v>
      </c>
    </row>
    <row r="94">
      <c r="A94" s="9" t="n">
        <v>46160</v>
      </c>
      <c r="B94" s="1">
        <f>B93</f>
        <v/>
      </c>
      <c r="C94" t="n">
        <v>26.6975</v>
      </c>
    </row>
    <row r="95">
      <c r="A95" s="9" t="n">
        <v>46161</v>
      </c>
      <c r="B95" s="1">
        <f>B94</f>
        <v/>
      </c>
      <c r="C95" t="n">
        <v>26.67</v>
      </c>
    </row>
    <row r="96">
      <c r="A96" s="9" t="n">
        <v>46162</v>
      </c>
      <c r="B96" s="1">
        <f>B95</f>
        <v/>
      </c>
      <c r="C96" t="n">
        <v>26.4385</v>
      </c>
    </row>
    <row r="97">
      <c r="A97" s="9" t="n">
        <v>46163</v>
      </c>
      <c r="B97" s="1">
        <f>B96</f>
        <v/>
      </c>
      <c r="C97" t="n">
        <v>26.3117</v>
      </c>
    </row>
    <row r="98">
      <c r="A98" s="9" t="n">
        <v>46164</v>
      </c>
      <c r="B98" s="1">
        <f>B97</f>
        <v/>
      </c>
      <c r="C98" t="n">
        <v>26.3448</v>
      </c>
    </row>
    <row r="99">
      <c r="A99" s="9" t="n">
        <v>46167</v>
      </c>
      <c r="B99" s="1">
        <f>B98</f>
        <v/>
      </c>
      <c r="C99" t="n">
        <v>26.3448</v>
      </c>
    </row>
    <row r="100">
      <c r="A100" s="9" t="n">
        <v>46168</v>
      </c>
      <c r="B100" s="1">
        <f>B99</f>
        <v/>
      </c>
      <c r="C100" t="n">
        <v>26.1243</v>
      </c>
    </row>
    <row r="101">
      <c r="A101" s="9" t="n">
        <v>46169</v>
      </c>
      <c r="B101" s="1">
        <f>B100</f>
        <v/>
      </c>
      <c r="C101" t="n">
        <v>26.1188</v>
      </c>
    </row>
    <row r="102">
      <c r="A102" s="9" t="n">
        <v>46170</v>
      </c>
      <c r="B102" s="1">
        <f>B101</f>
        <v/>
      </c>
      <c r="C102" t="n">
        <v>26.3668</v>
      </c>
    </row>
    <row r="103">
      <c r="A103" s="9" t="n">
        <v>46171</v>
      </c>
      <c r="B103" s="1">
        <f>B102</f>
        <v/>
      </c>
      <c r="C103" t="n">
        <v>26.2401</v>
      </c>
    </row>
    <row r="104">
      <c r="A104" s="9" t="n">
        <v>46174</v>
      </c>
      <c r="B104" s="1">
        <f>B103</f>
        <v/>
      </c>
      <c r="C104" t="n">
        <v>26.1243</v>
      </c>
    </row>
    <row r="105">
      <c r="A105" s="9" t="n">
        <v>46175</v>
      </c>
      <c r="B105" s="1">
        <f>B104</f>
        <v/>
      </c>
      <c r="C105" t="n">
        <v>25.7716</v>
      </c>
    </row>
    <row r="106">
      <c r="A106" s="9" t="n">
        <v>46176</v>
      </c>
      <c r="B106" s="1">
        <f>B105</f>
        <v/>
      </c>
      <c r="C106" t="n">
        <v>25.5346</v>
      </c>
    </row>
    <row r="107">
      <c r="A107" s="9" t="n">
        <v>46178</v>
      </c>
      <c r="B107" s="1">
        <f>B106</f>
        <v/>
      </c>
      <c r="C107" t="n">
        <v>24.8236</v>
      </c>
    </row>
    <row r="108">
      <c r="A108" s="9" t="n">
        <v>46181</v>
      </c>
      <c r="B108" s="1">
        <f>B107</f>
        <v/>
      </c>
      <c r="C108" t="n">
        <v>24.7189</v>
      </c>
    </row>
    <row r="109">
      <c r="A109" s="9" t="n">
        <v>46182</v>
      </c>
      <c r="B109" s="1">
        <f>B108</f>
        <v/>
      </c>
      <c r="C109" t="n">
        <v>24.6638</v>
      </c>
    </row>
    <row r="110">
      <c r="A110" s="9" t="n">
        <v>46183</v>
      </c>
      <c r="B110" s="1">
        <f>B109</f>
        <v/>
      </c>
      <c r="C110" t="n">
        <v>24.8622</v>
      </c>
    </row>
    <row r="111">
      <c r="A111" s="9" t="n">
        <v>46184</v>
      </c>
      <c r="B111" s="1">
        <f>B110</f>
        <v/>
      </c>
      <c r="C111" t="n">
        <v>24.7024</v>
      </c>
    </row>
    <row r="112">
      <c r="A112" s="9" t="n">
        <v>46185</v>
      </c>
      <c r="B112" s="1">
        <f>B111</f>
        <v/>
      </c>
      <c r="C112" t="n">
        <v>24.6638</v>
      </c>
    </row>
    <row r="113">
      <c r="A113" s="9" t="n">
        <v>46188</v>
      </c>
      <c r="B113" s="1">
        <f>B112</f>
        <v/>
      </c>
      <c r="C113" t="n">
        <v>24.7685</v>
      </c>
    </row>
    <row r="114">
      <c r="A114" s="9" t="n">
        <v>46189</v>
      </c>
      <c r="B114" s="1">
        <f>B113</f>
        <v/>
      </c>
      <c r="C114" t="n">
        <v>25.011</v>
      </c>
    </row>
    <row r="115">
      <c r="A115" s="9" t="n">
        <v>46190</v>
      </c>
      <c r="B115" s="1">
        <f>B114</f>
        <v/>
      </c>
      <c r="C115" t="n">
        <v>25.0606</v>
      </c>
    </row>
    <row r="116">
      <c r="A116" s="9" t="n">
        <v>46191</v>
      </c>
      <c r="B116" s="1">
        <f>B115</f>
        <v/>
      </c>
      <c r="C116" t="n">
        <v>24.8732</v>
      </c>
    </row>
    <row r="117">
      <c r="A117" s="9" t="n">
        <v>46192</v>
      </c>
      <c r="B117" s="1">
        <f>B116</f>
        <v/>
      </c>
      <c r="C117" t="n">
        <v>24.8732</v>
      </c>
    </row>
    <row r="118">
      <c r="A118" s="9" t="n">
        <v>46195</v>
      </c>
      <c r="B118" s="1">
        <f>B117</f>
        <v/>
      </c>
      <c r="C118" t="n">
        <v>24.7465</v>
      </c>
    </row>
    <row r="119">
      <c r="A119" s="9" t="n">
        <v>46196</v>
      </c>
      <c r="B119" s="1">
        <f>B118</f>
        <v/>
      </c>
      <c r="C119" t="n">
        <v>24.7795</v>
      </c>
    </row>
    <row r="120">
      <c r="A120" s="9" t="n">
        <v>46197</v>
      </c>
      <c r="B120" s="1">
        <f>B119</f>
        <v/>
      </c>
      <c r="C120" t="n">
        <v>24.6197</v>
      </c>
    </row>
    <row r="121">
      <c r="A121" s="9" t="n">
        <v>46198</v>
      </c>
      <c r="B121" s="1">
        <f>B120</f>
        <v/>
      </c>
      <c r="C121" t="n">
        <v>25.0661</v>
      </c>
    </row>
    <row r="122">
      <c r="A122" s="9" t="n">
        <v>46199</v>
      </c>
      <c r="B122" s="1">
        <f>B121</f>
        <v/>
      </c>
      <c r="C122" t="n">
        <v>25.0551</v>
      </c>
    </row>
    <row r="123">
      <c r="A123" s="9" t="n">
        <v>46202</v>
      </c>
      <c r="B123" s="1">
        <f>B122</f>
        <v/>
      </c>
      <c r="C123" t="n">
        <v>24.6748</v>
      </c>
    </row>
    <row r="124">
      <c r="A124" s="9" t="n">
        <v>46203</v>
      </c>
      <c r="B124" s="1">
        <f>B123</f>
        <v/>
      </c>
      <c r="C124" t="n">
        <v>24.7851</v>
      </c>
    </row>
    <row r="125">
      <c r="A125" s="9" t="n">
        <v>46204</v>
      </c>
      <c r="B125" s="1">
        <f>B124</f>
        <v/>
      </c>
      <c r="C125" t="n">
        <v>24.9835</v>
      </c>
    </row>
    <row r="126">
      <c r="A126" s="9" t="n">
        <v>46205</v>
      </c>
      <c r="B126" s="1">
        <f>B125</f>
        <v/>
      </c>
      <c r="C126" t="n">
        <v>25.0496</v>
      </c>
    </row>
    <row r="127">
      <c r="A127" s="9" t="n">
        <v>46206</v>
      </c>
      <c r="B127" s="1">
        <f>B126</f>
        <v/>
      </c>
      <c r="C127" t="n">
        <v>25.0496</v>
      </c>
    </row>
    <row r="128">
      <c r="A128" s="9" t="n">
        <v>46209</v>
      </c>
      <c r="B128" s="1">
        <f>B127</f>
        <v/>
      </c>
      <c r="C128" t="n">
        <v>26.1023</v>
      </c>
    </row>
    <row r="129">
      <c r="A129" s="9" t="n">
        <v>46210</v>
      </c>
      <c r="B129" s="1">
        <f>B128</f>
        <v/>
      </c>
      <c r="C129" t="n">
        <v>26.3172</v>
      </c>
    </row>
    <row r="130">
      <c r="A130" s="9" t="n">
        <v>46211</v>
      </c>
      <c r="B130" s="1">
        <f>B129</f>
        <v/>
      </c>
      <c r="C130" t="n">
        <v>26.3062</v>
      </c>
    </row>
    <row r="131">
      <c r="A131" s="9" t="n">
        <v>46212</v>
      </c>
      <c r="B131" s="1">
        <f>B130</f>
        <v/>
      </c>
      <c r="C131" t="n">
        <v>25.9645</v>
      </c>
    </row>
    <row r="132">
      <c r="A132" s="9" t="n">
        <v>46213</v>
      </c>
      <c r="B132" s="1">
        <f>B131</f>
        <v/>
      </c>
      <c r="C132" t="n">
        <v>26.2731</v>
      </c>
    </row>
    <row r="133">
      <c r="A133" s="9" t="n">
        <v>46216</v>
      </c>
      <c r="B133" s="1">
        <f>B132</f>
        <v/>
      </c>
      <c r="C133" t="n">
        <v>26.3834</v>
      </c>
    </row>
    <row r="134">
      <c r="A134" s="9" t="n">
        <v>46217</v>
      </c>
      <c r="B134" s="1">
        <f>B133</f>
        <v/>
      </c>
      <c r="C134" t="n">
        <v>26.2952</v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5.xml><?xml version="1.0" encoding="utf-8"?>
<worksheet xmlns="http://schemas.openxmlformats.org/spreadsheetml/2006/main">
  <sheetPr codeName="Planilha55">
    <outlinePr summaryBelow="1" summaryRight="1"/>
    <pageSetUpPr/>
  </sheetPr>
  <dimension ref="A1:C210"/>
  <sheetViews>
    <sheetView topLeftCell="A40" zoomScale="80" zoomScaleNormal="80" workbookViewId="0">
      <selection activeCell="A51" sqref="A51:XFD51"/>
    </sheetView>
  </sheetViews>
  <sheetFormatPr baseColWidth="8" defaultRowHeight="15" outlineLevelCol="0"/>
  <cols>
    <col width="12.5703125" bestFit="1" customWidth="1" style="2" min="1" max="1"/>
    <col width="9.140625" customWidth="1" style="1" min="2" max="37"/>
    <col width="9.140625" customWidth="1" style="1" min="38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SJCU26</t>
        </is>
      </c>
      <c r="C2" t="n">
        <v>23.578</v>
      </c>
    </row>
    <row r="3">
      <c r="A3" s="4" t="n">
        <v>46024</v>
      </c>
      <c r="B3" s="1">
        <f>B2</f>
        <v/>
      </c>
      <c r="C3" t="n">
        <v>23.3245</v>
      </c>
    </row>
    <row r="4">
      <c r="A4" s="4" t="n">
        <v>46027</v>
      </c>
      <c r="B4" s="1">
        <f>B3</f>
        <v/>
      </c>
      <c r="C4" t="n">
        <v>23.6111</v>
      </c>
    </row>
    <row r="5">
      <c r="A5" s="4" t="n">
        <v>46028</v>
      </c>
      <c r="B5" s="1">
        <f>B4</f>
        <v/>
      </c>
      <c r="C5" t="n">
        <v>23.4458</v>
      </c>
    </row>
    <row r="6">
      <c r="A6" s="4" t="n">
        <v>46029</v>
      </c>
      <c r="B6" s="1">
        <f>B5</f>
        <v/>
      </c>
      <c r="C6" t="n">
        <v>23.6221</v>
      </c>
    </row>
    <row r="7">
      <c r="A7" s="4" t="n">
        <v>46030</v>
      </c>
      <c r="B7" s="1">
        <f>B6</f>
        <v/>
      </c>
      <c r="C7" t="n">
        <v>23.556</v>
      </c>
    </row>
    <row r="8">
      <c r="A8" s="4" t="n">
        <v>46031</v>
      </c>
      <c r="B8" s="1">
        <f>B7</f>
        <v/>
      </c>
      <c r="C8" t="n">
        <v>23.545</v>
      </c>
    </row>
    <row r="9">
      <c r="A9" s="4" t="n">
        <v>46034</v>
      </c>
      <c r="B9" s="1">
        <f>B8</f>
        <v/>
      </c>
      <c r="C9" t="n">
        <v>23.3907</v>
      </c>
    </row>
    <row r="10">
      <c r="A10" s="4" t="n">
        <v>46035</v>
      </c>
      <c r="B10" s="1">
        <f>B9</f>
        <v/>
      </c>
      <c r="C10" t="n">
        <v>23.1922</v>
      </c>
    </row>
    <row r="11">
      <c r="A11" s="4" t="n">
        <v>46036</v>
      </c>
      <c r="B11" s="1">
        <f>B10</f>
        <v/>
      </c>
      <c r="C11" t="n">
        <v>23.1978</v>
      </c>
    </row>
    <row r="12">
      <c r="A12" s="4" t="n">
        <v>46037</v>
      </c>
      <c r="B12" s="1">
        <f>B11</f>
        <v/>
      </c>
      <c r="C12" t="n">
        <v>23.341</v>
      </c>
    </row>
    <row r="13">
      <c r="A13" s="4" t="n">
        <v>46038</v>
      </c>
      <c r="B13" s="1">
        <f>B12</f>
        <v/>
      </c>
      <c r="C13" t="n">
        <v>23.4347</v>
      </c>
    </row>
    <row r="14">
      <c r="A14" s="4" t="n">
        <v>46041</v>
      </c>
      <c r="B14" s="1">
        <f>B13</f>
        <v/>
      </c>
      <c r="C14" t="n">
        <v>23.4347</v>
      </c>
    </row>
    <row r="15">
      <c r="A15" s="9" t="n">
        <v>46042</v>
      </c>
      <c r="B15" s="1">
        <f>B14</f>
        <v/>
      </c>
      <c r="C15" t="n">
        <v>23.33</v>
      </c>
    </row>
    <row r="16">
      <c r="A16" s="4" t="n">
        <v>46043</v>
      </c>
      <c r="B16" s="1">
        <f>B15</f>
        <v/>
      </c>
      <c r="C16" t="n">
        <v>23.556</v>
      </c>
    </row>
    <row r="17">
      <c r="A17" s="4" t="n">
        <v>46044</v>
      </c>
      <c r="B17" s="1">
        <f>B16</f>
        <v/>
      </c>
      <c r="C17" t="n">
        <v>23.6221</v>
      </c>
    </row>
    <row r="18">
      <c r="A18" s="9" t="n">
        <v>46045</v>
      </c>
      <c r="B18" s="1">
        <f>B17</f>
        <v/>
      </c>
      <c r="C18" t="n">
        <v>23.7269</v>
      </c>
    </row>
    <row r="19">
      <c r="A19" s="9" t="n">
        <v>46048</v>
      </c>
      <c r="B19" s="1">
        <f>B18</f>
        <v/>
      </c>
      <c r="C19" t="n">
        <v>23.6442</v>
      </c>
    </row>
    <row r="20">
      <c r="A20" s="9" t="n">
        <v>46049</v>
      </c>
      <c r="B20" s="1">
        <f>B19</f>
        <v/>
      </c>
      <c r="C20" t="n">
        <v>23.7213</v>
      </c>
    </row>
    <row r="21">
      <c r="A21" s="9" t="n">
        <v>46050</v>
      </c>
      <c r="B21" s="1">
        <f>B20</f>
        <v/>
      </c>
      <c r="C21" t="n">
        <v>23.8757</v>
      </c>
    </row>
    <row r="22">
      <c r="A22" s="9" t="n">
        <v>46051</v>
      </c>
      <c r="B22" s="1">
        <f>B21</f>
        <v/>
      </c>
      <c r="C22" t="n">
        <v>23.8646</v>
      </c>
    </row>
    <row r="23">
      <c r="A23" s="9" t="n">
        <v>46052</v>
      </c>
      <c r="B23" s="1">
        <f>B22</f>
        <v/>
      </c>
      <c r="C23" t="n">
        <v>23.6497</v>
      </c>
    </row>
    <row r="24">
      <c r="A24" s="9" t="n">
        <v>46055</v>
      </c>
      <c r="B24" s="1">
        <f>B23</f>
        <v/>
      </c>
      <c r="C24" t="n">
        <v>23.5505</v>
      </c>
    </row>
    <row r="25">
      <c r="A25" s="9" t="n">
        <v>46056</v>
      </c>
      <c r="B25" s="1">
        <f>B24</f>
        <v/>
      </c>
      <c r="C25" t="n">
        <v>23.6442</v>
      </c>
    </row>
    <row r="26">
      <c r="A26" s="9" t="n">
        <v>46057</v>
      </c>
      <c r="B26" s="1">
        <f>B25</f>
        <v/>
      </c>
      <c r="C26" t="n">
        <v>23.8922</v>
      </c>
    </row>
    <row r="27">
      <c r="A27" s="9" t="n">
        <v>46058</v>
      </c>
      <c r="B27" s="1">
        <f>B26</f>
        <v/>
      </c>
      <c r="C27" t="n">
        <v>24.1953</v>
      </c>
    </row>
    <row r="28">
      <c r="A28" s="9" t="n">
        <v>46059</v>
      </c>
      <c r="B28" s="1">
        <f>B27</f>
        <v/>
      </c>
      <c r="C28" t="n">
        <v>24.1788</v>
      </c>
    </row>
    <row r="29">
      <c r="A29" s="9" t="n">
        <v>46062</v>
      </c>
      <c r="B29" s="1">
        <f>B28</f>
        <v/>
      </c>
      <c r="C29" t="n">
        <v>24.1953</v>
      </c>
    </row>
    <row r="30">
      <c r="A30" s="9" t="n">
        <v>46063</v>
      </c>
      <c r="B30" s="1">
        <f>B29</f>
        <v/>
      </c>
      <c r="C30" t="n">
        <v>24.4489</v>
      </c>
    </row>
    <row r="31">
      <c r="A31" s="9" t="n">
        <v>46064</v>
      </c>
      <c r="B31" s="1">
        <f>B30</f>
        <v/>
      </c>
      <c r="C31" t="n">
        <v>24.5315</v>
      </c>
    </row>
    <row r="32">
      <c r="A32" s="9" t="n">
        <v>46065</v>
      </c>
      <c r="B32" s="1">
        <f>B31</f>
        <v/>
      </c>
      <c r="C32" t="n">
        <v>24.6803</v>
      </c>
    </row>
    <row r="33">
      <c r="A33" s="9" t="n">
        <v>46066</v>
      </c>
      <c r="B33" s="1">
        <f>B32</f>
        <v/>
      </c>
      <c r="C33" t="n">
        <v>24.6142</v>
      </c>
    </row>
    <row r="34">
      <c r="A34" s="9" t="n">
        <v>46071</v>
      </c>
      <c r="B34" s="1">
        <f>B33</f>
        <v/>
      </c>
      <c r="C34" t="n">
        <v>24.6803</v>
      </c>
    </row>
    <row r="35">
      <c r="A35" s="9" t="n">
        <v>46072</v>
      </c>
      <c r="B35" s="1">
        <f>B34</f>
        <v/>
      </c>
      <c r="C35" t="n">
        <v>24.741</v>
      </c>
    </row>
    <row r="36">
      <c r="A36" s="9" t="n">
        <v>46073</v>
      </c>
      <c r="B36" s="1">
        <f>B35</f>
        <v/>
      </c>
      <c r="C36" t="n">
        <v>24.6858</v>
      </c>
    </row>
    <row r="37">
      <c r="A37" s="9" t="n">
        <v>46076</v>
      </c>
      <c r="B37" s="1">
        <f>B36</f>
        <v/>
      </c>
      <c r="C37" t="n">
        <v>24.7024</v>
      </c>
    </row>
    <row r="38">
      <c r="A38" s="9" t="n">
        <v>46077</v>
      </c>
      <c r="B38" s="1">
        <f>B37</f>
        <v/>
      </c>
      <c r="C38" t="n">
        <v>24.7575</v>
      </c>
    </row>
    <row r="39">
      <c r="A39" s="9" t="n">
        <v>46078</v>
      </c>
      <c r="B39" s="1">
        <f>B38</f>
        <v/>
      </c>
      <c r="C39" t="n">
        <v>24.9173</v>
      </c>
    </row>
    <row r="40">
      <c r="A40" s="9" t="n">
        <v>46079</v>
      </c>
      <c r="B40" s="1">
        <f>B39</f>
        <v/>
      </c>
      <c r="C40" t="n">
        <v>24.9228</v>
      </c>
    </row>
    <row r="41">
      <c r="A41" s="9" t="n">
        <v>46080</v>
      </c>
      <c r="B41" s="1">
        <f>B40</f>
        <v/>
      </c>
      <c r="C41" t="n">
        <v>24.9614</v>
      </c>
    </row>
    <row r="42">
      <c r="A42" s="9" t="n">
        <v>46083</v>
      </c>
      <c r="B42" s="1">
        <f>B41</f>
        <v/>
      </c>
      <c r="C42" t="n">
        <v>24.9559</v>
      </c>
    </row>
    <row r="43">
      <c r="A43" s="9" t="n">
        <v>46084</v>
      </c>
      <c r="B43" s="1">
        <f>B42</f>
        <v/>
      </c>
      <c r="C43" t="n">
        <v>25.0496</v>
      </c>
    </row>
    <row r="44">
      <c r="A44" s="9" t="n">
        <v>46085</v>
      </c>
      <c r="B44" s="1">
        <f>B43</f>
        <v/>
      </c>
      <c r="C44" t="n">
        <v>25.0441</v>
      </c>
    </row>
    <row r="45">
      <c r="A45" s="9" t="n">
        <v>46086</v>
      </c>
      <c r="B45" s="1">
        <f>B44</f>
        <v/>
      </c>
      <c r="C45" t="n">
        <v>25.1929</v>
      </c>
    </row>
    <row r="46">
      <c r="A46" s="9" t="n">
        <v>46087</v>
      </c>
      <c r="B46" s="1">
        <f>B45</f>
        <v/>
      </c>
      <c r="C46" t="n">
        <v>25.4685</v>
      </c>
    </row>
    <row r="47">
      <c r="A47" s="9" t="n">
        <v>46090</v>
      </c>
      <c r="B47" s="1">
        <f>B46</f>
        <v/>
      </c>
      <c r="C47" t="n">
        <v>25.474</v>
      </c>
    </row>
    <row r="48">
      <c r="A48" s="9" t="n">
        <v>46091</v>
      </c>
      <c r="B48" s="1">
        <f>B47</f>
        <v/>
      </c>
      <c r="C48" t="n">
        <v>25.5952</v>
      </c>
    </row>
    <row r="49">
      <c r="A49" s="9" t="n">
        <v>46092</v>
      </c>
      <c r="B49" s="1">
        <f>B48</f>
        <v/>
      </c>
      <c r="C49" t="n">
        <v>25.8102</v>
      </c>
    </row>
    <row r="50">
      <c r="A50" s="9" t="n">
        <v>46093</v>
      </c>
      <c r="B50" s="1">
        <f>B49</f>
        <v/>
      </c>
      <c r="C50" t="n">
        <v>25.9094</v>
      </c>
    </row>
    <row r="51">
      <c r="A51" s="9" t="n">
        <v>46094</v>
      </c>
      <c r="B51" s="1">
        <f>B50</f>
        <v/>
      </c>
      <c r="C51" t="n">
        <v>25.7881</v>
      </c>
    </row>
    <row r="52">
      <c r="A52" s="9" t="n">
        <v>46097</v>
      </c>
      <c r="B52" s="1">
        <f>B51</f>
        <v/>
      </c>
      <c r="C52" t="n">
        <v>24.7299</v>
      </c>
    </row>
    <row r="53">
      <c r="A53" s="9" t="n">
        <v>46098</v>
      </c>
      <c r="B53" s="1">
        <f>B52</f>
        <v/>
      </c>
      <c r="C53" t="n">
        <v>24.9449</v>
      </c>
    </row>
    <row r="54">
      <c r="A54" s="9" t="n">
        <v>46099</v>
      </c>
      <c r="B54" s="1">
        <f>B53</f>
        <v/>
      </c>
      <c r="C54" t="n">
        <v>25.1598</v>
      </c>
    </row>
    <row r="55">
      <c r="A55" s="9" t="n">
        <v>46100</v>
      </c>
      <c r="B55" s="1">
        <f>B54</f>
        <v/>
      </c>
      <c r="C55" t="n">
        <v>25.3031</v>
      </c>
    </row>
    <row r="56">
      <c r="A56" s="9" t="n">
        <v>46101</v>
      </c>
      <c r="B56" s="1">
        <f>B55</f>
        <v/>
      </c>
      <c r="C56" t="n">
        <v>25.1929</v>
      </c>
    </row>
    <row r="57">
      <c r="A57" s="9" t="n">
        <v>46104</v>
      </c>
      <c r="B57" s="1">
        <f>B56</f>
        <v/>
      </c>
      <c r="C57" t="n">
        <v>25.2866</v>
      </c>
    </row>
    <row r="58">
      <c r="A58" s="9" t="n">
        <v>46105</v>
      </c>
      <c r="B58" s="1">
        <f>B57</f>
        <v/>
      </c>
      <c r="C58" t="n">
        <v>25.2094</v>
      </c>
    </row>
    <row r="59">
      <c r="A59" s="9" t="n">
        <v>46106</v>
      </c>
      <c r="B59" s="1">
        <f>B58</f>
        <v/>
      </c>
      <c r="C59" t="n">
        <v>25.4023</v>
      </c>
    </row>
    <row r="60">
      <c r="A60" s="9" t="n">
        <v>46107</v>
      </c>
      <c r="B60" s="1">
        <f>B59</f>
        <v/>
      </c>
      <c r="C60" t="n">
        <v>25.4464</v>
      </c>
    </row>
    <row r="61">
      <c r="A61" s="9" t="n">
        <v>46108</v>
      </c>
      <c r="B61" s="1">
        <f>B60</f>
        <v/>
      </c>
      <c r="C61" t="n">
        <v>25.2315</v>
      </c>
    </row>
    <row r="62">
      <c r="A62" s="9" t="n">
        <v>46111</v>
      </c>
      <c r="B62" s="1">
        <f>B61</f>
        <v/>
      </c>
      <c r="C62" t="n">
        <v>25.237</v>
      </c>
    </row>
    <row r="63">
      <c r="A63" s="9" t="n">
        <v>46112</v>
      </c>
      <c r="B63" s="1">
        <f>B62</f>
        <v/>
      </c>
      <c r="C63" t="n">
        <v>25.5346</v>
      </c>
    </row>
    <row r="64">
      <c r="A64" s="9" t="n">
        <v>46113</v>
      </c>
      <c r="B64" s="1">
        <f>B73</f>
        <v/>
      </c>
      <c r="C64" t="n">
        <v>25.485</v>
      </c>
    </row>
    <row r="65">
      <c r="A65" s="9" t="n">
        <v>46114</v>
      </c>
      <c r="B65" s="1">
        <f>B74</f>
        <v/>
      </c>
      <c r="C65" t="n">
        <v>25.4354</v>
      </c>
    </row>
    <row r="66">
      <c r="A66" s="9" t="n">
        <v>46118</v>
      </c>
      <c r="B66" s="1">
        <f>B75</f>
        <v/>
      </c>
      <c r="C66" t="n">
        <v>25.5181</v>
      </c>
    </row>
    <row r="67">
      <c r="A67" s="9" t="n">
        <v>46119</v>
      </c>
      <c r="B67" s="1">
        <f>B76</f>
        <v/>
      </c>
      <c r="C67" t="n">
        <v>25.3693</v>
      </c>
    </row>
    <row r="68">
      <c r="A68" s="9" t="n">
        <v>46120</v>
      </c>
      <c r="B68" s="1">
        <f>B77</f>
        <v/>
      </c>
      <c r="C68" t="n">
        <v>25.4078</v>
      </c>
    </row>
    <row r="69">
      <c r="A69" s="9" t="n">
        <v>46121</v>
      </c>
      <c r="B69" s="1">
        <f>B78</f>
        <v/>
      </c>
      <c r="C69" t="n">
        <v>25.4134</v>
      </c>
    </row>
    <row r="70">
      <c r="A70" s="9" t="n">
        <v>46122</v>
      </c>
      <c r="B70" s="1">
        <f>B79</f>
        <v/>
      </c>
      <c r="C70" t="n">
        <v>25.5346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25.2039</v>
      </c>
    </row>
    <row r="73">
      <c r="A73" s="9" t="n">
        <v>46127</v>
      </c>
      <c r="B73" s="1">
        <f>B82</f>
        <v/>
      </c>
      <c r="C73" t="n">
        <v>25.4078</v>
      </c>
    </row>
    <row r="74">
      <c r="A74" s="9" t="n">
        <v>46128</v>
      </c>
      <c r="B74" s="1">
        <f>B83</f>
        <v/>
      </c>
      <c r="C74" t="n">
        <v>25.3913</v>
      </c>
    </row>
    <row r="75">
      <c r="A75" s="9" t="n">
        <v>46129</v>
      </c>
      <c r="B75" s="1">
        <f>B74</f>
        <v/>
      </c>
      <c r="C75" t="n">
        <v>25.4023</v>
      </c>
    </row>
    <row r="76">
      <c r="A76" s="9" t="n">
        <v>46132</v>
      </c>
      <c r="B76" s="1">
        <f>B75</f>
        <v/>
      </c>
      <c r="C76" t="n">
        <v>25.4134</v>
      </c>
    </row>
    <row r="77">
      <c r="A77" s="9" t="n">
        <v>46134</v>
      </c>
      <c r="B77" s="1">
        <f>B76</f>
        <v/>
      </c>
      <c r="C77" t="n">
        <v>25.3913</v>
      </c>
    </row>
    <row r="78">
      <c r="A78" s="9" t="n">
        <v>46135</v>
      </c>
      <c r="B78" s="1">
        <f>B77</f>
        <v/>
      </c>
      <c r="C78" t="n">
        <v>25.3362</v>
      </c>
    </row>
    <row r="79">
      <c r="A79" s="9" t="n">
        <v>46136</v>
      </c>
      <c r="B79" s="1">
        <f>B78</f>
        <v/>
      </c>
      <c r="C79" t="n">
        <v>25.3638</v>
      </c>
    </row>
    <row r="80">
      <c r="A80" s="9" t="n">
        <v>46139</v>
      </c>
      <c r="B80" s="1">
        <f>B79</f>
        <v/>
      </c>
      <c r="C80" t="n">
        <v>25.6063</v>
      </c>
    </row>
    <row r="81">
      <c r="A81" s="9" t="n">
        <v>46140</v>
      </c>
      <c r="B81" s="1">
        <f>B80</f>
        <v/>
      </c>
      <c r="C81" t="n">
        <v>25.6173</v>
      </c>
    </row>
    <row r="82">
      <c r="A82" s="9" t="n">
        <v>46141</v>
      </c>
      <c r="B82" s="1">
        <f>B81</f>
        <v/>
      </c>
      <c r="C82" t="n">
        <v>25.7055</v>
      </c>
    </row>
    <row r="83">
      <c r="A83" s="9" t="n">
        <v>46142</v>
      </c>
      <c r="B83" s="1">
        <f>B82</f>
        <v/>
      </c>
      <c r="C83" t="n">
        <v>25.744</v>
      </c>
    </row>
    <row r="84">
      <c r="A84" s="9" t="n">
        <v>46146</v>
      </c>
      <c r="B84" s="1">
        <f>B83</f>
        <v/>
      </c>
      <c r="C84" t="n">
        <v>26.2897</v>
      </c>
    </row>
    <row r="85">
      <c r="A85" s="9" t="n">
        <v>46147</v>
      </c>
      <c r="B85" s="1">
        <f>B84</f>
        <v/>
      </c>
      <c r="C85" t="n">
        <v>26.1078</v>
      </c>
    </row>
    <row r="86">
      <c r="A86" s="9" t="n">
        <v>46148</v>
      </c>
      <c r="B86" s="1">
        <f>B85</f>
        <v/>
      </c>
      <c r="C86" t="n">
        <v>25.7716</v>
      </c>
    </row>
    <row r="87">
      <c r="A87" s="9" t="n">
        <v>46149</v>
      </c>
      <c r="B87" s="1">
        <f>B86</f>
        <v/>
      </c>
      <c r="C87" t="n">
        <v>25.7275</v>
      </c>
    </row>
    <row r="88">
      <c r="A88" s="9" t="n">
        <v>46150</v>
      </c>
      <c r="B88" s="1">
        <f>B87</f>
        <v/>
      </c>
      <c r="C88" t="n">
        <v>26.1188</v>
      </c>
    </row>
    <row r="89">
      <c r="A89" s="9" t="n">
        <v>46153</v>
      </c>
      <c r="B89" s="1">
        <f>B88</f>
        <v/>
      </c>
      <c r="C89" t="n">
        <v>26.2401</v>
      </c>
    </row>
    <row r="90">
      <c r="A90" s="9" t="n">
        <v>46154</v>
      </c>
      <c r="B90" s="1">
        <f>B89</f>
        <v/>
      </c>
      <c r="C90" t="n">
        <v>26.4936</v>
      </c>
    </row>
    <row r="91">
      <c r="A91" s="9" t="n">
        <v>46155</v>
      </c>
      <c r="B91" s="1">
        <f>B90</f>
        <v/>
      </c>
      <c r="C91" t="n">
        <v>26.5322</v>
      </c>
    </row>
    <row r="92">
      <c r="A92" s="9" t="n">
        <v>46156</v>
      </c>
      <c r="B92" s="1">
        <f>B91</f>
        <v/>
      </c>
      <c r="C92" t="n">
        <v>25.9094</v>
      </c>
    </row>
    <row r="93">
      <c r="A93" s="9" t="n">
        <v>46157</v>
      </c>
      <c r="B93" s="1">
        <f>B92</f>
        <v/>
      </c>
      <c r="C93" t="n">
        <v>25.6338</v>
      </c>
    </row>
    <row r="94">
      <c r="A94" s="9" t="n">
        <v>46160</v>
      </c>
      <c r="B94" s="1">
        <f>B93</f>
        <v/>
      </c>
      <c r="C94" t="n">
        <v>26.3503</v>
      </c>
    </row>
    <row r="95">
      <c r="A95" s="9" t="n">
        <v>46161</v>
      </c>
      <c r="B95" s="1">
        <f>B94</f>
        <v/>
      </c>
      <c r="C95" t="n">
        <v>26.3944</v>
      </c>
    </row>
    <row r="96">
      <c r="A96" s="9" t="n">
        <v>46162</v>
      </c>
      <c r="B96" s="1">
        <f>B95</f>
        <v/>
      </c>
      <c r="C96" t="n">
        <v>26.1299</v>
      </c>
    </row>
    <row r="97">
      <c r="A97" s="9" t="n">
        <v>46163</v>
      </c>
      <c r="B97" s="1">
        <f>B96</f>
        <v/>
      </c>
      <c r="C97" t="n">
        <v>25.9976</v>
      </c>
    </row>
    <row r="98">
      <c r="A98" s="9" t="n">
        <v>46164</v>
      </c>
      <c r="B98" s="1">
        <f>B97</f>
        <v/>
      </c>
      <c r="C98" t="n">
        <v>26.0196</v>
      </c>
    </row>
    <row r="99">
      <c r="A99" s="9" t="n">
        <v>46167</v>
      </c>
      <c r="B99" s="1">
        <f>B98</f>
        <v/>
      </c>
      <c r="C99" t="n">
        <v>26.0196</v>
      </c>
    </row>
    <row r="100">
      <c r="A100" s="9" t="n">
        <v>46168</v>
      </c>
      <c r="B100" s="1">
        <f>B99</f>
        <v/>
      </c>
      <c r="C100" t="n">
        <v>25.8212</v>
      </c>
    </row>
    <row r="101">
      <c r="A101" s="9" t="n">
        <v>46169</v>
      </c>
      <c r="B101" s="1">
        <f>B100</f>
        <v/>
      </c>
      <c r="C101" t="n">
        <v>25.8598</v>
      </c>
    </row>
    <row r="102">
      <c r="A102" s="9" t="n">
        <v>46170</v>
      </c>
      <c r="B102" s="1">
        <f>B101</f>
        <v/>
      </c>
      <c r="C102" t="n">
        <v>26.1299</v>
      </c>
    </row>
    <row r="103">
      <c r="A103" s="9" t="n">
        <v>46171</v>
      </c>
      <c r="B103" s="1">
        <f>B102</f>
        <v/>
      </c>
      <c r="C103" t="n">
        <v>26.0362</v>
      </c>
    </row>
    <row r="104">
      <c r="A104" s="9" t="n">
        <v>46174</v>
      </c>
      <c r="B104" s="1">
        <f>B103</f>
        <v/>
      </c>
      <c r="C104" t="n">
        <v>25.981</v>
      </c>
    </row>
    <row r="105">
      <c r="A105" s="9" t="n">
        <v>46175</v>
      </c>
      <c r="B105" s="1">
        <f>B104</f>
        <v/>
      </c>
      <c r="C105" t="n">
        <v>25.6889</v>
      </c>
    </row>
    <row r="106">
      <c r="A106" s="9" t="n">
        <v>46176</v>
      </c>
      <c r="B106" s="1">
        <f>B105</f>
        <v/>
      </c>
      <c r="C106" t="n">
        <v>25.4464</v>
      </c>
    </row>
    <row r="107">
      <c r="A107" s="9" t="n">
        <v>46178</v>
      </c>
      <c r="B107" s="1">
        <f>B106</f>
        <v/>
      </c>
      <c r="C107" t="n">
        <v>24.7465</v>
      </c>
    </row>
    <row r="108">
      <c r="A108" s="9" t="n">
        <v>46181</v>
      </c>
      <c r="B108" s="1">
        <f>B107</f>
        <v/>
      </c>
      <c r="C108" t="n">
        <v>24.7024</v>
      </c>
    </row>
    <row r="109">
      <c r="A109" s="9" t="n">
        <v>46182</v>
      </c>
      <c r="B109" s="1">
        <f>B108</f>
        <v/>
      </c>
      <c r="C109" t="n">
        <v>24.6528</v>
      </c>
    </row>
    <row r="110">
      <c r="A110" s="9" t="n">
        <v>46183</v>
      </c>
      <c r="B110" s="1">
        <f>B109</f>
        <v/>
      </c>
      <c r="C110" t="n">
        <v>24.8236</v>
      </c>
    </row>
    <row r="111">
      <c r="A111" s="9" t="n">
        <v>46184</v>
      </c>
      <c r="B111" s="1">
        <f>B110</f>
        <v/>
      </c>
      <c r="C111" t="n">
        <v>24.6914</v>
      </c>
    </row>
    <row r="112">
      <c r="A112" s="9" t="n">
        <v>46185</v>
      </c>
      <c r="B112" s="1">
        <f>B111</f>
        <v/>
      </c>
      <c r="C112" t="n">
        <v>24.6418</v>
      </c>
    </row>
    <row r="113">
      <c r="A113" s="9" t="n">
        <v>46188</v>
      </c>
      <c r="B113" s="1">
        <f>B112</f>
        <v/>
      </c>
      <c r="C113" t="n">
        <v>24.7299</v>
      </c>
    </row>
    <row r="114">
      <c r="A114" s="9" t="n">
        <v>46189</v>
      </c>
      <c r="B114" s="1">
        <f>B113</f>
        <v/>
      </c>
      <c r="C114" t="n">
        <v>24.9835</v>
      </c>
    </row>
    <row r="115">
      <c r="A115" s="9" t="n">
        <v>46190</v>
      </c>
      <c r="B115" s="1">
        <f>B114</f>
        <v/>
      </c>
      <c r="C115" t="n">
        <v>25.0551</v>
      </c>
    </row>
    <row r="116">
      <c r="A116" s="9" t="n">
        <v>46191</v>
      </c>
      <c r="B116" s="1">
        <f>B115</f>
        <v/>
      </c>
      <c r="C116" t="n">
        <v>24.8787</v>
      </c>
    </row>
    <row r="117">
      <c r="A117" s="9" t="n">
        <v>46192</v>
      </c>
      <c r="B117" s="1">
        <f>B116</f>
        <v/>
      </c>
      <c r="C117" t="n">
        <v>24.8787</v>
      </c>
    </row>
    <row r="118">
      <c r="A118" s="9" t="n">
        <v>46195</v>
      </c>
      <c r="B118" s="1">
        <f>B117</f>
        <v/>
      </c>
      <c r="C118" t="n">
        <v>24.8236</v>
      </c>
    </row>
    <row r="119">
      <c r="A119" s="9" t="n">
        <v>46196</v>
      </c>
      <c r="B119" s="1">
        <f>B118</f>
        <v/>
      </c>
      <c r="C119" t="n">
        <v>24.8512</v>
      </c>
    </row>
    <row r="120">
      <c r="A120" s="9" t="n">
        <v>46197</v>
      </c>
      <c r="B120" s="1">
        <f>B119</f>
        <v/>
      </c>
      <c r="C120" t="n">
        <v>24.6914</v>
      </c>
    </row>
    <row r="121">
      <c r="A121" s="9" t="n">
        <v>46198</v>
      </c>
      <c r="B121" s="1">
        <f>B120</f>
        <v/>
      </c>
      <c r="C121" t="n">
        <v>25.1598</v>
      </c>
    </row>
    <row r="122">
      <c r="A122" s="9" t="n">
        <v>46199</v>
      </c>
      <c r="B122" s="1">
        <f>B121</f>
        <v/>
      </c>
      <c r="C122" t="n">
        <v>25.1653</v>
      </c>
    </row>
    <row r="123">
      <c r="A123" s="9" t="n">
        <v>46202</v>
      </c>
      <c r="B123" s="1">
        <f>B122</f>
        <v/>
      </c>
      <c r="C123" t="n">
        <v>24.7795</v>
      </c>
    </row>
    <row r="124">
      <c r="A124" s="9" t="n">
        <v>46203</v>
      </c>
      <c r="B124" s="1">
        <f>B123</f>
        <v/>
      </c>
      <c r="C124" t="n">
        <v>24.8843</v>
      </c>
    </row>
    <row r="125">
      <c r="A125" s="9" t="n">
        <v>46204</v>
      </c>
      <c r="B125" s="1">
        <f>B124</f>
        <v/>
      </c>
      <c r="C125" t="n">
        <v>25.0331</v>
      </c>
    </row>
    <row r="126">
      <c r="A126" s="9" t="n">
        <v>46205</v>
      </c>
      <c r="B126" s="1">
        <f>B125</f>
        <v/>
      </c>
      <c r="C126" t="n">
        <v>25.0441</v>
      </c>
    </row>
    <row r="127">
      <c r="A127" s="9" t="n">
        <v>46206</v>
      </c>
      <c r="B127" s="1">
        <f>B126</f>
        <v/>
      </c>
      <c r="C127" t="n">
        <v>25.0441</v>
      </c>
    </row>
    <row r="128">
      <c r="A128" s="9" t="n">
        <v>46209</v>
      </c>
      <c r="B128" s="1">
        <f>B127</f>
        <v/>
      </c>
      <c r="C128" t="n">
        <v>26.0362</v>
      </c>
    </row>
    <row r="129">
      <c r="A129" s="9" t="n">
        <v>46210</v>
      </c>
      <c r="B129" s="1">
        <f>B128</f>
        <v/>
      </c>
      <c r="C129" t="n">
        <v>26.1684</v>
      </c>
    </row>
    <row r="130">
      <c r="A130" s="9" t="n">
        <v>46211</v>
      </c>
      <c r="B130" s="1">
        <f>B129</f>
        <v/>
      </c>
      <c r="C130" t="n">
        <v>26.0913</v>
      </c>
    </row>
    <row r="131">
      <c r="A131" s="9" t="n">
        <v>46212</v>
      </c>
      <c r="B131" s="1">
        <f>B130</f>
        <v/>
      </c>
      <c r="C131" t="n">
        <v>25.7937</v>
      </c>
    </row>
    <row r="132">
      <c r="A132" s="9" t="n">
        <v>46213</v>
      </c>
      <c r="B132" s="1">
        <f>B131</f>
        <v/>
      </c>
      <c r="C132" t="n">
        <v>26.0417</v>
      </c>
    </row>
    <row r="133">
      <c r="A133" s="9" t="n">
        <v>46216</v>
      </c>
      <c r="B133" s="1">
        <f>B132</f>
        <v/>
      </c>
      <c r="C133" t="n">
        <v>26.1299</v>
      </c>
    </row>
    <row r="134">
      <c r="A134" s="9" t="n">
        <v>46217</v>
      </c>
      <c r="B134" s="1">
        <f>B133</f>
        <v/>
      </c>
      <c r="C134" t="n">
        <v>26.0417</v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6.xml><?xml version="1.0" encoding="utf-8"?>
<worksheet xmlns="http://schemas.openxmlformats.org/spreadsheetml/2006/main">
  <sheetPr codeName="Planilha56">
    <outlinePr summaryBelow="1" summaryRight="1"/>
    <pageSetUpPr/>
  </sheetPr>
  <dimension ref="A1:C210"/>
  <sheetViews>
    <sheetView topLeftCell="A49" zoomScale="80" zoomScaleNormal="80" workbookViewId="0">
      <selection activeCell="C74" sqref="C74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4" t="n">
        <v>46021</v>
      </c>
      <c r="B2" s="1" t="inlineStr">
        <is>
          <t>SJCX26</t>
        </is>
      </c>
      <c r="C2" t="n">
        <v>23.6828</v>
      </c>
    </row>
    <row r="3">
      <c r="A3" s="4" t="n">
        <v>46024</v>
      </c>
      <c r="B3" s="1">
        <f>B2</f>
        <v/>
      </c>
      <c r="C3" t="n">
        <v>23.4292</v>
      </c>
    </row>
    <row r="4">
      <c r="A4" s="4" t="n">
        <v>46027</v>
      </c>
      <c r="B4" s="1">
        <f>B3</f>
        <v/>
      </c>
      <c r="C4" t="n">
        <v>23.7103</v>
      </c>
    </row>
    <row r="5">
      <c r="A5" s="4" t="n">
        <v>46028</v>
      </c>
      <c r="B5" s="1">
        <f>B4</f>
        <v/>
      </c>
      <c r="C5" t="n">
        <v>23.5395</v>
      </c>
    </row>
    <row r="6">
      <c r="A6" s="4" t="n">
        <v>46029</v>
      </c>
      <c r="B6" s="1">
        <f>B5</f>
        <v/>
      </c>
      <c r="C6" t="n">
        <v>23.7048</v>
      </c>
    </row>
    <row r="7">
      <c r="A7" s="4" t="n">
        <v>46030</v>
      </c>
      <c r="B7" s="1">
        <f>B6</f>
        <v/>
      </c>
      <c r="C7" t="n">
        <v>23.6552</v>
      </c>
    </row>
    <row r="8">
      <c r="A8" s="4" t="n">
        <v>46031</v>
      </c>
      <c r="B8" s="1">
        <f>B7</f>
        <v/>
      </c>
      <c r="C8" t="n">
        <v>23.6276</v>
      </c>
    </row>
    <row r="9">
      <c r="A9" s="4" t="n">
        <v>46034</v>
      </c>
      <c r="B9" s="1">
        <f>B8</f>
        <v/>
      </c>
      <c r="C9" t="n">
        <v>23.5229</v>
      </c>
    </row>
    <row r="10">
      <c r="A10" s="4" t="n">
        <v>46035</v>
      </c>
      <c r="B10" s="1">
        <f>B9</f>
        <v/>
      </c>
      <c r="C10" t="n">
        <v>23.33</v>
      </c>
    </row>
    <row r="11">
      <c r="A11" s="4" t="n">
        <v>46036</v>
      </c>
      <c r="B11" s="1">
        <f>B10</f>
        <v/>
      </c>
      <c r="C11" t="n">
        <v>23.3245</v>
      </c>
    </row>
    <row r="12">
      <c r="A12" s="4" t="n">
        <v>46037</v>
      </c>
      <c r="B12" s="1">
        <f>B11</f>
        <v/>
      </c>
      <c r="C12" t="n">
        <v>23.4623</v>
      </c>
    </row>
    <row r="13">
      <c r="A13" s="4" t="n">
        <v>46038</v>
      </c>
      <c r="B13" s="1">
        <f>B12</f>
        <v/>
      </c>
      <c r="C13" t="n">
        <v>23.567</v>
      </c>
    </row>
    <row r="14">
      <c r="A14" s="4" t="n">
        <v>46041</v>
      </c>
      <c r="B14" s="1">
        <f>B13</f>
        <v/>
      </c>
      <c r="C14" t="n">
        <v>23.567</v>
      </c>
    </row>
    <row r="15">
      <c r="A15" s="9" t="n">
        <v>46042</v>
      </c>
      <c r="B15" s="1">
        <f>B14</f>
        <v/>
      </c>
      <c r="C15" t="n">
        <v>23.4568</v>
      </c>
    </row>
    <row r="16">
      <c r="A16" s="4" t="n">
        <v>46043</v>
      </c>
      <c r="B16" s="1">
        <f>B15</f>
        <v/>
      </c>
      <c r="C16" t="n">
        <v>23.6883</v>
      </c>
    </row>
    <row r="17">
      <c r="A17" s="4" t="n">
        <v>46044</v>
      </c>
      <c r="B17" s="1">
        <f>B16</f>
        <v/>
      </c>
      <c r="C17" t="n">
        <v>23.7489</v>
      </c>
    </row>
    <row r="18">
      <c r="A18" s="9" t="n">
        <v>46045</v>
      </c>
      <c r="B18" s="1">
        <f>B17</f>
        <v/>
      </c>
      <c r="C18" t="n">
        <v>23.8536</v>
      </c>
    </row>
    <row r="19">
      <c r="A19" s="9" t="n">
        <v>46048</v>
      </c>
      <c r="B19" s="1">
        <f>B18</f>
        <v/>
      </c>
      <c r="C19" t="n">
        <v>23.7875</v>
      </c>
    </row>
    <row r="20">
      <c r="A20" s="9" t="n">
        <v>46049</v>
      </c>
      <c r="B20" s="1">
        <f>B19</f>
        <v/>
      </c>
      <c r="C20" t="n">
        <v>23.8701</v>
      </c>
    </row>
    <row r="21">
      <c r="A21" s="9" t="n">
        <v>46050</v>
      </c>
      <c r="B21" s="1">
        <f>B20</f>
        <v/>
      </c>
      <c r="C21" t="n">
        <v>24.03</v>
      </c>
    </row>
    <row r="22">
      <c r="A22" s="9" t="n">
        <v>46051</v>
      </c>
      <c r="B22" s="1">
        <f>B21</f>
        <v/>
      </c>
      <c r="C22" t="n">
        <v>24.0245</v>
      </c>
    </row>
    <row r="23">
      <c r="A23" s="9" t="n">
        <v>46052</v>
      </c>
      <c r="B23" s="1">
        <f>B22</f>
        <v/>
      </c>
      <c r="C23" t="n">
        <v>23.804</v>
      </c>
    </row>
    <row r="24">
      <c r="A24" s="9" t="n">
        <v>46055</v>
      </c>
      <c r="B24" s="1">
        <f>B23</f>
        <v/>
      </c>
      <c r="C24" t="n">
        <v>23.7048</v>
      </c>
    </row>
    <row r="25">
      <c r="A25" s="9" t="n">
        <v>46056</v>
      </c>
      <c r="B25" s="1">
        <f>B24</f>
        <v/>
      </c>
      <c r="C25" t="n">
        <v>23.793</v>
      </c>
    </row>
    <row r="26">
      <c r="A26" s="9" t="n">
        <v>46057</v>
      </c>
      <c r="B26" s="1">
        <f>B25</f>
        <v/>
      </c>
      <c r="C26" t="n">
        <v>23.9749</v>
      </c>
    </row>
    <row r="27">
      <c r="A27" s="9" t="n">
        <v>46058</v>
      </c>
      <c r="B27" s="1">
        <f>B26</f>
        <v/>
      </c>
      <c r="C27" t="n">
        <v>24.2174</v>
      </c>
    </row>
    <row r="28">
      <c r="A28" s="9" t="n">
        <v>46059</v>
      </c>
      <c r="B28" s="1">
        <f>B27</f>
        <v/>
      </c>
      <c r="C28" t="n">
        <v>24.1182</v>
      </c>
    </row>
    <row r="29">
      <c r="A29" s="9" t="n">
        <v>46062</v>
      </c>
      <c r="B29" s="1">
        <f>B28</f>
        <v/>
      </c>
      <c r="C29" t="n">
        <v>24.1567</v>
      </c>
    </row>
    <row r="30">
      <c r="A30" s="9" t="n">
        <v>46063</v>
      </c>
      <c r="B30" s="1">
        <f>B29</f>
        <v/>
      </c>
      <c r="C30" t="n">
        <v>24.3937</v>
      </c>
    </row>
    <row r="31">
      <c r="A31" s="9" t="n">
        <v>46064</v>
      </c>
      <c r="B31" s="1">
        <f>B30</f>
        <v/>
      </c>
      <c r="C31" t="n">
        <v>24.4819</v>
      </c>
    </row>
    <row r="32">
      <c r="A32" s="9" t="n">
        <v>46065</v>
      </c>
      <c r="B32" s="1">
        <f>B31</f>
        <v/>
      </c>
      <c r="C32" t="n">
        <v>24.6087</v>
      </c>
    </row>
    <row r="33">
      <c r="A33" s="9" t="n">
        <v>46066</v>
      </c>
      <c r="B33" s="1">
        <f>B32</f>
        <v/>
      </c>
      <c r="C33" t="n">
        <v>24.5481</v>
      </c>
    </row>
    <row r="34">
      <c r="A34" s="9" t="n">
        <v>46071</v>
      </c>
      <c r="B34" s="1">
        <f>B33</f>
        <v/>
      </c>
      <c r="C34" t="n">
        <v>24.6142</v>
      </c>
    </row>
    <row r="35">
      <c r="A35" s="9" t="n">
        <v>46072</v>
      </c>
      <c r="B35" s="1">
        <f>B34</f>
        <v/>
      </c>
      <c r="C35" t="n">
        <v>24.6528</v>
      </c>
    </row>
    <row r="36">
      <c r="A36" s="9" t="n">
        <v>46073</v>
      </c>
      <c r="B36" s="1">
        <f>B35</f>
        <v/>
      </c>
      <c r="C36" t="n">
        <v>24.5811</v>
      </c>
    </row>
    <row r="37">
      <c r="A37" s="9" t="n">
        <v>46076</v>
      </c>
      <c r="B37" s="1">
        <f>B36</f>
        <v/>
      </c>
      <c r="C37" t="n">
        <v>24.6307</v>
      </c>
    </row>
    <row r="38">
      <c r="A38" s="9" t="n">
        <v>46077</v>
      </c>
      <c r="B38" s="1">
        <f>B37</f>
        <v/>
      </c>
      <c r="C38" t="n">
        <v>24.7189</v>
      </c>
    </row>
    <row r="39">
      <c r="A39" s="9" t="n">
        <v>46078</v>
      </c>
      <c r="B39" s="1">
        <f>B38</f>
        <v/>
      </c>
      <c r="C39" t="n">
        <v>24.8622</v>
      </c>
    </row>
    <row r="40">
      <c r="A40" s="9" t="n">
        <v>46079</v>
      </c>
      <c r="B40" s="1">
        <f>B39</f>
        <v/>
      </c>
      <c r="C40" t="n">
        <v>24.8567</v>
      </c>
    </row>
    <row r="41">
      <c r="A41" s="9" t="n">
        <v>46080</v>
      </c>
      <c r="B41" s="1">
        <f>B40</f>
        <v/>
      </c>
      <c r="C41" t="n">
        <v>24.8732</v>
      </c>
    </row>
    <row r="42">
      <c r="A42" s="9" t="n">
        <v>46083</v>
      </c>
      <c r="B42" s="1">
        <f>B41</f>
        <v/>
      </c>
      <c r="C42" t="n">
        <v>24.8843</v>
      </c>
    </row>
    <row r="43">
      <c r="A43" s="9" t="n">
        <v>46084</v>
      </c>
      <c r="B43" s="1">
        <f>B42</f>
        <v/>
      </c>
      <c r="C43" t="n">
        <v>24.9449</v>
      </c>
    </row>
    <row r="44">
      <c r="A44" s="9" t="n">
        <v>46085</v>
      </c>
      <c r="B44" s="1">
        <f>B43</f>
        <v/>
      </c>
      <c r="C44" t="n">
        <v>24.9228</v>
      </c>
    </row>
    <row r="45">
      <c r="A45" s="9" t="n">
        <v>46086</v>
      </c>
      <c r="B45" s="1">
        <f>B44</f>
        <v/>
      </c>
      <c r="C45" t="n">
        <v>25.0551</v>
      </c>
    </row>
    <row r="46">
      <c r="A46" s="9" t="n">
        <v>46087</v>
      </c>
      <c r="B46" s="1">
        <f>B45</f>
        <v/>
      </c>
      <c r="C46" t="n">
        <v>25.2811</v>
      </c>
    </row>
    <row r="47">
      <c r="A47" s="9" t="n">
        <v>46090</v>
      </c>
      <c r="B47" s="1">
        <f>B46</f>
        <v/>
      </c>
      <c r="C47" t="n">
        <v>25.3142</v>
      </c>
    </row>
    <row r="48">
      <c r="A48" s="9" t="n">
        <v>46091</v>
      </c>
      <c r="B48" s="1">
        <f>B47</f>
        <v/>
      </c>
      <c r="C48" t="n">
        <v>25.4299</v>
      </c>
    </row>
    <row r="49">
      <c r="A49" s="9" t="n">
        <v>46092</v>
      </c>
      <c r="B49" s="1">
        <f>B48</f>
        <v/>
      </c>
      <c r="C49" t="n">
        <v>25.6448</v>
      </c>
    </row>
    <row r="50">
      <c r="A50" s="9" t="n">
        <v>46093</v>
      </c>
      <c r="B50" s="1">
        <f>B49</f>
        <v/>
      </c>
      <c r="C50" t="n">
        <v>25.7385</v>
      </c>
    </row>
    <row r="51">
      <c r="A51" s="9" t="n">
        <v>46094</v>
      </c>
      <c r="B51" s="1">
        <f>B50</f>
        <v/>
      </c>
      <c r="C51" t="n">
        <v>25.6063</v>
      </c>
    </row>
    <row r="52">
      <c r="A52" s="9" t="n">
        <v>46097</v>
      </c>
      <c r="B52" s="1">
        <f>B51</f>
        <v/>
      </c>
      <c r="C52" t="n">
        <v>24.7079</v>
      </c>
    </row>
    <row r="53">
      <c r="A53" s="9" t="n">
        <v>46098</v>
      </c>
      <c r="B53" s="1">
        <f>B52</f>
        <v/>
      </c>
      <c r="C53" t="n">
        <v>24.9394</v>
      </c>
    </row>
    <row r="54">
      <c r="A54" s="9" t="n">
        <v>46099</v>
      </c>
      <c r="B54" s="1">
        <f>B53</f>
        <v/>
      </c>
      <c r="C54" t="n">
        <v>25.1653</v>
      </c>
    </row>
    <row r="55">
      <c r="A55" s="9" t="n">
        <v>46100</v>
      </c>
      <c r="B55" s="1">
        <f>B54</f>
        <v/>
      </c>
      <c r="C55" t="n">
        <v>25.2701</v>
      </c>
    </row>
    <row r="56">
      <c r="A56" s="9" t="n">
        <v>46101</v>
      </c>
      <c r="B56" s="1">
        <f>B55</f>
        <v/>
      </c>
      <c r="C56" t="n">
        <v>25.1543</v>
      </c>
    </row>
    <row r="57">
      <c r="A57" s="9" t="n">
        <v>46104</v>
      </c>
      <c r="B57" s="1">
        <f>B56</f>
        <v/>
      </c>
      <c r="C57" t="n">
        <v>25.2756</v>
      </c>
    </row>
    <row r="58">
      <c r="A58" s="9" t="n">
        <v>46105</v>
      </c>
      <c r="B58" s="1">
        <f>B57</f>
        <v/>
      </c>
      <c r="C58" t="n">
        <v>25.2149</v>
      </c>
    </row>
    <row r="59">
      <c r="A59" s="9" t="n">
        <v>46106</v>
      </c>
      <c r="B59" s="1">
        <f>B58</f>
        <v/>
      </c>
      <c r="C59" t="n">
        <v>25.3527</v>
      </c>
    </row>
    <row r="60">
      <c r="A60" s="9" t="n">
        <v>46107</v>
      </c>
      <c r="B60" s="1">
        <f>B59</f>
        <v/>
      </c>
      <c r="C60" t="n">
        <v>25.4134</v>
      </c>
    </row>
    <row r="61">
      <c r="A61" s="9" t="n">
        <v>46108</v>
      </c>
      <c r="B61" s="1">
        <f>B60</f>
        <v/>
      </c>
      <c r="C61" t="n">
        <v>25.2205</v>
      </c>
    </row>
    <row r="62">
      <c r="A62" s="9" t="n">
        <v>46111</v>
      </c>
      <c r="B62" s="1">
        <f>B61</f>
        <v/>
      </c>
      <c r="C62" t="n">
        <v>25.2205</v>
      </c>
    </row>
    <row r="63">
      <c r="A63" s="9" t="n">
        <v>46112</v>
      </c>
      <c r="B63" s="1">
        <f>B62</f>
        <v/>
      </c>
      <c r="C63" t="n">
        <v>25.5181</v>
      </c>
    </row>
    <row r="64">
      <c r="A64" s="9" t="n">
        <v>46113</v>
      </c>
      <c r="B64" s="1">
        <f>B73</f>
        <v/>
      </c>
      <c r="C64" t="n">
        <v>25.474</v>
      </c>
    </row>
    <row r="65">
      <c r="A65" s="9" t="n">
        <v>46114</v>
      </c>
      <c r="B65" s="1">
        <f>B74</f>
        <v/>
      </c>
      <c r="C65" t="n">
        <v>25.4409</v>
      </c>
    </row>
    <row r="66">
      <c r="A66" s="9" t="n">
        <v>46118</v>
      </c>
      <c r="B66" s="1">
        <f>B75</f>
        <v/>
      </c>
      <c r="C66" t="n">
        <v>25.5071</v>
      </c>
    </row>
    <row r="67">
      <c r="A67" s="9" t="n">
        <v>46119</v>
      </c>
      <c r="B67" s="1">
        <f>B76</f>
        <v/>
      </c>
      <c r="C67" t="n">
        <v>25.3748</v>
      </c>
    </row>
    <row r="68">
      <c r="A68" s="9" t="n">
        <v>46120</v>
      </c>
      <c r="B68" s="1">
        <f>B77</f>
        <v/>
      </c>
      <c r="C68" t="n">
        <v>25.3968</v>
      </c>
    </row>
    <row r="69">
      <c r="A69" s="9" t="n">
        <v>46121</v>
      </c>
      <c r="B69" s="1">
        <f>B78</f>
        <v/>
      </c>
      <c r="C69" t="n">
        <v>25.4078</v>
      </c>
    </row>
    <row r="70">
      <c r="A70" s="9" t="n">
        <v>46122</v>
      </c>
      <c r="B70" s="1">
        <f>B79</f>
        <v/>
      </c>
      <c r="C70" t="n">
        <v>25.5236</v>
      </c>
    </row>
    <row r="71">
      <c r="A71" s="9" t="n">
        <v>46125</v>
      </c>
      <c r="B71" s="1">
        <f>B80</f>
        <v/>
      </c>
      <c r="C71" t="n">
        <v>25.3472</v>
      </c>
    </row>
    <row r="72">
      <c r="A72" s="9" t="n">
        <v>46126</v>
      </c>
      <c r="B72" s="1">
        <f>B81</f>
        <v/>
      </c>
      <c r="C72" t="n">
        <v>25.2205</v>
      </c>
    </row>
    <row r="73">
      <c r="A73" s="9" t="n">
        <v>46127</v>
      </c>
      <c r="B73" s="1">
        <f>B82</f>
        <v/>
      </c>
      <c r="C73" t="n">
        <v>25.4519</v>
      </c>
    </row>
    <row r="74">
      <c r="A74" s="9" t="n">
        <v>46128</v>
      </c>
      <c r="B74" s="1">
        <f>B83</f>
        <v/>
      </c>
      <c r="C74" t="n">
        <v>25.485</v>
      </c>
    </row>
    <row r="75">
      <c r="A75" s="9" t="n">
        <v>46129</v>
      </c>
      <c r="B75" s="1">
        <f>B74</f>
        <v/>
      </c>
      <c r="C75" t="n">
        <v>25.496</v>
      </c>
    </row>
    <row r="76">
      <c r="A76" s="9" t="n">
        <v>46132</v>
      </c>
      <c r="B76" s="1">
        <f>B75</f>
        <v/>
      </c>
      <c r="C76" t="n">
        <v>25.5236</v>
      </c>
    </row>
    <row r="77">
      <c r="A77" s="9" t="n">
        <v>46134</v>
      </c>
      <c r="B77" s="1">
        <f>B76</f>
        <v/>
      </c>
      <c r="C77" t="n">
        <v>25.485</v>
      </c>
    </row>
    <row r="78">
      <c r="A78" s="9" t="n">
        <v>46135</v>
      </c>
      <c r="B78" s="1">
        <f>B77</f>
        <v/>
      </c>
      <c r="C78" t="n">
        <v>25.463</v>
      </c>
    </row>
    <row r="79">
      <c r="A79" s="9" t="n">
        <v>46136</v>
      </c>
      <c r="B79" s="1">
        <f>B78</f>
        <v/>
      </c>
      <c r="C79" t="n">
        <v>25.4795</v>
      </c>
    </row>
    <row r="80">
      <c r="A80" s="9" t="n">
        <v>46139</v>
      </c>
      <c r="B80" s="1">
        <f>B79</f>
        <v/>
      </c>
      <c r="C80" t="n">
        <v>25.7</v>
      </c>
    </row>
    <row r="81">
      <c r="A81" s="9" t="n">
        <v>46140</v>
      </c>
      <c r="B81" s="1">
        <f>B80</f>
        <v/>
      </c>
      <c r="C81" t="n">
        <v>25.7275</v>
      </c>
    </row>
    <row r="82">
      <c r="A82" s="9" t="n">
        <v>46141</v>
      </c>
      <c r="B82" s="1">
        <f>B81</f>
        <v/>
      </c>
      <c r="C82" t="n">
        <v>25.8212</v>
      </c>
    </row>
    <row r="83">
      <c r="A83" s="9" t="n">
        <v>46142</v>
      </c>
      <c r="B83" s="1">
        <f>B82</f>
        <v/>
      </c>
      <c r="C83" t="n">
        <v>25.8598</v>
      </c>
    </row>
    <row r="84">
      <c r="A84" s="9" t="n">
        <v>46146</v>
      </c>
      <c r="B84" s="1">
        <f>B83</f>
        <v/>
      </c>
      <c r="C84" t="n">
        <v>26.3834</v>
      </c>
    </row>
    <row r="85">
      <c r="A85" s="9" t="n">
        <v>46147</v>
      </c>
      <c r="B85" s="1">
        <f>B84</f>
        <v/>
      </c>
      <c r="C85" t="n">
        <v>26.2235</v>
      </c>
    </row>
    <row r="86">
      <c r="A86" s="9" t="n">
        <v>46148</v>
      </c>
      <c r="B86" s="1">
        <f>B85</f>
        <v/>
      </c>
      <c r="C86" t="n">
        <v>25.9149</v>
      </c>
    </row>
    <row r="87">
      <c r="A87" s="9" t="n">
        <v>46149</v>
      </c>
      <c r="B87" s="1">
        <f>B86</f>
        <v/>
      </c>
      <c r="C87" t="n">
        <v>25.8708</v>
      </c>
    </row>
    <row r="88">
      <c r="A88" s="9" t="n">
        <v>46150</v>
      </c>
      <c r="B88" s="1">
        <f>B87</f>
        <v/>
      </c>
      <c r="C88" t="n">
        <v>26.2235</v>
      </c>
    </row>
    <row r="89">
      <c r="A89" s="9" t="n">
        <v>46153</v>
      </c>
      <c r="B89" s="1">
        <f>B88</f>
        <v/>
      </c>
      <c r="C89" t="n">
        <v>26.3393</v>
      </c>
    </row>
    <row r="90">
      <c r="A90" s="9" t="n">
        <v>46154</v>
      </c>
      <c r="B90" s="1">
        <f>B89</f>
        <v/>
      </c>
      <c r="C90" t="n">
        <v>26.5653</v>
      </c>
    </row>
    <row r="91">
      <c r="A91" s="9" t="n">
        <v>46155</v>
      </c>
      <c r="B91" s="1">
        <f>B90</f>
        <v/>
      </c>
      <c r="C91" t="n">
        <v>26.6259</v>
      </c>
    </row>
    <row r="92">
      <c r="A92" s="9" t="n">
        <v>46156</v>
      </c>
      <c r="B92" s="1">
        <f>B91</f>
        <v/>
      </c>
      <c r="C92" t="n">
        <v>26.0913</v>
      </c>
    </row>
    <row r="93">
      <c r="A93" s="9" t="n">
        <v>46157</v>
      </c>
      <c r="B93" s="1">
        <f>B92</f>
        <v/>
      </c>
      <c r="C93" t="n">
        <v>25.8102</v>
      </c>
    </row>
    <row r="94">
      <c r="A94" s="9" t="n">
        <v>46160</v>
      </c>
      <c r="B94" s="1">
        <f>B93</f>
        <v/>
      </c>
      <c r="C94" t="n">
        <v>26.4771</v>
      </c>
    </row>
    <row r="95">
      <c r="A95" s="9" t="n">
        <v>46161</v>
      </c>
      <c r="B95" s="1">
        <f>B94</f>
        <v/>
      </c>
      <c r="C95" t="n">
        <v>26.5212</v>
      </c>
    </row>
    <row r="96">
      <c r="A96" s="9" t="n">
        <v>46162</v>
      </c>
      <c r="B96" s="1">
        <f>B95</f>
        <v/>
      </c>
      <c r="C96" t="n">
        <v>26.3117</v>
      </c>
    </row>
    <row r="97">
      <c r="A97" s="9" t="n">
        <v>46163</v>
      </c>
      <c r="B97" s="1">
        <f>B96</f>
        <v/>
      </c>
      <c r="C97" t="n">
        <v>26.1629</v>
      </c>
    </row>
    <row r="98">
      <c r="A98" s="9" t="n">
        <v>46164</v>
      </c>
      <c r="B98" s="1">
        <f>B97</f>
        <v/>
      </c>
      <c r="C98" t="n">
        <v>26.185</v>
      </c>
    </row>
    <row r="99">
      <c r="A99" s="9" t="n">
        <v>46167</v>
      </c>
      <c r="B99" s="1">
        <f>B98</f>
        <v/>
      </c>
      <c r="C99" t="n">
        <v>26.185</v>
      </c>
    </row>
    <row r="100">
      <c r="A100" s="9" t="n">
        <v>46168</v>
      </c>
      <c r="B100" s="1">
        <f>B99</f>
        <v/>
      </c>
      <c r="C100" t="n">
        <v>26.0196</v>
      </c>
    </row>
    <row r="101">
      <c r="A101" s="9" t="n">
        <v>46169</v>
      </c>
      <c r="B101" s="1">
        <f>B100</f>
        <v/>
      </c>
      <c r="C101" t="n">
        <v>26.0472</v>
      </c>
    </row>
    <row r="102">
      <c r="A102" s="9" t="n">
        <v>46170</v>
      </c>
      <c r="B102" s="1">
        <f>B101</f>
        <v/>
      </c>
      <c r="C102" t="n">
        <v>26.3228</v>
      </c>
    </row>
    <row r="103">
      <c r="A103" s="9" t="n">
        <v>46171</v>
      </c>
      <c r="B103" s="1">
        <f>B102</f>
        <v/>
      </c>
      <c r="C103" t="n">
        <v>26.2346</v>
      </c>
    </row>
    <row r="104">
      <c r="A104" s="9" t="n">
        <v>46174</v>
      </c>
      <c r="B104" s="1">
        <f>B103</f>
        <v/>
      </c>
      <c r="C104" t="n">
        <v>26.207</v>
      </c>
    </row>
    <row r="105">
      <c r="A105" s="9" t="n">
        <v>46175</v>
      </c>
      <c r="B105" s="1">
        <f>B104</f>
        <v/>
      </c>
      <c r="C105" t="n">
        <v>25.9645</v>
      </c>
    </row>
    <row r="106">
      <c r="A106" s="9" t="n">
        <v>46176</v>
      </c>
      <c r="B106" s="1">
        <f>B105</f>
        <v/>
      </c>
      <c r="C106" t="n">
        <v>25.733</v>
      </c>
    </row>
    <row r="107">
      <c r="A107" s="9" t="n">
        <v>46178</v>
      </c>
      <c r="B107" s="1">
        <f>B106</f>
        <v/>
      </c>
      <c r="C107" t="n">
        <v>25.0772</v>
      </c>
    </row>
    <row r="108">
      <c r="A108" s="9" t="n">
        <v>46181</v>
      </c>
      <c r="B108" s="1">
        <f>B107</f>
        <v/>
      </c>
      <c r="C108" t="n">
        <v>25.0331</v>
      </c>
    </row>
    <row r="109">
      <c r="A109" s="9" t="n">
        <v>46182</v>
      </c>
      <c r="B109" s="1">
        <f>B108</f>
        <v/>
      </c>
      <c r="C109" t="n">
        <v>24.9559</v>
      </c>
    </row>
    <row r="110">
      <c r="A110" s="9" t="n">
        <v>46183</v>
      </c>
      <c r="B110" s="1">
        <f>B109</f>
        <v/>
      </c>
      <c r="C110" t="n">
        <v>25.0992</v>
      </c>
    </row>
    <row r="111">
      <c r="A111" s="9" t="n">
        <v>46184</v>
      </c>
      <c r="B111" s="1">
        <f>B110</f>
        <v/>
      </c>
      <c r="C111" t="n">
        <v>25</v>
      </c>
    </row>
    <row r="112">
      <c r="A112" s="9" t="n">
        <v>46185</v>
      </c>
      <c r="B112" s="1">
        <f>B111</f>
        <v/>
      </c>
      <c r="C112" t="n">
        <v>24.9559</v>
      </c>
    </row>
    <row r="113">
      <c r="A113" s="9" t="n">
        <v>46188</v>
      </c>
      <c r="B113" s="1">
        <f>B112</f>
        <v/>
      </c>
      <c r="C113" t="n">
        <v>25.0165</v>
      </c>
    </row>
    <row r="114">
      <c r="A114" s="9" t="n">
        <v>46189</v>
      </c>
      <c r="B114" s="1">
        <f>B113</f>
        <v/>
      </c>
      <c r="C114" t="n">
        <v>25.2756</v>
      </c>
    </row>
    <row r="115">
      <c r="A115" s="9" t="n">
        <v>46190</v>
      </c>
      <c r="B115" s="1">
        <f>B114</f>
        <v/>
      </c>
      <c r="C115" t="n">
        <v>25.3362</v>
      </c>
    </row>
    <row r="116">
      <c r="A116" s="9" t="n">
        <v>46191</v>
      </c>
      <c r="B116" s="1">
        <f>B115</f>
        <v/>
      </c>
      <c r="C116" t="n">
        <v>25.1929</v>
      </c>
    </row>
    <row r="117">
      <c r="A117" s="9" t="n">
        <v>46192</v>
      </c>
      <c r="B117" s="1">
        <f>B116</f>
        <v/>
      </c>
      <c r="C117" t="n">
        <v>25.1929</v>
      </c>
    </row>
    <row r="118">
      <c r="A118" s="9" t="n">
        <v>46195</v>
      </c>
      <c r="B118" s="1">
        <f>B117</f>
        <v/>
      </c>
      <c r="C118" t="n">
        <v>25.1653</v>
      </c>
    </row>
    <row r="119">
      <c r="A119" s="9" t="n">
        <v>46196</v>
      </c>
      <c r="B119" s="1">
        <f>B118</f>
        <v/>
      </c>
      <c r="C119" t="n">
        <v>25.1709</v>
      </c>
    </row>
    <row r="120">
      <c r="A120" s="9" t="n">
        <v>46197</v>
      </c>
      <c r="B120" s="1">
        <f>B119</f>
        <v/>
      </c>
      <c r="C120" t="n">
        <v>25.022</v>
      </c>
    </row>
    <row r="121">
      <c r="A121" s="9" t="n">
        <v>46198</v>
      </c>
      <c r="B121" s="1">
        <f>B120</f>
        <v/>
      </c>
      <c r="C121" t="n">
        <v>25.5071</v>
      </c>
    </row>
    <row r="122">
      <c r="A122" s="9" t="n">
        <v>46199</v>
      </c>
      <c r="B122" s="1">
        <f>B121</f>
        <v/>
      </c>
      <c r="C122" t="n">
        <v>25.4905</v>
      </c>
    </row>
    <row r="123">
      <c r="A123" s="9" t="n">
        <v>46202</v>
      </c>
      <c r="B123" s="1">
        <f>B122</f>
        <v/>
      </c>
      <c r="C123" t="n">
        <v>25.1102</v>
      </c>
    </row>
    <row r="124">
      <c r="A124" s="9" t="n">
        <v>46203</v>
      </c>
      <c r="B124" s="1">
        <f>B123</f>
        <v/>
      </c>
      <c r="C124" t="n">
        <v>25.2149</v>
      </c>
    </row>
    <row r="125">
      <c r="A125" s="9" t="n">
        <v>46204</v>
      </c>
      <c r="B125" s="1">
        <f>B124</f>
        <v/>
      </c>
      <c r="C125" t="n">
        <v>25.3362</v>
      </c>
    </row>
    <row r="126">
      <c r="A126" s="9" t="n">
        <v>46205</v>
      </c>
      <c r="B126" s="1">
        <f>B125</f>
        <v/>
      </c>
      <c r="C126" t="n">
        <v>25.3031</v>
      </c>
    </row>
    <row r="127">
      <c r="A127" s="9" t="n">
        <v>46206</v>
      </c>
      <c r="B127" s="1">
        <f>B126</f>
        <v/>
      </c>
      <c r="C127" t="n">
        <v>25.3031</v>
      </c>
    </row>
    <row r="128">
      <c r="A128" s="9" t="n">
        <v>46209</v>
      </c>
      <c r="B128" s="1">
        <f>B127</f>
        <v/>
      </c>
      <c r="C128" t="n">
        <v>26.2842</v>
      </c>
    </row>
    <row r="129">
      <c r="A129" s="9" t="n">
        <v>46210</v>
      </c>
      <c r="B129" s="1">
        <f>B128</f>
        <v/>
      </c>
      <c r="C129" t="n">
        <v>26.4054</v>
      </c>
    </row>
    <row r="130">
      <c r="A130" s="9" t="n">
        <v>46211</v>
      </c>
      <c r="B130" s="1">
        <f>B129</f>
        <v/>
      </c>
      <c r="C130" t="n">
        <v>26.2842</v>
      </c>
    </row>
    <row r="131">
      <c r="A131" s="9" t="n">
        <v>46212</v>
      </c>
      <c r="B131" s="1">
        <f>B130</f>
        <v/>
      </c>
      <c r="C131" t="n">
        <v>26.0472</v>
      </c>
    </row>
    <row r="132">
      <c r="A132" s="9" t="n">
        <v>46213</v>
      </c>
      <c r="B132" s="1">
        <f>B131</f>
        <v/>
      </c>
      <c r="C132" t="n">
        <v>26.2511</v>
      </c>
    </row>
    <row r="133">
      <c r="A133" s="9" t="n">
        <v>46216</v>
      </c>
      <c r="B133" s="1">
        <f>B132</f>
        <v/>
      </c>
      <c r="C133" t="n">
        <v>26.3393</v>
      </c>
    </row>
    <row r="134">
      <c r="A134" s="9" t="n">
        <v>46217</v>
      </c>
      <c r="B134" s="1">
        <f>B133</f>
        <v/>
      </c>
      <c r="C134" t="n">
        <v>26.2566</v>
      </c>
    </row>
    <row r="135">
      <c r="A135" s="9">
        <f>IF('S.H BOI GORDO'!A7246=""," ",'S.H BOI GORDO'!A7246)</f>
        <v/>
      </c>
      <c r="B135" s="1">
        <f>B144</f>
        <v/>
      </c>
    </row>
    <row r="136">
      <c r="A136" s="9">
        <f>IF('S.H BOI GORDO'!A7247=""," ",'S.H BOI GORDO'!A7247)</f>
        <v/>
      </c>
      <c r="B136" s="1">
        <f>B145</f>
        <v/>
      </c>
    </row>
    <row r="137">
      <c r="A137" s="9">
        <f>IF('S.H BOI GORDO'!A7248=""," ",'S.H BOI GORDO'!A7248)</f>
        <v/>
      </c>
      <c r="B137" s="1">
        <f>B146</f>
        <v/>
      </c>
    </row>
    <row r="138">
      <c r="A138" s="9">
        <f>IF('S.H BOI GORDO'!A7249=""," ",'S.H BOI GORDO'!A7249)</f>
        <v/>
      </c>
      <c r="B138" s="1">
        <f>B147</f>
        <v/>
      </c>
    </row>
    <row r="139">
      <c r="A139" s="9">
        <f>IF('S.H BOI GORDO'!A7250=""," ",'S.H BOI GORDO'!A7250)</f>
        <v/>
      </c>
      <c r="B139" s="1">
        <f>B148</f>
        <v/>
      </c>
    </row>
    <row r="140">
      <c r="A140" s="9">
        <f>IF('S.H BOI GORDO'!A7251=""," ",'S.H BOI GORDO'!A7251)</f>
        <v/>
      </c>
      <c r="B140" s="1">
        <f>B149</f>
        <v/>
      </c>
    </row>
    <row r="141">
      <c r="A141" s="9">
        <f>IF('S.H BOI GORDO'!A7252=""," ",'S.H BOI GORDO'!A7252)</f>
        <v/>
      </c>
      <c r="B141" s="1">
        <f>B150</f>
        <v/>
      </c>
    </row>
    <row r="142">
      <c r="A142" s="9">
        <f>IF('S.H BOI GORDO'!A7253=""," ",'S.H BOI GORDO'!A7253)</f>
        <v/>
      </c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7.xml><?xml version="1.0" encoding="utf-8"?>
<worksheet xmlns="http://schemas.openxmlformats.org/spreadsheetml/2006/main">
  <sheetPr codeName="Planilha57">
    <outlinePr summaryBelow="1" summaryRight="1"/>
    <pageSetUpPr/>
  </sheetPr>
  <dimension ref="A1:C210"/>
  <sheetViews>
    <sheetView topLeftCell="A82" zoomScale="80" zoomScaleNormal="80" workbookViewId="0">
      <selection activeCell="C48" sqref="C4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SJCF27</t>
        </is>
      </c>
      <c r="C2" t="n">
        <v>24.3276</v>
      </c>
    </row>
    <row r="3">
      <c r="A3" s="9" t="n">
        <v>46062</v>
      </c>
      <c r="B3" s="20">
        <f>B2</f>
        <v/>
      </c>
      <c r="C3" t="n">
        <v>24.3717</v>
      </c>
    </row>
    <row r="4">
      <c r="A4" s="9" t="n">
        <v>46063</v>
      </c>
      <c r="B4" s="20">
        <f>B3</f>
        <v/>
      </c>
      <c r="C4" t="n">
        <v>24.6087</v>
      </c>
    </row>
    <row r="5">
      <c r="A5" s="9" t="n">
        <v>46064</v>
      </c>
      <c r="B5" s="20">
        <f>B4</f>
        <v/>
      </c>
      <c r="C5" t="n">
        <v>24.7024</v>
      </c>
    </row>
    <row r="6">
      <c r="A6" s="9" t="n">
        <v>46065</v>
      </c>
      <c r="B6" s="20">
        <f>B5</f>
        <v/>
      </c>
      <c r="C6" t="n">
        <v>24.8181</v>
      </c>
    </row>
    <row r="7">
      <c r="A7" s="9" t="n">
        <v>46066</v>
      </c>
      <c r="B7" s="20">
        <f>B6</f>
        <v/>
      </c>
      <c r="C7" t="n">
        <v>24.763</v>
      </c>
    </row>
    <row r="8">
      <c r="A8" s="9" t="n">
        <v>46071</v>
      </c>
      <c r="B8" s="20">
        <f>B7</f>
        <v/>
      </c>
      <c r="C8" t="n">
        <v>24.8347</v>
      </c>
    </row>
    <row r="9">
      <c r="A9" s="9" t="n">
        <v>46072</v>
      </c>
      <c r="B9" s="20">
        <f>B8</f>
        <v/>
      </c>
      <c r="C9" t="n">
        <v>24.8787</v>
      </c>
    </row>
    <row r="10">
      <c r="A10" s="9" t="n">
        <v>46073</v>
      </c>
      <c r="B10" s="20">
        <f>B9</f>
        <v/>
      </c>
      <c r="C10" t="n">
        <v>24.8126</v>
      </c>
    </row>
    <row r="11">
      <c r="A11" s="9" t="n">
        <v>46076</v>
      </c>
      <c r="B11" s="20">
        <f>B10</f>
        <v/>
      </c>
      <c r="C11" t="n">
        <v>24.8567</v>
      </c>
    </row>
    <row r="12">
      <c r="A12" s="9" t="n">
        <v>46077</v>
      </c>
      <c r="B12" s="20">
        <f>B11</f>
        <v/>
      </c>
      <c r="C12" t="n">
        <v>24.9504</v>
      </c>
    </row>
    <row r="13">
      <c r="A13" s="9" t="n">
        <v>46078</v>
      </c>
      <c r="B13" s="20">
        <f>B12</f>
        <v/>
      </c>
      <c r="C13" t="n">
        <v>25.0992</v>
      </c>
    </row>
    <row r="14">
      <c r="A14" s="9" t="n">
        <v>46079</v>
      </c>
      <c r="B14" s="20">
        <f>B13</f>
        <v/>
      </c>
      <c r="C14" t="n">
        <v>25.0937</v>
      </c>
    </row>
    <row r="15">
      <c r="A15" s="9" t="n">
        <v>46080</v>
      </c>
      <c r="B15" s="20">
        <f>B14</f>
        <v/>
      </c>
      <c r="C15" t="n">
        <v>25.1047</v>
      </c>
    </row>
    <row r="16">
      <c r="A16" s="9" t="n">
        <v>46083</v>
      </c>
      <c r="B16" s="20">
        <f>B15</f>
        <v/>
      </c>
      <c r="C16" t="n">
        <v>25.1157</v>
      </c>
    </row>
    <row r="17">
      <c r="A17" s="9" t="n">
        <v>46084</v>
      </c>
      <c r="B17" s="20">
        <f>B16</f>
        <v/>
      </c>
      <c r="C17" t="n">
        <v>25.1709</v>
      </c>
    </row>
    <row r="18">
      <c r="A18" s="9" t="n">
        <v>46085</v>
      </c>
      <c r="B18" s="20">
        <f>B17</f>
        <v/>
      </c>
      <c r="C18" t="n">
        <v>25.1543</v>
      </c>
    </row>
    <row r="19">
      <c r="A19" s="9" t="n">
        <v>46086</v>
      </c>
      <c r="B19" s="20">
        <f>B18</f>
        <v/>
      </c>
      <c r="C19" t="n">
        <v>25.2811</v>
      </c>
    </row>
    <row r="20">
      <c r="A20" s="9" t="n">
        <v>46087</v>
      </c>
      <c r="B20" s="20">
        <f>B19</f>
        <v/>
      </c>
      <c r="C20" t="n">
        <v>25.4685</v>
      </c>
    </row>
    <row r="21">
      <c r="A21" s="9" t="n">
        <v>46090</v>
      </c>
      <c r="B21" s="20">
        <f>B20</f>
        <v/>
      </c>
      <c r="C21" t="n">
        <v>25.5181</v>
      </c>
    </row>
    <row r="22">
      <c r="A22" s="9" t="n">
        <v>46091</v>
      </c>
      <c r="B22" s="20">
        <f>B21</f>
        <v/>
      </c>
      <c r="C22" t="n">
        <v>25.6338</v>
      </c>
    </row>
    <row r="23">
      <c r="A23" s="9" t="n">
        <v>46092</v>
      </c>
      <c r="B23" s="20">
        <f>B22</f>
        <v/>
      </c>
      <c r="C23" t="n">
        <v>25.8377</v>
      </c>
    </row>
    <row r="24">
      <c r="A24" s="9" t="n">
        <v>46093</v>
      </c>
      <c r="B24" s="20">
        <f>B23</f>
        <v/>
      </c>
      <c r="C24" t="n">
        <v>25.9314</v>
      </c>
    </row>
    <row r="25">
      <c r="A25" s="9" t="n">
        <v>46094</v>
      </c>
      <c r="B25" s="20">
        <f>B24</f>
        <v/>
      </c>
      <c r="C25" t="n">
        <v>25.7992</v>
      </c>
    </row>
    <row r="26">
      <c r="A26" s="9" t="n">
        <v>46097</v>
      </c>
      <c r="B26" s="20">
        <f>B25</f>
        <v/>
      </c>
      <c r="C26" t="n">
        <v>24.9504</v>
      </c>
    </row>
    <row r="27">
      <c r="A27" s="9" t="n">
        <v>46098</v>
      </c>
      <c r="B27" s="20">
        <f>B26</f>
        <v/>
      </c>
      <c r="C27" t="n">
        <v>25.1819</v>
      </c>
    </row>
    <row r="28">
      <c r="A28" s="9" t="n">
        <v>46099</v>
      </c>
      <c r="B28" s="20">
        <f>B27</f>
        <v/>
      </c>
      <c r="C28" t="n">
        <v>25.4023</v>
      </c>
    </row>
    <row r="29">
      <c r="A29" s="9" t="n">
        <v>46100</v>
      </c>
      <c r="B29" s="20">
        <f>B28</f>
        <v/>
      </c>
      <c r="C29" t="n">
        <v>25.5015</v>
      </c>
    </row>
    <row r="30">
      <c r="A30" s="9" t="n">
        <v>46101</v>
      </c>
      <c r="B30" s="20">
        <f>B29</f>
        <v/>
      </c>
      <c r="C30" t="n">
        <v>25.3858</v>
      </c>
    </row>
    <row r="31">
      <c r="A31" s="9" t="n">
        <v>46104</v>
      </c>
      <c r="B31" s="20">
        <f>B30</f>
        <v/>
      </c>
      <c r="C31" t="n">
        <v>25.5181</v>
      </c>
    </row>
    <row r="32">
      <c r="A32" s="9" t="n">
        <v>46105</v>
      </c>
      <c r="B32" s="20">
        <f>B31</f>
        <v/>
      </c>
      <c r="C32" t="n">
        <v>25.4575</v>
      </c>
    </row>
    <row r="33">
      <c r="A33" s="9" t="n">
        <v>46106</v>
      </c>
      <c r="B33" s="20">
        <f>B32</f>
        <v/>
      </c>
      <c r="C33" t="n">
        <v>25.6007</v>
      </c>
    </row>
    <row r="34">
      <c r="A34" s="9" t="n">
        <v>46107</v>
      </c>
      <c r="B34" s="20">
        <f>B33</f>
        <v/>
      </c>
      <c r="C34" t="n">
        <v>25.6504</v>
      </c>
    </row>
    <row r="35">
      <c r="A35" s="9" t="n">
        <v>46108</v>
      </c>
      <c r="B35" s="20">
        <f>B34</f>
        <v/>
      </c>
      <c r="C35" t="n">
        <v>25.463</v>
      </c>
    </row>
    <row r="36">
      <c r="A36" s="9" t="n">
        <v>46111</v>
      </c>
      <c r="B36" s="20">
        <f>B35</f>
        <v/>
      </c>
      <c r="C36" t="n">
        <v>25.4575</v>
      </c>
    </row>
    <row r="37">
      <c r="A37" s="9" t="n">
        <v>46112</v>
      </c>
      <c r="B37" s="20">
        <f>B36</f>
        <v/>
      </c>
      <c r="C37" t="n">
        <v>25.7385</v>
      </c>
    </row>
    <row r="38">
      <c r="A38" s="9" t="n">
        <v>46113</v>
      </c>
      <c r="B38" s="20">
        <f>B47</f>
        <v/>
      </c>
      <c r="C38" t="n">
        <v>25.6889</v>
      </c>
    </row>
    <row r="39">
      <c r="A39" s="9" t="n">
        <v>46114</v>
      </c>
      <c r="B39" s="20">
        <f>B48</f>
        <v/>
      </c>
      <c r="C39" t="n">
        <v>25.6559</v>
      </c>
    </row>
    <row r="40">
      <c r="A40" s="9" t="n">
        <v>46118</v>
      </c>
      <c r="B40" s="20">
        <f>B49</f>
        <v/>
      </c>
      <c r="C40" t="n">
        <v>25.7275</v>
      </c>
    </row>
    <row r="41">
      <c r="A41" s="9" t="n">
        <v>46119</v>
      </c>
      <c r="B41" s="20">
        <f>B50</f>
        <v/>
      </c>
      <c r="C41" t="n">
        <v>25.5897</v>
      </c>
    </row>
    <row r="42">
      <c r="A42" s="9" t="n">
        <v>46120</v>
      </c>
      <c r="B42" s="20">
        <f>B51</f>
        <v/>
      </c>
      <c r="C42" t="n">
        <v>25.6173</v>
      </c>
    </row>
    <row r="43">
      <c r="A43" s="9" t="n">
        <v>46121</v>
      </c>
      <c r="B43" s="20">
        <f>B52</f>
        <v/>
      </c>
      <c r="C43" t="n">
        <v>25.6448</v>
      </c>
    </row>
    <row r="44">
      <c r="A44" s="9" t="n">
        <v>46122</v>
      </c>
      <c r="B44" s="20">
        <f>B53</f>
        <v/>
      </c>
      <c r="C44" t="n">
        <v>25.7551</v>
      </c>
    </row>
    <row r="45">
      <c r="A45" s="9" t="n">
        <v>46125</v>
      </c>
      <c r="B45" s="20">
        <f>B54</f>
        <v/>
      </c>
      <c r="C45" t="n">
        <v>25.5897</v>
      </c>
    </row>
    <row r="46">
      <c r="A46" s="9" t="n">
        <v>46126</v>
      </c>
      <c r="B46" s="20">
        <f>B55</f>
        <v/>
      </c>
      <c r="C46" t="n">
        <v>25.4685</v>
      </c>
    </row>
    <row r="47">
      <c r="A47" s="9" t="n">
        <v>46127</v>
      </c>
      <c r="B47" s="20">
        <f>B56</f>
        <v/>
      </c>
      <c r="C47" t="n">
        <v>25.711</v>
      </c>
    </row>
    <row r="48">
      <c r="A48" s="9" t="n">
        <v>46128</v>
      </c>
      <c r="B48" s="20">
        <f>B57</f>
        <v/>
      </c>
      <c r="C48" t="n">
        <v>25.7551</v>
      </c>
    </row>
    <row r="49">
      <c r="A49" s="9" t="n">
        <v>46129</v>
      </c>
      <c r="B49" s="20">
        <f>B48</f>
        <v/>
      </c>
      <c r="C49" t="n">
        <v>25.7881</v>
      </c>
    </row>
    <row r="50">
      <c r="A50" s="9" t="n">
        <v>46132</v>
      </c>
      <c r="B50" s="20">
        <f>B49</f>
        <v/>
      </c>
      <c r="C50" t="n">
        <v>25.8157</v>
      </c>
    </row>
    <row r="51">
      <c r="A51" s="9" t="n">
        <v>46134</v>
      </c>
      <c r="B51" s="20">
        <f>B50</f>
        <v/>
      </c>
      <c r="C51" t="n">
        <v>25.7551</v>
      </c>
    </row>
    <row r="52">
      <c r="A52" s="9" t="n">
        <v>46135</v>
      </c>
      <c r="B52" s="20">
        <f>B51</f>
        <v/>
      </c>
      <c r="C52" t="n">
        <v>25.7275</v>
      </c>
    </row>
    <row r="53">
      <c r="A53" s="9" t="n">
        <v>46136</v>
      </c>
      <c r="B53" s="20">
        <f>B52</f>
        <v/>
      </c>
      <c r="C53" t="n">
        <v>25.7496</v>
      </c>
    </row>
    <row r="54">
      <c r="A54" s="9" t="n">
        <v>46139</v>
      </c>
      <c r="B54" s="20">
        <f>B53</f>
        <v/>
      </c>
      <c r="C54" t="n">
        <v>25.959</v>
      </c>
    </row>
    <row r="55">
      <c r="A55" s="9" t="n">
        <v>46140</v>
      </c>
      <c r="B55" s="20">
        <f>B54</f>
        <v/>
      </c>
      <c r="C55" t="n">
        <v>25.9866</v>
      </c>
    </row>
    <row r="56">
      <c r="A56" s="9" t="n">
        <v>46141</v>
      </c>
      <c r="B56" s="20">
        <f>B55</f>
        <v/>
      </c>
      <c r="C56" t="n">
        <v>26.0802</v>
      </c>
    </row>
    <row r="57">
      <c r="A57" s="9" t="n">
        <v>46142</v>
      </c>
      <c r="B57" s="20">
        <f>B56</f>
        <v/>
      </c>
      <c r="C57" t="n">
        <v>26.1188</v>
      </c>
    </row>
    <row r="58">
      <c r="A58" s="9" t="n">
        <v>46146</v>
      </c>
      <c r="B58" s="20">
        <f>B57</f>
        <v/>
      </c>
      <c r="C58" t="n">
        <v>26.6369</v>
      </c>
    </row>
    <row r="59">
      <c r="A59" s="9" t="n">
        <v>46147</v>
      </c>
      <c r="B59" s="20">
        <f>B58</f>
        <v/>
      </c>
      <c r="C59" t="n">
        <v>26.4881</v>
      </c>
    </row>
    <row r="60">
      <c r="A60" s="9" t="n">
        <v>46148</v>
      </c>
      <c r="B60" s="20">
        <f>B59</f>
        <v/>
      </c>
      <c r="C60" t="n">
        <v>26.1795</v>
      </c>
    </row>
    <row r="61">
      <c r="A61" s="9" t="n">
        <v>46149</v>
      </c>
      <c r="B61" s="20">
        <f>B60</f>
        <v/>
      </c>
      <c r="C61" t="n">
        <v>26.1354</v>
      </c>
    </row>
    <row r="62">
      <c r="A62" s="9" t="n">
        <v>46150</v>
      </c>
      <c r="B62" s="20">
        <f>B61</f>
        <v/>
      </c>
      <c r="C62" t="n">
        <v>26.4881</v>
      </c>
    </row>
    <row r="63">
      <c r="A63" s="9" t="n">
        <v>46153</v>
      </c>
      <c r="B63" s="20">
        <f>B62</f>
        <v/>
      </c>
      <c r="C63" t="n">
        <v>26.5928</v>
      </c>
    </row>
    <row r="64">
      <c r="A64" s="9" t="n">
        <v>46154</v>
      </c>
      <c r="B64" s="20">
        <f>B63</f>
        <v/>
      </c>
      <c r="C64" t="n">
        <v>26.8133</v>
      </c>
    </row>
    <row r="65">
      <c r="A65" s="9" t="n">
        <v>46155</v>
      </c>
      <c r="B65" s="20">
        <f>B64</f>
        <v/>
      </c>
      <c r="C65" t="n">
        <v>26.8794</v>
      </c>
    </row>
    <row r="66">
      <c r="A66" s="9" t="n">
        <v>46156</v>
      </c>
      <c r="B66" s="20">
        <f>B65</f>
        <v/>
      </c>
      <c r="C66" t="n">
        <v>26.3558</v>
      </c>
    </row>
    <row r="67">
      <c r="A67" s="9" t="n">
        <v>46157</v>
      </c>
      <c r="B67" s="20">
        <f>B66</f>
        <v/>
      </c>
      <c r="C67" t="n">
        <v>26.0858</v>
      </c>
    </row>
    <row r="68">
      <c r="A68" s="9" t="n">
        <v>46160</v>
      </c>
      <c r="B68" s="20">
        <f>B67</f>
        <v/>
      </c>
      <c r="C68" t="n">
        <v>26.7251</v>
      </c>
    </row>
    <row r="69">
      <c r="A69" s="9" t="n">
        <v>46161</v>
      </c>
      <c r="B69" s="20">
        <f>B68</f>
        <v/>
      </c>
      <c r="C69" t="n">
        <v>26.7582</v>
      </c>
    </row>
    <row r="70">
      <c r="A70" s="9" t="n">
        <v>46162</v>
      </c>
      <c r="B70" s="20">
        <f>B69</f>
        <v/>
      </c>
      <c r="C70" t="n">
        <v>26.5653</v>
      </c>
    </row>
    <row r="71">
      <c r="A71" s="9" t="n">
        <v>46163</v>
      </c>
      <c r="B71" s="20">
        <f>B70</f>
        <v/>
      </c>
      <c r="C71" t="n">
        <v>26.4275</v>
      </c>
    </row>
    <row r="72">
      <c r="A72" s="9" t="n">
        <v>46164</v>
      </c>
      <c r="B72" s="20">
        <f>B71</f>
        <v/>
      </c>
      <c r="C72" t="n">
        <v>26.4495</v>
      </c>
    </row>
    <row r="73">
      <c r="A73" s="9" t="n">
        <v>46167</v>
      </c>
      <c r="B73" s="20">
        <f>B72</f>
        <v/>
      </c>
      <c r="C73" t="n">
        <v>26.4495</v>
      </c>
    </row>
    <row r="74">
      <c r="A74" s="9" t="n">
        <v>46168</v>
      </c>
      <c r="B74" s="20">
        <f>B73</f>
        <v/>
      </c>
      <c r="C74" t="n">
        <v>26.3117</v>
      </c>
    </row>
    <row r="75">
      <c r="A75" s="9" t="n">
        <v>46169</v>
      </c>
      <c r="B75" s="20">
        <f>B74</f>
        <v/>
      </c>
      <c r="C75" t="n">
        <v>26.3283</v>
      </c>
    </row>
    <row r="76">
      <c r="A76" s="9" t="n">
        <v>46170</v>
      </c>
      <c r="B76" s="20">
        <f>B75</f>
        <v/>
      </c>
      <c r="C76" t="n">
        <v>26.6093</v>
      </c>
    </row>
    <row r="77">
      <c r="A77" s="9" t="n">
        <v>46171</v>
      </c>
      <c r="B77" s="20">
        <f>B76</f>
        <v/>
      </c>
      <c r="C77" t="n">
        <v>26.5322</v>
      </c>
    </row>
    <row r="78">
      <c r="A78" s="9" t="n">
        <v>46174</v>
      </c>
      <c r="B78" s="20">
        <f>B77</f>
        <v/>
      </c>
      <c r="C78" t="n">
        <v>26.5101</v>
      </c>
    </row>
    <row r="79">
      <c r="A79" s="9" t="n">
        <v>46175</v>
      </c>
      <c r="B79" s="20">
        <f>B78</f>
        <v/>
      </c>
      <c r="C79" t="n">
        <v>26.2731</v>
      </c>
    </row>
    <row r="80">
      <c r="A80" s="9" t="n">
        <v>46176</v>
      </c>
      <c r="B80" s="20">
        <f>B79</f>
        <v/>
      </c>
      <c r="C80" t="n">
        <v>26.0527</v>
      </c>
    </row>
    <row r="81">
      <c r="A81" s="9" t="n">
        <v>46178</v>
      </c>
      <c r="B81" s="20">
        <f>B80</f>
        <v/>
      </c>
      <c r="C81" t="n">
        <v>25.4023</v>
      </c>
    </row>
    <row r="82">
      <c r="A82" s="9" t="n">
        <v>46181</v>
      </c>
      <c r="B82" s="20">
        <f>B81</f>
        <v/>
      </c>
      <c r="C82" t="n">
        <v>25.3527</v>
      </c>
    </row>
    <row r="83">
      <c r="A83" s="9" t="n">
        <v>46182</v>
      </c>
      <c r="B83" s="20">
        <f>B82</f>
        <v/>
      </c>
      <c r="C83" t="n">
        <v>25.2701</v>
      </c>
    </row>
    <row r="84">
      <c r="A84" s="9" t="n">
        <v>46183</v>
      </c>
      <c r="B84" s="20">
        <f>B83</f>
        <v/>
      </c>
      <c r="C84" t="n">
        <v>25.4023</v>
      </c>
    </row>
    <row r="85">
      <c r="A85" s="9" t="n">
        <v>46184</v>
      </c>
      <c r="B85" s="20">
        <f>B84</f>
        <v/>
      </c>
      <c r="C85" t="n">
        <v>25.3086</v>
      </c>
    </row>
    <row r="86">
      <c r="A86" s="9" t="n">
        <v>46185</v>
      </c>
      <c r="B86" s="20">
        <f>B85</f>
        <v/>
      </c>
      <c r="C86" t="n">
        <v>25.2866</v>
      </c>
    </row>
    <row r="87">
      <c r="A87" s="9" t="n">
        <v>46188</v>
      </c>
      <c r="B87" s="20">
        <f>B86</f>
        <v/>
      </c>
      <c r="C87" t="n">
        <v>25.3417</v>
      </c>
    </row>
    <row r="88">
      <c r="A88" s="9" t="n">
        <v>46189</v>
      </c>
      <c r="B88" s="20">
        <f>B87</f>
        <v/>
      </c>
      <c r="C88" t="n">
        <v>25.5787</v>
      </c>
    </row>
    <row r="89">
      <c r="A89" s="9" t="n">
        <v>46190</v>
      </c>
      <c r="B89" s="20">
        <f>B88</f>
        <v/>
      </c>
      <c r="C89" t="n">
        <v>25.6393</v>
      </c>
    </row>
    <row r="90">
      <c r="A90" s="9" t="n">
        <v>46191</v>
      </c>
      <c r="B90" s="20">
        <f>B89</f>
        <v/>
      </c>
      <c r="C90" t="n">
        <v>25.496</v>
      </c>
    </row>
    <row r="91">
      <c r="A91" s="9" t="n">
        <v>46192</v>
      </c>
      <c r="B91" s="20">
        <f>B90</f>
        <v/>
      </c>
      <c r="C91" t="n">
        <v>25.496</v>
      </c>
    </row>
    <row r="92">
      <c r="A92" s="9" t="n">
        <v>46195</v>
      </c>
      <c r="B92" s="20">
        <f>B91</f>
        <v/>
      </c>
      <c r="C92" t="n">
        <v>25.4795</v>
      </c>
    </row>
    <row r="93">
      <c r="A93" s="9" t="n">
        <v>46196</v>
      </c>
      <c r="B93" s="20">
        <f>B92</f>
        <v/>
      </c>
      <c r="C93" t="n">
        <v>25.485</v>
      </c>
    </row>
    <row r="94">
      <c r="A94" s="9" t="n">
        <v>46197</v>
      </c>
      <c r="B94" s="20">
        <f>B93</f>
        <v/>
      </c>
      <c r="C94" t="n">
        <v>25.3307</v>
      </c>
    </row>
    <row r="95">
      <c r="A95" s="9" t="n">
        <v>46198</v>
      </c>
      <c r="B95" s="20">
        <f>B94</f>
        <v/>
      </c>
      <c r="C95" t="n">
        <v>25.8157</v>
      </c>
    </row>
    <row r="96">
      <c r="A96" s="9" t="n">
        <v>46199</v>
      </c>
      <c r="B96" s="20">
        <f>B95</f>
        <v/>
      </c>
      <c r="C96" t="n">
        <v>25.8047</v>
      </c>
    </row>
    <row r="97">
      <c r="A97" s="9" t="n">
        <v>46202</v>
      </c>
      <c r="B97" s="20">
        <f>B96</f>
        <v/>
      </c>
      <c r="C97" t="n">
        <v>25.4299</v>
      </c>
    </row>
    <row r="98">
      <c r="A98" s="9" t="n">
        <v>46203</v>
      </c>
      <c r="B98" s="20">
        <f>B97</f>
        <v/>
      </c>
      <c r="C98" t="n">
        <v>25.5456</v>
      </c>
    </row>
    <row r="99">
      <c r="A99" s="9" t="n">
        <v>46204</v>
      </c>
      <c r="B99" s="20">
        <f>B98</f>
        <v/>
      </c>
      <c r="C99" t="n">
        <v>25.6559</v>
      </c>
    </row>
    <row r="100">
      <c r="A100" s="9" t="n">
        <v>46205</v>
      </c>
      <c r="B100" s="20">
        <f>B99</f>
        <v/>
      </c>
      <c r="C100" t="n">
        <v>25.6228</v>
      </c>
    </row>
    <row r="101">
      <c r="A101" s="9" t="n">
        <v>46206</v>
      </c>
      <c r="B101" s="20">
        <f>B100</f>
        <v/>
      </c>
      <c r="C101" t="n">
        <v>25.6228</v>
      </c>
    </row>
    <row r="102">
      <c r="A102" s="9" t="n">
        <v>46209</v>
      </c>
      <c r="B102" s="20">
        <f>B101</f>
        <v/>
      </c>
      <c r="C102" t="n">
        <v>26.5763</v>
      </c>
    </row>
    <row r="103">
      <c r="A103" s="9" t="n">
        <v>46210</v>
      </c>
      <c r="B103" s="20">
        <f>B102</f>
        <v/>
      </c>
      <c r="C103" t="n">
        <v>26.692</v>
      </c>
    </row>
    <row r="104">
      <c r="A104" s="9" t="n">
        <v>46211</v>
      </c>
      <c r="B104" s="20">
        <f>B103</f>
        <v/>
      </c>
      <c r="C104" t="n">
        <v>26.5818</v>
      </c>
    </row>
    <row r="105">
      <c r="A105" s="9" t="n">
        <v>46212</v>
      </c>
      <c r="B105" s="20">
        <f>B104</f>
        <v/>
      </c>
      <c r="C105" t="n">
        <v>26.3613</v>
      </c>
    </row>
    <row r="106">
      <c r="A106" s="9" t="n">
        <v>46213</v>
      </c>
      <c r="B106" s="20">
        <f>B105</f>
        <v/>
      </c>
      <c r="C106" t="n">
        <v>26.5597</v>
      </c>
    </row>
    <row r="107">
      <c r="A107" s="9" t="n">
        <v>46216</v>
      </c>
      <c r="B107" s="20">
        <f>B106</f>
        <v/>
      </c>
      <c r="C107" t="n">
        <v>26.6479</v>
      </c>
    </row>
    <row r="108">
      <c r="A108" s="9" t="n">
        <v>46217</v>
      </c>
      <c r="B108" s="20">
        <f>B107</f>
        <v/>
      </c>
      <c r="C108" t="n">
        <v>26.5653</v>
      </c>
    </row>
    <row r="109">
      <c r="A109" s="9" t="n"/>
      <c r="B109" s="20">
        <f>B118</f>
        <v/>
      </c>
    </row>
    <row r="110">
      <c r="A110" s="9" t="n"/>
      <c r="B110" s="20">
        <f>B119</f>
        <v/>
      </c>
    </row>
    <row r="111">
      <c r="A111" s="9" t="n"/>
      <c r="B111" s="20">
        <f>B120</f>
        <v/>
      </c>
    </row>
    <row r="112">
      <c r="A112" s="9" t="n"/>
      <c r="B112" s="20">
        <f>B121</f>
        <v/>
      </c>
    </row>
    <row r="113">
      <c r="A113" s="9" t="n"/>
      <c r="B113" s="20">
        <f>B122</f>
        <v/>
      </c>
    </row>
    <row r="114">
      <c r="A114" s="9" t="n"/>
      <c r="B114" s="20">
        <f>B123</f>
        <v/>
      </c>
    </row>
    <row r="115">
      <c r="A115" s="9" t="n"/>
      <c r="B115" s="20">
        <f>B124</f>
        <v/>
      </c>
    </row>
    <row r="116">
      <c r="A116" s="9" t="n"/>
      <c r="B116" s="20">
        <f>B125</f>
        <v/>
      </c>
    </row>
    <row r="117">
      <c r="A117" s="9" t="n"/>
      <c r="B117" s="20">
        <f>B126</f>
        <v/>
      </c>
    </row>
    <row r="118">
      <c r="A118" s="9" t="n"/>
      <c r="B118" s="20">
        <f>B127</f>
        <v/>
      </c>
    </row>
    <row r="119">
      <c r="A119" s="9" t="n"/>
      <c r="B119" s="20">
        <f>B128</f>
        <v/>
      </c>
    </row>
    <row r="120">
      <c r="A120" s="9" t="n"/>
      <c r="B120" s="20">
        <f>B129</f>
        <v/>
      </c>
    </row>
    <row r="121">
      <c r="A121" s="9" t="n"/>
      <c r="B121" s="20">
        <f>B130</f>
        <v/>
      </c>
    </row>
    <row r="122">
      <c r="A122" s="9" t="n"/>
      <c r="B122" s="20">
        <f>B131</f>
        <v/>
      </c>
    </row>
    <row r="123">
      <c r="A123" s="9" t="n"/>
      <c r="B123" s="20">
        <f>B132</f>
        <v/>
      </c>
    </row>
    <row r="124">
      <c r="A124" s="9" t="n"/>
      <c r="B124" s="20">
        <f>B133</f>
        <v/>
      </c>
    </row>
    <row r="125">
      <c r="A125" s="9" t="n"/>
      <c r="B125" s="20">
        <f>B134</f>
        <v/>
      </c>
    </row>
    <row r="126">
      <c r="A126" s="9" t="n"/>
      <c r="B126" s="20">
        <f>B135</f>
        <v/>
      </c>
    </row>
    <row r="127">
      <c r="A127" s="9" t="n"/>
      <c r="B127" s="20">
        <f>B136</f>
        <v/>
      </c>
    </row>
    <row r="128">
      <c r="A128" s="9" t="n"/>
      <c r="B128" s="20">
        <f>B137</f>
        <v/>
      </c>
    </row>
    <row r="129">
      <c r="A129" s="9" t="n"/>
      <c r="B129" s="20">
        <f>B138</f>
        <v/>
      </c>
    </row>
    <row r="130">
      <c r="A130" s="9" t="n"/>
      <c r="B130" s="20">
        <f>B139</f>
        <v/>
      </c>
    </row>
    <row r="131">
      <c r="A131" s="9" t="n"/>
      <c r="B131" s="20">
        <f>B140</f>
        <v/>
      </c>
    </row>
    <row r="132">
      <c r="A132" s="9" t="n"/>
      <c r="B132" s="20">
        <f>B141</f>
        <v/>
      </c>
    </row>
    <row r="133">
      <c r="A133" s="9" t="n"/>
      <c r="B133" s="20">
        <f>B142</f>
        <v/>
      </c>
    </row>
    <row r="134">
      <c r="A134" s="9" t="n"/>
      <c r="B134" s="20">
        <f>B143</f>
        <v/>
      </c>
    </row>
    <row r="135">
      <c r="A135" s="9" t="n"/>
      <c r="B135" s="20">
        <f>B144</f>
        <v/>
      </c>
    </row>
    <row r="136">
      <c r="A136" s="9" t="n"/>
      <c r="B136" s="20">
        <f>B145</f>
        <v/>
      </c>
    </row>
    <row r="137">
      <c r="A137" s="9" t="n"/>
      <c r="B137" s="20">
        <f>B146</f>
        <v/>
      </c>
    </row>
    <row r="138">
      <c r="A138" s="9" t="n"/>
      <c r="B138" s="20">
        <f>B147</f>
        <v/>
      </c>
    </row>
    <row r="139">
      <c r="A139" s="9" t="n"/>
      <c r="B139" s="20">
        <f>B148</f>
        <v/>
      </c>
    </row>
    <row r="140">
      <c r="A140" s="9" t="n"/>
      <c r="B140" s="20">
        <f>B149</f>
        <v/>
      </c>
    </row>
    <row r="141">
      <c r="A141" s="9" t="n"/>
      <c r="B141" s="20">
        <f>B150</f>
        <v/>
      </c>
    </row>
    <row r="142">
      <c r="A142" s="9" t="n"/>
      <c r="B142" s="20">
        <f>B151</f>
        <v/>
      </c>
    </row>
    <row r="143">
      <c r="A143" s="9" t="n"/>
      <c r="B143" s="20">
        <f>B152</f>
        <v/>
      </c>
    </row>
    <row r="144">
      <c r="A144" s="9" t="n"/>
      <c r="B144" s="20">
        <f>B153</f>
        <v/>
      </c>
    </row>
    <row r="145">
      <c r="A145" s="9" t="n"/>
      <c r="B145" s="20">
        <f>B154</f>
        <v/>
      </c>
    </row>
    <row r="146">
      <c r="B146" s="20">
        <f>B155</f>
        <v/>
      </c>
    </row>
    <row r="147">
      <c r="B147" s="20">
        <f>B156</f>
        <v/>
      </c>
    </row>
    <row r="148">
      <c r="B148" s="20">
        <f>B157</f>
        <v/>
      </c>
    </row>
    <row r="149">
      <c r="B149" s="20">
        <f>B158</f>
        <v/>
      </c>
    </row>
    <row r="150">
      <c r="B150" s="20">
        <f>B159</f>
        <v/>
      </c>
    </row>
    <row r="151">
      <c r="B151" s="20">
        <f>B160</f>
        <v/>
      </c>
    </row>
    <row r="152">
      <c r="B152" s="20">
        <f>B161</f>
        <v/>
      </c>
    </row>
    <row r="153">
      <c r="B153" s="20">
        <f>B162</f>
        <v/>
      </c>
    </row>
    <row r="154">
      <c r="B154" s="20">
        <f>B163</f>
        <v/>
      </c>
    </row>
    <row r="155">
      <c r="B155" s="20">
        <f>B164</f>
        <v/>
      </c>
    </row>
    <row r="156">
      <c r="B156" s="20">
        <f>B165</f>
        <v/>
      </c>
    </row>
    <row r="157">
      <c r="B157" s="20">
        <f>B166</f>
        <v/>
      </c>
    </row>
    <row r="158">
      <c r="B158" s="20">
        <f>B167</f>
        <v/>
      </c>
    </row>
    <row r="159">
      <c r="B159" s="20">
        <f>B168</f>
        <v/>
      </c>
    </row>
    <row r="160">
      <c r="B160" s="20">
        <f>B169</f>
        <v/>
      </c>
    </row>
    <row r="161">
      <c r="B161" s="20">
        <f>B170</f>
        <v/>
      </c>
    </row>
    <row r="162">
      <c r="B162" s="20">
        <f>B171</f>
        <v/>
      </c>
    </row>
    <row r="163">
      <c r="B163" s="20">
        <f>B172</f>
        <v/>
      </c>
    </row>
    <row r="164">
      <c r="B164" s="20">
        <f>B173</f>
        <v/>
      </c>
    </row>
    <row r="165">
      <c r="B165" s="20">
        <f>B174</f>
        <v/>
      </c>
    </row>
    <row r="166">
      <c r="B166" s="20">
        <f>B175</f>
        <v/>
      </c>
    </row>
    <row r="167">
      <c r="B167" s="20">
        <f>B176</f>
        <v/>
      </c>
    </row>
    <row r="168">
      <c r="B168" s="20">
        <f>B177</f>
        <v/>
      </c>
    </row>
    <row r="169">
      <c r="B169" s="20">
        <f>B178</f>
        <v/>
      </c>
    </row>
    <row r="170">
      <c r="B170" s="20">
        <f>B179</f>
        <v/>
      </c>
    </row>
    <row r="171">
      <c r="B171" s="20">
        <f>B180</f>
        <v/>
      </c>
    </row>
    <row r="172">
      <c r="B172" s="20">
        <f>B181</f>
        <v/>
      </c>
    </row>
    <row r="173">
      <c r="B173" s="20">
        <f>B182</f>
        <v/>
      </c>
    </row>
    <row r="174">
      <c r="B174" s="20">
        <f>B183</f>
        <v/>
      </c>
    </row>
    <row r="175">
      <c r="B175" s="20">
        <f>B184</f>
        <v/>
      </c>
    </row>
    <row r="176">
      <c r="B176" s="20">
        <f>B185</f>
        <v/>
      </c>
    </row>
    <row r="177">
      <c r="B177" s="20">
        <f>B186</f>
        <v/>
      </c>
    </row>
    <row r="178">
      <c r="B178" s="20">
        <f>B187</f>
        <v/>
      </c>
    </row>
    <row r="179">
      <c r="B179" s="20">
        <f>B188</f>
        <v/>
      </c>
    </row>
    <row r="180">
      <c r="B180" s="20">
        <f>B189</f>
        <v/>
      </c>
    </row>
    <row r="181">
      <c r="B181" s="20">
        <f>B190</f>
        <v/>
      </c>
    </row>
    <row r="182">
      <c r="B182" s="20">
        <f>B191</f>
        <v/>
      </c>
    </row>
    <row r="183">
      <c r="B183" s="20">
        <f>B192</f>
        <v/>
      </c>
    </row>
    <row r="184">
      <c r="B184" s="20">
        <f>B193</f>
        <v/>
      </c>
    </row>
    <row r="185">
      <c r="B185" s="20">
        <f>B194</f>
        <v/>
      </c>
    </row>
    <row r="186">
      <c r="B186" s="20">
        <f>B195</f>
        <v/>
      </c>
    </row>
    <row r="187">
      <c r="B187" s="20">
        <f>B196</f>
        <v/>
      </c>
    </row>
    <row r="188">
      <c r="B188" s="20">
        <f>B197</f>
        <v/>
      </c>
    </row>
    <row r="189">
      <c r="B189" s="20">
        <f>B198</f>
        <v/>
      </c>
    </row>
    <row r="190">
      <c r="B190" s="20">
        <f>B199</f>
        <v/>
      </c>
    </row>
    <row r="191">
      <c r="B191" s="20">
        <f>B200</f>
        <v/>
      </c>
    </row>
    <row r="192">
      <c r="B192" s="20">
        <f>B201</f>
        <v/>
      </c>
    </row>
    <row r="193">
      <c r="B193" s="20">
        <f>B202</f>
        <v/>
      </c>
    </row>
    <row r="194">
      <c r="B194" s="20">
        <f>B203</f>
        <v/>
      </c>
    </row>
    <row r="195">
      <c r="B195" s="20">
        <f>B204</f>
        <v/>
      </c>
    </row>
    <row r="196">
      <c r="B196" s="20">
        <f>B205</f>
        <v/>
      </c>
    </row>
    <row r="197">
      <c r="B197" s="20">
        <f>B206</f>
        <v/>
      </c>
    </row>
    <row r="198">
      <c r="B198" s="20">
        <f>B207</f>
        <v/>
      </c>
    </row>
    <row r="199">
      <c r="B199" s="20">
        <f>B208</f>
        <v/>
      </c>
    </row>
    <row r="200">
      <c r="B200" s="20">
        <f>B209</f>
        <v/>
      </c>
    </row>
    <row r="201">
      <c r="B201" s="20">
        <f>B210</f>
        <v/>
      </c>
    </row>
    <row r="202">
      <c r="B202" s="20">
        <f>B211</f>
        <v/>
      </c>
    </row>
    <row r="203">
      <c r="B203" s="20">
        <f>B212</f>
        <v/>
      </c>
    </row>
    <row r="204">
      <c r="B204" s="20">
        <f>B213</f>
        <v/>
      </c>
    </row>
    <row r="205">
      <c r="B205" s="20">
        <f>B214</f>
        <v/>
      </c>
    </row>
    <row r="206">
      <c r="B206" s="20">
        <f>B215</f>
        <v/>
      </c>
    </row>
    <row r="207">
      <c r="B207" s="20">
        <f>B216</f>
        <v/>
      </c>
    </row>
    <row r="208">
      <c r="B208" s="20">
        <f>B217</f>
        <v/>
      </c>
    </row>
    <row r="209">
      <c r="B209" s="20">
        <f>B218</f>
        <v/>
      </c>
    </row>
    <row r="210">
      <c r="B210" s="20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8.xml><?xml version="1.0" encoding="utf-8"?>
<worksheet xmlns="http://schemas.openxmlformats.org/spreadsheetml/2006/main">
  <sheetPr codeName="Planilha58">
    <outlinePr summaryBelow="1" summaryRight="1"/>
    <pageSetUpPr/>
  </sheetPr>
  <dimension ref="A1:C145"/>
  <sheetViews>
    <sheetView topLeftCell="A91" zoomScale="80" zoomScaleNormal="80" workbookViewId="0">
      <selection activeCell="E2" sqref="E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SJCH27</t>
        </is>
      </c>
      <c r="C2" t="n">
        <v>24.3276</v>
      </c>
    </row>
    <row r="3">
      <c r="A3" s="9" t="n">
        <v>46062</v>
      </c>
      <c r="B3" s="1">
        <f>B2</f>
        <v/>
      </c>
      <c r="C3" t="n">
        <v>24.3827</v>
      </c>
    </row>
    <row r="4">
      <c r="A4" s="9" t="n">
        <v>46063</v>
      </c>
      <c r="B4" s="1">
        <f>B3</f>
        <v/>
      </c>
      <c r="C4" t="n">
        <v>24.6142</v>
      </c>
    </row>
    <row r="5">
      <c r="A5" s="9" t="n">
        <v>46064</v>
      </c>
      <c r="B5" s="1">
        <f>B4</f>
        <v/>
      </c>
      <c r="C5" t="n">
        <v>24.7079</v>
      </c>
    </row>
    <row r="6">
      <c r="A6" s="9" t="n">
        <v>46065</v>
      </c>
      <c r="B6" s="1">
        <f>B5</f>
        <v/>
      </c>
      <c r="C6" t="n">
        <v>24.7961</v>
      </c>
    </row>
    <row r="7">
      <c r="A7" s="9" t="n">
        <v>46066</v>
      </c>
      <c r="B7" s="1">
        <f>B6</f>
        <v/>
      </c>
      <c r="C7" t="n">
        <v>24.7465</v>
      </c>
    </row>
    <row r="8">
      <c r="A8" s="9" t="n">
        <v>46071</v>
      </c>
      <c r="B8" s="1">
        <f>B7</f>
        <v/>
      </c>
      <c r="C8" t="n">
        <v>24.8402</v>
      </c>
    </row>
    <row r="9">
      <c r="A9" s="9" t="n">
        <v>46072</v>
      </c>
      <c r="B9" s="1">
        <f>B8</f>
        <v/>
      </c>
      <c r="C9" t="n">
        <v>24.8843</v>
      </c>
    </row>
    <row r="10">
      <c r="A10" s="9" t="n">
        <v>46073</v>
      </c>
      <c r="B10" s="1">
        <f>B9</f>
        <v/>
      </c>
      <c r="C10" t="n">
        <v>24.8457</v>
      </c>
    </row>
    <row r="11">
      <c r="A11" s="9" t="n">
        <v>46076</v>
      </c>
      <c r="B11" s="1">
        <f>B10</f>
        <v/>
      </c>
      <c r="C11" t="n">
        <v>24.8622</v>
      </c>
    </row>
    <row r="12">
      <c r="A12" s="9" t="n">
        <v>46077</v>
      </c>
      <c r="B12" s="1">
        <f>B11</f>
        <v/>
      </c>
      <c r="C12" t="n">
        <v>24.9559</v>
      </c>
    </row>
    <row r="13">
      <c r="A13" s="9" t="n">
        <v>46078</v>
      </c>
      <c r="B13" s="1">
        <f>B12</f>
        <v/>
      </c>
      <c r="C13" t="n">
        <v>25.0882</v>
      </c>
    </row>
    <row r="14">
      <c r="A14" s="9" t="n">
        <v>46079</v>
      </c>
      <c r="B14" s="1">
        <f>B13</f>
        <v/>
      </c>
      <c r="C14" t="n">
        <v>25.0661</v>
      </c>
    </row>
    <row r="15">
      <c r="A15" s="9" t="n">
        <v>46080</v>
      </c>
      <c r="B15" s="1">
        <f>B14</f>
        <v/>
      </c>
      <c r="C15" t="n">
        <v>25.0772</v>
      </c>
    </row>
    <row r="16">
      <c r="A16" s="9" t="n">
        <v>46083</v>
      </c>
      <c r="B16" s="1">
        <f>B15</f>
        <v/>
      </c>
      <c r="C16" t="n">
        <v>25.1047</v>
      </c>
    </row>
    <row r="17">
      <c r="A17" s="9" t="n">
        <v>46084</v>
      </c>
      <c r="B17" s="1">
        <f>B16</f>
        <v/>
      </c>
      <c r="C17" t="n">
        <v>25.1213</v>
      </c>
    </row>
    <row r="18">
      <c r="A18" s="9" t="n">
        <v>46085</v>
      </c>
      <c r="B18" s="1">
        <f>B17</f>
        <v/>
      </c>
      <c r="C18" t="n">
        <v>25.1102</v>
      </c>
    </row>
    <row r="19">
      <c r="A19" s="9" t="n">
        <v>46086</v>
      </c>
      <c r="B19" s="1">
        <f>B18</f>
        <v/>
      </c>
      <c r="C19" t="n">
        <v>25.2315</v>
      </c>
    </row>
    <row r="20">
      <c r="A20" s="9" t="n">
        <v>46087</v>
      </c>
      <c r="B20" s="1">
        <f>B19</f>
        <v/>
      </c>
      <c r="C20" t="n">
        <v>25.3803</v>
      </c>
    </row>
    <row r="21">
      <c r="A21" s="9" t="n">
        <v>46090</v>
      </c>
      <c r="B21" s="1">
        <f>B20</f>
        <v/>
      </c>
      <c r="C21" t="n">
        <v>25.4464</v>
      </c>
    </row>
    <row r="22">
      <c r="A22" s="9" t="n">
        <v>46091</v>
      </c>
      <c r="B22" s="1">
        <f>B21</f>
        <v/>
      </c>
      <c r="C22" t="n">
        <v>25.5511</v>
      </c>
    </row>
    <row r="23">
      <c r="A23" s="9" t="n">
        <v>46092</v>
      </c>
      <c r="B23" s="1">
        <f>B22</f>
        <v/>
      </c>
      <c r="C23" t="n">
        <v>25.733</v>
      </c>
    </row>
    <row r="24">
      <c r="A24" s="9" t="n">
        <v>46093</v>
      </c>
      <c r="B24" s="1">
        <f>B23</f>
        <v/>
      </c>
      <c r="C24" t="n">
        <v>25.8047</v>
      </c>
    </row>
    <row r="25">
      <c r="A25" s="9" t="n">
        <v>46094</v>
      </c>
      <c r="B25" s="1">
        <f>B24</f>
        <v/>
      </c>
      <c r="C25" t="n">
        <v>25.6724</v>
      </c>
    </row>
    <row r="26">
      <c r="A26" s="9" t="n">
        <v>46097</v>
      </c>
      <c r="B26" s="1">
        <f>B25</f>
        <v/>
      </c>
      <c r="C26" t="n">
        <v>24.9228</v>
      </c>
    </row>
    <row r="27">
      <c r="A27" s="9" t="n">
        <v>46098</v>
      </c>
      <c r="B27" s="1">
        <f>B26</f>
        <v/>
      </c>
      <c r="C27" t="n">
        <v>25.1488</v>
      </c>
    </row>
    <row r="28">
      <c r="A28" s="9" t="n">
        <v>46099</v>
      </c>
      <c r="B28" s="1">
        <f>B27</f>
        <v/>
      </c>
      <c r="C28" t="n">
        <v>25.3527</v>
      </c>
    </row>
    <row r="29">
      <c r="A29" s="9" t="n">
        <v>46100</v>
      </c>
      <c r="B29" s="1">
        <f>B28</f>
        <v/>
      </c>
      <c r="C29" t="n">
        <v>25.4134</v>
      </c>
    </row>
    <row r="30">
      <c r="A30" s="9" t="n">
        <v>46101</v>
      </c>
      <c r="B30" s="1">
        <f>B29</f>
        <v/>
      </c>
      <c r="C30" t="n">
        <v>25.2921</v>
      </c>
    </row>
    <row r="31">
      <c r="A31" s="9" t="n">
        <v>46104</v>
      </c>
      <c r="B31" s="1">
        <f>B30</f>
        <v/>
      </c>
      <c r="C31" t="n">
        <v>25.4189</v>
      </c>
    </row>
    <row r="32">
      <c r="A32" s="9" t="n">
        <v>46105</v>
      </c>
      <c r="B32" s="1">
        <f>B31</f>
        <v/>
      </c>
      <c r="C32" t="n">
        <v>25.3417</v>
      </c>
    </row>
    <row r="33">
      <c r="A33" s="9" t="n">
        <v>46106</v>
      </c>
      <c r="B33" s="1">
        <f>B32</f>
        <v/>
      </c>
      <c r="C33" t="n">
        <v>25.496</v>
      </c>
    </row>
    <row r="34">
      <c r="A34" s="9" t="n">
        <v>46107</v>
      </c>
      <c r="B34" s="1">
        <f>B33</f>
        <v/>
      </c>
      <c r="C34" t="n">
        <v>25.5622</v>
      </c>
    </row>
    <row r="35">
      <c r="A35" s="9" t="n">
        <v>46108</v>
      </c>
      <c r="B35" s="1">
        <f>B34</f>
        <v/>
      </c>
      <c r="C35" t="n">
        <v>25.4023</v>
      </c>
    </row>
    <row r="36">
      <c r="A36" s="9" t="n">
        <v>46111</v>
      </c>
      <c r="B36" s="1">
        <f>B35</f>
        <v/>
      </c>
      <c r="C36" t="n">
        <v>25.3582</v>
      </c>
    </row>
    <row r="37">
      <c r="A37" s="9" t="n">
        <v>46112</v>
      </c>
      <c r="B37" s="1">
        <f>B36</f>
        <v/>
      </c>
      <c r="C37" t="n">
        <v>25.6007</v>
      </c>
    </row>
    <row r="38">
      <c r="A38" s="9" t="n">
        <v>46113</v>
      </c>
      <c r="B38" s="1">
        <f>B47</f>
        <v/>
      </c>
      <c r="C38" t="n">
        <v>25.5677</v>
      </c>
    </row>
    <row r="39">
      <c r="A39" s="9" t="n">
        <v>46114</v>
      </c>
      <c r="B39" s="1">
        <f>B48</f>
        <v/>
      </c>
      <c r="C39" t="n">
        <v>25.5401</v>
      </c>
    </row>
    <row r="40">
      <c r="A40" s="9" t="n">
        <v>46118</v>
      </c>
      <c r="B40" s="1">
        <f>B49</f>
        <v/>
      </c>
      <c r="C40" t="n">
        <v>25.6173</v>
      </c>
    </row>
    <row r="41">
      <c r="A41" s="9" t="n">
        <v>46119</v>
      </c>
      <c r="B41" s="1">
        <f>B50</f>
        <v/>
      </c>
      <c r="C41" t="n">
        <v>25.485</v>
      </c>
    </row>
    <row r="42">
      <c r="A42" s="9" t="n">
        <v>46120</v>
      </c>
      <c r="B42" s="1">
        <f>B51</f>
        <v/>
      </c>
      <c r="C42" t="n">
        <v>25.5181</v>
      </c>
    </row>
    <row r="43">
      <c r="A43" s="9" t="n">
        <v>46121</v>
      </c>
      <c r="B43" s="1">
        <f>B52</f>
        <v/>
      </c>
      <c r="C43" t="n">
        <v>25.5897</v>
      </c>
    </row>
    <row r="44">
      <c r="A44" s="9" t="n">
        <v>46122</v>
      </c>
      <c r="B44" s="1">
        <f>B53</f>
        <v/>
      </c>
      <c r="C44" t="n">
        <v>25.7055</v>
      </c>
    </row>
    <row r="45">
      <c r="A45" s="9" t="n">
        <v>46125</v>
      </c>
      <c r="B45" s="1">
        <f>B54</f>
        <v/>
      </c>
      <c r="C45" t="n">
        <v>25.5622</v>
      </c>
    </row>
    <row r="46">
      <c r="A46" s="9" t="n">
        <v>46126</v>
      </c>
      <c r="B46" s="1">
        <f>B55</f>
        <v/>
      </c>
      <c r="C46" t="n">
        <v>25.463</v>
      </c>
    </row>
    <row r="47">
      <c r="A47" s="9" t="n">
        <v>46127</v>
      </c>
      <c r="B47" s="1">
        <f>B56</f>
        <v/>
      </c>
      <c r="C47" t="n">
        <v>25.6944</v>
      </c>
    </row>
    <row r="48">
      <c r="A48" s="9" t="n">
        <v>46128</v>
      </c>
      <c r="B48" s="1">
        <f>B57</f>
        <v/>
      </c>
      <c r="C48" t="n">
        <v>25.722</v>
      </c>
    </row>
    <row r="49">
      <c r="A49" s="9" t="n">
        <v>46129</v>
      </c>
      <c r="B49" s="1">
        <f>B48</f>
        <v/>
      </c>
      <c r="C49" t="n">
        <v>25.7606</v>
      </c>
    </row>
    <row r="50">
      <c r="A50" s="9" t="n">
        <v>46132</v>
      </c>
      <c r="B50" s="1">
        <f>B49</f>
        <v/>
      </c>
      <c r="C50" t="n">
        <v>25.7881</v>
      </c>
    </row>
    <row r="51">
      <c r="A51" s="9" t="n">
        <v>46134</v>
      </c>
      <c r="B51" s="1">
        <f>B50</f>
        <v/>
      </c>
      <c r="C51" t="n">
        <v>25.7275</v>
      </c>
    </row>
    <row r="52">
      <c r="A52" s="9" t="n">
        <v>46135</v>
      </c>
      <c r="B52" s="1">
        <f>B51</f>
        <v/>
      </c>
      <c r="C52" t="n">
        <v>25.6944</v>
      </c>
    </row>
    <row r="53">
      <c r="A53" s="9" t="n">
        <v>46136</v>
      </c>
      <c r="B53" s="1">
        <f>B52</f>
        <v/>
      </c>
      <c r="C53" t="n">
        <v>25.7</v>
      </c>
    </row>
    <row r="54">
      <c r="A54" s="9" t="n">
        <v>46139</v>
      </c>
      <c r="B54" s="1">
        <f>B53</f>
        <v/>
      </c>
      <c r="C54" t="n">
        <v>25.8929</v>
      </c>
    </row>
    <row r="55">
      <c r="A55" s="9" t="n">
        <v>46140</v>
      </c>
      <c r="B55" s="1">
        <f>B54</f>
        <v/>
      </c>
      <c r="C55" t="n">
        <v>25.9204</v>
      </c>
    </row>
    <row r="56">
      <c r="A56" s="9" t="n">
        <v>46141</v>
      </c>
      <c r="B56" s="1">
        <f>B55</f>
        <v/>
      </c>
      <c r="C56" t="n">
        <v>26.0141</v>
      </c>
    </row>
    <row r="57">
      <c r="A57" s="9" t="n">
        <v>46142</v>
      </c>
      <c r="B57" s="1">
        <f>B56</f>
        <v/>
      </c>
      <c r="C57" t="n">
        <v>26.0582</v>
      </c>
    </row>
    <row r="58">
      <c r="A58" s="9" t="n">
        <v>46146</v>
      </c>
      <c r="B58" s="1">
        <f>B57</f>
        <v/>
      </c>
      <c r="C58" t="n">
        <v>26.5322</v>
      </c>
    </row>
    <row r="59">
      <c r="A59" s="9" t="n">
        <v>46147</v>
      </c>
      <c r="B59" s="1">
        <f>B58</f>
        <v/>
      </c>
      <c r="C59" t="n">
        <v>26.3944</v>
      </c>
    </row>
    <row r="60">
      <c r="A60" s="9" t="n">
        <v>46148</v>
      </c>
      <c r="B60" s="1">
        <f>B59</f>
        <v/>
      </c>
      <c r="C60" t="n">
        <v>26.1078</v>
      </c>
    </row>
    <row r="61">
      <c r="A61" s="9" t="n">
        <v>46149</v>
      </c>
      <c r="B61" s="1">
        <f>B60</f>
        <v/>
      </c>
      <c r="C61" t="n">
        <v>26.0858</v>
      </c>
    </row>
    <row r="62">
      <c r="A62" s="9" t="n">
        <v>46150</v>
      </c>
      <c r="B62" s="1">
        <f>B61</f>
        <v/>
      </c>
      <c r="C62" t="n">
        <v>26.3944</v>
      </c>
    </row>
    <row r="63">
      <c r="A63" s="9" t="n">
        <v>46153</v>
      </c>
      <c r="B63" s="1">
        <f>B62</f>
        <v/>
      </c>
      <c r="C63" t="n">
        <v>26.5046</v>
      </c>
    </row>
    <row r="64">
      <c r="A64" s="9" t="n">
        <v>46154</v>
      </c>
      <c r="B64" s="1">
        <f>B63</f>
        <v/>
      </c>
      <c r="C64" t="n">
        <v>26.7361</v>
      </c>
    </row>
    <row r="65">
      <c r="A65" s="9" t="n">
        <v>46155</v>
      </c>
      <c r="B65" s="1">
        <f>B64</f>
        <v/>
      </c>
      <c r="C65" t="n">
        <v>26.7912</v>
      </c>
    </row>
    <row r="66">
      <c r="A66" s="9" t="n">
        <v>46156</v>
      </c>
      <c r="B66" s="1">
        <f>B65</f>
        <v/>
      </c>
      <c r="C66" t="n">
        <v>26.3062</v>
      </c>
    </row>
    <row r="67">
      <c r="A67" s="9" t="n">
        <v>46157</v>
      </c>
      <c r="B67" s="1">
        <f>B66</f>
        <v/>
      </c>
      <c r="C67" t="n">
        <v>26.0637</v>
      </c>
    </row>
    <row r="68">
      <c r="A68" s="9" t="n">
        <v>46160</v>
      </c>
      <c r="B68" s="1">
        <f>B67</f>
        <v/>
      </c>
      <c r="C68" t="n">
        <v>26.659</v>
      </c>
    </row>
    <row r="69">
      <c r="A69" s="9" t="n">
        <v>46161</v>
      </c>
      <c r="B69" s="1">
        <f>B68</f>
        <v/>
      </c>
      <c r="C69" t="n">
        <v>26.681</v>
      </c>
    </row>
    <row r="70">
      <c r="A70" s="9" t="n">
        <v>46162</v>
      </c>
      <c r="B70" s="1">
        <f>B69</f>
        <v/>
      </c>
      <c r="C70" t="n">
        <v>26.5377</v>
      </c>
    </row>
    <row r="71">
      <c r="A71" s="9" t="n">
        <v>46163</v>
      </c>
      <c r="B71" s="1">
        <f>B70</f>
        <v/>
      </c>
      <c r="C71" t="n">
        <v>26.3944</v>
      </c>
    </row>
    <row r="72">
      <c r="A72" s="9" t="n">
        <v>46164</v>
      </c>
      <c r="B72" s="1">
        <f>B71</f>
        <v/>
      </c>
      <c r="C72" t="n">
        <v>26.4164</v>
      </c>
    </row>
    <row r="73">
      <c r="A73" s="9" t="n">
        <v>46167</v>
      </c>
      <c r="B73" s="1">
        <f>B72</f>
        <v/>
      </c>
      <c r="C73" t="n">
        <v>26.4164</v>
      </c>
    </row>
    <row r="74">
      <c r="A74" s="9" t="n">
        <v>46168</v>
      </c>
      <c r="B74" s="1">
        <f>B73</f>
        <v/>
      </c>
      <c r="C74" t="n">
        <v>26.3007</v>
      </c>
    </row>
    <row r="75">
      <c r="A75" s="9" t="n">
        <v>46169</v>
      </c>
      <c r="B75" s="1">
        <f>B74</f>
        <v/>
      </c>
      <c r="C75" t="n">
        <v>26.3117</v>
      </c>
    </row>
    <row r="76">
      <c r="A76" s="9" t="n">
        <v>46170</v>
      </c>
      <c r="B76" s="1">
        <f>B75</f>
        <v/>
      </c>
      <c r="C76" t="n">
        <v>26.6149</v>
      </c>
    </row>
    <row r="77">
      <c r="A77" s="9" t="n">
        <v>46171</v>
      </c>
      <c r="B77" s="1">
        <f>B76</f>
        <v/>
      </c>
      <c r="C77" t="n">
        <v>26.5432</v>
      </c>
    </row>
    <row r="78">
      <c r="A78" s="9" t="n">
        <v>46174</v>
      </c>
      <c r="B78" s="1">
        <f>B77</f>
        <v/>
      </c>
      <c r="C78" t="n">
        <v>26.5487</v>
      </c>
    </row>
    <row r="79">
      <c r="A79" s="9" t="n">
        <v>46175</v>
      </c>
      <c r="B79" s="1">
        <f>B78</f>
        <v/>
      </c>
      <c r="C79" t="n">
        <v>26.3558</v>
      </c>
    </row>
    <row r="80">
      <c r="A80" s="9" t="n">
        <v>46176</v>
      </c>
      <c r="B80" s="1">
        <f>B79</f>
        <v/>
      </c>
      <c r="C80" t="n">
        <v>26.1574</v>
      </c>
    </row>
    <row r="81">
      <c r="A81" s="9" t="n">
        <v>46178</v>
      </c>
      <c r="B81" s="1">
        <f>B80</f>
        <v/>
      </c>
      <c r="C81" t="n">
        <v>25.5567</v>
      </c>
    </row>
    <row r="82">
      <c r="A82" s="9" t="n">
        <v>46181</v>
      </c>
      <c r="B82" s="1">
        <f>B81</f>
        <v/>
      </c>
      <c r="C82" t="n">
        <v>25.5071</v>
      </c>
    </row>
    <row r="83">
      <c r="A83" s="9" t="n">
        <v>46182</v>
      </c>
      <c r="B83" s="1">
        <f>B82</f>
        <v/>
      </c>
      <c r="C83" t="n">
        <v>25.4023</v>
      </c>
    </row>
    <row r="84">
      <c r="A84" s="9" t="n">
        <v>46183</v>
      </c>
      <c r="B84" s="1">
        <f>B83</f>
        <v/>
      </c>
      <c r="C84" t="n">
        <v>25.5291</v>
      </c>
    </row>
    <row r="85">
      <c r="A85" s="9" t="n">
        <v>46184</v>
      </c>
      <c r="B85" s="1">
        <f>B84</f>
        <v/>
      </c>
      <c r="C85" t="n">
        <v>25.474</v>
      </c>
    </row>
    <row r="86">
      <c r="A86" s="9" t="n">
        <v>46185</v>
      </c>
      <c r="B86" s="1">
        <f>B85</f>
        <v/>
      </c>
      <c r="C86" t="n">
        <v>25.4519</v>
      </c>
    </row>
    <row r="87">
      <c r="A87" s="9" t="n">
        <v>46188</v>
      </c>
      <c r="B87" s="1">
        <f>B86</f>
        <v/>
      </c>
      <c r="C87" t="n">
        <v>25.5071</v>
      </c>
    </row>
    <row r="88">
      <c r="A88" s="9" t="n">
        <v>46189</v>
      </c>
      <c r="B88" s="1">
        <f>B87</f>
        <v/>
      </c>
      <c r="C88" t="n">
        <v>25.722</v>
      </c>
    </row>
    <row r="89">
      <c r="A89" s="9" t="n">
        <v>46190</v>
      </c>
      <c r="B89" s="1">
        <f>B88</f>
        <v/>
      </c>
      <c r="C89" t="n">
        <v>25.7881</v>
      </c>
    </row>
    <row r="90">
      <c r="A90" s="9" t="n">
        <v>46191</v>
      </c>
      <c r="B90" s="1">
        <f>B89</f>
        <v/>
      </c>
      <c r="C90" t="n">
        <v>25.6448</v>
      </c>
    </row>
    <row r="91">
      <c r="A91" s="9" t="n">
        <v>46192</v>
      </c>
      <c r="B91" s="1">
        <f>B90</f>
        <v/>
      </c>
      <c r="C91" t="n">
        <v>25.6448</v>
      </c>
    </row>
    <row r="92">
      <c r="A92" s="9" t="n">
        <v>46195</v>
      </c>
      <c r="B92" s="1">
        <f>B91</f>
        <v/>
      </c>
      <c r="C92" t="n">
        <v>25.6393</v>
      </c>
    </row>
    <row r="93">
      <c r="A93" s="9" t="n">
        <v>46196</v>
      </c>
      <c r="B93" s="1">
        <f>B92</f>
        <v/>
      </c>
      <c r="C93" t="n">
        <v>25.6228</v>
      </c>
    </row>
    <row r="94">
      <c r="A94" s="9" t="n">
        <v>46197</v>
      </c>
      <c r="B94" s="1">
        <f>B93</f>
        <v/>
      </c>
      <c r="C94" t="n">
        <v>25.4685</v>
      </c>
    </row>
    <row r="95">
      <c r="A95" s="9" t="n">
        <v>46198</v>
      </c>
      <c r="B95" s="1">
        <f>B94</f>
        <v/>
      </c>
      <c r="C95" t="n">
        <v>25.9149</v>
      </c>
    </row>
    <row r="96">
      <c r="A96" s="9" t="n">
        <v>46199</v>
      </c>
      <c r="B96" s="1">
        <f>B95</f>
        <v/>
      </c>
      <c r="C96" t="n">
        <v>25.9149</v>
      </c>
    </row>
    <row r="97">
      <c r="A97" s="9" t="n">
        <v>46202</v>
      </c>
      <c r="B97" s="1">
        <f>B96</f>
        <v/>
      </c>
      <c r="C97" t="n">
        <v>25.5787</v>
      </c>
    </row>
    <row r="98">
      <c r="A98" s="9" t="n">
        <v>46203</v>
      </c>
      <c r="B98" s="1">
        <f>B97</f>
        <v/>
      </c>
      <c r="C98" t="n">
        <v>25.7275</v>
      </c>
    </row>
    <row r="99">
      <c r="A99" s="9" t="n">
        <v>46204</v>
      </c>
      <c r="B99" s="1">
        <f>B98</f>
        <v/>
      </c>
      <c r="C99" t="n">
        <v>25.8157</v>
      </c>
    </row>
    <row r="100">
      <c r="A100" s="9" t="n">
        <v>46205</v>
      </c>
      <c r="B100" s="1">
        <f>B99</f>
        <v/>
      </c>
      <c r="C100" t="n">
        <v>25.7551</v>
      </c>
    </row>
    <row r="101">
      <c r="A101" s="9" t="n">
        <v>46206</v>
      </c>
      <c r="B101" s="1">
        <f>B100</f>
        <v/>
      </c>
      <c r="C101" t="n">
        <v>25.7551</v>
      </c>
    </row>
    <row r="102">
      <c r="A102" s="9" t="n">
        <v>46209</v>
      </c>
      <c r="B102" s="1">
        <f>B101</f>
        <v/>
      </c>
      <c r="C102" t="n">
        <v>26.6204</v>
      </c>
    </row>
    <row r="103">
      <c r="A103" s="9" t="n">
        <v>46210</v>
      </c>
      <c r="B103" s="1">
        <f>B102</f>
        <v/>
      </c>
      <c r="C103" t="n">
        <v>26.7416</v>
      </c>
    </row>
    <row r="104">
      <c r="A104" s="9" t="n">
        <v>46211</v>
      </c>
      <c r="B104" s="1">
        <f>B103</f>
        <v/>
      </c>
      <c r="C104" t="n">
        <v>26.6369</v>
      </c>
    </row>
    <row r="105">
      <c r="A105" s="9" t="n">
        <v>46212</v>
      </c>
      <c r="B105" s="1">
        <f>B104</f>
        <v/>
      </c>
      <c r="C105" t="n">
        <v>26.4605</v>
      </c>
    </row>
    <row r="106">
      <c r="A106" s="9" t="n">
        <v>46213</v>
      </c>
      <c r="B106" s="1">
        <f>B105</f>
        <v/>
      </c>
      <c r="C106" t="n">
        <v>26.6204</v>
      </c>
    </row>
    <row r="107">
      <c r="A107" s="9" t="n">
        <v>46216</v>
      </c>
      <c r="B107" s="1">
        <f>B106</f>
        <v/>
      </c>
      <c r="C107" t="n">
        <v>26.7141</v>
      </c>
    </row>
    <row r="108">
      <c r="A108" s="9" t="n">
        <v>46217</v>
      </c>
      <c r="B108" s="1">
        <f>B107</f>
        <v/>
      </c>
      <c r="C108" t="n">
        <v>26.6479</v>
      </c>
    </row>
    <row r="109">
      <c r="A109" s="9" t="n"/>
      <c r="B109" s="1">
        <f>B118</f>
        <v/>
      </c>
    </row>
    <row r="110">
      <c r="A110" s="9" t="n"/>
      <c r="B110" s="1">
        <f>B119</f>
        <v/>
      </c>
    </row>
    <row r="111">
      <c r="A111" s="9" t="n"/>
      <c r="B111" s="1">
        <f>B120</f>
        <v/>
      </c>
    </row>
    <row r="112">
      <c r="A112" s="9" t="n"/>
      <c r="B112" s="1">
        <f>B121</f>
        <v/>
      </c>
    </row>
    <row r="113">
      <c r="A113" s="9" t="n"/>
      <c r="B113" s="1">
        <f>B122</f>
        <v/>
      </c>
    </row>
    <row r="114">
      <c r="A114" s="9" t="n"/>
      <c r="B114" s="1">
        <f>B123</f>
        <v/>
      </c>
    </row>
    <row r="115">
      <c r="A115" s="9" t="n"/>
      <c r="B115" s="1">
        <f>B124</f>
        <v/>
      </c>
    </row>
    <row r="116">
      <c r="A116" s="9" t="n"/>
      <c r="B116" s="1">
        <f>B125</f>
        <v/>
      </c>
    </row>
    <row r="117">
      <c r="A117" s="9" t="n"/>
      <c r="B117" s="1">
        <f>B126</f>
        <v/>
      </c>
    </row>
    <row r="118">
      <c r="A118" s="9" t="n"/>
      <c r="B118" s="1">
        <f>B127</f>
        <v/>
      </c>
    </row>
    <row r="119">
      <c r="A119" s="9" t="n"/>
      <c r="B119" s="1">
        <f>B128</f>
        <v/>
      </c>
    </row>
    <row r="120">
      <c r="A120" s="9" t="n"/>
      <c r="B120" s="1">
        <f>B129</f>
        <v/>
      </c>
    </row>
    <row r="121">
      <c r="A121" s="9" t="n"/>
      <c r="B121" s="1">
        <f>B130</f>
        <v/>
      </c>
    </row>
    <row r="122">
      <c r="A122" s="9" t="n"/>
      <c r="B122" s="1">
        <f>B131</f>
        <v/>
      </c>
    </row>
    <row r="123">
      <c r="A123" s="9" t="n"/>
      <c r="B123" s="1">
        <f>B132</f>
        <v/>
      </c>
    </row>
    <row r="124">
      <c r="A124" s="9" t="n"/>
      <c r="B124" s="1">
        <f>B133</f>
        <v/>
      </c>
    </row>
    <row r="125">
      <c r="A125" s="9" t="n"/>
      <c r="B125" s="1">
        <f>B134</f>
        <v/>
      </c>
    </row>
    <row r="126">
      <c r="A126" s="9" t="n"/>
      <c r="B126" s="1">
        <f>B135</f>
        <v/>
      </c>
    </row>
    <row r="127">
      <c r="A127" s="9" t="n"/>
      <c r="B127" s="1">
        <f>B136</f>
        <v/>
      </c>
    </row>
    <row r="128">
      <c r="A128" s="9" t="n"/>
      <c r="B128" s="1">
        <f>B137</f>
        <v/>
      </c>
    </row>
    <row r="129">
      <c r="A129" s="9" t="n"/>
      <c r="B129" s="1">
        <f>B138</f>
        <v/>
      </c>
    </row>
    <row r="130">
      <c r="A130" s="9" t="n"/>
      <c r="B130" s="1">
        <f>B139</f>
        <v/>
      </c>
    </row>
    <row r="131">
      <c r="A131" s="9" t="n"/>
      <c r="B131" s="1">
        <f>B140</f>
        <v/>
      </c>
    </row>
    <row r="132">
      <c r="A132" s="9" t="n"/>
      <c r="B132" s="1">
        <f>B141</f>
        <v/>
      </c>
    </row>
    <row r="133">
      <c r="A133" s="9" t="n"/>
      <c r="B133" s="1">
        <f>B142</f>
        <v/>
      </c>
    </row>
    <row r="134">
      <c r="A134" s="9" t="n"/>
      <c r="B134" s="1">
        <f>B143</f>
        <v/>
      </c>
    </row>
    <row r="135">
      <c r="A135" s="9" t="n"/>
      <c r="B135" s="1">
        <f>B144</f>
        <v/>
      </c>
    </row>
    <row r="136">
      <c r="A136" s="9" t="n"/>
      <c r="B136" s="1">
        <f>B145</f>
        <v/>
      </c>
    </row>
    <row r="137">
      <c r="A137" s="9" t="n"/>
      <c r="B137" s="1">
        <f>B146</f>
        <v/>
      </c>
    </row>
    <row r="138">
      <c r="A138" s="9" t="n"/>
      <c r="B138" s="1">
        <f>B147</f>
        <v/>
      </c>
    </row>
    <row r="139">
      <c r="A139" s="9" t="n"/>
      <c r="B139" s="1">
        <f>B148</f>
        <v/>
      </c>
    </row>
    <row r="140">
      <c r="A140" s="9" t="n"/>
      <c r="B140" s="1">
        <f>B149</f>
        <v/>
      </c>
    </row>
    <row r="141">
      <c r="A141" s="9" t="n"/>
      <c r="B141" s="1">
        <f>B150</f>
        <v/>
      </c>
    </row>
    <row r="142">
      <c r="A142" s="9" t="n"/>
      <c r="B142" s="1">
        <f>B151</f>
        <v/>
      </c>
    </row>
    <row r="143">
      <c r="A143" s="9" t="n"/>
      <c r="B143" s="1">
        <f>B152</f>
        <v/>
      </c>
    </row>
    <row r="144">
      <c r="A144" s="9" t="n"/>
      <c r="B144" s="1">
        <f>B153</f>
        <v/>
      </c>
    </row>
    <row r="145">
      <c r="A145" s="9" t="n"/>
      <c r="B145" s="1">
        <f>B154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59.xml><?xml version="1.0" encoding="utf-8"?>
<worksheet xmlns="http://schemas.openxmlformats.org/spreadsheetml/2006/main">
  <sheetPr codeName="Planilha59">
    <outlinePr summaryBelow="1" summaryRight="1"/>
    <pageSetUpPr/>
  </sheetPr>
  <dimension ref="A1:C210"/>
  <sheetViews>
    <sheetView topLeftCell="A64" zoomScale="80" zoomScaleNormal="80" workbookViewId="0">
      <selection activeCell="AI2" sqref="AI2:AI21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46059</v>
      </c>
      <c r="B2" s="1" t="inlineStr">
        <is>
          <t>SJCK27</t>
        </is>
      </c>
      <c r="C2" t="n">
        <v>24.4103</v>
      </c>
    </row>
    <row r="3">
      <c r="A3" s="9" t="n">
        <v>46062</v>
      </c>
      <c r="B3" s="1">
        <f>B2</f>
        <v/>
      </c>
      <c r="C3" t="n">
        <v>24.4709</v>
      </c>
    </row>
    <row r="4">
      <c r="A4" s="9" t="n">
        <v>46063</v>
      </c>
      <c r="B4" s="1">
        <f>B3</f>
        <v/>
      </c>
      <c r="C4" t="n">
        <v>24.6969</v>
      </c>
    </row>
    <row r="5">
      <c r="A5" s="9" t="n">
        <v>46064</v>
      </c>
      <c r="B5" s="1">
        <f>B4</f>
        <v/>
      </c>
      <c r="C5" t="n">
        <v>24.8016</v>
      </c>
    </row>
    <row r="6">
      <c r="A6" s="9" t="n">
        <v>46065</v>
      </c>
      <c r="B6" s="1">
        <f>B5</f>
        <v/>
      </c>
      <c r="C6" t="n">
        <v>24.8677</v>
      </c>
    </row>
    <row r="7">
      <c r="A7" s="9" t="n">
        <v>46066</v>
      </c>
      <c r="B7" s="1">
        <f>B6</f>
        <v/>
      </c>
      <c r="C7" t="n">
        <v>24.8236</v>
      </c>
    </row>
    <row r="8">
      <c r="A8" s="9" t="n">
        <v>46071</v>
      </c>
      <c r="B8" s="1">
        <f>B7</f>
        <v/>
      </c>
      <c r="C8" t="n">
        <v>24.9173</v>
      </c>
    </row>
    <row r="9">
      <c r="A9" s="9" t="n">
        <v>46072</v>
      </c>
      <c r="B9" s="1">
        <f>B8</f>
        <v/>
      </c>
      <c r="C9" t="n">
        <v>24.9669</v>
      </c>
    </row>
    <row r="10">
      <c r="A10" s="9" t="n">
        <v>46073</v>
      </c>
      <c r="B10" s="1">
        <f>B9</f>
        <v/>
      </c>
      <c r="C10" t="n">
        <v>24.9504</v>
      </c>
    </row>
    <row r="11">
      <c r="A11" s="9" t="n">
        <v>46076</v>
      </c>
      <c r="B11" s="1">
        <f>B10</f>
        <v/>
      </c>
      <c r="C11" t="n">
        <v>24.9449</v>
      </c>
    </row>
    <row r="12">
      <c r="A12" s="9" t="n">
        <v>46077</v>
      </c>
      <c r="B12" s="1">
        <f>B11</f>
        <v/>
      </c>
      <c r="C12" t="n">
        <v>25.0331</v>
      </c>
    </row>
    <row r="13">
      <c r="A13" s="9" t="n">
        <v>46078</v>
      </c>
      <c r="B13" s="1">
        <f>B12</f>
        <v/>
      </c>
      <c r="C13" t="n">
        <v>25.1543</v>
      </c>
    </row>
    <row r="14">
      <c r="A14" s="9" t="n">
        <v>46079</v>
      </c>
      <c r="B14" s="1">
        <f>B13</f>
        <v/>
      </c>
      <c r="C14" t="n">
        <v>25.1268</v>
      </c>
    </row>
    <row r="15">
      <c r="A15" s="9" t="n">
        <v>46080</v>
      </c>
      <c r="B15" s="1">
        <f>B14</f>
        <v/>
      </c>
      <c r="C15" t="n">
        <v>25.1433</v>
      </c>
    </row>
    <row r="16">
      <c r="A16" s="9" t="n">
        <v>46083</v>
      </c>
      <c r="B16" s="1">
        <f>B15</f>
        <v/>
      </c>
      <c r="C16" t="n">
        <v>25.1819</v>
      </c>
    </row>
    <row r="17">
      <c r="A17" s="9" t="n">
        <v>46084</v>
      </c>
      <c r="B17" s="1">
        <f>B16</f>
        <v/>
      </c>
      <c r="C17" t="n">
        <v>25.1709</v>
      </c>
    </row>
    <row r="18">
      <c r="A18" s="9" t="n">
        <v>46085</v>
      </c>
      <c r="B18" s="1">
        <f>B17</f>
        <v/>
      </c>
      <c r="C18" t="n">
        <v>25.1653</v>
      </c>
    </row>
    <row r="19">
      <c r="A19" s="9" t="n">
        <v>46086</v>
      </c>
      <c r="B19" s="1">
        <f>B18</f>
        <v/>
      </c>
      <c r="C19" t="n">
        <v>25.2756</v>
      </c>
    </row>
    <row r="20">
      <c r="A20" s="9" t="n">
        <v>46087</v>
      </c>
      <c r="B20" s="1">
        <f>B19</f>
        <v/>
      </c>
      <c r="C20" t="n">
        <v>25.4134</v>
      </c>
    </row>
    <row r="21">
      <c r="A21" s="9" t="n">
        <v>46090</v>
      </c>
      <c r="B21" s="1">
        <f>B20</f>
        <v/>
      </c>
      <c r="C21" t="n">
        <v>25.485</v>
      </c>
    </row>
    <row r="22">
      <c r="A22" s="9" t="n">
        <v>46091</v>
      </c>
      <c r="B22" s="1">
        <f>B21</f>
        <v/>
      </c>
      <c r="C22" t="n">
        <v>25.5842</v>
      </c>
    </row>
    <row r="23">
      <c r="A23" s="9" t="n">
        <v>46092</v>
      </c>
      <c r="B23" s="1">
        <f>B22</f>
        <v/>
      </c>
      <c r="C23" t="n">
        <v>25.7661</v>
      </c>
    </row>
    <row r="24">
      <c r="A24" s="9" t="n">
        <v>46093</v>
      </c>
      <c r="B24" s="1">
        <f>B23</f>
        <v/>
      </c>
      <c r="C24" t="n">
        <v>25.8322</v>
      </c>
    </row>
    <row r="25">
      <c r="A25" s="9" t="n">
        <v>46094</v>
      </c>
      <c r="B25" s="1">
        <f>B24</f>
        <v/>
      </c>
      <c r="C25" t="n">
        <v>25.7055</v>
      </c>
    </row>
    <row r="26">
      <c r="A26" s="9" t="n">
        <v>46097</v>
      </c>
      <c r="B26" s="1">
        <f>B25</f>
        <v/>
      </c>
      <c r="C26" t="n">
        <v>24.9945</v>
      </c>
    </row>
    <row r="27">
      <c r="A27" s="9" t="n">
        <v>46098</v>
      </c>
      <c r="B27" s="1">
        <f>B26</f>
        <v/>
      </c>
      <c r="C27" t="n">
        <v>25.2205</v>
      </c>
    </row>
    <row r="28">
      <c r="A28" s="9" t="n">
        <v>46099</v>
      </c>
      <c r="B28" s="1">
        <f>B27</f>
        <v/>
      </c>
      <c r="C28" t="n">
        <v>25.4134</v>
      </c>
    </row>
    <row r="29">
      <c r="A29" s="9" t="n">
        <v>46100</v>
      </c>
      <c r="B29" s="1">
        <f>B28</f>
        <v/>
      </c>
      <c r="C29" t="n">
        <v>25.463</v>
      </c>
    </row>
    <row r="30">
      <c r="A30" s="9" t="n">
        <v>46101</v>
      </c>
      <c r="B30" s="1">
        <f>B29</f>
        <v/>
      </c>
      <c r="C30" t="n">
        <v>25.3307</v>
      </c>
    </row>
    <row r="31">
      <c r="A31" s="9" t="n">
        <v>46104</v>
      </c>
      <c r="B31" s="1">
        <f>B30</f>
        <v/>
      </c>
      <c r="C31" t="n">
        <v>25.4519</v>
      </c>
    </row>
    <row r="32">
      <c r="A32" s="9" t="n">
        <v>46105</v>
      </c>
      <c r="B32" s="1">
        <f>B31</f>
        <v/>
      </c>
      <c r="C32" t="n">
        <v>25.3582</v>
      </c>
    </row>
    <row r="33">
      <c r="A33" s="9" t="n">
        <v>46106</v>
      </c>
      <c r="B33" s="1">
        <f>B32</f>
        <v/>
      </c>
      <c r="C33" t="n">
        <v>25.5126</v>
      </c>
    </row>
    <row r="34">
      <c r="A34" s="9" t="n">
        <v>46107</v>
      </c>
      <c r="B34" s="1">
        <f>B33</f>
        <v/>
      </c>
      <c r="C34" t="n">
        <v>25.6007</v>
      </c>
    </row>
    <row r="35">
      <c r="A35" s="9" t="n">
        <v>46108</v>
      </c>
      <c r="B35" s="1">
        <f>B34</f>
        <v/>
      </c>
      <c r="C35" t="n">
        <v>25.4575</v>
      </c>
    </row>
    <row r="36">
      <c r="A36" s="9" t="n">
        <v>46111</v>
      </c>
      <c r="B36" s="1">
        <f>B35</f>
        <v/>
      </c>
      <c r="C36" t="n">
        <v>25.4078</v>
      </c>
    </row>
    <row r="37">
      <c r="A37" s="9" t="n">
        <v>46112</v>
      </c>
      <c r="B37" s="1">
        <f>B36</f>
        <v/>
      </c>
      <c r="C37" t="n">
        <v>25.6448</v>
      </c>
    </row>
    <row r="38">
      <c r="A38" s="9" t="n">
        <v>46113</v>
      </c>
      <c r="B38" s="1">
        <f>B47</f>
        <v/>
      </c>
      <c r="C38" t="n">
        <v>25.6173</v>
      </c>
    </row>
    <row r="39">
      <c r="A39" s="9" t="n">
        <v>46114</v>
      </c>
      <c r="B39" s="1">
        <f>B48</f>
        <v/>
      </c>
      <c r="C39" t="n">
        <v>25.5897</v>
      </c>
    </row>
    <row r="40">
      <c r="A40" s="9" t="n">
        <v>46118</v>
      </c>
      <c r="B40" s="1">
        <f>B49</f>
        <v/>
      </c>
      <c r="C40" t="n">
        <v>25.6669</v>
      </c>
    </row>
    <row r="41">
      <c r="A41" s="9" t="n">
        <v>46119</v>
      </c>
      <c r="B41" s="1">
        <f>B50</f>
        <v/>
      </c>
      <c r="C41" t="n">
        <v>25.5456</v>
      </c>
    </row>
    <row r="42">
      <c r="A42" s="9" t="n">
        <v>46120</v>
      </c>
      <c r="B42" s="1">
        <f>B51</f>
        <v/>
      </c>
      <c r="C42" t="n">
        <v>25.5732</v>
      </c>
    </row>
    <row r="43">
      <c r="A43" s="9" t="n">
        <v>46121</v>
      </c>
      <c r="B43" s="1">
        <f>B52</f>
        <v/>
      </c>
      <c r="C43" t="n">
        <v>25.6559</v>
      </c>
    </row>
    <row r="44">
      <c r="A44" s="9" t="n">
        <v>46122</v>
      </c>
      <c r="B44" s="1">
        <f>B53</f>
        <v/>
      </c>
      <c r="C44" t="n">
        <v>25.7771</v>
      </c>
    </row>
    <row r="45">
      <c r="A45" s="9" t="n">
        <v>46125</v>
      </c>
      <c r="B45" s="1">
        <f>B54</f>
        <v/>
      </c>
      <c r="C45" t="n">
        <v>25.6338</v>
      </c>
    </row>
    <row r="46">
      <c r="A46" s="9" t="n">
        <v>46126</v>
      </c>
      <c r="B46" s="1">
        <f>B55</f>
        <v/>
      </c>
      <c r="C46" t="n">
        <v>25.5346</v>
      </c>
    </row>
    <row r="47">
      <c r="A47" s="9" t="n">
        <v>46127</v>
      </c>
      <c r="B47" s="1">
        <f>B56</f>
        <v/>
      </c>
      <c r="C47" t="n">
        <v>25.7661</v>
      </c>
    </row>
    <row r="48">
      <c r="A48" s="9" t="n">
        <v>46128</v>
      </c>
      <c r="B48" s="1">
        <f>B57</f>
        <v/>
      </c>
      <c r="C48" t="n">
        <v>25.7937</v>
      </c>
    </row>
    <row r="49">
      <c r="A49" s="9" t="n">
        <v>46129</v>
      </c>
      <c r="B49" s="1">
        <f>B48</f>
        <v/>
      </c>
      <c r="C49" t="n">
        <v>25.8322</v>
      </c>
    </row>
    <row r="50">
      <c r="A50" s="9" t="n">
        <v>46132</v>
      </c>
      <c r="B50" s="1">
        <f>B49</f>
        <v/>
      </c>
      <c r="C50" t="n">
        <v>25.8653</v>
      </c>
    </row>
    <row r="51">
      <c r="A51" s="9" t="n">
        <v>46134</v>
      </c>
      <c r="B51" s="1">
        <f>B50</f>
        <v/>
      </c>
      <c r="C51" t="n">
        <v>25.8102</v>
      </c>
    </row>
    <row r="52">
      <c r="A52" s="9" t="n">
        <v>46135</v>
      </c>
      <c r="B52" s="1">
        <f>B51</f>
        <v/>
      </c>
      <c r="C52" t="n">
        <v>25.7661</v>
      </c>
    </row>
    <row r="53">
      <c r="A53" s="9" t="n">
        <v>46136</v>
      </c>
      <c r="B53" s="1">
        <f>B52</f>
        <v/>
      </c>
      <c r="C53" t="n">
        <v>25.7716</v>
      </c>
    </row>
    <row r="54">
      <c r="A54" s="9" t="n">
        <v>46139</v>
      </c>
      <c r="B54" s="1">
        <f>B53</f>
        <v/>
      </c>
      <c r="C54" t="n">
        <v>25.9535</v>
      </c>
    </row>
    <row r="55">
      <c r="A55" s="9" t="n">
        <v>46140</v>
      </c>
      <c r="B55" s="1">
        <f>B54</f>
        <v/>
      </c>
      <c r="C55" t="n">
        <v>25.97</v>
      </c>
    </row>
    <row r="56">
      <c r="A56" s="9" t="n">
        <v>46141</v>
      </c>
      <c r="B56" s="1">
        <f>B55</f>
        <v/>
      </c>
      <c r="C56" t="n">
        <v>26.0582</v>
      </c>
    </row>
    <row r="57">
      <c r="A57" s="9" t="n">
        <v>46142</v>
      </c>
      <c r="B57" s="1">
        <f>B56</f>
        <v/>
      </c>
      <c r="C57" t="n">
        <v>26.1243</v>
      </c>
    </row>
    <row r="58">
      <c r="A58" s="9" t="n">
        <v>46146</v>
      </c>
      <c r="B58" s="1">
        <f>B57</f>
        <v/>
      </c>
      <c r="C58" t="n">
        <v>26.5653</v>
      </c>
    </row>
    <row r="59">
      <c r="A59" s="9" t="n">
        <v>46147</v>
      </c>
      <c r="B59" s="1">
        <f>B58</f>
        <v/>
      </c>
      <c r="C59" t="n">
        <v>26.433</v>
      </c>
    </row>
    <row r="60">
      <c r="A60" s="9" t="n">
        <v>46148</v>
      </c>
      <c r="B60" s="1">
        <f>B59</f>
        <v/>
      </c>
      <c r="C60" t="n">
        <v>26.1684</v>
      </c>
    </row>
    <row r="61">
      <c r="A61" s="9" t="n">
        <v>46149</v>
      </c>
      <c r="B61" s="1">
        <f>B60</f>
        <v/>
      </c>
      <c r="C61" t="n">
        <v>26.1464</v>
      </c>
    </row>
    <row r="62">
      <c r="A62" s="9" t="n">
        <v>46150</v>
      </c>
      <c r="B62" s="1">
        <f>B61</f>
        <v/>
      </c>
      <c r="C62" t="n">
        <v>26.4275</v>
      </c>
    </row>
    <row r="63">
      <c r="A63" s="9" t="n">
        <v>46153</v>
      </c>
      <c r="B63" s="1">
        <f>B62</f>
        <v/>
      </c>
      <c r="C63" t="n">
        <v>26.5377</v>
      </c>
    </row>
    <row r="64">
      <c r="A64" s="9" t="n">
        <v>46154</v>
      </c>
      <c r="B64" s="1">
        <f>B63</f>
        <v/>
      </c>
      <c r="C64" t="n">
        <v>26.7692</v>
      </c>
    </row>
    <row r="65">
      <c r="A65" s="9" t="n">
        <v>46155</v>
      </c>
      <c r="B65" s="1">
        <f>B64</f>
        <v/>
      </c>
      <c r="C65" t="n">
        <v>26.8078</v>
      </c>
    </row>
    <row r="66">
      <c r="A66" s="9" t="n">
        <v>46156</v>
      </c>
      <c r="B66" s="1">
        <f>B65</f>
        <v/>
      </c>
      <c r="C66" t="n">
        <v>26.3558</v>
      </c>
    </row>
    <row r="67">
      <c r="A67" s="9" t="n">
        <v>46157</v>
      </c>
      <c r="B67" s="1">
        <f>B66</f>
        <v/>
      </c>
      <c r="C67" t="n">
        <v>26.1243</v>
      </c>
    </row>
    <row r="68">
      <c r="A68" s="9" t="n">
        <v>46160</v>
      </c>
      <c r="B68" s="1">
        <f>B67</f>
        <v/>
      </c>
      <c r="C68" t="n">
        <v>26.681</v>
      </c>
    </row>
    <row r="69">
      <c r="A69" s="9" t="n">
        <v>46161</v>
      </c>
      <c r="B69" s="1">
        <f>B68</f>
        <v/>
      </c>
      <c r="C69" t="n">
        <v>26.703</v>
      </c>
    </row>
    <row r="70">
      <c r="A70" s="9" t="n">
        <v>46162</v>
      </c>
      <c r="B70" s="1">
        <f>B69</f>
        <v/>
      </c>
      <c r="C70" t="n">
        <v>26.5763</v>
      </c>
    </row>
    <row r="71">
      <c r="A71" s="9" t="n">
        <v>46163</v>
      </c>
      <c r="B71" s="1">
        <f>B70</f>
        <v/>
      </c>
      <c r="C71" t="n">
        <v>26.444</v>
      </c>
    </row>
    <row r="72">
      <c r="A72" s="9" t="n">
        <v>46164</v>
      </c>
      <c r="B72" s="1">
        <f>B71</f>
        <v/>
      </c>
      <c r="C72" t="n">
        <v>26.466</v>
      </c>
    </row>
    <row r="73">
      <c r="A73" s="9" t="n">
        <v>46167</v>
      </c>
      <c r="B73" s="1">
        <f>B72</f>
        <v/>
      </c>
      <c r="C73" t="n">
        <v>26.466</v>
      </c>
    </row>
    <row r="74">
      <c r="A74" s="9" t="n">
        <v>46168</v>
      </c>
      <c r="B74" s="1">
        <f>B73</f>
        <v/>
      </c>
      <c r="C74" t="n">
        <v>26.3668</v>
      </c>
    </row>
    <row r="75">
      <c r="A75" s="9" t="n">
        <v>46169</v>
      </c>
      <c r="B75" s="1">
        <f>B74</f>
        <v/>
      </c>
      <c r="C75" t="n">
        <v>26.3558</v>
      </c>
    </row>
    <row r="76">
      <c r="A76" s="9" t="n">
        <v>46170</v>
      </c>
      <c r="B76" s="1">
        <f>B75</f>
        <v/>
      </c>
      <c r="C76" t="n">
        <v>26.681</v>
      </c>
    </row>
    <row r="77">
      <c r="A77" s="9" t="n">
        <v>46171</v>
      </c>
      <c r="B77" s="1">
        <f>B76</f>
        <v/>
      </c>
      <c r="C77" t="n">
        <v>26.6149</v>
      </c>
    </row>
    <row r="78">
      <c r="A78" s="9" t="n">
        <v>46174</v>
      </c>
      <c r="B78" s="1">
        <f>B77</f>
        <v/>
      </c>
      <c r="C78" t="n">
        <v>26.6369</v>
      </c>
    </row>
    <row r="79">
      <c r="A79" s="9" t="n">
        <v>46175</v>
      </c>
      <c r="B79" s="1">
        <f>B78</f>
        <v/>
      </c>
      <c r="C79" t="n">
        <v>26.4716</v>
      </c>
    </row>
    <row r="80">
      <c r="A80" s="9" t="n">
        <v>46176</v>
      </c>
      <c r="B80" s="1">
        <f>B79</f>
        <v/>
      </c>
      <c r="C80" t="n">
        <v>26.2897</v>
      </c>
    </row>
    <row r="81">
      <c r="A81" s="9" t="n">
        <v>46178</v>
      </c>
      <c r="B81" s="1">
        <f>B80</f>
        <v/>
      </c>
      <c r="C81" t="n">
        <v>25.722</v>
      </c>
    </row>
    <row r="82">
      <c r="A82" s="9" t="n">
        <v>46181</v>
      </c>
      <c r="B82" s="1">
        <f>B81</f>
        <v/>
      </c>
      <c r="C82" t="n">
        <v>25.6724</v>
      </c>
    </row>
    <row r="83">
      <c r="A83" s="9" t="n">
        <v>46182</v>
      </c>
      <c r="B83" s="1">
        <f>B82</f>
        <v/>
      </c>
      <c r="C83" t="n">
        <v>25.5677</v>
      </c>
    </row>
    <row r="84">
      <c r="A84" s="9" t="n">
        <v>46183</v>
      </c>
      <c r="B84" s="1">
        <f>B83</f>
        <v/>
      </c>
      <c r="C84" t="n">
        <v>25.6834</v>
      </c>
    </row>
    <row r="85">
      <c r="A85" s="9" t="n">
        <v>46184</v>
      </c>
      <c r="B85" s="1">
        <f>B84</f>
        <v/>
      </c>
      <c r="C85" t="n">
        <v>25.6448</v>
      </c>
    </row>
    <row r="86">
      <c r="A86" s="9" t="n">
        <v>46185</v>
      </c>
      <c r="B86" s="1">
        <f>B85</f>
        <v/>
      </c>
      <c r="C86" t="n">
        <v>25.6228</v>
      </c>
    </row>
    <row r="87">
      <c r="A87" s="9" t="n">
        <v>46188</v>
      </c>
      <c r="B87" s="1">
        <f>B86</f>
        <v/>
      </c>
      <c r="C87" t="n">
        <v>25.6889</v>
      </c>
    </row>
    <row r="88">
      <c r="A88" s="9" t="n">
        <v>46189</v>
      </c>
      <c r="B88" s="1">
        <f>B87</f>
        <v/>
      </c>
      <c r="C88" t="n">
        <v>25.8873</v>
      </c>
    </row>
    <row r="89">
      <c r="A89" s="9" t="n">
        <v>46190</v>
      </c>
      <c r="B89" s="1">
        <f>B88</f>
        <v/>
      </c>
      <c r="C89" t="n">
        <v>25.9535</v>
      </c>
    </row>
    <row r="90">
      <c r="A90" s="9" t="n">
        <v>46191</v>
      </c>
      <c r="B90" s="1">
        <f>B89</f>
        <v/>
      </c>
      <c r="C90" t="n">
        <v>25.8102</v>
      </c>
    </row>
    <row r="91">
      <c r="A91" s="9" t="n">
        <v>46192</v>
      </c>
      <c r="B91" s="1">
        <f>B90</f>
        <v/>
      </c>
      <c r="C91" t="n">
        <v>25.8102</v>
      </c>
    </row>
    <row r="92">
      <c r="A92" s="9" t="n">
        <v>46195</v>
      </c>
      <c r="B92" s="1">
        <f>B91</f>
        <v/>
      </c>
      <c r="C92" t="n">
        <v>25.8102</v>
      </c>
    </row>
    <row r="93">
      <c r="A93" s="9" t="n">
        <v>46196</v>
      </c>
      <c r="B93" s="1">
        <f>B92</f>
        <v/>
      </c>
      <c r="C93" t="n">
        <v>25.7826</v>
      </c>
    </row>
    <row r="94">
      <c r="A94" s="9" t="n">
        <v>46197</v>
      </c>
      <c r="B94" s="1">
        <f>B93</f>
        <v/>
      </c>
      <c r="C94" t="n">
        <v>25.6173</v>
      </c>
    </row>
    <row r="95">
      <c r="A95" s="9" t="n">
        <v>46198</v>
      </c>
      <c r="B95" s="1">
        <f>B94</f>
        <v/>
      </c>
      <c r="C95" t="n">
        <v>26.0417</v>
      </c>
    </row>
    <row r="96">
      <c r="A96" s="9" t="n">
        <v>46199</v>
      </c>
      <c r="B96" s="1">
        <f>B95</f>
        <v/>
      </c>
      <c r="C96" t="n">
        <v>26.0362</v>
      </c>
    </row>
    <row r="97">
      <c r="A97" s="9" t="n">
        <v>46202</v>
      </c>
      <c r="B97" s="1">
        <f>B96</f>
        <v/>
      </c>
      <c r="C97" t="n">
        <v>25.722</v>
      </c>
    </row>
    <row r="98">
      <c r="A98" s="9" t="n">
        <v>46203</v>
      </c>
      <c r="B98" s="1">
        <f>B97</f>
        <v/>
      </c>
      <c r="C98" t="n">
        <v>25.8984</v>
      </c>
    </row>
    <row r="99">
      <c r="A99" s="9" t="n">
        <v>46204</v>
      </c>
      <c r="B99" s="1">
        <f>B98</f>
        <v/>
      </c>
      <c r="C99" t="n">
        <v>25.981</v>
      </c>
    </row>
    <row r="100">
      <c r="A100" s="9" t="n">
        <v>46205</v>
      </c>
      <c r="B100" s="1">
        <f>B99</f>
        <v/>
      </c>
      <c r="C100" t="n">
        <v>25.9039</v>
      </c>
    </row>
    <row r="101">
      <c r="A101" s="9" t="n">
        <v>46206</v>
      </c>
      <c r="B101" s="1">
        <f>B100</f>
        <v/>
      </c>
      <c r="C101" t="n">
        <v>25.9039</v>
      </c>
    </row>
    <row r="102">
      <c r="A102" s="9" t="n">
        <v>46209</v>
      </c>
      <c r="B102" s="1">
        <f>B101</f>
        <v/>
      </c>
      <c r="C102" t="n">
        <v>26.703</v>
      </c>
    </row>
    <row r="103">
      <c r="A103" s="9" t="n">
        <v>46210</v>
      </c>
      <c r="B103" s="1">
        <f>B102</f>
        <v/>
      </c>
      <c r="C103" t="n">
        <v>26.8298</v>
      </c>
    </row>
    <row r="104">
      <c r="A104" s="9" t="n">
        <v>46211</v>
      </c>
      <c r="B104" s="1">
        <f>B103</f>
        <v/>
      </c>
      <c r="C104" t="n">
        <v>26.7306</v>
      </c>
    </row>
    <row r="105">
      <c r="A105" s="9" t="n">
        <v>46212</v>
      </c>
      <c r="B105" s="1">
        <f>B104</f>
        <v/>
      </c>
      <c r="C105" t="n">
        <v>26.5928</v>
      </c>
    </row>
    <row r="106">
      <c r="A106" s="9" t="n">
        <v>46213</v>
      </c>
      <c r="B106" s="1">
        <f>B105</f>
        <v/>
      </c>
      <c r="C106" t="n">
        <v>26.7361</v>
      </c>
    </row>
    <row r="107">
      <c r="A107" s="9" t="n">
        <v>46216</v>
      </c>
      <c r="B107" s="1">
        <f>B106</f>
        <v/>
      </c>
      <c r="C107" t="n">
        <v>26.8353</v>
      </c>
    </row>
    <row r="108">
      <c r="A108" s="9" t="n">
        <v>46217</v>
      </c>
      <c r="B108" s="1">
        <f>B107</f>
        <v/>
      </c>
      <c r="C108" t="n">
        <v>26.7747</v>
      </c>
    </row>
    <row r="109">
      <c r="A109" s="9">
        <f>IF('S.H BOI GORDO'!A7218=""," ",'S.H BOI GORDO'!A7218)</f>
        <v/>
      </c>
      <c r="B109" s="1">
        <f>B118</f>
        <v/>
      </c>
    </row>
    <row r="110">
      <c r="A110" s="9">
        <f>IF('S.H BOI GORDO'!A7219=""," ",'S.H BOI GORDO'!A7219)</f>
        <v/>
      </c>
      <c r="B110" s="1">
        <f>B119</f>
        <v/>
      </c>
    </row>
    <row r="111">
      <c r="A111" s="9">
        <f>IF('S.H BOI GORDO'!A7220=""," ",'S.H BOI GORDO'!A7220)</f>
        <v/>
      </c>
      <c r="B111" s="1">
        <f>B120</f>
        <v/>
      </c>
    </row>
    <row r="112">
      <c r="A112" s="9">
        <f>IF('S.H BOI GORDO'!A7221=""," ",'S.H BOI GORDO'!A7221)</f>
        <v/>
      </c>
      <c r="B112" s="1">
        <f>B121</f>
        <v/>
      </c>
    </row>
    <row r="113">
      <c r="A113" s="9">
        <f>IF('S.H BOI GORDO'!A7222=""," ",'S.H BOI GORDO'!A7222)</f>
        <v/>
      </c>
      <c r="B113" s="1">
        <f>B122</f>
        <v/>
      </c>
    </row>
    <row r="114">
      <c r="A114" s="9">
        <f>IF('S.H BOI GORDO'!A7223=""," ",'S.H BOI GORDO'!A7223)</f>
        <v/>
      </c>
      <c r="B114" s="1">
        <f>B123</f>
        <v/>
      </c>
    </row>
    <row r="115">
      <c r="A115" s="9">
        <f>IF('S.H BOI GORDO'!A7224=""," ",'S.H BOI GORDO'!A7224)</f>
        <v/>
      </c>
      <c r="B115" s="1">
        <f>B124</f>
        <v/>
      </c>
    </row>
    <row r="116">
      <c r="A116" s="9">
        <f>IF('S.H BOI GORDO'!A7225=""," ",'S.H BOI GORDO'!A7225)</f>
        <v/>
      </c>
      <c r="B116" s="1">
        <f>B125</f>
        <v/>
      </c>
    </row>
    <row r="117">
      <c r="A117" s="9">
        <f>IF('S.H BOI GORDO'!A7226=""," ",'S.H BOI GORDO'!A7226)</f>
        <v/>
      </c>
      <c r="B117" s="1">
        <f>B126</f>
        <v/>
      </c>
    </row>
    <row r="118">
      <c r="A118" s="9">
        <f>IF('S.H BOI GORDO'!A7227=""," ",'S.H BOI GORDO'!A7227)</f>
        <v/>
      </c>
      <c r="B118" s="1">
        <f>B127</f>
        <v/>
      </c>
    </row>
    <row r="119">
      <c r="A119" s="9">
        <f>IF('S.H BOI GORDO'!A7228=""," ",'S.H BOI GORDO'!A7228)</f>
        <v/>
      </c>
      <c r="B119" s="1">
        <f>B128</f>
        <v/>
      </c>
    </row>
    <row r="120">
      <c r="A120" s="9">
        <f>IF('S.H BOI GORDO'!A7229=""," ",'S.H BOI GORDO'!A7229)</f>
        <v/>
      </c>
      <c r="B120" s="1">
        <f>B129</f>
        <v/>
      </c>
    </row>
    <row r="121">
      <c r="A121" s="9">
        <f>IF('S.H BOI GORDO'!A7230=""," ",'S.H BOI GORDO'!A7230)</f>
        <v/>
      </c>
      <c r="B121" s="1">
        <f>B130</f>
        <v/>
      </c>
    </row>
    <row r="122">
      <c r="A122" s="9">
        <f>IF('S.H BOI GORDO'!A7231=""," ",'S.H BOI GORDO'!A7231)</f>
        <v/>
      </c>
      <c r="B122" s="1">
        <f>B131</f>
        <v/>
      </c>
    </row>
    <row r="123">
      <c r="A123" s="9">
        <f>IF('S.H BOI GORDO'!A7232=""," ",'S.H BOI GORDO'!A7232)</f>
        <v/>
      </c>
      <c r="B123" s="1">
        <f>B132</f>
        <v/>
      </c>
    </row>
    <row r="124">
      <c r="A124" s="9">
        <f>IF('S.H BOI GORDO'!A7233=""," ",'S.H BOI GORDO'!A7233)</f>
        <v/>
      </c>
      <c r="B124" s="1">
        <f>B133</f>
        <v/>
      </c>
    </row>
    <row r="125">
      <c r="A125" s="9">
        <f>IF('S.H BOI GORDO'!A7234=""," ",'S.H BOI GORDO'!A7234)</f>
        <v/>
      </c>
      <c r="B125" s="1">
        <f>B134</f>
        <v/>
      </c>
    </row>
    <row r="126">
      <c r="A126" s="9">
        <f>IF('S.H BOI GORDO'!A7235=""," ",'S.H BOI GORDO'!A7235)</f>
        <v/>
      </c>
      <c r="B126" s="1">
        <f>B135</f>
        <v/>
      </c>
    </row>
    <row r="127">
      <c r="A127" s="9">
        <f>IF('S.H BOI GORDO'!A7236=""," ",'S.H BOI GORDO'!A7236)</f>
        <v/>
      </c>
      <c r="B127" s="1">
        <f>B136</f>
        <v/>
      </c>
    </row>
    <row r="128">
      <c r="A128" s="9">
        <f>IF('S.H BOI GORDO'!A7237=""," ",'S.H BOI GORDO'!A7237)</f>
        <v/>
      </c>
      <c r="B128" s="1">
        <f>B137</f>
        <v/>
      </c>
    </row>
    <row r="129">
      <c r="A129" s="9">
        <f>IF('S.H BOI GORDO'!A7238=""," ",'S.H BOI GORDO'!A7238)</f>
        <v/>
      </c>
      <c r="B129" s="1">
        <f>B138</f>
        <v/>
      </c>
    </row>
    <row r="130">
      <c r="A130" s="9">
        <f>IF('S.H BOI GORDO'!A7239=""," ",'S.H BOI GORDO'!A7239)</f>
        <v/>
      </c>
      <c r="B130" s="1">
        <f>B139</f>
        <v/>
      </c>
    </row>
    <row r="131">
      <c r="A131" s="9">
        <f>IF('S.H BOI GORDO'!A7240=""," ",'S.H BOI GORDO'!A7240)</f>
        <v/>
      </c>
      <c r="B131" s="1">
        <f>B140</f>
        <v/>
      </c>
    </row>
    <row r="132">
      <c r="A132" s="9">
        <f>IF('S.H BOI GORDO'!A7241=""," ",'S.H BOI GORDO'!A7241)</f>
        <v/>
      </c>
      <c r="B132" s="1">
        <f>B141</f>
        <v/>
      </c>
    </row>
    <row r="133">
      <c r="A133" s="9">
        <f>IF('S.H BOI GORDO'!A7242=""," ",'S.H BOI GORDO'!A7242)</f>
        <v/>
      </c>
      <c r="B133" s="1">
        <f>B142</f>
        <v/>
      </c>
    </row>
    <row r="134">
      <c r="A134" s="9">
        <f>IF('S.H BOI GORDO'!A7243=""," ",'S.H BOI GORDO'!A7243)</f>
        <v/>
      </c>
      <c r="B134" s="1">
        <f>B143</f>
        <v/>
      </c>
    </row>
    <row r="135">
      <c r="A135" s="9">
        <f>IF('S.H BOI GORDO'!A7244=""," ",'S.H BOI GORDO'!A7244)</f>
        <v/>
      </c>
      <c r="B135" s="1">
        <f>B144</f>
        <v/>
      </c>
    </row>
    <row r="136">
      <c r="A136" s="9">
        <f>IF('S.H BOI GORDO'!A7245=""," ",'S.H BOI GORDO'!A7245)</f>
        <v/>
      </c>
      <c r="B136" s="1">
        <f>B145</f>
        <v/>
      </c>
    </row>
    <row r="137">
      <c r="A137" s="9">
        <f>IF('S.H BOI GORDO'!A7246=""," ",'S.H BOI GORDO'!A7246)</f>
        <v/>
      </c>
      <c r="B137" s="1">
        <f>B146</f>
        <v/>
      </c>
    </row>
    <row r="138">
      <c r="A138" s="9">
        <f>IF('S.H BOI GORDO'!A7247=""," ",'S.H BOI GORDO'!A7247)</f>
        <v/>
      </c>
      <c r="B138" s="1">
        <f>B147</f>
        <v/>
      </c>
    </row>
    <row r="139">
      <c r="A139" s="9">
        <f>IF('S.H BOI GORDO'!A7248=""," ",'S.H BOI GORDO'!A7248)</f>
        <v/>
      </c>
      <c r="B139" s="1">
        <f>B148</f>
        <v/>
      </c>
    </row>
    <row r="140">
      <c r="A140" s="9">
        <f>IF('S.H BOI GORDO'!A7249=""," ",'S.H BOI GORDO'!A7249)</f>
        <v/>
      </c>
      <c r="B140" s="1">
        <f>B149</f>
        <v/>
      </c>
    </row>
    <row r="141">
      <c r="A141" s="9">
        <f>IF('S.H BOI GORDO'!A7250=""," ",'S.H BOI GORDO'!A7250)</f>
        <v/>
      </c>
      <c r="B141" s="1">
        <f>B150</f>
        <v/>
      </c>
    </row>
    <row r="142">
      <c r="A142" s="9">
        <f>IF('S.H BOI GORDO'!A7251=""," ",'S.H BOI GORDO'!A7251)</f>
        <v/>
      </c>
      <c r="B142" s="1">
        <f>B151</f>
        <v/>
      </c>
    </row>
    <row r="143">
      <c r="A143" s="9">
        <f>IF('S.H BOI GORDO'!A7252=""," ",'S.H BOI GORDO'!A7252)</f>
        <v/>
      </c>
      <c r="B143" s="1">
        <f>B152</f>
        <v/>
      </c>
    </row>
    <row r="144">
      <c r="A144" s="9">
        <f>IF('S.H BOI GORDO'!A7253=""," ",'S.H BOI GORDO'!A7253)</f>
        <v/>
      </c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  <row r="169">
      <c r="B169" s="1">
        <f>B178</f>
        <v/>
      </c>
    </row>
    <row r="170">
      <c r="B170" s="1">
        <f>B179</f>
        <v/>
      </c>
    </row>
    <row r="171">
      <c r="B171" s="1">
        <f>B180</f>
        <v/>
      </c>
    </row>
    <row r="172">
      <c r="B172" s="1">
        <f>B181</f>
        <v/>
      </c>
    </row>
    <row r="173">
      <c r="B173" s="1">
        <f>B182</f>
        <v/>
      </c>
    </row>
    <row r="174">
      <c r="B174" s="1">
        <f>B183</f>
        <v/>
      </c>
    </row>
    <row r="175">
      <c r="B175" s="1">
        <f>B184</f>
        <v/>
      </c>
    </row>
    <row r="176">
      <c r="B176" s="1">
        <f>B185</f>
        <v/>
      </c>
    </row>
    <row r="177">
      <c r="B177" s="1">
        <f>B186</f>
        <v/>
      </c>
    </row>
    <row r="178">
      <c r="B178" s="1">
        <f>B187</f>
        <v/>
      </c>
    </row>
    <row r="179">
      <c r="B179" s="1">
        <f>B188</f>
        <v/>
      </c>
    </row>
    <row r="180">
      <c r="B180" s="1">
        <f>B189</f>
        <v/>
      </c>
    </row>
    <row r="181">
      <c r="B181" s="1">
        <f>B190</f>
        <v/>
      </c>
    </row>
    <row r="182">
      <c r="B182" s="1">
        <f>B191</f>
        <v/>
      </c>
    </row>
    <row r="183">
      <c r="B183" s="1">
        <f>B192</f>
        <v/>
      </c>
    </row>
    <row r="184">
      <c r="B184" s="1">
        <f>B193</f>
        <v/>
      </c>
    </row>
    <row r="185">
      <c r="B185" s="1">
        <f>B194</f>
        <v/>
      </c>
    </row>
    <row r="186">
      <c r="B186" s="1">
        <f>B195</f>
        <v/>
      </c>
    </row>
    <row r="187">
      <c r="B187" s="1">
        <f>B196</f>
        <v/>
      </c>
    </row>
    <row r="188">
      <c r="B188" s="1">
        <f>B197</f>
        <v/>
      </c>
    </row>
    <row r="189">
      <c r="B189" s="1">
        <f>B198</f>
        <v/>
      </c>
    </row>
    <row r="190">
      <c r="B190" s="1">
        <f>B199</f>
        <v/>
      </c>
    </row>
    <row r="191">
      <c r="B191" s="1">
        <f>B200</f>
        <v/>
      </c>
    </row>
    <row r="192">
      <c r="B192" s="1">
        <f>B201</f>
        <v/>
      </c>
    </row>
    <row r="193">
      <c r="B193" s="1">
        <f>B202</f>
        <v/>
      </c>
    </row>
    <row r="194">
      <c r="B194" s="1">
        <f>B203</f>
        <v/>
      </c>
    </row>
    <row r="195">
      <c r="B195" s="1">
        <f>B204</f>
        <v/>
      </c>
    </row>
    <row r="196">
      <c r="B196" s="1">
        <f>B205</f>
        <v/>
      </c>
    </row>
    <row r="197">
      <c r="B197" s="1">
        <f>B206</f>
        <v/>
      </c>
    </row>
    <row r="198">
      <c r="B198" s="1">
        <f>B207</f>
        <v/>
      </c>
    </row>
    <row r="199">
      <c r="B199" s="1">
        <f>B208</f>
        <v/>
      </c>
    </row>
    <row r="200">
      <c r="B200" s="1">
        <f>B209</f>
        <v/>
      </c>
    </row>
    <row r="201">
      <c r="B201" s="1">
        <f>B210</f>
        <v/>
      </c>
    </row>
    <row r="202">
      <c r="B202" s="1">
        <f>B211</f>
        <v/>
      </c>
    </row>
    <row r="203">
      <c r="B203" s="1">
        <f>B212</f>
        <v/>
      </c>
    </row>
    <row r="204">
      <c r="B204" s="1">
        <f>B213</f>
        <v/>
      </c>
    </row>
    <row r="205">
      <c r="B205" s="1">
        <f>B214</f>
        <v/>
      </c>
    </row>
    <row r="206">
      <c r="B206" s="1">
        <f>B215</f>
        <v/>
      </c>
    </row>
    <row r="207">
      <c r="B207" s="1">
        <f>B216</f>
        <v/>
      </c>
    </row>
    <row r="208">
      <c r="B208" s="1">
        <f>B217</f>
        <v/>
      </c>
    </row>
    <row r="209">
      <c r="B209" s="1">
        <f>B218</f>
        <v/>
      </c>
    </row>
    <row r="210">
      <c r="B210" s="1">
        <f>B219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0.xml><?xml version="1.0" encoding="utf-8"?>
<worksheet xmlns="http://schemas.openxmlformats.org/spreadsheetml/2006/main">
  <sheetPr codeName="Planilha60">
    <outlinePr summaryBelow="1" summaryRight="1"/>
    <pageSetUpPr/>
  </sheetPr>
  <dimension ref="A1:C121"/>
  <sheetViews>
    <sheetView topLeftCell="A61" workbookViewId="0">
      <selection activeCell="F80" sqref="F80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46147</v>
      </c>
      <c r="B2" s="1" t="inlineStr">
        <is>
          <t>SJCN27</t>
        </is>
      </c>
      <c r="C2" t="n">
        <v>26.5597</v>
      </c>
    </row>
    <row r="3">
      <c r="A3" s="9" t="n">
        <v>46148</v>
      </c>
      <c r="B3" s="1" t="inlineStr">
        <is>
          <t>SJCN27</t>
        </is>
      </c>
      <c r="C3" t="n">
        <v>26.2952</v>
      </c>
    </row>
    <row r="4">
      <c r="A4" s="9" t="n">
        <v>46149</v>
      </c>
      <c r="B4" s="1" t="inlineStr">
        <is>
          <t>SJCN27</t>
        </is>
      </c>
      <c r="C4" t="n">
        <v>26.2842</v>
      </c>
    </row>
    <row r="5">
      <c r="A5" s="9" t="n">
        <v>46150</v>
      </c>
      <c r="B5" s="1" t="inlineStr">
        <is>
          <t>SJCN27</t>
        </is>
      </c>
      <c r="C5" t="n">
        <v>26.5542</v>
      </c>
    </row>
    <row r="6">
      <c r="A6" s="9" t="n">
        <v>46153</v>
      </c>
      <c r="B6" s="1" t="inlineStr">
        <is>
          <t>SJCN27</t>
        </is>
      </c>
      <c r="C6" t="n">
        <v>26.6479</v>
      </c>
    </row>
    <row r="7">
      <c r="A7" s="9" t="n">
        <v>46154</v>
      </c>
      <c r="B7" s="1" t="inlineStr">
        <is>
          <t>SJCN27</t>
        </is>
      </c>
      <c r="C7" t="n">
        <v>26.8739</v>
      </c>
    </row>
    <row r="8">
      <c r="A8" s="9" t="n">
        <v>46155</v>
      </c>
      <c r="B8" s="1" t="inlineStr">
        <is>
          <t>SJCN27</t>
        </is>
      </c>
      <c r="C8" t="n">
        <v>26.907</v>
      </c>
    </row>
    <row r="9">
      <c r="A9" s="9" t="n">
        <v>46156</v>
      </c>
      <c r="B9" s="1" t="inlineStr">
        <is>
          <t>SJCN27</t>
        </is>
      </c>
      <c r="C9" t="n">
        <v>26.4605</v>
      </c>
    </row>
    <row r="10">
      <c r="A10" s="9" t="n">
        <v>46157</v>
      </c>
      <c r="B10" s="1" t="inlineStr">
        <is>
          <t>SJCN27</t>
        </is>
      </c>
      <c r="C10" t="n">
        <v>26.2456</v>
      </c>
    </row>
    <row r="11">
      <c r="A11" s="9" t="n">
        <v>46160</v>
      </c>
      <c r="B11" s="1" t="inlineStr">
        <is>
          <t>SJCN27</t>
        </is>
      </c>
      <c r="C11" t="n">
        <v>26.7802</v>
      </c>
    </row>
    <row r="12">
      <c r="A12" s="9" t="n">
        <v>46161</v>
      </c>
      <c r="B12" s="1" t="inlineStr">
        <is>
          <t>SJCN27</t>
        </is>
      </c>
      <c r="C12" t="n">
        <v>26.8022</v>
      </c>
    </row>
    <row r="13">
      <c r="A13" s="9" t="n">
        <v>46162</v>
      </c>
      <c r="B13" s="1" t="inlineStr">
        <is>
          <t>SJCN27</t>
        </is>
      </c>
      <c r="C13" t="n">
        <v>26.681</v>
      </c>
    </row>
    <row r="14">
      <c r="A14" s="9" t="n">
        <v>46163</v>
      </c>
      <c r="B14" s="1" t="inlineStr">
        <is>
          <t>SJCN27</t>
        </is>
      </c>
      <c r="C14" t="n">
        <v>26.5542</v>
      </c>
    </row>
    <row r="15">
      <c r="A15" s="9" t="n">
        <v>46164</v>
      </c>
      <c r="B15" s="1" t="inlineStr">
        <is>
          <t>SJCN27</t>
        </is>
      </c>
      <c r="C15" t="n">
        <v>26.5818</v>
      </c>
    </row>
    <row r="16">
      <c r="A16" s="9" t="n">
        <v>46167</v>
      </c>
      <c r="B16" s="1" t="inlineStr">
        <is>
          <t>SJCN27</t>
        </is>
      </c>
      <c r="C16" t="n">
        <v>26.5818</v>
      </c>
    </row>
    <row r="17">
      <c r="A17" s="9" t="n">
        <v>46168</v>
      </c>
      <c r="B17" s="1" t="inlineStr">
        <is>
          <t>SJCN27</t>
        </is>
      </c>
      <c r="C17" t="n">
        <v>26.4881</v>
      </c>
    </row>
    <row r="18">
      <c r="A18" s="9" t="n">
        <v>46169</v>
      </c>
      <c r="B18" s="1" t="inlineStr">
        <is>
          <t>SJCN27</t>
        </is>
      </c>
      <c r="C18" t="n">
        <v>26.4605</v>
      </c>
    </row>
    <row r="19">
      <c r="A19" s="9" t="n">
        <v>46170</v>
      </c>
      <c r="B19" s="1" t="inlineStr">
        <is>
          <t>SJCN27</t>
        </is>
      </c>
      <c r="C19" t="n">
        <v>26.7967</v>
      </c>
    </row>
    <row r="20">
      <c r="A20" s="9" t="n">
        <v>46171</v>
      </c>
      <c r="B20" s="1" t="inlineStr">
        <is>
          <t>SJCN27</t>
        </is>
      </c>
      <c r="C20" t="n">
        <v>26.7361</v>
      </c>
    </row>
    <row r="21">
      <c r="A21" s="9" t="n">
        <v>46174</v>
      </c>
      <c r="B21" s="1" t="inlineStr">
        <is>
          <t>SJCN27</t>
        </is>
      </c>
      <c r="C21" t="n">
        <v>26.7692</v>
      </c>
    </row>
    <row r="22">
      <c r="A22" s="9" t="n">
        <v>46175</v>
      </c>
      <c r="B22" s="1" t="inlineStr">
        <is>
          <t>SJCN27</t>
        </is>
      </c>
      <c r="C22" t="n">
        <v>26.6204</v>
      </c>
    </row>
    <row r="23">
      <c r="A23" s="9" t="n">
        <v>46176</v>
      </c>
      <c r="B23" s="1" t="inlineStr">
        <is>
          <t>SJCN27</t>
        </is>
      </c>
      <c r="C23" t="n">
        <v>26.4385</v>
      </c>
    </row>
    <row r="24">
      <c r="A24" s="9" t="n">
        <v>46178</v>
      </c>
      <c r="B24" s="1" t="inlineStr">
        <is>
          <t>SJCN27</t>
        </is>
      </c>
      <c r="C24" t="n">
        <v>25.8708</v>
      </c>
    </row>
    <row r="25">
      <c r="A25" s="9" t="n">
        <v>46181</v>
      </c>
      <c r="B25" s="1" t="inlineStr">
        <is>
          <t>SJCN27</t>
        </is>
      </c>
      <c r="C25" t="n">
        <v>25.8157</v>
      </c>
    </row>
    <row r="26">
      <c r="A26" s="9" t="n">
        <v>46182</v>
      </c>
      <c r="B26" s="1" t="inlineStr">
        <is>
          <t>SJCN27</t>
        </is>
      </c>
      <c r="C26" t="n">
        <v>25.7275</v>
      </c>
    </row>
    <row r="27">
      <c r="A27" s="9" t="n">
        <v>46183</v>
      </c>
      <c r="B27" s="1" t="inlineStr">
        <is>
          <t>SJCN27</t>
        </is>
      </c>
      <c r="C27" t="n">
        <v>25.8377</v>
      </c>
    </row>
    <row r="28">
      <c r="A28" s="9" t="n">
        <v>46184</v>
      </c>
      <c r="B28" s="1" t="inlineStr">
        <is>
          <t>SJCN27</t>
        </is>
      </c>
      <c r="C28" t="n">
        <v>25.8047</v>
      </c>
    </row>
    <row r="29">
      <c r="A29" s="9" t="n">
        <v>46185</v>
      </c>
      <c r="B29" s="1" t="inlineStr">
        <is>
          <t>SJCN27</t>
        </is>
      </c>
      <c r="C29" t="n">
        <v>25.7937</v>
      </c>
    </row>
    <row r="30">
      <c r="A30" s="9" t="n">
        <v>46188</v>
      </c>
      <c r="B30" s="1" t="inlineStr">
        <is>
          <t>SJCN27</t>
        </is>
      </c>
      <c r="C30" t="n">
        <v>25.8598</v>
      </c>
    </row>
    <row r="31">
      <c r="A31" s="9" t="n">
        <v>46189</v>
      </c>
      <c r="B31" s="1" t="inlineStr">
        <is>
          <t>SJCN27</t>
        </is>
      </c>
      <c r="C31" t="n">
        <v>26.0527</v>
      </c>
    </row>
    <row r="32">
      <c r="A32" s="9" t="n">
        <v>46190</v>
      </c>
      <c r="B32" s="1" t="inlineStr">
        <is>
          <t>SJCN27</t>
        </is>
      </c>
      <c r="C32" t="n">
        <v>26.1078</v>
      </c>
    </row>
    <row r="33">
      <c r="A33" s="9" t="n">
        <v>46191</v>
      </c>
      <c r="B33" s="1" t="inlineStr">
        <is>
          <t>SJCN27</t>
        </is>
      </c>
      <c r="C33" t="n">
        <v>25.9535</v>
      </c>
    </row>
    <row r="34">
      <c r="A34" s="9" t="n">
        <v>46192</v>
      </c>
      <c r="B34" s="1" t="inlineStr">
        <is>
          <t>SJCN27</t>
        </is>
      </c>
      <c r="C34" t="n">
        <v>25.9535</v>
      </c>
    </row>
    <row r="35">
      <c r="A35" s="9" t="n">
        <v>46195</v>
      </c>
      <c r="B35" s="1" t="inlineStr">
        <is>
          <t>SJCN27</t>
        </is>
      </c>
      <c r="C35" t="n">
        <v>25.97</v>
      </c>
    </row>
    <row r="36">
      <c r="A36" s="9" t="n">
        <v>46196</v>
      </c>
      <c r="B36" s="1" t="inlineStr">
        <is>
          <t>SJCN27</t>
        </is>
      </c>
      <c r="C36" t="n">
        <v>25.9425</v>
      </c>
    </row>
    <row r="37">
      <c r="A37" s="9" t="n">
        <v>46197</v>
      </c>
      <c r="B37" s="1">
        <f>B36</f>
        <v/>
      </c>
      <c r="C37" t="n">
        <v>25.7606</v>
      </c>
    </row>
    <row r="38">
      <c r="A38" s="9" t="n">
        <v>46198</v>
      </c>
      <c r="B38" s="1">
        <f>B37</f>
        <v/>
      </c>
      <c r="C38" t="n">
        <v>26.1795</v>
      </c>
    </row>
    <row r="39">
      <c r="A39" s="9" t="n">
        <v>46199</v>
      </c>
      <c r="B39" s="1">
        <f>B38</f>
        <v/>
      </c>
      <c r="C39" t="n">
        <v>26.1574</v>
      </c>
    </row>
    <row r="40">
      <c r="A40" s="9" t="n">
        <v>46202</v>
      </c>
      <c r="B40" s="1">
        <f>B39</f>
        <v/>
      </c>
      <c r="C40" t="n">
        <v>25.8488</v>
      </c>
    </row>
    <row r="41">
      <c r="A41" s="9" t="n">
        <v>46203</v>
      </c>
      <c r="B41" s="1">
        <f>B40</f>
        <v/>
      </c>
      <c r="C41" t="n">
        <v>26.0527</v>
      </c>
    </row>
    <row r="42">
      <c r="A42" s="9" t="n">
        <v>46204</v>
      </c>
      <c r="B42" s="1">
        <f>B41</f>
        <v/>
      </c>
      <c r="C42" t="n">
        <v>26.1299</v>
      </c>
    </row>
    <row r="43">
      <c r="A43" s="9" t="n">
        <v>46205</v>
      </c>
      <c r="B43" s="1">
        <f>B42</f>
        <v/>
      </c>
      <c r="C43" t="n">
        <v>26.0472</v>
      </c>
    </row>
    <row r="44">
      <c r="A44" s="9" t="n">
        <v>46206</v>
      </c>
      <c r="B44" s="1">
        <f>B43</f>
        <v/>
      </c>
      <c r="C44" t="n">
        <v>26.0472</v>
      </c>
    </row>
    <row r="45">
      <c r="A45" s="9" t="n">
        <v>46209</v>
      </c>
      <c r="B45" s="1">
        <f>B44</f>
        <v/>
      </c>
      <c r="C45" t="n">
        <v>26.8188</v>
      </c>
    </row>
    <row r="46">
      <c r="A46" s="9" t="n">
        <v>46210</v>
      </c>
      <c r="B46" s="1">
        <f>B45</f>
        <v/>
      </c>
      <c r="C46" t="n">
        <v>26.929</v>
      </c>
    </row>
    <row r="47">
      <c r="A47" s="9" t="n">
        <v>46211</v>
      </c>
      <c r="B47" s="1">
        <f>B46</f>
        <v/>
      </c>
      <c r="C47" t="n">
        <v>26.8353</v>
      </c>
    </row>
    <row r="48">
      <c r="A48" s="9" t="n">
        <v>46212</v>
      </c>
      <c r="B48" s="1">
        <f>B47</f>
        <v/>
      </c>
      <c r="C48" t="n">
        <v>26.7251</v>
      </c>
    </row>
    <row r="49">
      <c r="A49" s="9" t="n">
        <v>46213</v>
      </c>
      <c r="B49" s="1">
        <f>B48</f>
        <v/>
      </c>
      <c r="C49" t="n">
        <v>26.8629</v>
      </c>
    </row>
    <row r="50">
      <c r="A50" s="9" t="n">
        <v>46216</v>
      </c>
      <c r="B50" s="1">
        <f>B49</f>
        <v/>
      </c>
      <c r="C50" t="n">
        <v>26.9566</v>
      </c>
    </row>
    <row r="51">
      <c r="A51" s="9" t="n">
        <v>46217</v>
      </c>
      <c r="B51" s="1">
        <f>B50</f>
        <v/>
      </c>
      <c r="C51" t="n">
        <v>26.907</v>
      </c>
    </row>
    <row r="52">
      <c r="A52" s="9">
        <f>IF('S.H BOI GORDO'!A7180="","  ",'S.H BOI GORDO'!A7180)</f>
        <v/>
      </c>
      <c r="B52" s="1">
        <f>B51</f>
        <v/>
      </c>
    </row>
    <row r="53">
      <c r="A53" s="9">
        <f>IF('S.H BOI GORDO'!A7181="","  ",'S.H BOI GORDO'!A7181)</f>
        <v/>
      </c>
      <c r="B53" s="1">
        <f>B52</f>
        <v/>
      </c>
    </row>
    <row r="54">
      <c r="A54" s="9">
        <f>IF('S.H BOI GORDO'!A7182="","  ",'S.H BOI GORDO'!A7182)</f>
        <v/>
      </c>
      <c r="B54" s="1">
        <f>B53</f>
        <v/>
      </c>
    </row>
    <row r="55">
      <c r="A55" s="9">
        <f>IF('S.H BOI GORDO'!A7183="","  ",'S.H BOI GORDO'!A7183)</f>
        <v/>
      </c>
      <c r="B55" s="1">
        <f>B54</f>
        <v/>
      </c>
    </row>
    <row r="56">
      <c r="A56" s="2">
        <f>IF('S.H BOI GORDO'!A7184="","  ",'S.H BOI GORDO'!A7184)</f>
        <v/>
      </c>
      <c r="B56" s="1">
        <f>B55</f>
        <v/>
      </c>
    </row>
    <row r="57">
      <c r="A57" s="2">
        <f>IF('S.H BOI GORDO'!A7185="","  ",'S.H BOI GORDO'!A7185)</f>
        <v/>
      </c>
      <c r="B57" s="1">
        <f>B56</f>
        <v/>
      </c>
    </row>
    <row r="58">
      <c r="A58" s="2">
        <f>IF('S.H BOI GORDO'!A7186="","  ",'S.H BOI GORDO'!A7186)</f>
        <v/>
      </c>
      <c r="B58" s="1">
        <f>B57</f>
        <v/>
      </c>
    </row>
    <row r="59">
      <c r="A59" s="2">
        <f>IF('S.H BOI GORDO'!A7187="","  ",'S.H BOI GORDO'!A7187)</f>
        <v/>
      </c>
      <c r="B59" s="1">
        <f>B58</f>
        <v/>
      </c>
    </row>
    <row r="60">
      <c r="A60" s="2">
        <f>IF('S.H BOI GORDO'!A7188="","  ",'S.H BOI GORDO'!A7188)</f>
        <v/>
      </c>
      <c r="B60" s="1">
        <f>B59</f>
        <v/>
      </c>
    </row>
    <row r="61">
      <c r="A61" s="2">
        <f>IF('S.H BOI GORDO'!A7189="","  ",'S.H BOI GORDO'!A7189)</f>
        <v/>
      </c>
      <c r="B61" s="1">
        <f>B60</f>
        <v/>
      </c>
    </row>
    <row r="62">
      <c r="A62" s="2">
        <f>IF('S.H BOI GORDO'!A7190="","  ",'S.H BOI GORDO'!A7190)</f>
        <v/>
      </c>
      <c r="B62" s="1">
        <f>B61</f>
        <v/>
      </c>
    </row>
    <row r="63">
      <c r="A63" s="2">
        <f>IF('S.H BOI GORDO'!A7191="","  ",'S.H BOI GORDO'!A7191)</f>
        <v/>
      </c>
      <c r="B63" s="1">
        <f>B62</f>
        <v/>
      </c>
    </row>
    <row r="64">
      <c r="A64" s="2">
        <f>IF('S.H BOI GORDO'!A7192="","  ",'S.H BOI GORDO'!A7192)</f>
        <v/>
      </c>
      <c r="B64" s="1">
        <f>B63</f>
        <v/>
      </c>
    </row>
    <row r="65">
      <c r="A65" s="2">
        <f>IF('S.H BOI GORDO'!A7193="","  ",'S.H BOI GORDO'!A7193)</f>
        <v/>
      </c>
      <c r="B65" s="1">
        <f>B64</f>
        <v/>
      </c>
    </row>
    <row r="66">
      <c r="A66" s="2">
        <f>IF('S.H BOI GORDO'!A7194="","  ",'S.H BOI GORDO'!A7194)</f>
        <v/>
      </c>
      <c r="B66" s="1">
        <f>B65</f>
        <v/>
      </c>
    </row>
    <row r="67">
      <c r="A67" s="2">
        <f>IF('S.H BOI GORDO'!A7195="","  ",'S.H BOI GORDO'!A7195)</f>
        <v/>
      </c>
      <c r="B67" s="1">
        <f>B66</f>
        <v/>
      </c>
    </row>
    <row r="68">
      <c r="A68" s="2">
        <f>IF('S.H BOI GORDO'!A7196="","  ",'S.H BOI GORDO'!A7196)</f>
        <v/>
      </c>
      <c r="B68" s="1">
        <f>B67</f>
        <v/>
      </c>
    </row>
    <row r="69">
      <c r="A69" s="2">
        <f>IF('S.H BOI GORDO'!A7197="","  ",'S.H BOI GORDO'!A7197)</f>
        <v/>
      </c>
      <c r="B69" s="1">
        <f>B68</f>
        <v/>
      </c>
    </row>
    <row r="70">
      <c r="A70" s="2">
        <f>IF('S.H BOI GORDO'!A7198="","  ",'S.H BOI GORDO'!A7198)</f>
        <v/>
      </c>
      <c r="B70" s="1">
        <f>B69</f>
        <v/>
      </c>
    </row>
    <row r="71">
      <c r="A71" s="2">
        <f>IF('S.H BOI GORDO'!A7199="","  ",'S.H BOI GORDO'!A7199)</f>
        <v/>
      </c>
      <c r="B71" s="1">
        <f>B70</f>
        <v/>
      </c>
    </row>
    <row r="72">
      <c r="A72" s="2">
        <f>IF('S.H BOI GORDO'!A7200="","  ",'S.H BOI GORDO'!A7200)</f>
        <v/>
      </c>
      <c r="B72" s="1">
        <f>B71</f>
        <v/>
      </c>
    </row>
    <row r="73">
      <c r="A73" s="2">
        <f>IF('S.H BOI GORDO'!A7201="","  ",'S.H BOI GORDO'!A7201)</f>
        <v/>
      </c>
      <c r="B73" s="1">
        <f>B72</f>
        <v/>
      </c>
    </row>
    <row r="74">
      <c r="A74" s="2">
        <f>IF('S.H BOI GORDO'!A7202="","  ",'S.H BOI GORDO'!A7202)</f>
        <v/>
      </c>
      <c r="B74" s="1">
        <f>B73</f>
        <v/>
      </c>
    </row>
    <row r="75">
      <c r="A75" s="2">
        <f>IF('S.H BOI GORDO'!A7203="","  ",'S.H BOI GORDO'!A7203)</f>
        <v/>
      </c>
      <c r="B75" s="1">
        <f>B74</f>
        <v/>
      </c>
    </row>
    <row r="76">
      <c r="A76" s="2">
        <f>IF('S.H BOI GORDO'!A7204="","  ",'S.H BOI GORDO'!A7204)</f>
        <v/>
      </c>
      <c r="B76" s="1">
        <f>B75</f>
        <v/>
      </c>
    </row>
    <row r="77">
      <c r="A77" s="2">
        <f>IF('S.H BOI GORDO'!A7205="","  ",'S.H BOI GORDO'!A7205)</f>
        <v/>
      </c>
      <c r="B77" s="1">
        <f>B76</f>
        <v/>
      </c>
    </row>
    <row r="78">
      <c r="A78" s="2">
        <f>IF('S.H BOI GORDO'!A7206="","  ",'S.H BOI GORDO'!A7206)</f>
        <v/>
      </c>
      <c r="B78" s="1">
        <f>B77</f>
        <v/>
      </c>
    </row>
    <row r="79">
      <c r="A79" s="2">
        <f>IF('S.H BOI GORDO'!A7207="","  ",'S.H BOI GORDO'!A7207)</f>
        <v/>
      </c>
      <c r="B79" s="1">
        <f>B78</f>
        <v/>
      </c>
    </row>
    <row r="80">
      <c r="A80" s="2">
        <f>IF('S.H BOI GORDO'!A7208="","  ",'S.H BOI GORDO'!A7208)</f>
        <v/>
      </c>
      <c r="B80" s="1">
        <f>B90</f>
        <v/>
      </c>
    </row>
    <row r="81">
      <c r="A81" s="2">
        <f>IF('S.H BOI GORDO'!A7209="","  ",'S.H BOI GORDO'!A7209)</f>
        <v/>
      </c>
      <c r="B81" s="1">
        <f>B91</f>
        <v/>
      </c>
    </row>
    <row r="82">
      <c r="A82" s="2">
        <f>IF('S.H BOI GORDO'!A7210="","  ",'S.H BOI GORDO'!A7210)</f>
        <v/>
      </c>
      <c r="B82" s="1">
        <f>B92</f>
        <v/>
      </c>
    </row>
    <row r="83">
      <c r="A83" s="2">
        <f>IF('S.H BOI GORDO'!A7211="","  ",'S.H BOI GORDO'!A7211)</f>
        <v/>
      </c>
      <c r="B83" s="1">
        <f>B93</f>
        <v/>
      </c>
    </row>
    <row r="84">
      <c r="A84" s="2">
        <f>IF('S.H BOI GORDO'!A7212="","  ",'S.H BOI GORDO'!A7212)</f>
        <v/>
      </c>
      <c r="B84" s="1">
        <f>B94</f>
        <v/>
      </c>
    </row>
    <row r="85">
      <c r="A85" s="2">
        <f>IF('S.H BOI GORDO'!A7213="","  ",'S.H BOI GORDO'!A7213)</f>
        <v/>
      </c>
      <c r="B85" s="1">
        <f>B95</f>
        <v/>
      </c>
    </row>
    <row r="86">
      <c r="A86" s="2">
        <f>IF('S.H BOI GORDO'!A7214="","  ",'S.H BOI GORDO'!A7214)</f>
        <v/>
      </c>
      <c r="B86" s="1">
        <f>B96</f>
        <v/>
      </c>
    </row>
    <row r="87">
      <c r="A87" s="2">
        <f>IF('S.H BOI GORDO'!A7215="","  ",'S.H BOI GORDO'!A7215)</f>
        <v/>
      </c>
      <c r="B87" s="1">
        <f>B97</f>
        <v/>
      </c>
    </row>
    <row r="88">
      <c r="A88" s="2">
        <f>IF('S.H BOI GORDO'!A7216="","  ",'S.H BOI GORDO'!A7216)</f>
        <v/>
      </c>
      <c r="B88" s="1">
        <f>B98</f>
        <v/>
      </c>
    </row>
    <row r="89">
      <c r="A89" s="2">
        <f>IF('S.H BOI GORDO'!A7217="","  ",'S.H BOI GORDO'!A7217)</f>
        <v/>
      </c>
      <c r="B89" s="1">
        <f>B99</f>
        <v/>
      </c>
    </row>
    <row r="90">
      <c r="A90" s="2">
        <f>IF('S.H BOI GORDO'!A7218="","  ",'S.H BOI GORDO'!A7218)</f>
        <v/>
      </c>
      <c r="B90" s="1">
        <f>B100</f>
        <v/>
      </c>
    </row>
    <row r="91">
      <c r="A91" s="2">
        <f>IF('S.H BOI GORDO'!A7219="","  ",'S.H BOI GORDO'!A7219)</f>
        <v/>
      </c>
      <c r="B91" s="1">
        <f>B101</f>
        <v/>
      </c>
    </row>
    <row r="92">
      <c r="A92" s="2">
        <f>IF('S.H BOI GORDO'!A7220="","  ",'S.H BOI GORDO'!A7220)</f>
        <v/>
      </c>
      <c r="B92" s="1">
        <f>B102</f>
        <v/>
      </c>
    </row>
    <row r="93">
      <c r="A93" s="2">
        <f>IF('S.H BOI GORDO'!A7221="","  ",'S.H BOI GORDO'!A7221)</f>
        <v/>
      </c>
      <c r="B93" s="1">
        <f>B103</f>
        <v/>
      </c>
    </row>
    <row r="94">
      <c r="A94" s="2">
        <f>IF('S.H BOI GORDO'!A7222="","  ",'S.H BOI GORDO'!A7222)</f>
        <v/>
      </c>
      <c r="B94" s="1">
        <f>B104</f>
        <v/>
      </c>
    </row>
    <row r="95">
      <c r="A95" s="2">
        <f>IF('S.H BOI GORDO'!A7223="","  ",'S.H BOI GORDO'!A7223)</f>
        <v/>
      </c>
      <c r="B95" s="1">
        <f>B105</f>
        <v/>
      </c>
    </row>
    <row r="96">
      <c r="A96" s="2">
        <f>IF('S.H BOI GORDO'!A7224="","  ",'S.H BOI GORDO'!A7224)</f>
        <v/>
      </c>
      <c r="B96" s="1">
        <f>B106</f>
        <v/>
      </c>
    </row>
    <row r="97">
      <c r="A97" s="2">
        <f>IF('S.H BOI GORDO'!A7225="","  ",'S.H BOI GORDO'!A7225)</f>
        <v/>
      </c>
      <c r="B97" s="1">
        <f>B107</f>
        <v/>
      </c>
    </row>
    <row r="98">
      <c r="A98" s="2">
        <f>IF('S.H BOI GORDO'!A7226="","  ",'S.H BOI GORDO'!A7226)</f>
        <v/>
      </c>
      <c r="B98" s="1">
        <f>B108</f>
        <v/>
      </c>
    </row>
    <row r="99">
      <c r="A99" s="2">
        <f>IF('S.H BOI GORDO'!A7227="","  ",'S.H BOI GORDO'!A7227)</f>
        <v/>
      </c>
      <c r="B99" s="1">
        <f>B109</f>
        <v/>
      </c>
    </row>
    <row r="100">
      <c r="A100" s="2">
        <f>IF('S.H BOI GORDO'!A7228="","  ",'S.H BOI GORDO'!A7228)</f>
        <v/>
      </c>
      <c r="B100" s="1">
        <f>B110</f>
        <v/>
      </c>
    </row>
    <row r="101">
      <c r="A101" s="2">
        <f>IF('S.H BOI GORDO'!A7229="","  ",'S.H BOI GORDO'!A7229)</f>
        <v/>
      </c>
      <c r="B101" s="1">
        <f>B111</f>
        <v/>
      </c>
    </row>
    <row r="102">
      <c r="A102" s="2">
        <f>IF('S.H BOI GORDO'!A7230="","  ",'S.H BOI GORDO'!A7230)</f>
        <v/>
      </c>
      <c r="B102" s="1">
        <f>B112</f>
        <v/>
      </c>
    </row>
    <row r="103">
      <c r="A103" s="2">
        <f>IF('S.H BOI GORDO'!A7231="","  ",'S.H BOI GORDO'!A7231)</f>
        <v/>
      </c>
      <c r="B103" s="1">
        <f>B113</f>
        <v/>
      </c>
    </row>
    <row r="104">
      <c r="A104" s="2">
        <f>IF('S.H BOI GORDO'!A7232="","  ",'S.H BOI GORDO'!A7232)</f>
        <v/>
      </c>
      <c r="B104" s="1">
        <f>B114</f>
        <v/>
      </c>
    </row>
    <row r="105">
      <c r="A105" s="2">
        <f>IF('S.H BOI GORDO'!A7233="","  ",'S.H BOI GORDO'!A7233)</f>
        <v/>
      </c>
      <c r="B105" s="1">
        <f>B115</f>
        <v/>
      </c>
    </row>
    <row r="106">
      <c r="A106" s="2">
        <f>IF('S.H BOI GORDO'!A7234="","  ",'S.H BOI GORDO'!A7234)</f>
        <v/>
      </c>
      <c r="B106" s="1">
        <f>B116</f>
        <v/>
      </c>
    </row>
    <row r="107">
      <c r="A107" s="2">
        <f>IF('S.H BOI GORDO'!A7235="","  ",'S.H BOI GORDO'!A7235)</f>
        <v/>
      </c>
      <c r="B107" s="1">
        <f>B117</f>
        <v/>
      </c>
    </row>
    <row r="108">
      <c r="A108" s="2">
        <f>IF('S.H BOI GORDO'!A7236="","  ",'S.H BOI GORDO'!A7236)</f>
        <v/>
      </c>
      <c r="B108" s="1">
        <f>B118</f>
        <v/>
      </c>
    </row>
    <row r="109">
      <c r="A109" s="2">
        <f>IF('S.H BOI GORDO'!A7237="","  ",'S.H BOI GORDO'!A7237)</f>
        <v/>
      </c>
      <c r="B109" s="1">
        <f>B119</f>
        <v/>
      </c>
    </row>
    <row r="110">
      <c r="A110" s="2">
        <f>IF('S.H BOI GORDO'!A7238="","  ",'S.H BOI GORDO'!A7238)</f>
        <v/>
      </c>
      <c r="B110" s="1">
        <f>B120</f>
        <v/>
      </c>
    </row>
    <row r="111">
      <c r="A111" s="2">
        <f>IF('S.H BOI GORDO'!A7239="","  ",'S.H BOI GORDO'!A7239)</f>
        <v/>
      </c>
      <c r="B111" s="1">
        <f>B121</f>
        <v/>
      </c>
    </row>
    <row r="112">
      <c r="A112" s="2">
        <f>IF('S.H BOI GORDO'!A7240="","  ",'S.H BOI GORDO'!A7240)</f>
        <v/>
      </c>
      <c r="B112" s="1">
        <f>B122</f>
        <v/>
      </c>
    </row>
    <row r="113">
      <c r="A113" s="2">
        <f>IF('S.H BOI GORDO'!A7241="","  ",'S.H BOI GORDO'!A7241)</f>
        <v/>
      </c>
      <c r="B113" s="1">
        <f>B123</f>
        <v/>
      </c>
    </row>
    <row r="114">
      <c r="A114" s="2">
        <f>IF('S.H BOI GORDO'!A7242="","  ",'S.H BOI GORDO'!A7242)</f>
        <v/>
      </c>
      <c r="B114" s="1">
        <f>B124</f>
        <v/>
      </c>
    </row>
    <row r="115">
      <c r="A115" s="2">
        <f>IF('S.H BOI GORDO'!A7243="","  ",'S.H BOI GORDO'!A7243)</f>
        <v/>
      </c>
      <c r="B115" s="1">
        <f>B125</f>
        <v/>
      </c>
    </row>
    <row r="116">
      <c r="A116" s="2">
        <f>IF('S.H BOI GORDO'!A7244="","  ",'S.H BOI GORDO'!A7244)</f>
        <v/>
      </c>
      <c r="B116" s="1">
        <f>B126</f>
        <v/>
      </c>
    </row>
    <row r="117">
      <c r="A117" s="2">
        <f>IF('S.H BOI GORDO'!A7245="","  ",'S.H BOI GORDO'!A7245)</f>
        <v/>
      </c>
      <c r="B117" s="1">
        <f>B127</f>
        <v/>
      </c>
    </row>
    <row r="118">
      <c r="A118" s="2">
        <f>IF('S.H BOI GORDO'!A7246="","  ",'S.H BOI GORDO'!A7246)</f>
        <v/>
      </c>
      <c r="B118" s="1">
        <f>B128</f>
        <v/>
      </c>
    </row>
    <row r="119">
      <c r="A119" s="2">
        <f>IF('S.H BOI GORDO'!A7247="","  ",'S.H BOI GORDO'!A7247)</f>
        <v/>
      </c>
      <c r="B119" s="1">
        <f>B129</f>
        <v/>
      </c>
    </row>
    <row r="120">
      <c r="A120" s="2">
        <f>IF('S.H BOI GORDO'!A7248="","  ",'S.H BOI GORDO'!A7248)</f>
        <v/>
      </c>
      <c r="B120" s="1">
        <f>B130</f>
        <v/>
      </c>
    </row>
    <row r="121">
      <c r="A121" s="2">
        <f>IF('S.H BOI GORDO'!A7249="","  ",'S.H BOI GORDO'!A7249)</f>
        <v/>
      </c>
      <c r="B121" s="1">
        <f>B131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1.xml><?xml version="1.0" encoding="utf-8"?>
<worksheet xmlns="http://schemas.openxmlformats.org/spreadsheetml/2006/main">
  <sheetPr codeName="Planilha61">
    <outlinePr summaryBelow="1" summaryRight="1"/>
    <pageSetUpPr/>
  </sheetPr>
  <dimension ref="A1:C168"/>
  <sheetViews>
    <sheetView workbookViewId="0">
      <selection activeCell="E15" sqref="E15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DOLN26</t>
        </is>
      </c>
      <c r="C2" t="n">
        <v>5085.202</v>
      </c>
    </row>
    <row r="3">
      <c r="A3" s="9" t="n">
        <v>46189</v>
      </c>
      <c r="B3" s="1" t="inlineStr">
        <is>
          <t>DOLN26</t>
        </is>
      </c>
      <c r="C3" t="n">
        <v>5108.106</v>
      </c>
    </row>
    <row r="4">
      <c r="A4" s="9" t="n">
        <v>46190</v>
      </c>
      <c r="B4" s="1" t="inlineStr">
        <is>
          <t>DOLN26</t>
        </is>
      </c>
      <c r="C4" t="n">
        <v>5093.875</v>
      </c>
    </row>
    <row r="5">
      <c r="A5" s="9" t="n">
        <v>46191</v>
      </c>
      <c r="B5" s="1" t="inlineStr">
        <is>
          <t>DOLN26</t>
        </is>
      </c>
      <c r="C5" t="n">
        <v>5182.666</v>
      </c>
    </row>
    <row r="6">
      <c r="A6" s="9" t="n">
        <v>46192</v>
      </c>
      <c r="B6" s="1" t="inlineStr">
        <is>
          <t>DOLN26</t>
        </is>
      </c>
      <c r="C6" t="n">
        <v>5153.932</v>
      </c>
    </row>
    <row r="7">
      <c r="A7" s="9" t="n">
        <v>46195</v>
      </c>
      <c r="B7" s="1" t="inlineStr">
        <is>
          <t>DOLN26</t>
        </is>
      </c>
      <c r="C7" t="n">
        <v>5151.906</v>
      </c>
    </row>
    <row r="8">
      <c r="A8" s="9" t="n">
        <v>46196</v>
      </c>
      <c r="B8" s="1" t="inlineStr">
        <is>
          <t>DOLN26</t>
        </is>
      </c>
      <c r="C8" t="n">
        <v>5198.964</v>
      </c>
    </row>
    <row r="9">
      <c r="A9" s="9" t="n">
        <v>46197</v>
      </c>
      <c r="B9" s="1" t="inlineStr">
        <is>
          <t>DOLN26</t>
        </is>
      </c>
      <c r="C9" t="n">
        <v>5205.481</v>
      </c>
    </row>
    <row r="10">
      <c r="A10" s="9" t="n">
        <v>46198</v>
      </c>
      <c r="B10" s="1" t="inlineStr">
        <is>
          <t>DOLN26</t>
        </is>
      </c>
      <c r="C10" t="n">
        <v>5186.056</v>
      </c>
    </row>
    <row r="11">
      <c r="A11" s="9" t="n">
        <v>46199</v>
      </c>
      <c r="B11" s="1" t="inlineStr">
        <is>
          <t>DOLN26</t>
        </is>
      </c>
      <c r="C11" t="n">
        <v>5173.697</v>
      </c>
    </row>
    <row r="12">
      <c r="A12" s="9" t="n">
        <v>46202</v>
      </c>
      <c r="B12" s="1" t="inlineStr">
        <is>
          <t>DOLN26</t>
        </is>
      </c>
      <c r="C12" t="n">
        <v>5167.663</v>
      </c>
    </row>
    <row r="13">
      <c r="A13" s="9" t="n">
        <v>46203</v>
      </c>
      <c r="B13" s="1" t="inlineStr">
        <is>
          <t>DOLN26</t>
        </is>
      </c>
      <c r="C13" t="n">
        <v>5176.6</v>
      </c>
    </row>
    <row r="14">
      <c r="A14" s="9" t="n">
        <v>46204</v>
      </c>
      <c r="B14" s="1" t="inlineStr">
        <is>
          <t>DOLN26</t>
        </is>
      </c>
      <c r="C14" t="n">
        <v>5176.6</v>
      </c>
    </row>
    <row r="15">
      <c r="A15" s="9" t="n"/>
      <c r="B15" s="1" t="inlineStr">
        <is>
          <t>DOLN26</t>
        </is>
      </c>
    </row>
    <row r="16">
      <c r="A16" s="9" t="n"/>
      <c r="B16" s="1" t="inlineStr">
        <is>
          <t>DOLN26</t>
        </is>
      </c>
    </row>
    <row r="17">
      <c r="A17" s="9" t="n"/>
      <c r="B17" s="1" t="inlineStr">
        <is>
          <t>DOLN26</t>
        </is>
      </c>
    </row>
    <row r="18">
      <c r="A18" s="9" t="n"/>
      <c r="B18" s="1" t="inlineStr">
        <is>
          <t>DOLN26</t>
        </is>
      </c>
    </row>
    <row r="19">
      <c r="A19" s="9" t="n"/>
      <c r="B19" s="1" t="inlineStr">
        <is>
          <t>DOLN26</t>
        </is>
      </c>
    </row>
    <row r="20">
      <c r="A20" s="9" t="n"/>
      <c r="B20" s="1" t="inlineStr">
        <is>
          <t>DOLN26</t>
        </is>
      </c>
    </row>
    <row r="21">
      <c r="A21" s="9" t="n"/>
      <c r="B21" s="1" t="inlineStr">
        <is>
          <t>DOLN26</t>
        </is>
      </c>
    </row>
    <row r="22">
      <c r="A22" s="9" t="n"/>
      <c r="B22" s="1" t="inlineStr">
        <is>
          <t>DOLN26</t>
        </is>
      </c>
    </row>
    <row r="23">
      <c r="A23" s="9" t="n"/>
      <c r="B23" s="1" t="inlineStr">
        <is>
          <t>DOLN26</t>
        </is>
      </c>
    </row>
    <row r="24">
      <c r="A24" s="9" t="n"/>
      <c r="B24" s="1" t="inlineStr">
        <is>
          <t>DOLN26</t>
        </is>
      </c>
    </row>
    <row r="25">
      <c r="A25" s="9" t="n"/>
      <c r="B25" s="1" t="inlineStr">
        <is>
          <t>DOLN26</t>
        </is>
      </c>
    </row>
    <row r="26">
      <c r="A26" s="9" t="n"/>
      <c r="B26" s="1" t="inlineStr">
        <is>
          <t>DOLN26</t>
        </is>
      </c>
    </row>
    <row r="27">
      <c r="A27" s="9" t="n"/>
      <c r="B27" s="1" t="inlineStr">
        <is>
          <t>DOLN26</t>
        </is>
      </c>
    </row>
    <row r="28">
      <c r="A28" s="9" t="n"/>
      <c r="B28" s="1" t="inlineStr">
        <is>
          <t>DOLN26</t>
        </is>
      </c>
    </row>
    <row r="29">
      <c r="A29" s="9" t="n"/>
      <c r="B29" s="1" t="inlineStr">
        <is>
          <t>DOLN26</t>
        </is>
      </c>
    </row>
    <row r="30">
      <c r="A30" s="9" t="n"/>
      <c r="B30" s="1" t="inlineStr">
        <is>
          <t>DOLN26</t>
        </is>
      </c>
    </row>
    <row r="31">
      <c r="A31" s="9" t="n"/>
      <c r="B31" s="1" t="inlineStr">
        <is>
          <t>DOLN26</t>
        </is>
      </c>
    </row>
    <row r="32">
      <c r="A32" s="9" t="n"/>
      <c r="B32" s="1" t="inlineStr">
        <is>
          <t>DOLN26</t>
        </is>
      </c>
    </row>
    <row r="33">
      <c r="A33" s="9" t="n"/>
      <c r="B33" s="1" t="inlineStr">
        <is>
          <t>DOLN26</t>
        </is>
      </c>
    </row>
    <row r="34">
      <c r="A34" s="9" t="n"/>
      <c r="B34" s="1" t="inlineStr">
        <is>
          <t>DOLN26</t>
        </is>
      </c>
    </row>
    <row r="35">
      <c r="A35" s="9" t="n"/>
      <c r="B35" s="1" t="inlineStr">
        <is>
          <t>DOLN26</t>
        </is>
      </c>
    </row>
    <row r="36">
      <c r="A36" s="9" t="n"/>
      <c r="B36" s="1" t="inlineStr">
        <is>
          <t>DOLN26</t>
        </is>
      </c>
    </row>
    <row r="37">
      <c r="A37" s="9" t="n"/>
      <c r="B37" s="1" t="inlineStr">
        <is>
          <t>DOLN26</t>
        </is>
      </c>
    </row>
    <row r="38">
      <c r="A38" s="9" t="n"/>
      <c r="B38" s="1" t="inlineStr">
        <is>
          <t>DOLN26</t>
        </is>
      </c>
    </row>
    <row r="39">
      <c r="A39" s="9" t="n"/>
      <c r="B39" s="1" t="inlineStr">
        <is>
          <t>DOLN26</t>
        </is>
      </c>
    </row>
    <row r="40">
      <c r="A40" s="9" t="n"/>
      <c r="B40" s="1" t="inlineStr">
        <is>
          <t>DOLN26</t>
        </is>
      </c>
    </row>
    <row r="41">
      <c r="A41" s="9" t="n"/>
      <c r="B41" s="1" t="inlineStr">
        <is>
          <t>DOLN26</t>
        </is>
      </c>
    </row>
    <row r="42">
      <c r="A42" s="9" t="n"/>
      <c r="B42" s="1" t="inlineStr">
        <is>
          <t>DOLN26</t>
        </is>
      </c>
    </row>
    <row r="43">
      <c r="A43" s="9" t="n"/>
      <c r="B43" s="1" t="inlineStr">
        <is>
          <t>DOLN26</t>
        </is>
      </c>
    </row>
    <row r="44">
      <c r="A44" s="9" t="n"/>
      <c r="B44" s="1" t="inlineStr">
        <is>
          <t>DOLN26</t>
        </is>
      </c>
    </row>
    <row r="45">
      <c r="A45" s="9" t="n"/>
      <c r="B45" s="1" t="inlineStr">
        <is>
          <t>DOLN26</t>
        </is>
      </c>
    </row>
    <row r="46">
      <c r="A46" s="9" t="n"/>
      <c r="B46" s="1" t="inlineStr">
        <is>
          <t>DOLN26</t>
        </is>
      </c>
    </row>
    <row r="47">
      <c r="A47" s="9" t="n"/>
      <c r="B47" s="1" t="inlineStr">
        <is>
          <t>DOLN26</t>
        </is>
      </c>
    </row>
    <row r="48">
      <c r="A48" s="9" t="n"/>
      <c r="B48" s="1" t="inlineStr">
        <is>
          <t>DOLN26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2.xml><?xml version="1.0" encoding="utf-8"?>
<worksheet xmlns="http://schemas.openxmlformats.org/spreadsheetml/2006/main">
  <sheetPr codeName="Planilha6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DOLQ26</t>
        </is>
      </c>
      <c r="C2" t="n">
        <v>5124.042</v>
      </c>
    </row>
    <row r="3">
      <c r="A3" s="9" t="n">
        <v>46189</v>
      </c>
      <c r="B3" s="1" t="inlineStr">
        <is>
          <t>DOLQ26</t>
        </is>
      </c>
      <c r="C3" t="n">
        <v>5147.17</v>
      </c>
    </row>
    <row r="4">
      <c r="A4" s="9" t="n">
        <v>46190</v>
      </c>
      <c r="B4" s="1" t="inlineStr">
        <is>
          <t>DOLQ26</t>
        </is>
      </c>
      <c r="C4" t="n">
        <v>5132.959</v>
      </c>
    </row>
    <row r="5">
      <c r="A5" s="9" t="n">
        <v>46191</v>
      </c>
      <c r="B5" s="1" t="inlineStr">
        <is>
          <t>DOLQ26</t>
        </is>
      </c>
      <c r="C5" t="n">
        <v>5222.112</v>
      </c>
    </row>
    <row r="6">
      <c r="A6" s="9" t="n">
        <v>46192</v>
      </c>
      <c r="B6" s="1" t="inlineStr">
        <is>
          <t>DOLQ26</t>
        </is>
      </c>
      <c r="C6" t="n">
        <v>5193.057</v>
      </c>
    </row>
    <row r="7">
      <c r="A7" s="9" t="n">
        <v>46195</v>
      </c>
      <c r="B7" s="1" t="inlineStr">
        <is>
          <t>DOLQ26</t>
        </is>
      </c>
      <c r="C7" t="n">
        <v>5191.166</v>
      </c>
    </row>
    <row r="8">
      <c r="A8" s="9" t="n">
        <v>46196</v>
      </c>
      <c r="B8" s="1" t="inlineStr">
        <is>
          <t>DOLQ26</t>
        </is>
      </c>
      <c r="C8" t="n">
        <v>5238.723</v>
      </c>
    </row>
    <row r="9">
      <c r="A9" s="9" t="n">
        <v>46197</v>
      </c>
      <c r="B9" s="1" t="inlineStr">
        <is>
          <t>DOLQ26</t>
        </is>
      </c>
      <c r="C9" t="n">
        <v>5245.236</v>
      </c>
    </row>
    <row r="10">
      <c r="A10" s="9" t="n">
        <v>46198</v>
      </c>
      <c r="B10" s="1" t="inlineStr">
        <is>
          <t>DOLQ26</t>
        </is>
      </c>
      <c r="C10" t="n">
        <v>5225.727</v>
      </c>
    </row>
    <row r="11">
      <c r="A11" s="9" t="n">
        <v>46199</v>
      </c>
      <c r="B11" s="1" t="inlineStr">
        <is>
          <t>DOLQ26</t>
        </is>
      </c>
      <c r="C11" t="n">
        <v>5213.406</v>
      </c>
    </row>
    <row r="12">
      <c r="A12" s="9" t="n">
        <v>46202</v>
      </c>
      <c r="B12" s="1" t="inlineStr">
        <is>
          <t>DOLQ26</t>
        </is>
      </c>
      <c r="C12" t="n">
        <v>5207.431</v>
      </c>
    </row>
    <row r="13">
      <c r="A13" s="9" t="n">
        <v>46203</v>
      </c>
      <c r="B13" s="1" t="inlineStr">
        <is>
          <t>DOLQ26</t>
        </is>
      </c>
      <c r="C13" t="n">
        <v>5208.887</v>
      </c>
    </row>
    <row r="14">
      <c r="A14" s="9" t="n">
        <v>46204</v>
      </c>
      <c r="B14" s="1" t="inlineStr">
        <is>
          <t>DOLQ26</t>
        </is>
      </c>
      <c r="C14" t="n">
        <v>5247.514</v>
      </c>
    </row>
    <row r="15">
      <c r="A15" s="9" t="n">
        <v>46205</v>
      </c>
      <c r="B15" s="1" t="inlineStr">
        <is>
          <t>DOLQ26</t>
        </is>
      </c>
      <c r="C15" t="n">
        <v>5242.544</v>
      </c>
    </row>
    <row r="16">
      <c r="A16" s="9" t="n">
        <v>46206</v>
      </c>
      <c r="B16" s="1" t="inlineStr">
        <is>
          <t>DOLQ26</t>
        </is>
      </c>
      <c r="C16" t="n">
        <v>5204.552</v>
      </c>
    </row>
    <row r="17">
      <c r="A17" s="9" t="n">
        <v>46209</v>
      </c>
      <c r="B17" s="1" t="inlineStr">
        <is>
          <t>DOLQ26</t>
        </is>
      </c>
      <c r="C17" t="n">
        <v>5163.042</v>
      </c>
    </row>
    <row r="18">
      <c r="A18" s="9" t="n">
        <v>46210</v>
      </c>
      <c r="B18" s="1" t="inlineStr">
        <is>
          <t>DOLQ26</t>
        </is>
      </c>
      <c r="C18" t="n">
        <v>5186.434</v>
      </c>
    </row>
    <row r="19">
      <c r="A19" s="9" t="n">
        <v>46211</v>
      </c>
      <c r="B19" s="1" t="inlineStr">
        <is>
          <t>DOLQ26</t>
        </is>
      </c>
      <c r="C19" t="n">
        <v>5175.693</v>
      </c>
    </row>
    <row r="20">
      <c r="A20" s="9" t="n">
        <v>46212</v>
      </c>
      <c r="B20" s="1" t="inlineStr">
        <is>
          <t>DOLQ26</t>
        </is>
      </c>
      <c r="C20" t="n">
        <v>5146.662</v>
      </c>
    </row>
    <row r="21">
      <c r="A21" s="9" t="n">
        <v>46213</v>
      </c>
      <c r="B21" s="1" t="inlineStr">
        <is>
          <t>DOLQ26</t>
        </is>
      </c>
      <c r="C21" t="n">
        <v>5133.325</v>
      </c>
    </row>
    <row r="22">
      <c r="A22" s="9" t="n">
        <v>46216</v>
      </c>
      <c r="B22" s="1" t="inlineStr">
        <is>
          <t>DOLQ26</t>
        </is>
      </c>
      <c r="C22" t="n">
        <v>5155.207</v>
      </c>
    </row>
    <row r="23">
      <c r="A23" s="9" t="n">
        <v>46217</v>
      </c>
      <c r="B23" s="1" t="inlineStr">
        <is>
          <t>DOLQ26</t>
        </is>
      </c>
      <c r="C23" t="n">
        <v>5095.712</v>
      </c>
    </row>
    <row r="24">
      <c r="A24" s="9" t="n"/>
      <c r="B24" s="1" t="inlineStr">
        <is>
          <t>DOLQ26</t>
        </is>
      </c>
    </row>
    <row r="25">
      <c r="A25" s="9" t="n"/>
      <c r="B25" s="1" t="inlineStr">
        <is>
          <t>DOLQ26</t>
        </is>
      </c>
    </row>
    <row r="26">
      <c r="A26" s="9" t="n"/>
      <c r="B26" s="1" t="inlineStr">
        <is>
          <t>DOLQ26</t>
        </is>
      </c>
    </row>
    <row r="27">
      <c r="A27" s="9" t="n"/>
      <c r="B27" s="1" t="inlineStr">
        <is>
          <t>DOLQ26</t>
        </is>
      </c>
    </row>
    <row r="28">
      <c r="A28" s="9" t="n"/>
      <c r="B28" s="1" t="inlineStr">
        <is>
          <t>DOLQ26</t>
        </is>
      </c>
    </row>
    <row r="29">
      <c r="A29" s="9" t="n"/>
      <c r="B29" s="1" t="inlineStr">
        <is>
          <t>DOLQ26</t>
        </is>
      </c>
    </row>
    <row r="30">
      <c r="A30" s="9" t="n"/>
      <c r="B30" s="1" t="inlineStr">
        <is>
          <t>DOLQ26</t>
        </is>
      </c>
    </row>
    <row r="31">
      <c r="A31" s="9" t="n"/>
      <c r="B31" s="1" t="inlineStr">
        <is>
          <t>DOLQ26</t>
        </is>
      </c>
    </row>
    <row r="32">
      <c r="A32" s="9" t="n"/>
      <c r="B32" s="1" t="inlineStr">
        <is>
          <t>DOLQ26</t>
        </is>
      </c>
    </row>
    <row r="33">
      <c r="A33" s="9" t="n"/>
      <c r="B33" s="1" t="inlineStr">
        <is>
          <t>DOLQ26</t>
        </is>
      </c>
    </row>
    <row r="34">
      <c r="A34" s="9" t="n"/>
      <c r="B34" s="1" t="inlineStr">
        <is>
          <t>DOLQ26</t>
        </is>
      </c>
    </row>
    <row r="35">
      <c r="A35" s="9" t="n"/>
      <c r="B35" s="1" t="inlineStr">
        <is>
          <t>DOLQ26</t>
        </is>
      </c>
    </row>
    <row r="36">
      <c r="A36" s="9" t="n"/>
      <c r="B36" s="1" t="inlineStr">
        <is>
          <t>DOLQ26</t>
        </is>
      </c>
    </row>
    <row r="37">
      <c r="A37" s="9" t="n"/>
      <c r="B37" s="1" t="inlineStr">
        <is>
          <t>DOLQ26</t>
        </is>
      </c>
    </row>
    <row r="38">
      <c r="A38" s="9" t="n"/>
      <c r="B38" s="1" t="inlineStr">
        <is>
          <t>DOLQ26</t>
        </is>
      </c>
    </row>
    <row r="39">
      <c r="A39" s="9" t="n"/>
      <c r="B39" s="1" t="inlineStr">
        <is>
          <t>DOLQ26</t>
        </is>
      </c>
    </row>
    <row r="40">
      <c r="A40" s="9" t="n"/>
      <c r="B40" s="1" t="inlineStr">
        <is>
          <t>DOLQ26</t>
        </is>
      </c>
    </row>
    <row r="41">
      <c r="A41" s="9" t="n"/>
      <c r="B41" s="1" t="inlineStr">
        <is>
          <t>DOLQ26</t>
        </is>
      </c>
    </row>
    <row r="42">
      <c r="A42" s="9" t="n"/>
      <c r="B42" s="1" t="inlineStr">
        <is>
          <t>DOLQ26</t>
        </is>
      </c>
    </row>
    <row r="43">
      <c r="A43" s="9" t="n"/>
      <c r="B43" s="1" t="inlineStr">
        <is>
          <t>DOLQ26</t>
        </is>
      </c>
    </row>
    <row r="44">
      <c r="A44" s="9" t="n"/>
      <c r="B44" s="1" t="inlineStr">
        <is>
          <t>DOLQ26</t>
        </is>
      </c>
    </row>
    <row r="45">
      <c r="A45" s="9" t="n"/>
      <c r="B45" s="1" t="inlineStr">
        <is>
          <t>DOLQ26</t>
        </is>
      </c>
    </row>
    <row r="46">
      <c r="A46" s="9" t="n"/>
      <c r="B46" s="1" t="inlineStr">
        <is>
          <t>DOLQ26</t>
        </is>
      </c>
    </row>
    <row r="47">
      <c r="A47" s="9" t="n"/>
      <c r="B47" s="1" t="inlineStr">
        <is>
          <t>DOLQ26</t>
        </is>
      </c>
    </row>
    <row r="48">
      <c r="A48" s="9" t="n"/>
      <c r="B48" s="1" t="inlineStr">
        <is>
          <t>DOLQ26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3.xml><?xml version="1.0" encoding="utf-8"?>
<worksheet xmlns="http://schemas.openxmlformats.org/spreadsheetml/2006/main">
  <sheetPr codeName="Planilha6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DOLU26</t>
        </is>
      </c>
      <c r="C2" t="n">
        <v>5160.561</v>
      </c>
    </row>
    <row r="3">
      <c r="A3" s="9" t="n">
        <v>46189</v>
      </c>
      <c r="B3" s="1" t="inlineStr">
        <is>
          <t>DOLU26</t>
        </is>
      </c>
      <c r="C3" t="n">
        <v>5183.745</v>
      </c>
    </row>
    <row r="4">
      <c r="A4" s="9" t="n">
        <v>46190</v>
      </c>
      <c r="B4" s="1" t="inlineStr">
        <is>
          <t>DOLU26</t>
        </is>
      </c>
      <c r="C4" t="n">
        <v>5169.53</v>
      </c>
    </row>
    <row r="5">
      <c r="A5" s="9" t="n">
        <v>46191</v>
      </c>
      <c r="B5" s="1" t="inlineStr">
        <is>
          <t>DOLU26</t>
        </is>
      </c>
      <c r="C5" t="n">
        <v>5259.052</v>
      </c>
    </row>
    <row r="6">
      <c r="A6" s="9" t="n">
        <v>46192</v>
      </c>
      <c r="B6" s="1" t="inlineStr">
        <is>
          <t>DOLU26</t>
        </is>
      </c>
      <c r="C6" t="n">
        <v>5229.833</v>
      </c>
    </row>
    <row r="7">
      <c r="A7" s="9" t="n">
        <v>46195</v>
      </c>
      <c r="B7" s="1" t="inlineStr">
        <is>
          <t>DOLU26</t>
        </is>
      </c>
      <c r="C7" t="n">
        <v>5227.908</v>
      </c>
    </row>
    <row r="8">
      <c r="A8" s="9" t="n">
        <v>46196</v>
      </c>
      <c r="B8" s="1" t="inlineStr">
        <is>
          <t>DOLU26</t>
        </is>
      </c>
      <c r="C8" t="n">
        <v>5275.573</v>
      </c>
    </row>
    <row r="9">
      <c r="A9" s="9" t="n">
        <v>46197</v>
      </c>
      <c r="B9" s="1" t="inlineStr">
        <is>
          <t>DOLU26</t>
        </is>
      </c>
      <c r="C9" t="n">
        <v>5281.942</v>
      </c>
    </row>
    <row r="10">
      <c r="A10" s="9" t="n">
        <v>46198</v>
      </c>
      <c r="B10" s="1" t="inlineStr">
        <is>
          <t>DOLU26</t>
        </is>
      </c>
      <c r="C10" t="n">
        <v>5262.214</v>
      </c>
    </row>
    <row r="11">
      <c r="A11" s="9" t="n">
        <v>46199</v>
      </c>
      <c r="B11" s="1" t="inlineStr">
        <is>
          <t>DOLU26</t>
        </is>
      </c>
      <c r="C11" t="n">
        <v>5249.722</v>
      </c>
    </row>
    <row r="12">
      <c r="A12" s="9" t="n">
        <v>46202</v>
      </c>
      <c r="B12" s="1" t="inlineStr">
        <is>
          <t>DOLU26</t>
        </is>
      </c>
      <c r="C12" t="n">
        <v>5243.692</v>
      </c>
    </row>
    <row r="13">
      <c r="A13" s="9" t="n">
        <v>46203</v>
      </c>
      <c r="B13" s="1" t="inlineStr">
        <is>
          <t>DOLU26</t>
        </is>
      </c>
      <c r="C13" t="n">
        <v>5245.163</v>
      </c>
    </row>
    <row r="14">
      <c r="A14" s="9" t="n">
        <v>46204</v>
      </c>
      <c r="B14" s="1" t="inlineStr">
        <is>
          <t>DOLU26</t>
        </is>
      </c>
      <c r="C14" t="n">
        <v>5284.083</v>
      </c>
    </row>
    <row r="15">
      <c r="A15" s="9" t="n">
        <v>46205</v>
      </c>
      <c r="B15" s="1" t="inlineStr">
        <is>
          <t>DOLU26</t>
        </is>
      </c>
      <c r="C15" t="n">
        <v>5279.076</v>
      </c>
    </row>
    <row r="16">
      <c r="A16" s="9" t="n">
        <v>46206</v>
      </c>
      <c r="B16" s="1" t="inlineStr">
        <is>
          <t>DOLU26</t>
        </is>
      </c>
      <c r="C16" t="n">
        <v>5240.885</v>
      </c>
    </row>
    <row r="17">
      <c r="A17" s="9" t="n">
        <v>46209</v>
      </c>
      <c r="B17" s="1" t="inlineStr">
        <is>
          <t>DOLU26</t>
        </is>
      </c>
      <c r="C17" t="n">
        <v>5199.14</v>
      </c>
    </row>
    <row r="18">
      <c r="A18" s="9" t="n">
        <v>46210</v>
      </c>
      <c r="B18" s="1" t="inlineStr">
        <is>
          <t>DOLU26</t>
        </is>
      </c>
      <c r="C18" t="n">
        <v>5222.619</v>
      </c>
    </row>
    <row r="19">
      <c r="A19" s="9" t="n">
        <v>46211</v>
      </c>
      <c r="B19" s="1" t="inlineStr">
        <is>
          <t>DOLU26</t>
        </is>
      </c>
      <c r="C19" t="n">
        <v>5211.643</v>
      </c>
    </row>
    <row r="20">
      <c r="A20" s="9" t="n">
        <v>46212</v>
      </c>
      <c r="B20" s="1" t="inlineStr">
        <is>
          <t>DOLU26</t>
        </is>
      </c>
      <c r="C20" t="n">
        <v>5182.439</v>
      </c>
    </row>
    <row r="21">
      <c r="A21" s="9" t="n">
        <v>46213</v>
      </c>
      <c r="B21" s="1" t="inlineStr">
        <is>
          <t>DOLU26</t>
        </is>
      </c>
      <c r="C21" t="n">
        <v>5168.932</v>
      </c>
    </row>
    <row r="22">
      <c r="A22" s="9" t="n">
        <v>46216</v>
      </c>
      <c r="B22" s="1" t="inlineStr">
        <is>
          <t>DOLU26</t>
        </is>
      </c>
      <c r="C22" t="n">
        <v>5190.894</v>
      </c>
    </row>
    <row r="23">
      <c r="A23" s="9" t="n">
        <v>46217</v>
      </c>
      <c r="B23" s="1" t="inlineStr">
        <is>
          <t>DOLU26</t>
        </is>
      </c>
      <c r="C23" t="n">
        <v>5131.085</v>
      </c>
    </row>
    <row r="24">
      <c r="A24" s="9" t="n"/>
      <c r="B24" s="1" t="inlineStr">
        <is>
          <t>DOLU26</t>
        </is>
      </c>
    </row>
    <row r="25">
      <c r="A25" s="9" t="n"/>
      <c r="B25" s="1" t="inlineStr">
        <is>
          <t>DOLU26</t>
        </is>
      </c>
    </row>
    <row r="26">
      <c r="A26" s="9" t="n"/>
      <c r="B26" s="1" t="inlineStr">
        <is>
          <t>DOLU26</t>
        </is>
      </c>
    </row>
    <row r="27">
      <c r="A27" s="9" t="n"/>
      <c r="B27" s="1" t="inlineStr">
        <is>
          <t>DOLU26</t>
        </is>
      </c>
    </row>
    <row r="28">
      <c r="A28" s="9" t="n"/>
      <c r="B28" s="1" t="inlineStr">
        <is>
          <t>DOLU26</t>
        </is>
      </c>
    </row>
    <row r="29">
      <c r="A29" s="9" t="n"/>
      <c r="B29" s="1" t="inlineStr">
        <is>
          <t>DOLU26</t>
        </is>
      </c>
    </row>
    <row r="30">
      <c r="A30" s="9" t="n"/>
      <c r="B30" s="1" t="inlineStr">
        <is>
          <t>DOLU26</t>
        </is>
      </c>
    </row>
    <row r="31">
      <c r="A31" s="9" t="n"/>
      <c r="B31" s="1" t="inlineStr">
        <is>
          <t>DOLU26</t>
        </is>
      </c>
    </row>
    <row r="32">
      <c r="A32" s="9" t="n"/>
      <c r="B32" s="1" t="inlineStr">
        <is>
          <t>DOLU26</t>
        </is>
      </c>
    </row>
    <row r="33">
      <c r="A33" s="9" t="n"/>
      <c r="B33" s="1" t="inlineStr">
        <is>
          <t>DOLU26</t>
        </is>
      </c>
    </row>
    <row r="34">
      <c r="A34" s="9" t="n"/>
      <c r="B34" s="1" t="inlineStr">
        <is>
          <t>DOLU26</t>
        </is>
      </c>
    </row>
    <row r="35">
      <c r="A35" s="9" t="n"/>
      <c r="B35" s="1" t="inlineStr">
        <is>
          <t>DOLU26</t>
        </is>
      </c>
    </row>
    <row r="36">
      <c r="A36" s="9" t="n"/>
      <c r="B36" s="1" t="inlineStr">
        <is>
          <t>DOLU26</t>
        </is>
      </c>
    </row>
    <row r="37">
      <c r="A37" s="9" t="n"/>
      <c r="B37" s="1" t="inlineStr">
        <is>
          <t>DOLU26</t>
        </is>
      </c>
    </row>
    <row r="38">
      <c r="A38" s="9" t="n"/>
      <c r="B38" s="1" t="inlineStr">
        <is>
          <t>DOLU26</t>
        </is>
      </c>
    </row>
    <row r="39">
      <c r="A39" s="9" t="n"/>
      <c r="B39" s="1" t="inlineStr">
        <is>
          <t>DOLU26</t>
        </is>
      </c>
    </row>
    <row r="40">
      <c r="A40" s="9" t="n"/>
      <c r="B40" s="1" t="inlineStr">
        <is>
          <t>DOLU26</t>
        </is>
      </c>
    </row>
    <row r="41">
      <c r="A41" s="9" t="n"/>
      <c r="B41" s="1" t="inlineStr">
        <is>
          <t>DOLU26</t>
        </is>
      </c>
    </row>
    <row r="42">
      <c r="A42" s="9" t="n"/>
      <c r="B42" s="1" t="inlineStr">
        <is>
          <t>DOLU26</t>
        </is>
      </c>
    </row>
    <row r="43">
      <c r="A43" s="9" t="n"/>
      <c r="B43" s="1" t="inlineStr">
        <is>
          <t>DOLU26</t>
        </is>
      </c>
    </row>
    <row r="44">
      <c r="A44" s="9" t="n"/>
      <c r="B44" s="1" t="inlineStr">
        <is>
          <t>DOLU26</t>
        </is>
      </c>
    </row>
    <row r="45">
      <c r="A45" s="9" t="n"/>
      <c r="B45" s="1" t="inlineStr">
        <is>
          <t>DOLU26</t>
        </is>
      </c>
    </row>
    <row r="46">
      <c r="A46" s="9" t="n"/>
      <c r="B46" s="1" t="inlineStr">
        <is>
          <t>DOLU26</t>
        </is>
      </c>
    </row>
    <row r="47">
      <c r="A47" s="9" t="n"/>
      <c r="B47" s="1" t="inlineStr">
        <is>
          <t>DOLU26</t>
        </is>
      </c>
    </row>
    <row r="48">
      <c r="A48" s="9" t="n"/>
      <c r="B48" s="1" t="inlineStr">
        <is>
          <t>DOLU26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4.xml><?xml version="1.0" encoding="utf-8"?>
<worksheet xmlns="http://schemas.openxmlformats.org/spreadsheetml/2006/main">
  <sheetPr codeName="Planilha6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DOLV26</t>
        </is>
      </c>
      <c r="C2" t="n">
        <v>5196.996</v>
      </c>
    </row>
    <row r="3">
      <c r="A3" s="9" t="n">
        <v>46189</v>
      </c>
      <c r="B3" s="1" t="inlineStr">
        <is>
          <t>DOLV26</t>
        </is>
      </c>
      <c r="C3" t="n">
        <v>5220.415</v>
      </c>
    </row>
    <row r="4">
      <c r="A4" s="9" t="n">
        <v>46190</v>
      </c>
      <c r="B4" s="1" t="inlineStr">
        <is>
          <t>DOLV26</t>
        </is>
      </c>
      <c r="C4" t="n">
        <v>5205.998</v>
      </c>
    </row>
    <row r="5">
      <c r="A5" s="9" t="n">
        <v>46191</v>
      </c>
      <c r="B5" s="1" t="inlineStr">
        <is>
          <t>DOLV26</t>
        </is>
      </c>
      <c r="C5" t="n">
        <v>5295.603</v>
      </c>
    </row>
    <row r="6">
      <c r="A6" s="9" t="n">
        <v>46192</v>
      </c>
      <c r="B6" s="1" t="inlineStr">
        <is>
          <t>DOLV26</t>
        </is>
      </c>
      <c r="C6" t="n">
        <v>5265.776</v>
      </c>
    </row>
    <row r="7">
      <c r="A7" s="9" t="n">
        <v>46195</v>
      </c>
      <c r="B7" s="1" t="inlineStr">
        <is>
          <t>DOLV26</t>
        </is>
      </c>
      <c r="C7" t="n">
        <v>5263.786</v>
      </c>
    </row>
    <row r="8">
      <c r="A8" s="9" t="n">
        <v>46196</v>
      </c>
      <c r="B8" s="1" t="inlineStr">
        <is>
          <t>DOLV26</t>
        </is>
      </c>
      <c r="C8" t="n">
        <v>5311.679</v>
      </c>
    </row>
    <row r="9">
      <c r="A9" s="9" t="n">
        <v>46197</v>
      </c>
      <c r="B9" s="1" t="inlineStr">
        <is>
          <t>DOLV26</t>
        </is>
      </c>
      <c r="C9" t="n">
        <v>5318.125</v>
      </c>
    </row>
    <row r="10">
      <c r="A10" s="9" t="n">
        <v>46198</v>
      </c>
      <c r="B10" s="1" t="inlineStr">
        <is>
          <t>DOLV26</t>
        </is>
      </c>
      <c r="C10" t="n">
        <v>5297.889</v>
      </c>
    </row>
    <row r="11">
      <c r="A11" s="9" t="n">
        <v>46199</v>
      </c>
      <c r="B11" s="1" t="inlineStr">
        <is>
          <t>DOLV26</t>
        </is>
      </c>
      <c r="C11" t="n">
        <v>5285.388</v>
      </c>
    </row>
    <row r="12">
      <c r="A12" s="9" t="n">
        <v>46202</v>
      </c>
      <c r="B12" s="1" t="inlineStr">
        <is>
          <t>DOLV26</t>
        </is>
      </c>
      <c r="C12" t="n">
        <v>5279.155</v>
      </c>
    </row>
    <row r="13">
      <c r="A13" s="9" t="n">
        <v>46203</v>
      </c>
      <c r="B13" s="1" t="inlineStr">
        <is>
          <t>DOLV26</t>
        </is>
      </c>
      <c r="C13" t="n">
        <v>5280.478</v>
      </c>
    </row>
    <row r="14">
      <c r="A14" s="9" t="n">
        <v>46204</v>
      </c>
      <c r="B14" s="1" t="inlineStr">
        <is>
          <t>DOLV26</t>
        </is>
      </c>
      <c r="C14" t="n">
        <v>5319.551</v>
      </c>
    </row>
    <row r="15">
      <c r="A15" s="9" t="n">
        <v>46205</v>
      </c>
      <c r="B15" s="1" t="inlineStr">
        <is>
          <t>DOLV26</t>
        </is>
      </c>
      <c r="C15" t="n">
        <v>5314.661</v>
      </c>
    </row>
    <row r="16">
      <c r="A16" s="9" t="n">
        <v>46206</v>
      </c>
      <c r="B16" s="1" t="inlineStr">
        <is>
          <t>DOLV26</t>
        </is>
      </c>
      <c r="C16" t="n">
        <v>5276.015</v>
      </c>
    </row>
    <row r="17">
      <c r="A17" s="9" t="n">
        <v>46209</v>
      </c>
      <c r="B17" s="1" t="inlineStr">
        <is>
          <t>DOLV26</t>
        </is>
      </c>
      <c r="C17" t="n">
        <v>5234.143</v>
      </c>
    </row>
    <row r="18">
      <c r="A18" s="9" t="n">
        <v>46210</v>
      </c>
      <c r="B18" s="1" t="inlineStr">
        <is>
          <t>DOLV26</t>
        </is>
      </c>
      <c r="C18" t="n">
        <v>5257.747</v>
      </c>
    </row>
    <row r="19">
      <c r="A19" s="9" t="n">
        <v>46211</v>
      </c>
      <c r="B19" s="1" t="inlineStr">
        <is>
          <t>DOLV26</t>
        </is>
      </c>
      <c r="C19" t="n">
        <v>5246.679</v>
      </c>
    </row>
    <row r="20">
      <c r="A20" s="9" t="n">
        <v>46212</v>
      </c>
      <c r="B20" s="1" t="inlineStr">
        <is>
          <t>DOLV26</t>
        </is>
      </c>
      <c r="C20" t="n">
        <v>5217.233</v>
      </c>
    </row>
    <row r="21">
      <c r="A21" s="9" t="n">
        <v>46213</v>
      </c>
      <c r="B21" s="1" t="inlineStr">
        <is>
          <t>DOLV26</t>
        </is>
      </c>
      <c r="C21" t="n">
        <v>5203.377</v>
      </c>
    </row>
    <row r="22">
      <c r="A22" s="9" t="n">
        <v>46216</v>
      </c>
      <c r="B22" s="1" t="inlineStr">
        <is>
          <t>DOLV26</t>
        </is>
      </c>
      <c r="C22" t="n">
        <v>5225.452</v>
      </c>
    </row>
    <row r="23">
      <c r="A23" s="9" t="n">
        <v>46217</v>
      </c>
      <c r="B23" s="1" t="inlineStr">
        <is>
          <t>DOLV26</t>
        </is>
      </c>
      <c r="C23" t="n">
        <v>5165.392</v>
      </c>
    </row>
    <row r="24">
      <c r="A24" s="9" t="n"/>
      <c r="B24" s="1" t="inlineStr">
        <is>
          <t>DOLV26</t>
        </is>
      </c>
    </row>
    <row r="25">
      <c r="A25" s="9" t="n"/>
      <c r="B25" s="1" t="inlineStr">
        <is>
          <t>DOLV26</t>
        </is>
      </c>
    </row>
    <row r="26">
      <c r="A26" s="9" t="n"/>
      <c r="B26" s="1" t="inlineStr">
        <is>
          <t>DOLV26</t>
        </is>
      </c>
    </row>
    <row r="27">
      <c r="A27" s="9" t="n"/>
      <c r="B27" s="1" t="inlineStr">
        <is>
          <t>DOLV26</t>
        </is>
      </c>
    </row>
    <row r="28">
      <c r="A28" s="9" t="n"/>
      <c r="B28" s="1" t="inlineStr">
        <is>
          <t>DOLV26</t>
        </is>
      </c>
    </row>
    <row r="29">
      <c r="A29" s="9" t="n"/>
      <c r="B29" s="1" t="inlineStr">
        <is>
          <t>DOLV26</t>
        </is>
      </c>
    </row>
    <row r="30">
      <c r="A30" s="9" t="n"/>
      <c r="B30" s="1" t="inlineStr">
        <is>
          <t>DOLV26</t>
        </is>
      </c>
    </row>
    <row r="31">
      <c r="A31" s="9" t="n"/>
      <c r="B31" s="1" t="inlineStr">
        <is>
          <t>DOLV26</t>
        </is>
      </c>
    </row>
    <row r="32">
      <c r="A32" s="9" t="n"/>
      <c r="B32" s="1" t="inlineStr">
        <is>
          <t>DOLV26</t>
        </is>
      </c>
    </row>
    <row r="33">
      <c r="A33" s="9" t="n"/>
      <c r="B33" s="1" t="inlineStr">
        <is>
          <t>DOLV26</t>
        </is>
      </c>
    </row>
    <row r="34">
      <c r="A34" s="9" t="n"/>
      <c r="B34" s="1" t="inlineStr">
        <is>
          <t>DOLV26</t>
        </is>
      </c>
    </row>
    <row r="35">
      <c r="A35" s="9" t="n"/>
      <c r="B35" s="1" t="inlineStr">
        <is>
          <t>DOLV26</t>
        </is>
      </c>
    </row>
    <row r="36">
      <c r="A36" s="9" t="n"/>
      <c r="B36" s="1" t="inlineStr">
        <is>
          <t>DOLV26</t>
        </is>
      </c>
    </row>
    <row r="37">
      <c r="A37" s="9" t="n"/>
      <c r="B37" s="1" t="inlineStr">
        <is>
          <t>DOLV26</t>
        </is>
      </c>
    </row>
    <row r="38">
      <c r="A38" s="9" t="n"/>
      <c r="B38" s="1" t="inlineStr">
        <is>
          <t>DOLV26</t>
        </is>
      </c>
    </row>
    <row r="39">
      <c r="A39" s="9" t="n"/>
      <c r="B39" s="1" t="inlineStr">
        <is>
          <t>DOLV26</t>
        </is>
      </c>
    </row>
    <row r="40">
      <c r="A40" s="9" t="n"/>
      <c r="B40" s="1" t="inlineStr">
        <is>
          <t>DOLV26</t>
        </is>
      </c>
    </row>
    <row r="41">
      <c r="A41" s="9" t="n"/>
      <c r="B41" s="1" t="inlineStr">
        <is>
          <t>DOLV26</t>
        </is>
      </c>
    </row>
    <row r="42">
      <c r="A42" s="9" t="n"/>
      <c r="B42" s="1" t="inlineStr">
        <is>
          <t>DOLV26</t>
        </is>
      </c>
    </row>
    <row r="43">
      <c r="A43" s="9" t="n"/>
      <c r="B43" s="1" t="inlineStr">
        <is>
          <t>DOLV26</t>
        </is>
      </c>
    </row>
    <row r="44">
      <c r="A44" s="9" t="n"/>
      <c r="B44" s="1" t="inlineStr">
        <is>
          <t>DOLV26</t>
        </is>
      </c>
    </row>
    <row r="45">
      <c r="A45" s="9" t="n"/>
      <c r="B45" s="1" t="inlineStr">
        <is>
          <t>DOLV26</t>
        </is>
      </c>
    </row>
    <row r="46">
      <c r="A46" s="9" t="n"/>
      <c r="B46" s="1" t="inlineStr">
        <is>
          <t>DOLV26</t>
        </is>
      </c>
    </row>
    <row r="47">
      <c r="A47" s="9" t="n"/>
      <c r="B47" s="1" t="inlineStr">
        <is>
          <t>DOLV26</t>
        </is>
      </c>
    </row>
    <row r="48">
      <c r="A48" s="9" t="n"/>
      <c r="B48" s="1" t="inlineStr">
        <is>
          <t>DOLV26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5.xml><?xml version="1.0" encoding="utf-8"?>
<worksheet xmlns="http://schemas.openxmlformats.org/spreadsheetml/2006/main">
  <sheetPr codeName="Planilha65">
    <outlinePr summaryBelow="1" summaryRight="1"/>
    <pageSetUpPr/>
  </sheetPr>
  <dimension ref="A1:C168"/>
  <sheetViews>
    <sheetView workbookViewId="0">
      <selection activeCell="F17" sqref="F17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DOLX26</t>
        </is>
      </c>
      <c r="C2" t="n">
        <v>5231.338</v>
      </c>
    </row>
    <row r="3">
      <c r="A3" s="9" t="n">
        <v>46189</v>
      </c>
      <c r="B3" s="1" t="inlineStr">
        <is>
          <t>DOLX26</t>
        </is>
      </c>
      <c r="C3" t="n">
        <v>5254.911</v>
      </c>
    </row>
    <row r="4">
      <c r="A4" s="9" t="n">
        <v>46190</v>
      </c>
      <c r="B4" s="1" t="inlineStr">
        <is>
          <t>DOLX26</t>
        </is>
      </c>
      <c r="C4" t="n">
        <v>5240.484</v>
      </c>
    </row>
    <row r="5">
      <c r="A5" s="9" t="n">
        <v>46191</v>
      </c>
      <c r="B5" s="1" t="inlineStr">
        <is>
          <t>DOLX26</t>
        </is>
      </c>
      <c r="C5" t="n">
        <v>5330.206</v>
      </c>
    </row>
    <row r="6">
      <c r="A6" s="9" t="n">
        <v>46192</v>
      </c>
      <c r="B6" s="1" t="inlineStr">
        <is>
          <t>DOLX26</t>
        </is>
      </c>
      <c r="C6" t="n">
        <v>5299.667</v>
      </c>
    </row>
    <row r="7">
      <c r="A7" s="9" t="n">
        <v>46195</v>
      </c>
      <c r="B7" s="1" t="inlineStr">
        <is>
          <t>DOLX26</t>
        </is>
      </c>
      <c r="C7" t="n">
        <v>5297.337</v>
      </c>
    </row>
    <row r="8">
      <c r="A8" s="9" t="n">
        <v>46196</v>
      </c>
      <c r="B8" s="1" t="inlineStr">
        <is>
          <t>DOLX26</t>
        </is>
      </c>
      <c r="C8" t="n">
        <v>5344.823</v>
      </c>
    </row>
    <row r="9">
      <c r="A9" s="9" t="n">
        <v>46197</v>
      </c>
      <c r="B9" s="1" t="inlineStr">
        <is>
          <t>DOLX26</t>
        </is>
      </c>
      <c r="C9" t="n">
        <v>5351.313</v>
      </c>
    </row>
    <row r="10">
      <c r="A10" s="9" t="n">
        <v>46198</v>
      </c>
      <c r="B10" s="1" t="inlineStr">
        <is>
          <t>DOLX26</t>
        </is>
      </c>
      <c r="C10" t="n">
        <v>5330.775</v>
      </c>
    </row>
    <row r="11">
      <c r="A11" s="9" t="n">
        <v>46199</v>
      </c>
      <c r="B11" s="1" t="inlineStr">
        <is>
          <t>DOLX26</t>
        </is>
      </c>
      <c r="C11" t="n">
        <v>5318.184</v>
      </c>
    </row>
    <row r="12">
      <c r="A12" s="9" t="n">
        <v>46202</v>
      </c>
      <c r="B12" s="1" t="inlineStr">
        <is>
          <t>DOLX26</t>
        </is>
      </c>
      <c r="C12" t="n">
        <v>5311.824</v>
      </c>
    </row>
    <row r="13">
      <c r="A13" s="9" t="n">
        <v>46203</v>
      </c>
      <c r="B13" s="1" t="inlineStr">
        <is>
          <t>DOLX26</t>
        </is>
      </c>
      <c r="C13" t="n">
        <v>5312.737</v>
      </c>
    </row>
    <row r="14">
      <c r="A14" s="9" t="n">
        <v>46204</v>
      </c>
      <c r="B14" s="1" t="inlineStr">
        <is>
          <t>DOLX26</t>
        </is>
      </c>
      <c r="C14" t="n">
        <v>5352.324</v>
      </c>
    </row>
    <row r="15">
      <c r="A15" s="9" t="n">
        <v>46205</v>
      </c>
      <c r="B15" s="1" t="inlineStr">
        <is>
          <t>DOLX26</t>
        </is>
      </c>
      <c r="C15" t="n">
        <v>5347.691</v>
      </c>
    </row>
    <row r="16">
      <c r="A16" s="9" t="n">
        <v>46206</v>
      </c>
      <c r="B16" s="1" t="inlineStr">
        <is>
          <t>DOLX26</t>
        </is>
      </c>
      <c r="C16" t="n">
        <v>5308.696</v>
      </c>
    </row>
    <row r="17">
      <c r="A17" s="9" t="n">
        <v>46209</v>
      </c>
      <c r="B17" s="1" t="inlineStr">
        <is>
          <t>DOLX26</t>
        </is>
      </c>
      <c r="C17" t="n">
        <v>5266.689</v>
      </c>
    </row>
    <row r="18">
      <c r="A18" s="9" t="n">
        <v>46210</v>
      </c>
      <c r="B18" s="1" t="inlineStr">
        <is>
          <t>DOLX26</t>
        </is>
      </c>
      <c r="C18" t="n">
        <v>5290.309</v>
      </c>
    </row>
    <row r="19">
      <c r="A19" s="9" t="n">
        <v>46211</v>
      </c>
      <c r="B19" s="1" t="inlineStr">
        <is>
          <t>DOLX26</t>
        </is>
      </c>
      <c r="C19" t="n">
        <v>5279.138</v>
      </c>
    </row>
    <row r="20">
      <c r="A20" s="9" t="n">
        <v>46212</v>
      </c>
      <c r="B20" s="1" t="inlineStr">
        <is>
          <t>DOLX26</t>
        </is>
      </c>
      <c r="C20" t="n">
        <v>5249.326</v>
      </c>
    </row>
    <row r="21">
      <c r="A21" s="9" t="n">
        <v>46213</v>
      </c>
      <c r="B21" s="1" t="inlineStr">
        <is>
          <t>DOLX26</t>
        </is>
      </c>
      <c r="C21" t="n">
        <v>5235.326</v>
      </c>
    </row>
    <row r="22">
      <c r="A22" s="9" t="n">
        <v>46216</v>
      </c>
      <c r="B22" s="1" t="inlineStr">
        <is>
          <t>DOLX26</t>
        </is>
      </c>
      <c r="C22" t="n">
        <v>5257.408</v>
      </c>
    </row>
    <row r="23">
      <c r="A23" s="9" t="n">
        <v>46217</v>
      </c>
      <c r="B23" s="1" t="inlineStr">
        <is>
          <t>DOLX26</t>
        </is>
      </c>
      <c r="C23" t="n">
        <v>5197.033</v>
      </c>
    </row>
    <row r="24">
      <c r="A24" s="9" t="n"/>
      <c r="B24" s="1" t="inlineStr">
        <is>
          <t>DOLX26</t>
        </is>
      </c>
    </row>
    <row r="25">
      <c r="A25" s="9" t="n"/>
      <c r="B25" s="1" t="inlineStr">
        <is>
          <t>DOLX26</t>
        </is>
      </c>
    </row>
    <row r="26">
      <c r="A26" s="9" t="n"/>
      <c r="B26" s="1" t="inlineStr">
        <is>
          <t>DOLX26</t>
        </is>
      </c>
    </row>
    <row r="27">
      <c r="A27" s="9" t="n"/>
      <c r="B27" s="1" t="inlineStr">
        <is>
          <t>DOLX26</t>
        </is>
      </c>
    </row>
    <row r="28">
      <c r="A28" s="9" t="n"/>
      <c r="B28" s="1" t="inlineStr">
        <is>
          <t>DOLX26</t>
        </is>
      </c>
    </row>
    <row r="29">
      <c r="A29" s="9" t="n"/>
      <c r="B29" s="1" t="inlineStr">
        <is>
          <t>DOLX26</t>
        </is>
      </c>
    </row>
    <row r="30">
      <c r="A30" s="9" t="n"/>
      <c r="B30" s="1" t="inlineStr">
        <is>
          <t>DOLX26</t>
        </is>
      </c>
    </row>
    <row r="31">
      <c r="A31" s="9" t="n"/>
      <c r="B31" s="1" t="inlineStr">
        <is>
          <t>DOLX26</t>
        </is>
      </c>
    </row>
    <row r="32">
      <c r="A32" s="9" t="n"/>
      <c r="B32" s="1" t="inlineStr">
        <is>
          <t>DOLX26</t>
        </is>
      </c>
    </row>
    <row r="33">
      <c r="A33" s="9" t="n"/>
      <c r="B33" s="1" t="inlineStr">
        <is>
          <t>DOLX26</t>
        </is>
      </c>
    </row>
    <row r="34">
      <c r="A34" s="9" t="n"/>
      <c r="B34" s="1" t="inlineStr">
        <is>
          <t>DOLX26</t>
        </is>
      </c>
    </row>
    <row r="35">
      <c r="A35" s="9" t="n"/>
      <c r="B35" s="1" t="inlineStr">
        <is>
          <t>DOLX26</t>
        </is>
      </c>
    </row>
    <row r="36">
      <c r="A36" s="9" t="n"/>
      <c r="B36" s="1" t="inlineStr">
        <is>
          <t>DOLX26</t>
        </is>
      </c>
    </row>
    <row r="37">
      <c r="A37" s="9" t="n"/>
      <c r="B37" s="1" t="inlineStr">
        <is>
          <t>DOLX26</t>
        </is>
      </c>
    </row>
    <row r="38">
      <c r="A38" s="9" t="n"/>
      <c r="B38" s="1" t="inlineStr">
        <is>
          <t>DOLX26</t>
        </is>
      </c>
    </row>
    <row r="39">
      <c r="A39" s="9" t="n"/>
      <c r="B39" s="1" t="inlineStr">
        <is>
          <t>DOLX26</t>
        </is>
      </c>
    </row>
    <row r="40">
      <c r="A40" s="9" t="n"/>
      <c r="B40" s="1" t="inlineStr">
        <is>
          <t>DOLX26</t>
        </is>
      </c>
    </row>
    <row r="41">
      <c r="A41" s="9" t="n"/>
      <c r="B41" s="1" t="inlineStr">
        <is>
          <t>DOLX26</t>
        </is>
      </c>
    </row>
    <row r="42">
      <c r="A42" s="9" t="n"/>
      <c r="B42" s="1" t="inlineStr">
        <is>
          <t>DOLX26</t>
        </is>
      </c>
    </row>
    <row r="43">
      <c r="A43" s="9" t="n"/>
      <c r="B43" s="1" t="inlineStr">
        <is>
          <t>DOLX26</t>
        </is>
      </c>
    </row>
    <row r="44">
      <c r="A44" s="9" t="n"/>
      <c r="B44" s="1" t="inlineStr">
        <is>
          <t>DOLX26</t>
        </is>
      </c>
    </row>
    <row r="45">
      <c r="A45" s="9" t="n"/>
      <c r="B45" s="1" t="inlineStr">
        <is>
          <t>DOLX26</t>
        </is>
      </c>
    </row>
    <row r="46">
      <c r="A46" s="9" t="n"/>
      <c r="B46" s="1" t="inlineStr">
        <is>
          <t>DOLX26</t>
        </is>
      </c>
    </row>
    <row r="47">
      <c r="A47" s="9" t="n"/>
      <c r="B47" s="1" t="inlineStr">
        <is>
          <t>DOLX26</t>
        </is>
      </c>
    </row>
    <row r="48">
      <c r="A48" s="9" t="n"/>
      <c r="B48" s="1" t="inlineStr">
        <is>
          <t>DOLX26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6.xml><?xml version="1.0" encoding="utf-8"?>
<worksheet xmlns="http://schemas.openxmlformats.org/spreadsheetml/2006/main">
  <sheetPr codeName="Planilha6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DOLZ26</t>
        </is>
      </c>
      <c r="C2" t="n">
        <v>5264.568</v>
      </c>
    </row>
    <row r="3">
      <c r="A3" s="9" t="n">
        <v>46189</v>
      </c>
      <c r="B3" s="1" t="inlineStr">
        <is>
          <t>DOLZ26</t>
        </is>
      </c>
      <c r="C3" t="n">
        <v>5288.164</v>
      </c>
    </row>
    <row r="4">
      <c r="A4" s="9" t="n">
        <v>46190</v>
      </c>
      <c r="B4" s="1" t="inlineStr">
        <is>
          <t>DOLZ26</t>
        </is>
      </c>
      <c r="C4" t="n">
        <v>5273.111</v>
      </c>
    </row>
    <row r="5">
      <c r="A5" s="9" t="n">
        <v>46191</v>
      </c>
      <c r="B5" s="1" t="inlineStr">
        <is>
          <t>DOLZ26</t>
        </is>
      </c>
      <c r="C5" t="n">
        <v>5362.794</v>
      </c>
    </row>
    <row r="6">
      <c r="A6" s="9" t="n">
        <v>46192</v>
      </c>
      <c r="B6" s="1" t="inlineStr">
        <is>
          <t>DOLZ26</t>
        </is>
      </c>
      <c r="C6" t="n">
        <v>5332.176</v>
      </c>
    </row>
    <row r="7">
      <c r="A7" s="9" t="n">
        <v>46195</v>
      </c>
      <c r="B7" s="1" t="inlineStr">
        <is>
          <t>DOLZ26</t>
        </is>
      </c>
      <c r="C7" t="n">
        <v>5329.386</v>
      </c>
    </row>
    <row r="8">
      <c r="A8" s="9" t="n">
        <v>46196</v>
      </c>
      <c r="B8" s="1" t="inlineStr">
        <is>
          <t>DOLZ26</t>
        </is>
      </c>
      <c r="C8" t="n">
        <v>5377.577</v>
      </c>
    </row>
    <row r="9">
      <c r="A9" s="9" t="n">
        <v>46197</v>
      </c>
      <c r="B9" s="1" t="inlineStr">
        <is>
          <t>DOLZ26</t>
        </is>
      </c>
      <c r="C9" t="n">
        <v>5383.476</v>
      </c>
    </row>
    <row r="10">
      <c r="A10" s="9" t="n">
        <v>46198</v>
      </c>
      <c r="B10" s="1" t="inlineStr">
        <is>
          <t>DOLZ26</t>
        </is>
      </c>
      <c r="C10" t="n">
        <v>5362.627</v>
      </c>
    </row>
    <row r="11">
      <c r="A11" s="9" t="n">
        <v>46199</v>
      </c>
      <c r="B11" s="1" t="inlineStr">
        <is>
          <t>DOLZ26</t>
        </is>
      </c>
      <c r="C11" t="n">
        <v>5349.607</v>
      </c>
    </row>
    <row r="12">
      <c r="A12" s="9" t="n">
        <v>46202</v>
      </c>
      <c r="B12" s="1" t="inlineStr">
        <is>
          <t>DOLZ26</t>
        </is>
      </c>
      <c r="C12" t="n">
        <v>5342.875</v>
      </c>
    </row>
    <row r="13">
      <c r="A13" s="9" t="n">
        <v>46203</v>
      </c>
      <c r="B13" s="1" t="inlineStr">
        <is>
          <t>DOLZ26</t>
        </is>
      </c>
      <c r="C13" t="n">
        <v>5343.939</v>
      </c>
    </row>
    <row r="14">
      <c r="A14" s="9" t="n">
        <v>46204</v>
      </c>
      <c r="B14" s="1" t="inlineStr">
        <is>
          <t>DOLZ26</t>
        </is>
      </c>
      <c r="C14" t="n">
        <v>5383.995</v>
      </c>
    </row>
    <row r="15">
      <c r="A15" s="9" t="n">
        <v>46205</v>
      </c>
      <c r="B15" s="1" t="inlineStr">
        <is>
          <t>DOLZ26</t>
        </is>
      </c>
      <c r="C15" t="n">
        <v>5379.644</v>
      </c>
    </row>
    <row r="16">
      <c r="A16" s="9" t="n">
        <v>46206</v>
      </c>
      <c r="B16" s="1" t="inlineStr">
        <is>
          <t>DOLZ26</t>
        </is>
      </c>
      <c r="C16" t="n">
        <v>5339.927</v>
      </c>
    </row>
    <row r="17">
      <c r="A17" s="9" t="n">
        <v>46209</v>
      </c>
      <c r="B17" s="1" t="inlineStr">
        <is>
          <t>DOLZ26</t>
        </is>
      </c>
      <c r="C17" t="n">
        <v>5297.551</v>
      </c>
    </row>
    <row r="18">
      <c r="A18" s="9" t="n">
        <v>46210</v>
      </c>
      <c r="B18" s="1" t="inlineStr">
        <is>
          <t>DOLZ26</t>
        </is>
      </c>
      <c r="C18" t="n">
        <v>5321.63</v>
      </c>
    </row>
    <row r="19">
      <c r="A19" s="9" t="n">
        <v>46211</v>
      </c>
      <c r="B19" s="1" t="inlineStr">
        <is>
          <t>DOLZ26</t>
        </is>
      </c>
      <c r="C19" t="n">
        <v>5310.598</v>
      </c>
    </row>
    <row r="20">
      <c r="A20" s="9" t="n">
        <v>46212</v>
      </c>
      <c r="B20" s="1" t="inlineStr">
        <is>
          <t>DOLZ26</t>
        </is>
      </c>
      <c r="C20" t="n">
        <v>5280.481</v>
      </c>
    </row>
    <row r="21">
      <c r="A21" s="9" t="n">
        <v>46213</v>
      </c>
      <c r="B21" s="1" t="inlineStr">
        <is>
          <t>DOLZ26</t>
        </is>
      </c>
      <c r="C21" t="n">
        <v>5265.411</v>
      </c>
    </row>
    <row r="22">
      <c r="A22" s="9" t="n">
        <v>46216</v>
      </c>
      <c r="B22" s="1" t="inlineStr">
        <is>
          <t>DOLZ26</t>
        </is>
      </c>
      <c r="C22" t="n">
        <v>5287.964</v>
      </c>
    </row>
    <row r="23">
      <c r="A23" s="9" t="n">
        <v>46217</v>
      </c>
      <c r="B23" s="1" t="inlineStr">
        <is>
          <t>DOLZ26</t>
        </is>
      </c>
      <c r="C23" t="n">
        <v>5227.342</v>
      </c>
    </row>
    <row r="24">
      <c r="A24" s="9" t="n"/>
      <c r="B24" s="1" t="inlineStr">
        <is>
          <t>DOLZ26</t>
        </is>
      </c>
    </row>
    <row r="25">
      <c r="A25" s="9" t="n"/>
      <c r="B25" s="1" t="inlineStr">
        <is>
          <t>DOLZ26</t>
        </is>
      </c>
    </row>
    <row r="26">
      <c r="A26" s="9" t="n"/>
      <c r="B26" s="1" t="inlineStr">
        <is>
          <t>DOLZ26</t>
        </is>
      </c>
    </row>
    <row r="27">
      <c r="A27" s="9" t="n"/>
      <c r="B27" s="1" t="inlineStr">
        <is>
          <t>DOLZ26</t>
        </is>
      </c>
    </row>
    <row r="28">
      <c r="A28" s="9" t="n"/>
      <c r="B28" s="1" t="inlineStr">
        <is>
          <t>DOLZ26</t>
        </is>
      </c>
    </row>
    <row r="29">
      <c r="A29" s="9" t="n"/>
      <c r="B29" s="1" t="inlineStr">
        <is>
          <t>DOLZ26</t>
        </is>
      </c>
    </row>
    <row r="30">
      <c r="A30" s="9" t="n"/>
      <c r="B30" s="1" t="inlineStr">
        <is>
          <t>DOLZ26</t>
        </is>
      </c>
    </row>
    <row r="31">
      <c r="A31" s="9" t="n"/>
      <c r="B31" s="1" t="inlineStr">
        <is>
          <t>DOLZ26</t>
        </is>
      </c>
    </row>
    <row r="32">
      <c r="A32" s="9" t="n"/>
      <c r="B32" s="1" t="inlineStr">
        <is>
          <t>DOLZ26</t>
        </is>
      </c>
    </row>
    <row r="33">
      <c r="A33" s="9" t="n"/>
      <c r="B33" s="1" t="inlineStr">
        <is>
          <t>DOLZ26</t>
        </is>
      </c>
    </row>
    <row r="34">
      <c r="A34" s="9" t="n"/>
      <c r="B34" s="1" t="inlineStr">
        <is>
          <t>DOLZ26</t>
        </is>
      </c>
    </row>
    <row r="35">
      <c r="A35" s="9" t="n"/>
      <c r="B35" s="1" t="inlineStr">
        <is>
          <t>DOLZ26</t>
        </is>
      </c>
    </row>
    <row r="36">
      <c r="A36" s="9" t="n"/>
      <c r="B36" s="1" t="inlineStr">
        <is>
          <t>DOLZ26</t>
        </is>
      </c>
    </row>
    <row r="37">
      <c r="A37" s="9" t="n"/>
      <c r="B37" s="1" t="inlineStr">
        <is>
          <t>DOLZ26</t>
        </is>
      </c>
    </row>
    <row r="38">
      <c r="A38" s="9" t="n"/>
      <c r="B38" s="1" t="inlineStr">
        <is>
          <t>DOLZ26</t>
        </is>
      </c>
    </row>
    <row r="39">
      <c r="A39" s="9" t="n"/>
      <c r="B39" s="1" t="inlineStr">
        <is>
          <t>DOLZ26</t>
        </is>
      </c>
    </row>
    <row r="40">
      <c r="A40" s="9" t="n"/>
      <c r="B40" s="1" t="inlineStr">
        <is>
          <t>DOLZ26</t>
        </is>
      </c>
    </row>
    <row r="41">
      <c r="A41" s="9" t="n"/>
      <c r="B41" s="1" t="inlineStr">
        <is>
          <t>DOLZ26</t>
        </is>
      </c>
    </row>
    <row r="42">
      <c r="A42" s="9" t="n"/>
      <c r="B42" s="1" t="inlineStr">
        <is>
          <t>DOLZ26</t>
        </is>
      </c>
    </row>
    <row r="43">
      <c r="A43" s="9" t="n"/>
      <c r="B43" s="1" t="inlineStr">
        <is>
          <t>DOLZ26</t>
        </is>
      </c>
    </row>
    <row r="44">
      <c r="A44" s="9" t="n"/>
      <c r="B44" s="1" t="inlineStr">
        <is>
          <t>DOLZ26</t>
        </is>
      </c>
    </row>
    <row r="45">
      <c r="A45" s="9" t="n"/>
      <c r="B45" s="1" t="inlineStr">
        <is>
          <t>DOLZ26</t>
        </is>
      </c>
    </row>
    <row r="46">
      <c r="A46" s="9" t="n"/>
      <c r="B46" s="1" t="inlineStr">
        <is>
          <t>DOLZ26</t>
        </is>
      </c>
    </row>
    <row r="47">
      <c r="A47" s="9" t="n"/>
      <c r="B47" s="1" t="inlineStr">
        <is>
          <t>DOLZ26</t>
        </is>
      </c>
    </row>
    <row r="48">
      <c r="A48" s="9" t="n"/>
      <c r="B48" s="1" t="inlineStr">
        <is>
          <t>DOLZ26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7.xml><?xml version="1.0" encoding="utf-8"?>
<worksheet xmlns="http://schemas.openxmlformats.org/spreadsheetml/2006/main">
  <sheetPr codeName="Planilha6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DOLF27</t>
        </is>
      </c>
      <c r="C2" t="n">
        <v>5299.61</v>
      </c>
    </row>
    <row r="3">
      <c r="A3" s="9" t="n">
        <v>46189</v>
      </c>
      <c r="B3" s="1" t="inlineStr">
        <is>
          <t>DOLF27</t>
        </is>
      </c>
      <c r="C3" t="n">
        <v>5323.691</v>
      </c>
    </row>
    <row r="4">
      <c r="A4" s="9" t="n">
        <v>46190</v>
      </c>
      <c r="B4" s="1" t="inlineStr">
        <is>
          <t>DOLF27</t>
        </is>
      </c>
      <c r="C4" t="n">
        <v>5308.104</v>
      </c>
    </row>
    <row r="5">
      <c r="A5" s="9" t="n">
        <v>46191</v>
      </c>
      <c r="B5" s="1" t="inlineStr">
        <is>
          <t>DOLF27</t>
        </is>
      </c>
      <c r="C5" t="n">
        <v>5397.924</v>
      </c>
    </row>
    <row r="6">
      <c r="A6" s="9" t="n">
        <v>46192</v>
      </c>
      <c r="B6" s="1" t="inlineStr">
        <is>
          <t>DOLF27</t>
        </is>
      </c>
      <c r="C6" t="n">
        <v>5367.7</v>
      </c>
    </row>
    <row r="7">
      <c r="A7" s="9" t="n">
        <v>46195</v>
      </c>
      <c r="B7" s="1" t="inlineStr">
        <is>
          <t>DOLF27</t>
        </is>
      </c>
      <c r="C7" t="n">
        <v>5364.601</v>
      </c>
    </row>
    <row r="8">
      <c r="A8" s="9" t="n">
        <v>46196</v>
      </c>
      <c r="B8" s="1" t="inlineStr">
        <is>
          <t>DOLF27</t>
        </is>
      </c>
      <c r="C8" t="n">
        <v>5412.812</v>
      </c>
    </row>
    <row r="9">
      <c r="A9" s="9" t="n">
        <v>46197</v>
      </c>
      <c r="B9" s="1" t="inlineStr">
        <is>
          <t>DOLF27</t>
        </is>
      </c>
      <c r="C9" t="n">
        <v>5417.609</v>
      </c>
    </row>
    <row r="10">
      <c r="A10" s="9" t="n">
        <v>46198</v>
      </c>
      <c r="B10" s="1" t="inlineStr">
        <is>
          <t>DOLF27</t>
        </is>
      </c>
      <c r="C10" t="n">
        <v>5396.773</v>
      </c>
    </row>
    <row r="11">
      <c r="A11" s="9" t="n">
        <v>46199</v>
      </c>
      <c r="B11" s="1" t="inlineStr">
        <is>
          <t>DOLF27</t>
        </is>
      </c>
      <c r="C11" t="n">
        <v>5383.394</v>
      </c>
    </row>
    <row r="12">
      <c r="A12" s="9" t="n">
        <v>46202</v>
      </c>
      <c r="B12" s="1" t="inlineStr">
        <is>
          <t>DOLF27</t>
        </is>
      </c>
      <c r="C12" t="n">
        <v>5376.04</v>
      </c>
    </row>
    <row r="13">
      <c r="A13" s="9" t="n">
        <v>46203</v>
      </c>
      <c r="B13" s="1" t="inlineStr">
        <is>
          <t>DOLF27</t>
        </is>
      </c>
      <c r="C13" t="n">
        <v>5376.299</v>
      </c>
    </row>
    <row r="14">
      <c r="A14" s="9" t="n">
        <v>46204</v>
      </c>
      <c r="B14" s="1" t="inlineStr">
        <is>
          <t>DOLF27</t>
        </is>
      </c>
      <c r="C14" t="n">
        <v>5417.37</v>
      </c>
    </row>
    <row r="15">
      <c r="A15" s="9" t="n">
        <v>46205</v>
      </c>
      <c r="B15" s="1" t="inlineStr">
        <is>
          <t>DOLF27</t>
        </is>
      </c>
      <c r="C15" t="n">
        <v>5413.147</v>
      </c>
    </row>
    <row r="16">
      <c r="A16" s="9" t="n">
        <v>46206</v>
      </c>
      <c r="B16" s="1" t="inlineStr">
        <is>
          <t>DOLF27</t>
        </is>
      </c>
      <c r="C16" t="n">
        <v>5372.888</v>
      </c>
    </row>
    <row r="17">
      <c r="A17" s="9" t="n">
        <v>46209</v>
      </c>
      <c r="B17" s="1" t="inlineStr">
        <is>
          <t>DOLF27</t>
        </is>
      </c>
      <c r="C17" t="n">
        <v>5330.371</v>
      </c>
    </row>
    <row r="18">
      <c r="A18" s="9" t="n">
        <v>46210</v>
      </c>
      <c r="B18" s="1" t="inlineStr">
        <is>
          <t>DOLF27</t>
        </is>
      </c>
      <c r="C18" t="n">
        <v>5354.995</v>
      </c>
    </row>
    <row r="19">
      <c r="A19" s="9" t="n">
        <v>46211</v>
      </c>
      <c r="B19" s="1" t="inlineStr">
        <is>
          <t>DOLF27</t>
        </is>
      </c>
      <c r="C19" t="n">
        <v>5343.715</v>
      </c>
    </row>
    <row r="20">
      <c r="A20" s="9" t="n">
        <v>46212</v>
      </c>
      <c r="B20" s="1" t="inlineStr">
        <is>
          <t>DOLF27</t>
        </is>
      </c>
      <c r="C20" t="n">
        <v>5313.015</v>
      </c>
    </row>
    <row r="21">
      <c r="A21" s="9" t="n">
        <v>46213</v>
      </c>
      <c r="B21" s="1" t="inlineStr">
        <is>
          <t>DOLF27</t>
        </is>
      </c>
      <c r="C21" t="n">
        <v>5296.776</v>
      </c>
    </row>
    <row r="22">
      <c r="A22" s="9" t="n">
        <v>46216</v>
      </c>
      <c r="B22" s="1" t="inlineStr">
        <is>
          <t>DOLF27</t>
        </is>
      </c>
      <c r="C22" t="n">
        <v>5319.674</v>
      </c>
    </row>
    <row r="23">
      <c r="A23" s="9" t="n">
        <v>46217</v>
      </c>
      <c r="B23" s="1" t="inlineStr">
        <is>
          <t>DOLF27</t>
        </is>
      </c>
      <c r="C23" t="n">
        <v>5258.625</v>
      </c>
    </row>
    <row r="24">
      <c r="A24" s="9" t="n"/>
      <c r="B24" s="1" t="inlineStr">
        <is>
          <t>DOLF27</t>
        </is>
      </c>
    </row>
    <row r="25">
      <c r="A25" s="9" t="n"/>
      <c r="B25" s="1" t="inlineStr">
        <is>
          <t>DOLF27</t>
        </is>
      </c>
    </row>
    <row r="26">
      <c r="A26" s="9" t="n"/>
      <c r="B26" s="1" t="inlineStr">
        <is>
          <t>DOLF27</t>
        </is>
      </c>
    </row>
    <row r="27">
      <c r="A27" s="9" t="n"/>
      <c r="B27" s="1" t="inlineStr">
        <is>
          <t>DOLF27</t>
        </is>
      </c>
    </row>
    <row r="28">
      <c r="A28" s="9" t="n"/>
      <c r="B28" s="1" t="inlineStr">
        <is>
          <t>DOLF27</t>
        </is>
      </c>
    </row>
    <row r="29">
      <c r="A29" s="9" t="n"/>
      <c r="B29" s="1" t="inlineStr">
        <is>
          <t>DOLF27</t>
        </is>
      </c>
    </row>
    <row r="30">
      <c r="A30" s="9" t="n"/>
      <c r="B30" s="1" t="inlineStr">
        <is>
          <t>DOLF27</t>
        </is>
      </c>
    </row>
    <row r="31">
      <c r="A31" s="9" t="n"/>
      <c r="B31" s="1" t="inlineStr">
        <is>
          <t>DOLF27</t>
        </is>
      </c>
    </row>
    <row r="32">
      <c r="A32" s="9" t="n"/>
      <c r="B32" s="1" t="inlineStr">
        <is>
          <t>DOLF27</t>
        </is>
      </c>
    </row>
    <row r="33">
      <c r="A33" s="9" t="n"/>
      <c r="B33" s="1" t="inlineStr">
        <is>
          <t>DOLF27</t>
        </is>
      </c>
    </row>
    <row r="34">
      <c r="A34" s="9" t="n"/>
      <c r="B34" s="1" t="inlineStr">
        <is>
          <t>DOLF27</t>
        </is>
      </c>
    </row>
    <row r="35">
      <c r="A35" s="9" t="n"/>
      <c r="B35" s="1" t="inlineStr">
        <is>
          <t>DOLF27</t>
        </is>
      </c>
    </row>
    <row r="36">
      <c r="A36" s="9" t="n"/>
      <c r="B36" s="1" t="inlineStr">
        <is>
          <t>DOLF27</t>
        </is>
      </c>
    </row>
    <row r="37">
      <c r="A37" s="9" t="n"/>
      <c r="B37" s="1" t="inlineStr">
        <is>
          <t>DOLF27</t>
        </is>
      </c>
    </row>
    <row r="38">
      <c r="A38" s="9" t="n"/>
      <c r="B38" s="1" t="inlineStr">
        <is>
          <t>DOLF27</t>
        </is>
      </c>
    </row>
    <row r="39">
      <c r="A39" s="9" t="n"/>
      <c r="B39" s="1" t="inlineStr">
        <is>
          <t>DOLF27</t>
        </is>
      </c>
    </row>
    <row r="40">
      <c r="A40" s="9" t="n"/>
      <c r="B40" s="1" t="inlineStr">
        <is>
          <t>DOLF27</t>
        </is>
      </c>
    </row>
    <row r="41">
      <c r="A41" s="9" t="n"/>
      <c r="B41" s="1" t="inlineStr">
        <is>
          <t>DOLF27</t>
        </is>
      </c>
    </row>
    <row r="42">
      <c r="A42" s="9" t="n"/>
      <c r="B42" s="1" t="inlineStr">
        <is>
          <t>DOLF27</t>
        </is>
      </c>
    </row>
    <row r="43">
      <c r="A43" s="9" t="n"/>
      <c r="B43" s="1" t="inlineStr">
        <is>
          <t>DOLF27</t>
        </is>
      </c>
    </row>
    <row r="44">
      <c r="A44" s="9" t="n"/>
      <c r="B44" s="1" t="inlineStr">
        <is>
          <t>DOLF27</t>
        </is>
      </c>
    </row>
    <row r="45">
      <c r="A45" s="9" t="n"/>
      <c r="B45" s="1" t="inlineStr">
        <is>
          <t>DOLF27</t>
        </is>
      </c>
    </row>
    <row r="46">
      <c r="A46" s="9" t="n"/>
      <c r="B46" s="1" t="inlineStr">
        <is>
          <t>DOLF27</t>
        </is>
      </c>
    </row>
    <row r="47">
      <c r="A47" s="9" t="n"/>
      <c r="B47" s="1" t="inlineStr">
        <is>
          <t>DOLF27</t>
        </is>
      </c>
    </row>
    <row r="48">
      <c r="A48" s="9" t="n"/>
      <c r="B48" s="1" t="inlineStr">
        <is>
          <t>DOLF27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8.xml><?xml version="1.0" encoding="utf-8"?>
<worksheet xmlns="http://schemas.openxmlformats.org/spreadsheetml/2006/main">
  <sheetPr codeName="Planilha6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DOLG27</t>
        </is>
      </c>
      <c r="C2" t="n">
        <v>5337.674</v>
      </c>
    </row>
    <row r="3">
      <c r="A3" s="9" t="n">
        <v>46189</v>
      </c>
      <c r="B3" s="1" t="inlineStr">
        <is>
          <t>DOLG27</t>
        </is>
      </c>
      <c r="C3" t="n">
        <v>5361.786</v>
      </c>
    </row>
    <row r="4">
      <c r="A4" s="9" t="n">
        <v>46190</v>
      </c>
      <c r="B4" s="1" t="inlineStr">
        <is>
          <t>DOLG27</t>
        </is>
      </c>
      <c r="C4" t="n">
        <v>5345.844</v>
      </c>
    </row>
    <row r="5">
      <c r="A5" s="9" t="n">
        <v>46191</v>
      </c>
      <c r="B5" s="1" t="inlineStr">
        <is>
          <t>DOLG27</t>
        </is>
      </c>
      <c r="C5" t="n">
        <v>5435.688</v>
      </c>
    </row>
    <row r="6">
      <c r="A6" s="9" t="n">
        <v>46192</v>
      </c>
      <c r="B6" s="1" t="inlineStr">
        <is>
          <t>DOLG27</t>
        </is>
      </c>
      <c r="C6" t="n">
        <v>5405.031</v>
      </c>
    </row>
    <row r="7">
      <c r="A7" s="9" t="n">
        <v>46195</v>
      </c>
      <c r="B7" s="1" t="inlineStr">
        <is>
          <t>DOLG27</t>
        </is>
      </c>
      <c r="C7" t="n">
        <v>5401.555</v>
      </c>
    </row>
    <row r="8">
      <c r="A8" s="9" t="n">
        <v>46196</v>
      </c>
      <c r="B8" s="1" t="inlineStr">
        <is>
          <t>DOLG27</t>
        </is>
      </c>
      <c r="C8" t="n">
        <v>5449.871</v>
      </c>
    </row>
    <row r="9">
      <c r="A9" s="9" t="n">
        <v>46197</v>
      </c>
      <c r="B9" s="1" t="inlineStr">
        <is>
          <t>DOLG27</t>
        </is>
      </c>
      <c r="C9" t="n">
        <v>5454.594</v>
      </c>
    </row>
    <row r="10">
      <c r="A10" s="9" t="n">
        <v>46198</v>
      </c>
      <c r="B10" s="1" t="inlineStr">
        <is>
          <t>DOLG27</t>
        </is>
      </c>
      <c r="C10" t="n">
        <v>5433.248</v>
      </c>
    </row>
    <row r="11">
      <c r="A11" s="9" t="n">
        <v>46199</v>
      </c>
      <c r="B11" s="1" t="inlineStr">
        <is>
          <t>DOLG27</t>
        </is>
      </c>
      <c r="C11" t="n">
        <v>5419.333</v>
      </c>
    </row>
    <row r="12">
      <c r="A12" s="9" t="n">
        <v>46202</v>
      </c>
      <c r="B12" s="1" t="inlineStr">
        <is>
          <t>DOLG27</t>
        </is>
      </c>
      <c r="C12" t="n">
        <v>5411.8</v>
      </c>
    </row>
    <row r="13">
      <c r="A13" s="9" t="n">
        <v>46203</v>
      </c>
      <c r="B13" s="1" t="inlineStr">
        <is>
          <t>DOLG27</t>
        </is>
      </c>
      <c r="C13" t="n">
        <v>5411.54</v>
      </c>
    </row>
    <row r="14">
      <c r="A14" s="9" t="n">
        <v>46204</v>
      </c>
      <c r="B14" s="1" t="inlineStr">
        <is>
          <t>DOLG27</t>
        </is>
      </c>
      <c r="C14" t="n">
        <v>5453.491</v>
      </c>
    </row>
    <row r="15">
      <c r="A15" s="9" t="n">
        <v>46205</v>
      </c>
      <c r="B15" s="1" t="inlineStr">
        <is>
          <t>DOLG27</t>
        </is>
      </c>
      <c r="C15" t="n">
        <v>5449.864</v>
      </c>
    </row>
    <row r="16">
      <c r="A16" s="9" t="n">
        <v>46206</v>
      </c>
      <c r="B16" s="1" t="inlineStr">
        <is>
          <t>DOLG27</t>
        </is>
      </c>
      <c r="C16" t="n">
        <v>5408.755</v>
      </c>
    </row>
    <row r="17">
      <c r="A17" s="9" t="n">
        <v>46209</v>
      </c>
      <c r="B17" s="1" t="inlineStr">
        <is>
          <t>DOLG27</t>
        </is>
      </c>
      <c r="C17" t="n">
        <v>5365.603</v>
      </c>
    </row>
    <row r="18">
      <c r="A18" s="9" t="n">
        <v>46210</v>
      </c>
      <c r="B18" s="1" t="inlineStr">
        <is>
          <t>DOLG27</t>
        </is>
      </c>
      <c r="C18" t="n">
        <v>5390.962</v>
      </c>
    </row>
    <row r="19">
      <c r="A19" s="9" t="n">
        <v>46211</v>
      </c>
      <c r="B19" s="1" t="inlineStr">
        <is>
          <t>DOLG27</t>
        </is>
      </c>
      <c r="C19" t="n">
        <v>5379.339</v>
      </c>
    </row>
    <row r="20">
      <c r="A20" s="9" t="n">
        <v>46212</v>
      </c>
      <c r="B20" s="1" t="inlineStr">
        <is>
          <t>DOLG27</t>
        </is>
      </c>
      <c r="C20" t="n">
        <v>5348.251</v>
      </c>
    </row>
    <row r="21">
      <c r="A21" s="9" t="n">
        <v>46213</v>
      </c>
      <c r="B21" s="1" t="inlineStr">
        <is>
          <t>DOLG27</t>
        </is>
      </c>
      <c r="C21" t="n">
        <v>5331.559</v>
      </c>
    </row>
    <row r="22">
      <c r="A22" s="9" t="n">
        <v>46216</v>
      </c>
      <c r="B22" s="1" t="inlineStr">
        <is>
          <t>DOLG27</t>
        </is>
      </c>
      <c r="C22" t="n">
        <v>5354.825</v>
      </c>
    </row>
    <row r="23">
      <c r="A23" s="9" t="n">
        <v>46217</v>
      </c>
      <c r="B23" s="1" t="inlineStr">
        <is>
          <t>DOLG27</t>
        </is>
      </c>
      <c r="C23" t="n">
        <v>5292.986</v>
      </c>
    </row>
    <row r="24">
      <c r="A24" s="9" t="n"/>
      <c r="B24" s="1" t="inlineStr">
        <is>
          <t>DOLG27</t>
        </is>
      </c>
    </row>
    <row r="25">
      <c r="A25" s="9" t="n"/>
      <c r="B25" s="1" t="inlineStr">
        <is>
          <t>DOLG27</t>
        </is>
      </c>
    </row>
    <row r="26">
      <c r="A26" s="9" t="n"/>
      <c r="B26" s="1" t="inlineStr">
        <is>
          <t>DOLG27</t>
        </is>
      </c>
    </row>
    <row r="27">
      <c r="A27" s="9" t="n"/>
      <c r="B27" s="1" t="inlineStr">
        <is>
          <t>DOLG27</t>
        </is>
      </c>
    </row>
    <row r="28">
      <c r="A28" s="9" t="n"/>
      <c r="B28" s="1" t="inlineStr">
        <is>
          <t>DOLG27</t>
        </is>
      </c>
    </row>
    <row r="29">
      <c r="A29" s="9" t="n"/>
      <c r="B29" s="1" t="inlineStr">
        <is>
          <t>DOLG27</t>
        </is>
      </c>
    </row>
    <row r="30">
      <c r="A30" s="9" t="n"/>
      <c r="B30" s="1" t="inlineStr">
        <is>
          <t>DOLG27</t>
        </is>
      </c>
    </row>
    <row r="31">
      <c r="A31" s="9" t="n"/>
      <c r="B31" s="1" t="inlineStr">
        <is>
          <t>DOLG27</t>
        </is>
      </c>
    </row>
    <row r="32">
      <c r="A32" s="9" t="n"/>
      <c r="B32" s="1" t="inlineStr">
        <is>
          <t>DOLG27</t>
        </is>
      </c>
    </row>
    <row r="33">
      <c r="A33" s="9" t="n"/>
      <c r="B33" s="1" t="inlineStr">
        <is>
          <t>DOLG27</t>
        </is>
      </c>
    </row>
    <row r="34">
      <c r="A34" s="9" t="n"/>
      <c r="B34" s="1" t="inlineStr">
        <is>
          <t>DOLG27</t>
        </is>
      </c>
    </row>
    <row r="35">
      <c r="A35" s="9" t="n"/>
      <c r="B35" s="1" t="inlineStr">
        <is>
          <t>DOLG27</t>
        </is>
      </c>
    </row>
    <row r="36">
      <c r="A36" s="9" t="n"/>
      <c r="B36" s="1" t="inlineStr">
        <is>
          <t>DOLG27</t>
        </is>
      </c>
    </row>
    <row r="37">
      <c r="A37" s="9" t="n"/>
      <c r="B37" s="1" t="inlineStr">
        <is>
          <t>DOLG27</t>
        </is>
      </c>
    </row>
    <row r="38">
      <c r="A38" s="9" t="n"/>
      <c r="B38" s="1" t="inlineStr">
        <is>
          <t>DOLG27</t>
        </is>
      </c>
    </row>
    <row r="39">
      <c r="A39" s="9" t="n"/>
      <c r="B39" s="1" t="inlineStr">
        <is>
          <t>DOLG27</t>
        </is>
      </c>
    </row>
    <row r="40">
      <c r="A40" s="9" t="n"/>
      <c r="B40" s="1" t="inlineStr">
        <is>
          <t>DOLG27</t>
        </is>
      </c>
    </row>
    <row r="41">
      <c r="A41" s="9" t="n"/>
      <c r="B41" s="1" t="inlineStr">
        <is>
          <t>DOLG27</t>
        </is>
      </c>
    </row>
    <row r="42">
      <c r="A42" s="9" t="n"/>
      <c r="B42" s="1" t="inlineStr">
        <is>
          <t>DOLG27</t>
        </is>
      </c>
    </row>
    <row r="43">
      <c r="A43" s="9" t="n"/>
      <c r="B43" s="1" t="inlineStr">
        <is>
          <t>DOLG27</t>
        </is>
      </c>
    </row>
    <row r="44">
      <c r="A44" s="9" t="n"/>
      <c r="B44" s="1" t="inlineStr">
        <is>
          <t>DOLG27</t>
        </is>
      </c>
    </row>
    <row r="45">
      <c r="A45" s="9" t="n"/>
      <c r="B45" s="1" t="inlineStr">
        <is>
          <t>DOLG27</t>
        </is>
      </c>
    </row>
    <row r="46">
      <c r="A46" s="9" t="n"/>
      <c r="B46" s="1" t="inlineStr">
        <is>
          <t>DOLG27</t>
        </is>
      </c>
    </row>
    <row r="47">
      <c r="A47" s="9" t="n"/>
      <c r="B47" s="1" t="inlineStr">
        <is>
          <t>DOLG27</t>
        </is>
      </c>
    </row>
    <row r="48">
      <c r="A48" s="9" t="n"/>
      <c r="B48" s="1" t="inlineStr">
        <is>
          <t>DOLG27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69.xml><?xml version="1.0" encoding="utf-8"?>
<worksheet xmlns="http://schemas.openxmlformats.org/spreadsheetml/2006/main">
  <sheetPr codeName="Planilha6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DOLH27</t>
        </is>
      </c>
      <c r="C2" t="n">
        <v>5368.808</v>
      </c>
    </row>
    <row r="3">
      <c r="A3" s="9" t="n">
        <v>46189</v>
      </c>
      <c r="B3" s="1" t="inlineStr">
        <is>
          <t>DOLH27</t>
        </is>
      </c>
      <c r="C3" t="n">
        <v>5393.318</v>
      </c>
    </row>
    <row r="4">
      <c r="A4" s="9" t="n">
        <v>46190</v>
      </c>
      <c r="B4" s="1" t="inlineStr">
        <is>
          <t>DOLH27</t>
        </is>
      </c>
      <c r="C4" t="n">
        <v>5377.604</v>
      </c>
    </row>
    <row r="5">
      <c r="A5" s="9" t="n">
        <v>46191</v>
      </c>
      <c r="B5" s="1" t="inlineStr">
        <is>
          <t>DOLH27</t>
        </is>
      </c>
      <c r="C5" t="n">
        <v>5468.565</v>
      </c>
    </row>
    <row r="6">
      <c r="A6" s="9" t="n">
        <v>46192</v>
      </c>
      <c r="B6" s="1" t="inlineStr">
        <is>
          <t>DOLH27</t>
        </is>
      </c>
      <c r="C6" t="n">
        <v>5437.923</v>
      </c>
    </row>
    <row r="7">
      <c r="A7" s="9" t="n">
        <v>46195</v>
      </c>
      <c r="B7" s="1" t="inlineStr">
        <is>
          <t>DOLH27</t>
        </is>
      </c>
      <c r="C7" t="n">
        <v>5434.01</v>
      </c>
    </row>
    <row r="8">
      <c r="A8" s="9" t="n">
        <v>46196</v>
      </c>
      <c r="B8" s="1" t="inlineStr">
        <is>
          <t>DOLH27</t>
        </is>
      </c>
      <c r="C8" t="n">
        <v>5480.987</v>
      </c>
    </row>
    <row r="9">
      <c r="A9" s="9" t="n">
        <v>46197</v>
      </c>
      <c r="B9" s="1" t="inlineStr">
        <is>
          <t>DOLH27</t>
        </is>
      </c>
      <c r="C9" t="n">
        <v>5484.85</v>
      </c>
    </row>
    <row r="10">
      <c r="A10" s="9" t="n">
        <v>46198</v>
      </c>
      <c r="B10" s="1" t="inlineStr">
        <is>
          <t>DOLH27</t>
        </is>
      </c>
      <c r="C10" t="n">
        <v>5463.535</v>
      </c>
    </row>
    <row r="11">
      <c r="A11" s="9" t="n">
        <v>46199</v>
      </c>
      <c r="B11" s="1" t="inlineStr">
        <is>
          <t>DOLH27</t>
        </is>
      </c>
      <c r="C11" t="n">
        <v>5449.601</v>
      </c>
    </row>
    <row r="12">
      <c r="A12" s="9" t="n">
        <v>46202</v>
      </c>
      <c r="B12" s="1" t="inlineStr">
        <is>
          <t>DOLH27</t>
        </is>
      </c>
      <c r="C12" t="n">
        <v>5441.861</v>
      </c>
    </row>
    <row r="13">
      <c r="A13" s="9" t="n">
        <v>46203</v>
      </c>
      <c r="B13" s="1" t="inlineStr">
        <is>
          <t>DOLH27</t>
        </is>
      </c>
      <c r="C13" t="n">
        <v>5440.914</v>
      </c>
    </row>
    <row r="14">
      <c r="A14" s="9" t="n">
        <v>46204</v>
      </c>
      <c r="B14" s="1" t="inlineStr">
        <is>
          <t>DOLH27</t>
        </is>
      </c>
      <c r="C14" t="n">
        <v>5482.698</v>
      </c>
    </row>
    <row r="15">
      <c r="A15" s="9" t="n">
        <v>46205</v>
      </c>
      <c r="B15" s="1" t="inlineStr">
        <is>
          <t>DOLH27</t>
        </is>
      </c>
      <c r="C15" t="n">
        <v>5479.313</v>
      </c>
    </row>
    <row r="16">
      <c r="A16" s="9" t="n">
        <v>46206</v>
      </c>
      <c r="B16" s="1" t="inlineStr">
        <is>
          <t>DOLH27</t>
        </is>
      </c>
      <c r="C16" t="n">
        <v>5437.441</v>
      </c>
    </row>
    <row r="17">
      <c r="A17" s="9" t="n">
        <v>46209</v>
      </c>
      <c r="B17" s="1" t="inlineStr">
        <is>
          <t>DOLH27</t>
        </is>
      </c>
      <c r="C17" t="n">
        <v>5393.679</v>
      </c>
    </row>
    <row r="18">
      <c r="A18" s="9" t="n">
        <v>46210</v>
      </c>
      <c r="B18" s="1" t="inlineStr">
        <is>
          <t>DOLH27</t>
        </is>
      </c>
      <c r="C18" t="n">
        <v>5419.241</v>
      </c>
    </row>
    <row r="19">
      <c r="A19" s="9" t="n">
        <v>46211</v>
      </c>
      <c r="B19" s="1" t="inlineStr">
        <is>
          <t>DOLH27</t>
        </is>
      </c>
      <c r="C19" t="n">
        <v>5407.897</v>
      </c>
    </row>
    <row r="20">
      <c r="A20" s="9" t="n">
        <v>46212</v>
      </c>
      <c r="B20" s="1" t="inlineStr">
        <is>
          <t>DOLH27</t>
        </is>
      </c>
      <c r="C20" t="n">
        <v>5376.605</v>
      </c>
    </row>
    <row r="21">
      <c r="A21" s="9" t="n">
        <v>46213</v>
      </c>
      <c r="B21" s="1" t="inlineStr">
        <is>
          <t>DOLH27</t>
        </is>
      </c>
      <c r="C21" t="n">
        <v>5359.135</v>
      </c>
    </row>
    <row r="22">
      <c r="A22" s="9" t="n">
        <v>46216</v>
      </c>
      <c r="B22" s="1" t="inlineStr">
        <is>
          <t>DOLH27</t>
        </is>
      </c>
      <c r="C22" t="n">
        <v>5383.017</v>
      </c>
    </row>
    <row r="23">
      <c r="A23" s="9" t="n">
        <v>46217</v>
      </c>
      <c r="B23" s="1" t="inlineStr">
        <is>
          <t>DOLH27</t>
        </is>
      </c>
      <c r="C23" t="n">
        <v>5320.704</v>
      </c>
    </row>
    <row r="24">
      <c r="A24" s="9" t="n"/>
      <c r="B24" s="1" t="inlineStr">
        <is>
          <t>DOLH27</t>
        </is>
      </c>
    </row>
    <row r="25">
      <c r="A25" s="9" t="n"/>
      <c r="B25" s="1" t="inlineStr">
        <is>
          <t>DOLH27</t>
        </is>
      </c>
    </row>
    <row r="26">
      <c r="A26" s="9" t="n"/>
      <c r="B26" s="1" t="inlineStr">
        <is>
          <t>DOLH27</t>
        </is>
      </c>
    </row>
    <row r="27">
      <c r="A27" s="9" t="n"/>
      <c r="B27" s="1" t="inlineStr">
        <is>
          <t>DOLH27</t>
        </is>
      </c>
    </row>
    <row r="28">
      <c r="A28" s="9" t="n"/>
      <c r="B28" s="1" t="inlineStr">
        <is>
          <t>DOLH27</t>
        </is>
      </c>
    </row>
    <row r="29">
      <c r="A29" s="9" t="n"/>
      <c r="B29" s="1" t="inlineStr">
        <is>
          <t>DOLH27</t>
        </is>
      </c>
    </row>
    <row r="30">
      <c r="A30" s="9" t="n"/>
      <c r="B30" s="1" t="inlineStr">
        <is>
          <t>DOLH27</t>
        </is>
      </c>
    </row>
    <row r="31">
      <c r="A31" s="9" t="n"/>
      <c r="B31" s="1" t="inlineStr">
        <is>
          <t>DOLH27</t>
        </is>
      </c>
    </row>
    <row r="32">
      <c r="A32" s="9" t="n"/>
      <c r="B32" s="1" t="inlineStr">
        <is>
          <t>DOLH27</t>
        </is>
      </c>
    </row>
    <row r="33">
      <c r="A33" s="9" t="n"/>
      <c r="B33" s="1" t="inlineStr">
        <is>
          <t>DOLH27</t>
        </is>
      </c>
    </row>
    <row r="34">
      <c r="A34" s="9" t="n"/>
      <c r="B34" s="1" t="inlineStr">
        <is>
          <t>DOLH27</t>
        </is>
      </c>
    </row>
    <row r="35">
      <c r="A35" s="9" t="n"/>
      <c r="B35" s="1" t="inlineStr">
        <is>
          <t>DOLH27</t>
        </is>
      </c>
    </row>
    <row r="36">
      <c r="A36" s="9" t="n"/>
      <c r="B36" s="1" t="inlineStr">
        <is>
          <t>DOLH27</t>
        </is>
      </c>
    </row>
    <row r="37">
      <c r="A37" s="9" t="n"/>
      <c r="B37" s="1" t="inlineStr">
        <is>
          <t>DOLH27</t>
        </is>
      </c>
    </row>
    <row r="38">
      <c r="A38" s="9" t="n"/>
      <c r="B38" s="1" t="inlineStr">
        <is>
          <t>DOLH27</t>
        </is>
      </c>
    </row>
    <row r="39">
      <c r="A39" s="9" t="n"/>
      <c r="B39" s="1" t="inlineStr">
        <is>
          <t>DOLH27</t>
        </is>
      </c>
    </row>
    <row r="40">
      <c r="A40" s="9" t="n"/>
      <c r="B40" s="1" t="inlineStr">
        <is>
          <t>DOLH27</t>
        </is>
      </c>
    </row>
    <row r="41">
      <c r="A41" s="9" t="n"/>
      <c r="B41" s="1" t="inlineStr">
        <is>
          <t>DOLH27</t>
        </is>
      </c>
    </row>
    <row r="42">
      <c r="A42" s="9" t="n"/>
      <c r="B42" s="1" t="inlineStr">
        <is>
          <t>DOLH27</t>
        </is>
      </c>
    </row>
    <row r="43">
      <c r="A43" s="9" t="n"/>
      <c r="B43" s="1" t="inlineStr">
        <is>
          <t>DOLH27</t>
        </is>
      </c>
    </row>
    <row r="44">
      <c r="A44" s="9" t="n"/>
      <c r="B44" s="1" t="inlineStr">
        <is>
          <t>DOLH27</t>
        </is>
      </c>
    </row>
    <row r="45">
      <c r="A45" s="9" t="n"/>
      <c r="B45" s="1" t="inlineStr">
        <is>
          <t>DOLH27</t>
        </is>
      </c>
    </row>
    <row r="46">
      <c r="A46" s="9" t="n"/>
      <c r="B46" s="1" t="inlineStr">
        <is>
          <t>DOLH27</t>
        </is>
      </c>
    </row>
    <row r="47">
      <c r="A47" s="9" t="n"/>
      <c r="B47" s="1" t="inlineStr">
        <is>
          <t>DOLH27</t>
        </is>
      </c>
    </row>
    <row r="48">
      <c r="A48" s="9" t="n"/>
      <c r="B48" s="1" t="inlineStr">
        <is>
          <t>DOLH27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0.xml><?xml version="1.0" encoding="utf-8"?>
<worksheet xmlns="http://schemas.openxmlformats.org/spreadsheetml/2006/main">
  <sheetPr codeName="Planilha7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DOLJ27</t>
        </is>
      </c>
      <c r="C2" t="n">
        <v>5409.395</v>
      </c>
    </row>
    <row r="3">
      <c r="A3" s="9" t="n">
        <v>46189</v>
      </c>
      <c r="B3" s="1" t="inlineStr">
        <is>
          <t>DOLJ27</t>
        </is>
      </c>
      <c r="C3" t="n">
        <v>5434.867</v>
      </c>
    </row>
    <row r="4">
      <c r="A4" s="9" t="n">
        <v>46190</v>
      </c>
      <c r="B4" s="1" t="inlineStr">
        <is>
          <t>DOLJ27</t>
        </is>
      </c>
      <c r="C4" t="n">
        <v>5418.858</v>
      </c>
    </row>
    <row r="5">
      <c r="A5" s="9" t="n">
        <v>46191</v>
      </c>
      <c r="B5" s="1" t="inlineStr">
        <is>
          <t>DOLJ27</t>
        </is>
      </c>
      <c r="C5" t="n">
        <v>5510.481</v>
      </c>
    </row>
    <row r="6">
      <c r="A6" s="9" t="n">
        <v>46192</v>
      </c>
      <c r="B6" s="1" t="inlineStr">
        <is>
          <t>DOLJ27</t>
        </is>
      </c>
      <c r="C6" t="n">
        <v>5479.484</v>
      </c>
    </row>
    <row r="7">
      <c r="A7" s="9" t="n">
        <v>46195</v>
      </c>
      <c r="B7" s="1" t="inlineStr">
        <is>
          <t>DOLJ27</t>
        </is>
      </c>
      <c r="C7" t="n">
        <v>5475.053</v>
      </c>
    </row>
    <row r="8">
      <c r="A8" s="9" t="n">
        <v>46196</v>
      </c>
      <c r="B8" s="1" t="inlineStr">
        <is>
          <t>DOLJ27</t>
        </is>
      </c>
      <c r="C8" t="n">
        <v>5522.276</v>
      </c>
    </row>
    <row r="9">
      <c r="A9" s="9" t="n">
        <v>46197</v>
      </c>
      <c r="B9" s="1" t="inlineStr">
        <is>
          <t>DOLJ27</t>
        </is>
      </c>
      <c r="C9" t="n">
        <v>5524.712</v>
      </c>
    </row>
    <row r="10">
      <c r="A10" s="9" t="n">
        <v>46198</v>
      </c>
      <c r="B10" s="1" t="inlineStr">
        <is>
          <t>DOLJ27</t>
        </is>
      </c>
      <c r="C10" t="n">
        <v>5502.735</v>
      </c>
    </row>
    <row r="11">
      <c r="A11" s="9" t="n">
        <v>46199</v>
      </c>
      <c r="B11" s="1" t="inlineStr">
        <is>
          <t>DOLJ27</t>
        </is>
      </c>
      <c r="C11" t="n">
        <v>5488.32</v>
      </c>
    </row>
    <row r="12">
      <c r="A12" s="9" t="n">
        <v>46202</v>
      </c>
      <c r="B12" s="1" t="inlineStr">
        <is>
          <t>DOLJ27</t>
        </is>
      </c>
      <c r="C12" t="n">
        <v>5480.15</v>
      </c>
    </row>
    <row r="13">
      <c r="A13" s="9" t="n">
        <v>46203</v>
      </c>
      <c r="B13" s="1" t="inlineStr">
        <is>
          <t>DOLJ27</t>
        </is>
      </c>
      <c r="C13" t="n">
        <v>5478.137</v>
      </c>
    </row>
    <row r="14">
      <c r="A14" s="9" t="n">
        <v>46204</v>
      </c>
      <c r="B14" s="1" t="inlineStr">
        <is>
          <t>DOLJ27</t>
        </is>
      </c>
      <c r="C14" t="n">
        <v>5520.574</v>
      </c>
    </row>
    <row r="15">
      <c r="A15" s="9" t="n">
        <v>46205</v>
      </c>
      <c r="B15" s="1" t="inlineStr">
        <is>
          <t>DOLJ27</t>
        </is>
      </c>
      <c r="C15" t="n">
        <v>5518.076</v>
      </c>
    </row>
    <row r="16">
      <c r="A16" s="9" t="n">
        <v>46206</v>
      </c>
      <c r="B16" s="1" t="inlineStr">
        <is>
          <t>DOLJ27</t>
        </is>
      </c>
      <c r="C16" t="n">
        <v>5475.494</v>
      </c>
    </row>
    <row r="17">
      <c r="A17" s="9" t="n">
        <v>46209</v>
      </c>
      <c r="B17" s="1" t="inlineStr">
        <is>
          <t>DOLJ27</t>
        </is>
      </c>
      <c r="C17" t="n">
        <v>5431.431</v>
      </c>
    </row>
    <row r="18">
      <c r="A18" s="9" t="n">
        <v>46210</v>
      </c>
      <c r="B18" s="1" t="inlineStr">
        <is>
          <t>DOLJ27</t>
        </is>
      </c>
      <c r="C18" t="n">
        <v>5456.597</v>
      </c>
    </row>
    <row r="19">
      <c r="A19" s="9" t="n">
        <v>46211</v>
      </c>
      <c r="B19" s="1" t="inlineStr">
        <is>
          <t>DOLJ27</t>
        </is>
      </c>
      <c r="C19" t="n">
        <v>5444.652</v>
      </c>
    </row>
    <row r="20">
      <c r="A20" s="9" t="n">
        <v>46212</v>
      </c>
      <c r="B20" s="1" t="inlineStr">
        <is>
          <t>DOLJ27</t>
        </is>
      </c>
      <c r="C20" t="n">
        <v>5413.04</v>
      </c>
    </row>
    <row r="21">
      <c r="A21" s="9" t="n">
        <v>46213</v>
      </c>
      <c r="B21" s="1" t="inlineStr">
        <is>
          <t>DOLJ27</t>
        </is>
      </c>
      <c r="C21" t="n">
        <v>5394.943</v>
      </c>
    </row>
    <row r="22">
      <c r="A22" s="9" t="n">
        <v>46216</v>
      </c>
      <c r="B22" s="1" t="inlineStr">
        <is>
          <t>DOLJ27</t>
        </is>
      </c>
      <c r="C22" t="n">
        <v>5419.595</v>
      </c>
    </row>
    <row r="23">
      <c r="A23" s="9" t="n">
        <v>46217</v>
      </c>
      <c r="B23" s="1" t="inlineStr">
        <is>
          <t>DOLJ27</t>
        </is>
      </c>
      <c r="C23" t="n">
        <v>5356.73</v>
      </c>
    </row>
    <row r="24">
      <c r="A24" s="9" t="n"/>
      <c r="B24" s="1" t="inlineStr">
        <is>
          <t>DOLJ27</t>
        </is>
      </c>
    </row>
    <row r="25">
      <c r="A25" s="9" t="n"/>
      <c r="B25" s="1" t="inlineStr">
        <is>
          <t>DOLJ27</t>
        </is>
      </c>
    </row>
    <row r="26">
      <c r="A26" s="9" t="n"/>
      <c r="B26" s="1" t="inlineStr">
        <is>
          <t>DOLJ27</t>
        </is>
      </c>
    </row>
    <row r="27">
      <c r="A27" s="9" t="n"/>
      <c r="B27" s="1" t="inlineStr">
        <is>
          <t>DOLJ27</t>
        </is>
      </c>
    </row>
    <row r="28">
      <c r="A28" s="9" t="n"/>
      <c r="B28" s="1" t="inlineStr">
        <is>
          <t>DOLJ27</t>
        </is>
      </c>
    </row>
    <row r="29">
      <c r="A29" s="9" t="n"/>
      <c r="B29" s="1" t="inlineStr">
        <is>
          <t>DOLJ27</t>
        </is>
      </c>
    </row>
    <row r="30">
      <c r="A30" s="9" t="n"/>
      <c r="B30" s="1" t="inlineStr">
        <is>
          <t>DOLJ27</t>
        </is>
      </c>
    </row>
    <row r="31">
      <c r="A31" s="9" t="n"/>
      <c r="B31" s="1" t="inlineStr">
        <is>
          <t>DOLJ27</t>
        </is>
      </c>
    </row>
    <row r="32">
      <c r="A32" s="9" t="n"/>
      <c r="B32" s="1" t="inlineStr">
        <is>
          <t>DOLJ27</t>
        </is>
      </c>
    </row>
    <row r="33">
      <c r="A33" s="9" t="n"/>
      <c r="B33" s="1" t="inlineStr">
        <is>
          <t>DOLJ27</t>
        </is>
      </c>
    </row>
    <row r="34">
      <c r="A34" s="9" t="n"/>
      <c r="B34" s="1" t="inlineStr">
        <is>
          <t>DOLJ27</t>
        </is>
      </c>
    </row>
    <row r="35">
      <c r="A35" s="9" t="n"/>
      <c r="B35" s="1" t="inlineStr">
        <is>
          <t>DOLJ27</t>
        </is>
      </c>
    </row>
    <row r="36">
      <c r="A36" s="9" t="n"/>
      <c r="B36" s="1" t="inlineStr">
        <is>
          <t>DOLJ27</t>
        </is>
      </c>
    </row>
    <row r="37">
      <c r="A37" s="9" t="n"/>
      <c r="B37" s="1" t="inlineStr">
        <is>
          <t>DOLJ27</t>
        </is>
      </c>
    </row>
    <row r="38">
      <c r="A38" s="9" t="n"/>
      <c r="B38" s="1" t="inlineStr">
        <is>
          <t>DOLJ27</t>
        </is>
      </c>
    </row>
    <row r="39">
      <c r="A39" s="9" t="n"/>
      <c r="B39" s="1" t="inlineStr">
        <is>
          <t>DOLJ27</t>
        </is>
      </c>
    </row>
    <row r="40">
      <c r="A40" s="9" t="n"/>
      <c r="B40" s="1" t="inlineStr">
        <is>
          <t>DOLJ27</t>
        </is>
      </c>
    </row>
    <row r="41">
      <c r="A41" s="9" t="n"/>
      <c r="B41" s="1" t="inlineStr">
        <is>
          <t>DOLJ27</t>
        </is>
      </c>
    </row>
    <row r="42">
      <c r="A42" s="9" t="n"/>
      <c r="B42" s="1" t="inlineStr">
        <is>
          <t>DOLJ27</t>
        </is>
      </c>
    </row>
    <row r="43">
      <c r="A43" s="9" t="n"/>
      <c r="B43" s="1" t="inlineStr">
        <is>
          <t>DOLJ27</t>
        </is>
      </c>
    </row>
    <row r="44">
      <c r="A44" s="9" t="n"/>
      <c r="B44" s="1" t="inlineStr">
        <is>
          <t>DOLJ27</t>
        </is>
      </c>
    </row>
    <row r="45">
      <c r="A45" s="9" t="n"/>
      <c r="B45" s="1" t="inlineStr">
        <is>
          <t>DOLJ27</t>
        </is>
      </c>
    </row>
    <row r="46">
      <c r="A46" s="9" t="n"/>
      <c r="B46" s="1" t="inlineStr">
        <is>
          <t>DOLJ27</t>
        </is>
      </c>
    </row>
    <row r="47">
      <c r="A47" s="9" t="n"/>
      <c r="B47" s="1" t="inlineStr">
        <is>
          <t>DOLJ27</t>
        </is>
      </c>
    </row>
    <row r="48">
      <c r="A48" s="9" t="n"/>
      <c r="B48" s="1" t="inlineStr">
        <is>
          <t>DOLJ27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1.xml><?xml version="1.0" encoding="utf-8"?>
<worksheet xmlns="http://schemas.openxmlformats.org/spreadsheetml/2006/main">
  <sheetPr codeName="Planilha7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DOLK27</t>
        </is>
      </c>
      <c r="C2" t="n">
        <v>5445.334</v>
      </c>
    </row>
    <row r="3">
      <c r="A3" s="9" t="n">
        <v>46189</v>
      </c>
      <c r="B3" s="1" t="inlineStr">
        <is>
          <t>DOLK27</t>
        </is>
      </c>
      <c r="C3" t="n">
        <v>5471.111</v>
      </c>
    </row>
    <row r="4">
      <c r="A4" s="9" t="n">
        <v>46190</v>
      </c>
      <c r="B4" s="1" t="inlineStr">
        <is>
          <t>DOLK27</t>
        </is>
      </c>
      <c r="C4" t="n">
        <v>5456.548</v>
      </c>
    </row>
    <row r="5">
      <c r="A5" s="9" t="n">
        <v>46191</v>
      </c>
      <c r="B5" s="1" t="inlineStr">
        <is>
          <t>DOLK27</t>
        </is>
      </c>
      <c r="C5" t="n">
        <v>5549.504</v>
      </c>
    </row>
    <row r="6">
      <c r="A6" s="9" t="n">
        <v>46192</v>
      </c>
      <c r="B6" s="1" t="inlineStr">
        <is>
          <t>DOLK27</t>
        </is>
      </c>
      <c r="C6" t="n">
        <v>5518.233</v>
      </c>
    </row>
    <row r="7">
      <c r="A7" s="9" t="n">
        <v>46195</v>
      </c>
      <c r="B7" s="1" t="inlineStr">
        <is>
          <t>DOLK27</t>
        </is>
      </c>
      <c r="C7" t="n">
        <v>5512.943</v>
      </c>
    </row>
    <row r="8">
      <c r="A8" s="9" t="n">
        <v>46196</v>
      </c>
      <c r="B8" s="1" t="inlineStr">
        <is>
          <t>DOLK27</t>
        </is>
      </c>
      <c r="C8" t="n">
        <v>5559.103</v>
      </c>
    </row>
    <row r="9">
      <c r="A9" s="9" t="n">
        <v>46197</v>
      </c>
      <c r="B9" s="1" t="inlineStr">
        <is>
          <t>DOLK27</t>
        </is>
      </c>
      <c r="C9" t="n">
        <v>5560.609</v>
      </c>
    </row>
    <row r="10">
      <c r="A10" s="9" t="n">
        <v>46198</v>
      </c>
      <c r="B10" s="1" t="inlineStr">
        <is>
          <t>DOLK27</t>
        </is>
      </c>
      <c r="C10" t="n">
        <v>5537.564</v>
      </c>
    </row>
    <row r="11">
      <c r="A11" s="9" t="n">
        <v>46199</v>
      </c>
      <c r="B11" s="1" t="inlineStr">
        <is>
          <t>DOLK27</t>
        </is>
      </c>
      <c r="C11" t="n">
        <v>5522.731</v>
      </c>
    </row>
    <row r="12">
      <c r="A12" s="9" t="n">
        <v>46202</v>
      </c>
      <c r="B12" s="1" t="inlineStr">
        <is>
          <t>DOLK27</t>
        </is>
      </c>
      <c r="C12" t="n">
        <v>5513.836</v>
      </c>
    </row>
    <row r="13">
      <c r="A13" s="9" t="n">
        <v>46203</v>
      </c>
      <c r="B13" s="1" t="inlineStr">
        <is>
          <t>DOLK27</t>
        </is>
      </c>
      <c r="C13" t="n">
        <v>5511.465</v>
      </c>
    </row>
    <row r="14">
      <c r="A14" s="9" t="n">
        <v>46204</v>
      </c>
      <c r="B14" s="1" t="inlineStr">
        <is>
          <t>DOLK27</t>
        </is>
      </c>
      <c r="C14" t="n">
        <v>5554.807</v>
      </c>
    </row>
    <row r="15">
      <c r="A15" s="9" t="n">
        <v>46205</v>
      </c>
      <c r="B15" s="1" t="inlineStr">
        <is>
          <t>DOLK27</t>
        </is>
      </c>
      <c r="C15" t="n">
        <v>5552.801</v>
      </c>
    </row>
    <row r="16">
      <c r="A16" s="9" t="n">
        <v>46206</v>
      </c>
      <c r="B16" s="1" t="inlineStr">
        <is>
          <t>DOLK27</t>
        </is>
      </c>
      <c r="C16" t="n">
        <v>5509.174</v>
      </c>
    </row>
    <row r="17">
      <c r="A17" s="9" t="n">
        <v>46209</v>
      </c>
      <c r="B17" s="1" t="inlineStr">
        <is>
          <t>DOLK27</t>
        </is>
      </c>
      <c r="C17" t="n">
        <v>5464.626</v>
      </c>
    </row>
    <row r="18">
      <c r="A18" s="9" t="n">
        <v>46210</v>
      </c>
      <c r="B18" s="1" t="inlineStr">
        <is>
          <t>DOLK27</t>
        </is>
      </c>
      <c r="C18" t="n">
        <v>5490.349</v>
      </c>
    </row>
    <row r="19">
      <c r="A19" s="9" t="n">
        <v>46211</v>
      </c>
      <c r="B19" s="1" t="inlineStr">
        <is>
          <t>DOLK27</t>
        </is>
      </c>
      <c r="C19" t="n">
        <v>5478.594</v>
      </c>
    </row>
    <row r="20">
      <c r="A20" s="9" t="n">
        <v>46212</v>
      </c>
      <c r="B20" s="1" t="inlineStr">
        <is>
          <t>DOLK27</t>
        </is>
      </c>
      <c r="C20" t="n">
        <v>5446.784</v>
      </c>
    </row>
    <row r="21">
      <c r="A21" s="9" t="n">
        <v>46213</v>
      </c>
      <c r="B21" s="1" t="inlineStr">
        <is>
          <t>DOLK27</t>
        </is>
      </c>
      <c r="C21" t="n">
        <v>5427.383</v>
      </c>
    </row>
    <row r="22">
      <c r="A22" s="9" t="n">
        <v>46216</v>
      </c>
      <c r="B22" s="1" t="inlineStr">
        <is>
          <t>DOLK27</t>
        </is>
      </c>
      <c r="C22" t="n">
        <v>5452.396</v>
      </c>
    </row>
    <row r="23">
      <c r="A23" s="9" t="n">
        <v>46217</v>
      </c>
      <c r="B23" s="1" t="inlineStr">
        <is>
          <t>DOLK27</t>
        </is>
      </c>
      <c r="C23" t="n">
        <v>5389.057</v>
      </c>
    </row>
    <row r="24">
      <c r="A24" s="9" t="n"/>
      <c r="B24" s="1" t="inlineStr">
        <is>
          <t>DOLK27</t>
        </is>
      </c>
    </row>
    <row r="25">
      <c r="A25" s="9" t="n"/>
      <c r="B25" s="1" t="inlineStr">
        <is>
          <t>DOLK27</t>
        </is>
      </c>
    </row>
    <row r="26">
      <c r="A26" s="9" t="n"/>
      <c r="B26" s="1" t="inlineStr">
        <is>
          <t>DOLK27</t>
        </is>
      </c>
    </row>
    <row r="27">
      <c r="A27" s="9" t="n"/>
      <c r="B27" s="1" t="inlineStr">
        <is>
          <t>DOLK27</t>
        </is>
      </c>
    </row>
    <row r="28">
      <c r="A28" s="9" t="n"/>
      <c r="B28" s="1" t="inlineStr">
        <is>
          <t>DOLK27</t>
        </is>
      </c>
    </row>
    <row r="29">
      <c r="A29" s="9" t="n"/>
      <c r="B29" s="1" t="inlineStr">
        <is>
          <t>DOLK27</t>
        </is>
      </c>
    </row>
    <row r="30">
      <c r="A30" s="9" t="n"/>
      <c r="B30" s="1" t="inlineStr">
        <is>
          <t>DOLK27</t>
        </is>
      </c>
    </row>
    <row r="31">
      <c r="A31" s="9" t="n"/>
      <c r="B31" s="1" t="inlineStr">
        <is>
          <t>DOLK27</t>
        </is>
      </c>
    </row>
    <row r="32">
      <c r="A32" s="9" t="n"/>
      <c r="B32" s="1" t="inlineStr">
        <is>
          <t>DOLK27</t>
        </is>
      </c>
    </row>
    <row r="33">
      <c r="A33" s="9" t="n"/>
      <c r="B33" s="1" t="inlineStr">
        <is>
          <t>DOLK27</t>
        </is>
      </c>
    </row>
    <row r="34">
      <c r="A34" s="9" t="n"/>
      <c r="B34" s="1" t="inlineStr">
        <is>
          <t>DOLK27</t>
        </is>
      </c>
    </row>
    <row r="35">
      <c r="A35" s="9" t="n"/>
      <c r="B35" s="1" t="inlineStr">
        <is>
          <t>DOLK27</t>
        </is>
      </c>
    </row>
    <row r="36">
      <c r="A36" s="9" t="n"/>
      <c r="B36" s="1" t="inlineStr">
        <is>
          <t>DOLK27</t>
        </is>
      </c>
    </row>
    <row r="37">
      <c r="A37" s="9" t="n"/>
      <c r="B37" s="1" t="inlineStr">
        <is>
          <t>DOLK27</t>
        </is>
      </c>
    </row>
    <row r="38">
      <c r="A38" s="9" t="n"/>
      <c r="B38" s="1" t="inlineStr">
        <is>
          <t>DOLK27</t>
        </is>
      </c>
    </row>
    <row r="39">
      <c r="A39" s="9" t="n"/>
      <c r="B39" s="1" t="inlineStr">
        <is>
          <t>DOLK27</t>
        </is>
      </c>
    </row>
    <row r="40">
      <c r="A40" s="9" t="n"/>
      <c r="B40" s="1" t="inlineStr">
        <is>
          <t>DOLK27</t>
        </is>
      </c>
    </row>
    <row r="41">
      <c r="A41" s="9" t="n"/>
      <c r="B41" s="1" t="inlineStr">
        <is>
          <t>DOLK27</t>
        </is>
      </c>
    </row>
    <row r="42">
      <c r="A42" s="9" t="n"/>
      <c r="B42" s="1" t="inlineStr">
        <is>
          <t>DOLK27</t>
        </is>
      </c>
    </row>
    <row r="43">
      <c r="A43" s="9" t="n"/>
      <c r="B43" s="1" t="inlineStr">
        <is>
          <t>DOLK27</t>
        </is>
      </c>
    </row>
    <row r="44">
      <c r="A44" s="9" t="n"/>
      <c r="B44" s="1" t="inlineStr">
        <is>
          <t>DOLK27</t>
        </is>
      </c>
    </row>
    <row r="45">
      <c r="A45" s="9" t="n"/>
      <c r="B45" s="1" t="inlineStr">
        <is>
          <t>DOLK27</t>
        </is>
      </c>
    </row>
    <row r="46">
      <c r="A46" s="9" t="n"/>
      <c r="B46" s="1" t="inlineStr">
        <is>
          <t>DOLK27</t>
        </is>
      </c>
    </row>
    <row r="47">
      <c r="A47" s="9" t="n"/>
      <c r="B47" s="1" t="inlineStr">
        <is>
          <t>DOLK27</t>
        </is>
      </c>
    </row>
    <row r="48">
      <c r="A48" s="9" t="n"/>
      <c r="B48" s="1" t="inlineStr">
        <is>
          <t>DOLK27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2.xml><?xml version="1.0" encoding="utf-8"?>
<worksheet xmlns="http://schemas.openxmlformats.org/spreadsheetml/2006/main">
  <sheetPr codeName="Planilha7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DOLM27</t>
        </is>
      </c>
      <c r="C2" t="n">
        <v>5481.466</v>
      </c>
    </row>
    <row r="3">
      <c r="A3" s="9" t="n">
        <v>46189</v>
      </c>
      <c r="B3" s="1" t="inlineStr">
        <is>
          <t>DOLM27</t>
        </is>
      </c>
      <c r="C3" t="n">
        <v>5507.277</v>
      </c>
    </row>
    <row r="4">
      <c r="A4" s="9" t="n">
        <v>46190</v>
      </c>
      <c r="B4" s="1" t="inlineStr">
        <is>
          <t>DOLM27</t>
        </is>
      </c>
      <c r="C4" t="n">
        <v>5491.731</v>
      </c>
    </row>
    <row r="5">
      <c r="A5" s="9" t="n">
        <v>46191</v>
      </c>
      <c r="B5" s="1" t="inlineStr">
        <is>
          <t>DOLM27</t>
        </is>
      </c>
      <c r="C5" t="n">
        <v>5585.967</v>
      </c>
    </row>
    <row r="6">
      <c r="A6" s="9" t="n">
        <v>46192</v>
      </c>
      <c r="B6" s="1" t="inlineStr">
        <is>
          <t>DOLM27</t>
        </is>
      </c>
      <c r="C6" t="n">
        <v>5555.448</v>
      </c>
    </row>
    <row r="7">
      <c r="A7" s="9" t="n">
        <v>46195</v>
      </c>
      <c r="B7" s="1" t="inlineStr">
        <is>
          <t>DOLM27</t>
        </is>
      </c>
      <c r="C7" t="n">
        <v>5549.411</v>
      </c>
    </row>
    <row r="8">
      <c r="A8" s="9" t="n">
        <v>46196</v>
      </c>
      <c r="B8" s="1" t="inlineStr">
        <is>
          <t>DOLM27</t>
        </is>
      </c>
      <c r="C8" t="n">
        <v>5595.525</v>
      </c>
    </row>
    <row r="9">
      <c r="A9" s="9" t="n">
        <v>46197</v>
      </c>
      <c r="B9" s="1" t="inlineStr">
        <is>
          <t>DOLM27</t>
        </is>
      </c>
      <c r="C9" t="n">
        <v>5595.307</v>
      </c>
    </row>
    <row r="10">
      <c r="A10" s="9" t="n">
        <v>46198</v>
      </c>
      <c r="B10" s="1" t="inlineStr">
        <is>
          <t>DOLM27</t>
        </is>
      </c>
      <c r="C10" t="n">
        <v>5571.578</v>
      </c>
    </row>
    <row r="11">
      <c r="A11" s="9" t="n">
        <v>46199</v>
      </c>
      <c r="B11" s="1" t="inlineStr">
        <is>
          <t>DOLM27</t>
        </is>
      </c>
      <c r="C11" t="n">
        <v>5556.319</v>
      </c>
    </row>
    <row r="12">
      <c r="A12" s="9" t="n">
        <v>46202</v>
      </c>
      <c r="B12" s="1" t="inlineStr">
        <is>
          <t>DOLM27</t>
        </is>
      </c>
      <c r="C12" t="n">
        <v>5546.955</v>
      </c>
    </row>
    <row r="13">
      <c r="A13" s="9" t="n">
        <v>46203</v>
      </c>
      <c r="B13" s="1" t="inlineStr">
        <is>
          <t>DOLM27</t>
        </is>
      </c>
      <c r="C13" t="n">
        <v>5543.233</v>
      </c>
    </row>
    <row r="14">
      <c r="A14" s="9" t="n">
        <v>46204</v>
      </c>
      <c r="B14" s="1" t="inlineStr">
        <is>
          <t>DOLM27</t>
        </is>
      </c>
      <c r="C14" t="n">
        <v>5588.408</v>
      </c>
    </row>
    <row r="15">
      <c r="A15" s="9" t="n">
        <v>46205</v>
      </c>
      <c r="B15" s="1" t="inlineStr">
        <is>
          <t>DOLM27</t>
        </is>
      </c>
      <c r="C15" t="n">
        <v>5586.77</v>
      </c>
    </row>
    <row r="16">
      <c r="A16" s="9" t="n">
        <v>46206</v>
      </c>
      <c r="B16" s="1" t="inlineStr">
        <is>
          <t>DOLM27</t>
        </is>
      </c>
      <c r="C16" t="n">
        <v>5542.56</v>
      </c>
    </row>
    <row r="17">
      <c r="A17" s="9" t="n">
        <v>46209</v>
      </c>
      <c r="B17" s="1" t="inlineStr">
        <is>
          <t>DOLM27</t>
        </is>
      </c>
      <c r="C17" t="n">
        <v>5497.082</v>
      </c>
    </row>
    <row r="18">
      <c r="A18" s="9" t="n">
        <v>46210</v>
      </c>
      <c r="B18" s="1" t="inlineStr">
        <is>
          <t>DOLM27</t>
        </is>
      </c>
      <c r="C18" t="n">
        <v>5523.066</v>
      </c>
    </row>
    <row r="19">
      <c r="A19" s="9" t="n">
        <v>46211</v>
      </c>
      <c r="B19" s="1" t="inlineStr">
        <is>
          <t>DOLM27</t>
        </is>
      </c>
      <c r="C19" t="n">
        <v>5511.06</v>
      </c>
    </row>
    <row r="20">
      <c r="A20" s="9" t="n">
        <v>46212</v>
      </c>
      <c r="B20" s="1" t="inlineStr">
        <is>
          <t>DOLM27</t>
        </is>
      </c>
      <c r="C20" t="n">
        <v>5479.214</v>
      </c>
    </row>
    <row r="21">
      <c r="A21" s="9" t="n">
        <v>46213</v>
      </c>
      <c r="B21" s="1" t="inlineStr">
        <is>
          <t>DOLM27</t>
        </is>
      </c>
      <c r="C21" t="n">
        <v>5459.068</v>
      </c>
    </row>
    <row r="22">
      <c r="A22" s="9" t="n">
        <v>46216</v>
      </c>
      <c r="B22" s="1" t="inlineStr">
        <is>
          <t>DOLM27</t>
        </is>
      </c>
      <c r="C22" t="n">
        <v>5485.579</v>
      </c>
    </row>
    <row r="23">
      <c r="A23" s="9" t="n">
        <v>46217</v>
      </c>
      <c r="B23" s="1" t="inlineStr">
        <is>
          <t>DOLM27</t>
        </is>
      </c>
      <c r="C23" t="n">
        <v>5421.107</v>
      </c>
    </row>
    <row r="24">
      <c r="A24" s="9" t="n"/>
      <c r="B24" s="1" t="inlineStr">
        <is>
          <t>DOLM27</t>
        </is>
      </c>
    </row>
    <row r="25">
      <c r="A25" s="9" t="n"/>
      <c r="B25" s="1" t="inlineStr">
        <is>
          <t>DOLM27</t>
        </is>
      </c>
    </row>
    <row r="26">
      <c r="A26" s="9" t="n"/>
      <c r="B26" s="1" t="inlineStr">
        <is>
          <t>DOLM27</t>
        </is>
      </c>
    </row>
    <row r="27">
      <c r="A27" s="9" t="n"/>
      <c r="B27" s="1" t="inlineStr">
        <is>
          <t>DOLM27</t>
        </is>
      </c>
    </row>
    <row r="28">
      <c r="A28" s="9" t="n"/>
      <c r="B28" s="1" t="inlineStr">
        <is>
          <t>DOLM27</t>
        </is>
      </c>
    </row>
    <row r="29">
      <c r="A29" s="9" t="n"/>
      <c r="B29" s="1" t="inlineStr">
        <is>
          <t>DOLM27</t>
        </is>
      </c>
    </row>
    <row r="30">
      <c r="A30" s="9" t="n"/>
      <c r="B30" s="1" t="inlineStr">
        <is>
          <t>DOLM27</t>
        </is>
      </c>
    </row>
    <row r="31">
      <c r="A31" s="9" t="n"/>
      <c r="B31" s="1" t="inlineStr">
        <is>
          <t>DOLM27</t>
        </is>
      </c>
    </row>
    <row r="32">
      <c r="A32" s="9" t="n"/>
      <c r="B32" s="1" t="inlineStr">
        <is>
          <t>DOLM27</t>
        </is>
      </c>
    </row>
    <row r="33">
      <c r="A33" s="9" t="n"/>
      <c r="B33" s="1" t="inlineStr">
        <is>
          <t>DOLM27</t>
        </is>
      </c>
    </row>
    <row r="34">
      <c r="A34" s="9" t="n"/>
      <c r="B34" s="1" t="inlineStr">
        <is>
          <t>DOLM27</t>
        </is>
      </c>
    </row>
    <row r="35">
      <c r="A35" s="9" t="n"/>
      <c r="B35" s="1" t="inlineStr">
        <is>
          <t>DOLM27</t>
        </is>
      </c>
    </row>
    <row r="36">
      <c r="A36" s="9" t="n"/>
      <c r="B36" s="1" t="inlineStr">
        <is>
          <t>DOLM27</t>
        </is>
      </c>
    </row>
    <row r="37">
      <c r="A37" s="9" t="n"/>
      <c r="B37" s="1" t="inlineStr">
        <is>
          <t>DOLM27</t>
        </is>
      </c>
    </row>
    <row r="38">
      <c r="A38" s="9" t="n"/>
      <c r="B38" s="1" t="inlineStr">
        <is>
          <t>DOLM27</t>
        </is>
      </c>
    </row>
    <row r="39">
      <c r="A39" s="9" t="n"/>
      <c r="B39" s="1" t="inlineStr">
        <is>
          <t>DOLM27</t>
        </is>
      </c>
    </row>
    <row r="40">
      <c r="A40" s="9" t="n"/>
      <c r="B40" s="1" t="inlineStr">
        <is>
          <t>DOLM27</t>
        </is>
      </c>
    </row>
    <row r="41">
      <c r="A41" s="9" t="n"/>
      <c r="B41" s="1" t="inlineStr">
        <is>
          <t>DOLM27</t>
        </is>
      </c>
    </row>
    <row r="42">
      <c r="A42" s="9" t="n"/>
      <c r="B42" s="1" t="inlineStr">
        <is>
          <t>DOLM27</t>
        </is>
      </c>
    </row>
    <row r="43">
      <c r="A43" s="9" t="n"/>
      <c r="B43" s="1" t="inlineStr">
        <is>
          <t>DOLM27</t>
        </is>
      </c>
    </row>
    <row r="44">
      <c r="A44" s="9" t="n"/>
      <c r="B44" s="1" t="inlineStr">
        <is>
          <t>DOLM27</t>
        </is>
      </c>
    </row>
    <row r="45">
      <c r="A45" s="9" t="n"/>
      <c r="B45" s="1" t="inlineStr">
        <is>
          <t>DOLM27</t>
        </is>
      </c>
    </row>
    <row r="46">
      <c r="A46" s="9" t="n"/>
      <c r="B46" s="1" t="inlineStr">
        <is>
          <t>DOLM27</t>
        </is>
      </c>
    </row>
    <row r="47">
      <c r="A47" s="9" t="n"/>
      <c r="B47" s="1" t="inlineStr">
        <is>
          <t>DOLM27</t>
        </is>
      </c>
    </row>
    <row r="48">
      <c r="A48" s="9" t="n"/>
      <c r="B48" s="1" t="inlineStr">
        <is>
          <t>DOLM27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3.xml><?xml version="1.0" encoding="utf-8"?>
<worksheet xmlns="http://schemas.openxmlformats.org/spreadsheetml/2006/main">
  <sheetPr codeName="Planilha73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DOLN27</t>
        </is>
      </c>
      <c r="C2" t="n">
        <v>5522.137</v>
      </c>
    </row>
    <row r="3">
      <c r="A3" s="9" t="n">
        <v>46189</v>
      </c>
      <c r="B3" s="1" t="inlineStr">
        <is>
          <t>DOLN27</t>
        </is>
      </c>
      <c r="C3" t="n">
        <v>5549.23</v>
      </c>
    </row>
    <row r="4">
      <c r="A4" s="9" t="n">
        <v>46190</v>
      </c>
      <c r="B4" s="1" t="inlineStr">
        <is>
          <t>DOLN27</t>
        </is>
      </c>
      <c r="C4" t="n">
        <v>5533.843</v>
      </c>
    </row>
    <row r="5">
      <c r="A5" s="9" t="n">
        <v>46191</v>
      </c>
      <c r="B5" s="1" t="inlineStr">
        <is>
          <t>DOLN27</t>
        </is>
      </c>
      <c r="C5" t="n">
        <v>5629.469</v>
      </c>
    </row>
    <row r="6">
      <c r="A6" s="9" t="n">
        <v>46192</v>
      </c>
      <c r="B6" s="1" t="inlineStr">
        <is>
          <t>DOLN27</t>
        </is>
      </c>
      <c r="C6" t="n">
        <v>5599.953</v>
      </c>
    </row>
    <row r="7">
      <c r="A7" s="9" t="n">
        <v>46195</v>
      </c>
      <c r="B7" s="1" t="inlineStr">
        <is>
          <t>DOLN27</t>
        </is>
      </c>
      <c r="C7" t="n">
        <v>5592.006</v>
      </c>
    </row>
    <row r="8">
      <c r="A8" s="9" t="n">
        <v>46196</v>
      </c>
      <c r="B8" s="1" t="inlineStr">
        <is>
          <t>DOLN27</t>
        </is>
      </c>
      <c r="C8" t="n">
        <v>5637.999</v>
      </c>
    </row>
    <row r="9">
      <c r="A9" s="9" t="n">
        <v>46197</v>
      </c>
      <c r="B9" s="1" t="inlineStr">
        <is>
          <t>DOLN27</t>
        </is>
      </c>
      <c r="C9" t="n">
        <v>5636.274</v>
      </c>
    </row>
    <row r="10">
      <c r="A10" s="9" t="n">
        <v>46198</v>
      </c>
      <c r="B10" s="1" t="inlineStr">
        <is>
          <t>DOLN27</t>
        </is>
      </c>
      <c r="C10" t="n">
        <v>5611.97</v>
      </c>
    </row>
    <row r="11">
      <c r="A11" s="9" t="n">
        <v>46199</v>
      </c>
      <c r="B11" s="1" t="inlineStr">
        <is>
          <t>DOLN27</t>
        </is>
      </c>
      <c r="C11" t="n">
        <v>5596.682</v>
      </c>
    </row>
    <row r="12">
      <c r="A12" s="9" t="n">
        <v>46202</v>
      </c>
      <c r="B12" s="1" t="inlineStr">
        <is>
          <t>DOLN27</t>
        </is>
      </c>
      <c r="C12" t="n">
        <v>5586.682</v>
      </c>
    </row>
    <row r="13">
      <c r="A13" s="9" t="n">
        <v>46203</v>
      </c>
      <c r="B13" s="1" t="inlineStr">
        <is>
          <t>DOLN27</t>
        </is>
      </c>
      <c r="C13" t="n">
        <v>5582.479</v>
      </c>
    </row>
    <row r="14">
      <c r="A14" s="9" t="n">
        <v>46204</v>
      </c>
      <c r="B14" s="1" t="inlineStr">
        <is>
          <t>DOLN27</t>
        </is>
      </c>
      <c r="C14" t="n">
        <v>5626.943</v>
      </c>
    </row>
    <row r="15">
      <c r="A15" s="9" t="n">
        <v>46205</v>
      </c>
      <c r="B15" s="1" t="inlineStr">
        <is>
          <t>DOLN27</t>
        </is>
      </c>
      <c r="C15" t="n">
        <v>5626.479</v>
      </c>
    </row>
    <row r="16">
      <c r="A16" s="9" t="n">
        <v>46206</v>
      </c>
      <c r="B16" s="1" t="inlineStr">
        <is>
          <t>DOLN27</t>
        </is>
      </c>
      <c r="C16" t="n">
        <v>5581.268</v>
      </c>
    </row>
    <row r="17">
      <c r="A17" s="9" t="n">
        <v>46209</v>
      </c>
      <c r="B17" s="1" t="inlineStr">
        <is>
          <t>DOLN27</t>
        </is>
      </c>
      <c r="C17" t="n">
        <v>5535.878</v>
      </c>
    </row>
    <row r="18">
      <c r="A18" s="9" t="n">
        <v>46210</v>
      </c>
      <c r="B18" s="1" t="inlineStr">
        <is>
          <t>DOLN27</t>
        </is>
      </c>
      <c r="C18" t="n">
        <v>5562.359</v>
      </c>
    </row>
    <row r="19">
      <c r="A19" s="9" t="n">
        <v>46211</v>
      </c>
      <c r="B19" s="1" t="inlineStr">
        <is>
          <t>DOLN27</t>
        </is>
      </c>
      <c r="C19" t="n">
        <v>5550.788</v>
      </c>
    </row>
    <row r="20">
      <c r="A20" s="9" t="n">
        <v>46212</v>
      </c>
      <c r="B20" s="1" t="inlineStr">
        <is>
          <t>DOLN27</t>
        </is>
      </c>
      <c r="C20" t="n">
        <v>5517.725</v>
      </c>
    </row>
    <row r="21">
      <c r="A21" s="9" t="n">
        <v>46213</v>
      </c>
      <c r="B21" s="1" t="inlineStr">
        <is>
          <t>DOLN27</t>
        </is>
      </c>
      <c r="C21" t="n">
        <v>5496.163</v>
      </c>
    </row>
    <row r="22">
      <c r="A22" s="9" t="n">
        <v>46216</v>
      </c>
      <c r="B22" s="1" t="inlineStr">
        <is>
          <t>DOLN27</t>
        </is>
      </c>
      <c r="C22" t="n">
        <v>5522.758</v>
      </c>
    </row>
    <row r="23">
      <c r="A23" s="9" t="n">
        <v>46217</v>
      </c>
      <c r="B23" s="1" t="inlineStr">
        <is>
          <t>DOLN27</t>
        </is>
      </c>
      <c r="C23" t="n">
        <v>5458.185</v>
      </c>
    </row>
    <row r="24">
      <c r="A24" s="9" t="n"/>
      <c r="B24" s="1" t="inlineStr">
        <is>
          <t>DOLN27</t>
        </is>
      </c>
    </row>
    <row r="25">
      <c r="A25" s="9" t="n"/>
      <c r="B25" s="1" t="inlineStr">
        <is>
          <t>DOLN27</t>
        </is>
      </c>
    </row>
    <row r="26">
      <c r="A26" s="9" t="n"/>
      <c r="B26" s="1" t="inlineStr">
        <is>
          <t>DOLN27</t>
        </is>
      </c>
    </row>
    <row r="27">
      <c r="A27" s="9" t="n"/>
      <c r="B27" s="1" t="inlineStr">
        <is>
          <t>DOLN27</t>
        </is>
      </c>
    </row>
    <row r="28">
      <c r="A28" s="9" t="n"/>
      <c r="B28" s="1" t="inlineStr">
        <is>
          <t>DOLN27</t>
        </is>
      </c>
    </row>
    <row r="29">
      <c r="A29" s="9" t="n"/>
      <c r="B29" s="1" t="inlineStr">
        <is>
          <t>DOLN27</t>
        </is>
      </c>
    </row>
    <row r="30">
      <c r="A30" s="9" t="n"/>
      <c r="B30" s="1" t="inlineStr">
        <is>
          <t>DOLN27</t>
        </is>
      </c>
    </row>
    <row r="31">
      <c r="A31" s="9" t="n"/>
      <c r="B31" s="1" t="inlineStr">
        <is>
          <t>DOLN27</t>
        </is>
      </c>
    </row>
    <row r="32">
      <c r="A32" s="9" t="n"/>
      <c r="B32" s="1" t="inlineStr">
        <is>
          <t>DOLN27</t>
        </is>
      </c>
    </row>
    <row r="33">
      <c r="A33" s="9" t="n"/>
      <c r="B33" s="1" t="inlineStr">
        <is>
          <t>DOLN27</t>
        </is>
      </c>
    </row>
    <row r="34">
      <c r="A34" s="9" t="n"/>
      <c r="B34" s="1" t="inlineStr">
        <is>
          <t>DOLN27</t>
        </is>
      </c>
    </row>
    <row r="35">
      <c r="A35" s="9" t="n"/>
      <c r="B35" s="1" t="inlineStr">
        <is>
          <t>DOLN27</t>
        </is>
      </c>
    </row>
    <row r="36">
      <c r="A36" s="9" t="n"/>
      <c r="B36" s="1" t="inlineStr">
        <is>
          <t>DOLN27</t>
        </is>
      </c>
    </row>
    <row r="37">
      <c r="A37" s="9" t="n"/>
      <c r="B37" s="1" t="inlineStr">
        <is>
          <t>DOLN27</t>
        </is>
      </c>
    </row>
    <row r="38">
      <c r="A38" s="9" t="n"/>
      <c r="B38" s="1" t="inlineStr">
        <is>
          <t>DOLN27</t>
        </is>
      </c>
    </row>
    <row r="39">
      <c r="A39" s="9" t="n"/>
      <c r="B39" s="1" t="inlineStr">
        <is>
          <t>DOLN27</t>
        </is>
      </c>
    </row>
    <row r="40">
      <c r="A40" s="9" t="n"/>
      <c r="B40" s="1" t="inlineStr">
        <is>
          <t>DOLN27</t>
        </is>
      </c>
    </row>
    <row r="41">
      <c r="A41" s="9" t="n"/>
      <c r="B41" s="1" t="inlineStr">
        <is>
          <t>DOLN27</t>
        </is>
      </c>
    </row>
    <row r="42">
      <c r="A42" s="9" t="n"/>
      <c r="B42" s="1" t="inlineStr">
        <is>
          <t>DOLN27</t>
        </is>
      </c>
    </row>
    <row r="43">
      <c r="A43" s="9" t="n"/>
      <c r="B43" s="1" t="inlineStr">
        <is>
          <t>DOLN27</t>
        </is>
      </c>
    </row>
    <row r="44">
      <c r="A44" s="9" t="n"/>
      <c r="B44" s="1" t="inlineStr">
        <is>
          <t>DOLN27</t>
        </is>
      </c>
    </row>
    <row r="45">
      <c r="A45" s="9" t="n"/>
      <c r="B45" s="1" t="inlineStr">
        <is>
          <t>DOLN27</t>
        </is>
      </c>
    </row>
    <row r="46">
      <c r="A46" s="9" t="n"/>
      <c r="B46" s="1" t="inlineStr">
        <is>
          <t>DOLN27</t>
        </is>
      </c>
    </row>
    <row r="47">
      <c r="A47" s="9" t="n"/>
      <c r="B47" s="1" t="inlineStr">
        <is>
          <t>DOLN27</t>
        </is>
      </c>
    </row>
    <row r="48">
      <c r="A48" s="9" t="n"/>
      <c r="B48" s="1" t="inlineStr">
        <is>
          <t>DOLN27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4.xml><?xml version="1.0" encoding="utf-8"?>
<worksheet xmlns="http://schemas.openxmlformats.org/spreadsheetml/2006/main">
  <sheetPr codeName="Planilha74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DOLQ27</t>
        </is>
      </c>
      <c r="C2" t="n">
        <v>5561.064</v>
      </c>
    </row>
    <row r="3">
      <c r="A3" s="9" t="n">
        <v>46189</v>
      </c>
      <c r="B3" s="1" t="inlineStr">
        <is>
          <t>DOLQ27</t>
        </is>
      </c>
      <c r="C3" t="n">
        <v>5588.979</v>
      </c>
    </row>
    <row r="4">
      <c r="A4" s="9" t="n">
        <v>46190</v>
      </c>
      <c r="B4" s="1" t="inlineStr">
        <is>
          <t>DOLQ27</t>
        </is>
      </c>
      <c r="C4" t="n">
        <v>5573.73</v>
      </c>
    </row>
    <row r="5">
      <c r="A5" s="9" t="n">
        <v>46191</v>
      </c>
      <c r="B5" s="1" t="inlineStr">
        <is>
          <t>DOLQ27</t>
        </is>
      </c>
      <c r="C5" t="n">
        <v>5671.244</v>
      </c>
    </row>
    <row r="6">
      <c r="A6" s="9" t="n">
        <v>46192</v>
      </c>
      <c r="B6" s="1" t="inlineStr">
        <is>
          <t>DOLQ27</t>
        </is>
      </c>
      <c r="C6" t="n">
        <v>5642.116</v>
      </c>
    </row>
    <row r="7">
      <c r="A7" s="9" t="n">
        <v>46195</v>
      </c>
      <c r="B7" s="1" t="inlineStr">
        <is>
          <t>DOLQ27</t>
        </is>
      </c>
      <c r="C7" t="n">
        <v>5633.102</v>
      </c>
    </row>
    <row r="8">
      <c r="A8" s="9" t="n">
        <v>46196</v>
      </c>
      <c r="B8" s="1" t="inlineStr">
        <is>
          <t>DOLQ27</t>
        </is>
      </c>
      <c r="C8" t="n">
        <v>5678.314</v>
      </c>
    </row>
    <row r="9">
      <c r="A9" s="9" t="n">
        <v>46197</v>
      </c>
      <c r="B9" s="1" t="inlineStr">
        <is>
          <t>DOLQ27</t>
        </is>
      </c>
      <c r="C9" t="n">
        <v>5675.529</v>
      </c>
    </row>
    <row r="10">
      <c r="A10" s="9" t="n">
        <v>46198</v>
      </c>
      <c r="B10" s="1" t="inlineStr">
        <is>
          <t>DOLQ27</t>
        </is>
      </c>
      <c r="C10" t="n">
        <v>5650.386</v>
      </c>
    </row>
    <row r="11">
      <c r="A11" s="9" t="n">
        <v>46199</v>
      </c>
      <c r="B11" s="1" t="inlineStr">
        <is>
          <t>DOLQ27</t>
        </is>
      </c>
      <c r="C11" t="n">
        <v>5634.226</v>
      </c>
    </row>
    <row r="12">
      <c r="A12" s="9" t="n">
        <v>46202</v>
      </c>
      <c r="B12" s="1" t="inlineStr">
        <is>
          <t>DOLQ27</t>
        </is>
      </c>
      <c r="C12" t="n">
        <v>5623.801</v>
      </c>
    </row>
    <row r="13">
      <c r="A13" s="9" t="n">
        <v>46203</v>
      </c>
      <c r="B13" s="1" t="inlineStr">
        <is>
          <t>DOLQ27</t>
        </is>
      </c>
      <c r="C13" t="n">
        <v>5617.833</v>
      </c>
    </row>
    <row r="14">
      <c r="A14" s="9" t="n">
        <v>46204</v>
      </c>
      <c r="B14" s="1" t="inlineStr">
        <is>
          <t>DOLQ27</t>
        </is>
      </c>
      <c r="C14" t="n">
        <v>5664.718</v>
      </c>
    </row>
    <row r="15">
      <c r="A15" s="9" t="n">
        <v>46205</v>
      </c>
      <c r="B15" s="1" t="inlineStr">
        <is>
          <t>DOLQ27</t>
        </is>
      </c>
      <c r="C15" t="n">
        <v>5664.663</v>
      </c>
    </row>
    <row r="16">
      <c r="A16" s="9" t="n">
        <v>46206</v>
      </c>
      <c r="B16" s="1" t="inlineStr">
        <is>
          <t>DOLQ27</t>
        </is>
      </c>
      <c r="C16" t="n">
        <v>5618.57</v>
      </c>
    </row>
    <row r="17">
      <c r="A17" s="9" t="n">
        <v>46209</v>
      </c>
      <c r="B17" s="1" t="inlineStr">
        <is>
          <t>DOLQ27</t>
        </is>
      </c>
      <c r="C17" t="n">
        <v>5571.119</v>
      </c>
    </row>
    <row r="18">
      <c r="A18" s="9" t="n">
        <v>46210</v>
      </c>
      <c r="B18" s="1" t="inlineStr">
        <is>
          <t>DOLQ27</t>
        </is>
      </c>
      <c r="C18" t="n">
        <v>5597.672</v>
      </c>
    </row>
    <row r="19">
      <c r="A19" s="9" t="n">
        <v>46211</v>
      </c>
      <c r="B19" s="1" t="inlineStr">
        <is>
          <t>DOLQ27</t>
        </is>
      </c>
      <c r="C19" t="n">
        <v>5587.207</v>
      </c>
    </row>
    <row r="20">
      <c r="A20" s="9" t="n">
        <v>46212</v>
      </c>
      <c r="B20" s="1" t="inlineStr">
        <is>
          <t>DOLQ27</t>
        </is>
      </c>
      <c r="C20" t="n">
        <v>5553.451</v>
      </c>
    </row>
    <row r="21">
      <c r="A21" s="9" t="n">
        <v>46213</v>
      </c>
      <c r="B21" s="1" t="inlineStr">
        <is>
          <t>DOLQ27</t>
        </is>
      </c>
      <c r="C21" t="n">
        <v>5529.998</v>
      </c>
    </row>
    <row r="22">
      <c r="A22" s="9" t="n">
        <v>46216</v>
      </c>
      <c r="B22" s="1" t="inlineStr">
        <is>
          <t>DOLQ27</t>
        </is>
      </c>
      <c r="C22" t="n">
        <v>5558.987</v>
      </c>
    </row>
    <row r="23">
      <c r="A23" s="9" t="n">
        <v>46217</v>
      </c>
      <c r="B23" s="1" t="inlineStr">
        <is>
          <t>DOLQ27</t>
        </is>
      </c>
      <c r="C23" t="n">
        <v>5493.625</v>
      </c>
    </row>
    <row r="24">
      <c r="A24" s="9" t="n"/>
      <c r="B24" s="1" t="inlineStr">
        <is>
          <t>DOLQ27</t>
        </is>
      </c>
    </row>
    <row r="25">
      <c r="A25" s="9" t="n"/>
      <c r="B25" s="1" t="inlineStr">
        <is>
          <t>DOLQ27</t>
        </is>
      </c>
    </row>
    <row r="26">
      <c r="A26" s="9" t="n"/>
      <c r="B26" s="1" t="inlineStr">
        <is>
          <t>DOLQ27</t>
        </is>
      </c>
    </row>
    <row r="27">
      <c r="A27" s="9" t="n"/>
      <c r="B27" s="1" t="inlineStr">
        <is>
          <t>DOLQ27</t>
        </is>
      </c>
    </row>
    <row r="28">
      <c r="A28" s="9" t="n"/>
      <c r="B28" s="1" t="inlineStr">
        <is>
          <t>DOLQ27</t>
        </is>
      </c>
    </row>
    <row r="29">
      <c r="A29" s="9" t="n"/>
      <c r="B29" s="1" t="inlineStr">
        <is>
          <t>DOLQ27</t>
        </is>
      </c>
    </row>
    <row r="30">
      <c r="A30" s="9" t="n"/>
      <c r="B30" s="1" t="inlineStr">
        <is>
          <t>DOLQ27</t>
        </is>
      </c>
    </row>
    <row r="31">
      <c r="A31" s="9" t="n"/>
      <c r="B31" s="1" t="inlineStr">
        <is>
          <t>DOLQ27</t>
        </is>
      </c>
    </row>
    <row r="32">
      <c r="A32" s="9" t="n"/>
      <c r="B32" s="1" t="inlineStr">
        <is>
          <t>DOLQ27</t>
        </is>
      </c>
    </row>
    <row r="33">
      <c r="A33" s="9" t="n"/>
      <c r="B33" s="1" t="inlineStr">
        <is>
          <t>DOLQ27</t>
        </is>
      </c>
    </row>
    <row r="34">
      <c r="A34" s="9" t="n"/>
      <c r="B34" s="1" t="inlineStr">
        <is>
          <t>DOLQ27</t>
        </is>
      </c>
    </row>
    <row r="35">
      <c r="A35" s="9" t="n"/>
      <c r="B35" s="1" t="inlineStr">
        <is>
          <t>DOLQ27</t>
        </is>
      </c>
    </row>
    <row r="36">
      <c r="A36" s="9" t="n"/>
      <c r="B36" s="1" t="inlineStr">
        <is>
          <t>DOLQ27</t>
        </is>
      </c>
    </row>
    <row r="37">
      <c r="A37" s="9" t="n"/>
      <c r="B37" s="1" t="inlineStr">
        <is>
          <t>DOLQ27</t>
        </is>
      </c>
    </row>
    <row r="38">
      <c r="A38" s="9" t="n"/>
      <c r="B38" s="1" t="inlineStr">
        <is>
          <t>DOLQ27</t>
        </is>
      </c>
    </row>
    <row r="39">
      <c r="A39" s="9" t="n"/>
      <c r="B39" s="1" t="inlineStr">
        <is>
          <t>DOLQ27</t>
        </is>
      </c>
    </row>
    <row r="40">
      <c r="A40" s="9" t="n"/>
      <c r="B40" s="1" t="inlineStr">
        <is>
          <t>DOLQ27</t>
        </is>
      </c>
    </row>
    <row r="41">
      <c r="A41" s="9" t="n"/>
      <c r="B41" s="1" t="inlineStr">
        <is>
          <t>DOLQ27</t>
        </is>
      </c>
    </row>
    <row r="42">
      <c r="A42" s="9" t="n"/>
      <c r="B42" s="1" t="inlineStr">
        <is>
          <t>DOLQ27</t>
        </is>
      </c>
    </row>
    <row r="43">
      <c r="A43" s="9" t="n"/>
      <c r="B43" s="1" t="inlineStr">
        <is>
          <t>DOLQ27</t>
        </is>
      </c>
    </row>
    <row r="44">
      <c r="A44" s="9" t="n"/>
      <c r="B44" s="1" t="inlineStr">
        <is>
          <t>DOLQ27</t>
        </is>
      </c>
    </row>
    <row r="45">
      <c r="A45" s="9" t="n"/>
      <c r="B45" s="1" t="inlineStr">
        <is>
          <t>DOLQ27</t>
        </is>
      </c>
    </row>
    <row r="46">
      <c r="A46" s="9" t="n"/>
      <c r="B46" s="1" t="inlineStr">
        <is>
          <t>DOLQ27</t>
        </is>
      </c>
    </row>
    <row r="47">
      <c r="A47" s="9" t="n"/>
      <c r="B47" s="1" t="inlineStr">
        <is>
          <t>DOLQ27</t>
        </is>
      </c>
    </row>
    <row r="48">
      <c r="A48" s="9" t="n"/>
      <c r="B48" s="1" t="inlineStr">
        <is>
          <t>DOLQ27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5.xml><?xml version="1.0" encoding="utf-8"?>
<worksheet xmlns="http://schemas.openxmlformats.org/spreadsheetml/2006/main">
  <sheetPr codeName="Planilha7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DOLV27</t>
        </is>
      </c>
      <c r="C2" t="n">
        <v>5638.251</v>
      </c>
    </row>
    <row r="3">
      <c r="A3" s="9" t="n">
        <v>46189</v>
      </c>
      <c r="B3" s="1" t="inlineStr">
        <is>
          <t>DOLV27</t>
        </is>
      </c>
      <c r="C3" t="n">
        <v>5668.889</v>
      </c>
    </row>
    <row r="4">
      <c r="A4" s="9" t="n">
        <v>46190</v>
      </c>
      <c r="B4" s="1" t="inlineStr">
        <is>
          <t>DOLV27</t>
        </is>
      </c>
      <c r="C4" t="n">
        <v>5653.997</v>
      </c>
    </row>
    <row r="5">
      <c r="A5" s="9" t="n">
        <v>46191</v>
      </c>
      <c r="B5" s="1" t="inlineStr">
        <is>
          <t>DOLV27</t>
        </is>
      </c>
      <c r="C5" t="n">
        <v>5756.007</v>
      </c>
    </row>
    <row r="6">
      <c r="A6" s="9" t="n">
        <v>46192</v>
      </c>
      <c r="B6" s="1" t="inlineStr">
        <is>
          <t>DOLV27</t>
        </is>
      </c>
      <c r="C6" t="n">
        <v>5727.754</v>
      </c>
    </row>
    <row r="7">
      <c r="A7" s="9" t="n">
        <v>46195</v>
      </c>
      <c r="B7" s="1" t="inlineStr">
        <is>
          <t>DOLV27</t>
        </is>
      </c>
      <c r="C7" t="n">
        <v>5717.181</v>
      </c>
    </row>
    <row r="8">
      <c r="A8" s="9" t="n">
        <v>46196</v>
      </c>
      <c r="B8" s="1" t="inlineStr">
        <is>
          <t>DOLV27</t>
        </is>
      </c>
      <c r="C8" t="n">
        <v>5759.553</v>
      </c>
    </row>
    <row r="9">
      <c r="A9" s="9" t="n">
        <v>46197</v>
      </c>
      <c r="B9" s="1" t="inlineStr">
        <is>
          <t>DOLV27</t>
        </is>
      </c>
      <c r="C9" t="n">
        <v>5753.791</v>
      </c>
    </row>
    <row r="10">
      <c r="A10" s="9" t="n">
        <v>46198</v>
      </c>
      <c r="B10" s="1" t="inlineStr">
        <is>
          <t>DOLV27</t>
        </is>
      </c>
      <c r="C10" t="n">
        <v>5728.045</v>
      </c>
    </row>
    <row r="11">
      <c r="A11" s="9" t="n">
        <v>46199</v>
      </c>
      <c r="B11" s="1" t="inlineStr">
        <is>
          <t>DOLV27</t>
        </is>
      </c>
      <c r="C11" t="n">
        <v>5709.993</v>
      </c>
    </row>
    <row r="12">
      <c r="A12" s="9" t="n">
        <v>46202</v>
      </c>
      <c r="B12" s="1" t="inlineStr">
        <is>
          <t>DOLV27</t>
        </is>
      </c>
      <c r="C12" t="n">
        <v>5699.968</v>
      </c>
    </row>
    <row r="13">
      <c r="A13" s="9" t="n">
        <v>46203</v>
      </c>
      <c r="B13" s="1" t="inlineStr">
        <is>
          <t>DOLV27</t>
        </is>
      </c>
      <c r="C13" t="n">
        <v>5692.843</v>
      </c>
    </row>
    <row r="14">
      <c r="A14" s="9" t="n">
        <v>46204</v>
      </c>
      <c r="B14" s="1" t="inlineStr">
        <is>
          <t>DOLV27</t>
        </is>
      </c>
      <c r="C14" t="n">
        <v>5739.754</v>
      </c>
    </row>
    <row r="15">
      <c r="A15" s="9" t="n">
        <v>46205</v>
      </c>
      <c r="B15" s="1" t="inlineStr">
        <is>
          <t>DOLV27</t>
        </is>
      </c>
      <c r="C15" t="n">
        <v>5740.408</v>
      </c>
    </row>
    <row r="16">
      <c r="A16" s="9" t="n">
        <v>46206</v>
      </c>
      <c r="B16" s="1" t="inlineStr">
        <is>
          <t>DOLV27</t>
        </is>
      </c>
      <c r="C16" t="n">
        <v>5693.04</v>
      </c>
    </row>
    <row r="17">
      <c r="A17" s="9" t="n">
        <v>46209</v>
      </c>
      <c r="B17" s="1" t="inlineStr">
        <is>
          <t>DOLV27</t>
        </is>
      </c>
      <c r="C17" t="n">
        <v>5645.095</v>
      </c>
    </row>
    <row r="18">
      <c r="A18" s="9" t="n">
        <v>46210</v>
      </c>
      <c r="B18" s="1" t="inlineStr">
        <is>
          <t>DOLV27</t>
        </is>
      </c>
      <c r="C18" t="n">
        <v>5672.315</v>
      </c>
    </row>
    <row r="19">
      <c r="A19" s="9" t="n">
        <v>46211</v>
      </c>
      <c r="B19" s="1" t="inlineStr">
        <is>
          <t>DOLV27</t>
        </is>
      </c>
      <c r="C19" t="n">
        <v>5662.158</v>
      </c>
    </row>
    <row r="20">
      <c r="A20" s="9" t="n">
        <v>46212</v>
      </c>
      <c r="B20" s="1" t="inlineStr">
        <is>
          <t>DOLV27</t>
        </is>
      </c>
      <c r="C20" t="n">
        <v>5626.648</v>
      </c>
    </row>
    <row r="21">
      <c r="A21" s="9" t="n">
        <v>46213</v>
      </c>
      <c r="B21" s="1" t="inlineStr">
        <is>
          <t>DOLV27</t>
        </is>
      </c>
      <c r="C21" t="n">
        <v>5601.396</v>
      </c>
    </row>
    <row r="22">
      <c r="A22" s="9" t="n">
        <v>46216</v>
      </c>
      <c r="B22" s="1" t="inlineStr">
        <is>
          <t>DOLV27</t>
        </is>
      </c>
      <c r="C22" t="n">
        <v>5631.436</v>
      </c>
    </row>
    <row r="23">
      <c r="A23" s="9" t="n">
        <v>46217</v>
      </c>
      <c r="B23" s="1" t="inlineStr">
        <is>
          <t>DOLV27</t>
        </is>
      </c>
      <c r="C23" t="n">
        <v>5563.3</v>
      </c>
    </row>
    <row r="24">
      <c r="A24" s="9" t="n"/>
      <c r="B24" s="1" t="inlineStr">
        <is>
          <t>DOLV27</t>
        </is>
      </c>
    </row>
    <row r="25">
      <c r="A25" s="9" t="n"/>
      <c r="B25" s="1" t="inlineStr">
        <is>
          <t>DOLV27</t>
        </is>
      </c>
    </row>
    <row r="26">
      <c r="A26" s="9" t="n"/>
      <c r="B26" s="1" t="inlineStr">
        <is>
          <t>DOLV27</t>
        </is>
      </c>
    </row>
    <row r="27">
      <c r="A27" s="9" t="n"/>
      <c r="B27" s="1" t="inlineStr">
        <is>
          <t>DOLV27</t>
        </is>
      </c>
    </row>
    <row r="28">
      <c r="A28" s="9" t="n"/>
      <c r="B28" s="1" t="inlineStr">
        <is>
          <t>DOLV27</t>
        </is>
      </c>
    </row>
    <row r="29">
      <c r="A29" s="9" t="n"/>
      <c r="B29" s="1" t="inlineStr">
        <is>
          <t>DOLV27</t>
        </is>
      </c>
    </row>
    <row r="30">
      <c r="A30" s="9" t="n"/>
      <c r="B30" s="1" t="inlineStr">
        <is>
          <t>DOLV27</t>
        </is>
      </c>
    </row>
    <row r="31">
      <c r="A31" s="9" t="n"/>
      <c r="B31" s="1" t="inlineStr">
        <is>
          <t>DOLV27</t>
        </is>
      </c>
    </row>
    <row r="32">
      <c r="A32" s="9" t="n"/>
      <c r="B32" s="1" t="inlineStr">
        <is>
          <t>DOLV27</t>
        </is>
      </c>
    </row>
    <row r="33">
      <c r="A33" s="9" t="n"/>
      <c r="B33" s="1" t="inlineStr">
        <is>
          <t>DOLV27</t>
        </is>
      </c>
    </row>
    <row r="34">
      <c r="A34" s="9" t="n"/>
      <c r="B34" s="1" t="inlineStr">
        <is>
          <t>DOLV27</t>
        </is>
      </c>
    </row>
    <row r="35">
      <c r="A35" s="9" t="n"/>
      <c r="B35" s="1" t="inlineStr">
        <is>
          <t>DOLV27</t>
        </is>
      </c>
    </row>
    <row r="36">
      <c r="A36" s="9" t="n"/>
      <c r="B36" s="1" t="inlineStr">
        <is>
          <t>DOLV27</t>
        </is>
      </c>
    </row>
    <row r="37">
      <c r="A37" s="9" t="n"/>
      <c r="B37" s="1" t="inlineStr">
        <is>
          <t>DOLV27</t>
        </is>
      </c>
    </row>
    <row r="38">
      <c r="A38" s="9" t="n"/>
      <c r="B38" s="1" t="inlineStr">
        <is>
          <t>DOLV27</t>
        </is>
      </c>
    </row>
    <row r="39">
      <c r="A39" s="9" t="n"/>
      <c r="B39" s="1" t="inlineStr">
        <is>
          <t>DOLV27</t>
        </is>
      </c>
    </row>
    <row r="40">
      <c r="A40" s="9" t="n"/>
      <c r="B40" s="1" t="inlineStr">
        <is>
          <t>DOLV27</t>
        </is>
      </c>
    </row>
    <row r="41">
      <c r="A41" s="9" t="n"/>
      <c r="B41" s="1" t="inlineStr">
        <is>
          <t>DOLV27</t>
        </is>
      </c>
    </row>
    <row r="42">
      <c r="A42" s="9" t="n"/>
      <c r="B42" s="1" t="inlineStr">
        <is>
          <t>DOLV27</t>
        </is>
      </c>
    </row>
    <row r="43">
      <c r="A43" s="9" t="n"/>
      <c r="B43" s="1" t="inlineStr">
        <is>
          <t>DOLV27</t>
        </is>
      </c>
    </row>
    <row r="44">
      <c r="A44" s="9" t="n"/>
      <c r="B44" s="1" t="inlineStr">
        <is>
          <t>DOLV27</t>
        </is>
      </c>
    </row>
    <row r="45">
      <c r="A45" s="9" t="n"/>
      <c r="B45" s="1" t="inlineStr">
        <is>
          <t>DOLV27</t>
        </is>
      </c>
    </row>
    <row r="46">
      <c r="A46" s="9" t="n"/>
      <c r="B46" s="1" t="inlineStr">
        <is>
          <t>DOLV27</t>
        </is>
      </c>
    </row>
    <row r="47">
      <c r="A47" s="9" t="n"/>
      <c r="B47" s="1" t="inlineStr">
        <is>
          <t>DOLV27</t>
        </is>
      </c>
    </row>
    <row r="48">
      <c r="A48" s="9" t="n"/>
      <c r="B48" s="1" t="inlineStr">
        <is>
          <t>DOLV27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6.xml><?xml version="1.0" encoding="utf-8"?>
<worksheet xmlns="http://schemas.openxmlformats.org/spreadsheetml/2006/main">
  <sheetPr codeName="Planilha76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DOLF28</t>
        </is>
      </c>
      <c r="C2" t="n">
        <v>5745.68</v>
      </c>
    </row>
    <row r="3">
      <c r="A3" s="9" t="n">
        <v>46189</v>
      </c>
      <c r="B3" s="1" t="inlineStr">
        <is>
          <t>DOLF28</t>
        </is>
      </c>
      <c r="C3" t="n">
        <v>5778.906</v>
      </c>
    </row>
    <row r="4">
      <c r="A4" s="9" t="n">
        <v>46190</v>
      </c>
      <c r="B4" s="1" t="inlineStr">
        <is>
          <t>DOLF28</t>
        </is>
      </c>
      <c r="C4" t="n">
        <v>5764.204</v>
      </c>
    </row>
    <row r="5">
      <c r="A5" s="9" t="n">
        <v>46191</v>
      </c>
      <c r="B5" s="1" t="inlineStr">
        <is>
          <t>DOLF28</t>
        </is>
      </c>
      <c r="C5" t="n">
        <v>5871.792</v>
      </c>
    </row>
    <row r="6">
      <c r="A6" s="9" t="n">
        <v>46192</v>
      </c>
      <c r="B6" s="1" t="inlineStr">
        <is>
          <t>DOLF28</t>
        </is>
      </c>
      <c r="C6" t="n">
        <v>5843.604</v>
      </c>
    </row>
    <row r="7">
      <c r="A7" s="9" t="n">
        <v>46195</v>
      </c>
      <c r="B7" s="1" t="inlineStr">
        <is>
          <t>DOLF28</t>
        </is>
      </c>
      <c r="C7" t="n">
        <v>5831.293</v>
      </c>
    </row>
    <row r="8">
      <c r="A8" s="9" t="n">
        <v>46196</v>
      </c>
      <c r="B8" s="1" t="inlineStr">
        <is>
          <t>DOLF28</t>
        </is>
      </c>
      <c r="C8" t="n">
        <v>5873.302</v>
      </c>
    </row>
    <row r="9">
      <c r="A9" s="9" t="n">
        <v>46197</v>
      </c>
      <c r="B9" s="1" t="inlineStr">
        <is>
          <t>DOLF28</t>
        </is>
      </c>
      <c r="C9" t="n">
        <v>5863.905</v>
      </c>
    </row>
    <row r="10">
      <c r="A10" s="9" t="n">
        <v>46198</v>
      </c>
      <c r="B10" s="1" t="inlineStr">
        <is>
          <t>DOLF28</t>
        </is>
      </c>
      <c r="C10" t="n">
        <v>5836.297</v>
      </c>
    </row>
    <row r="11">
      <c r="A11" s="9" t="n">
        <v>46199</v>
      </c>
      <c r="B11" s="1" t="inlineStr">
        <is>
          <t>DOLF28</t>
        </is>
      </c>
      <c r="C11" t="n">
        <v>5817.256</v>
      </c>
    </row>
    <row r="12">
      <c r="A12" s="9" t="n">
        <v>46202</v>
      </c>
      <c r="B12" s="1" t="inlineStr">
        <is>
          <t>DOLF28</t>
        </is>
      </c>
      <c r="C12" t="n">
        <v>5805.049</v>
      </c>
    </row>
    <row r="13">
      <c r="A13" s="9" t="n">
        <v>46203</v>
      </c>
      <c r="B13" s="1" t="inlineStr">
        <is>
          <t>DOLF28</t>
        </is>
      </c>
      <c r="C13" t="n">
        <v>5795.585</v>
      </c>
    </row>
    <row r="14">
      <c r="A14" s="9" t="n">
        <v>46204</v>
      </c>
      <c r="B14" s="1" t="inlineStr">
        <is>
          <t>DOLF28</t>
        </is>
      </c>
      <c r="C14" t="n">
        <v>5847.817</v>
      </c>
    </row>
    <row r="15">
      <c r="A15" s="9" t="n">
        <v>46205</v>
      </c>
      <c r="B15" s="1" t="inlineStr">
        <is>
          <t>DOLF28</t>
        </is>
      </c>
      <c r="C15" t="n">
        <v>5851.95</v>
      </c>
    </row>
    <row r="16">
      <c r="A16" s="9" t="n">
        <v>46206</v>
      </c>
      <c r="B16" s="1" t="inlineStr">
        <is>
          <t>DOLF28</t>
        </is>
      </c>
      <c r="C16" t="n">
        <v>5800.147</v>
      </c>
    </row>
    <row r="17">
      <c r="A17" s="9" t="n">
        <v>46209</v>
      </c>
      <c r="B17" s="1" t="inlineStr">
        <is>
          <t>DOLF28</t>
        </is>
      </c>
      <c r="C17" t="n">
        <v>5750.04</v>
      </c>
    </row>
    <row r="18">
      <c r="A18" s="9" t="n">
        <v>46210</v>
      </c>
      <c r="B18" s="1" t="inlineStr">
        <is>
          <t>DOLF28</t>
        </is>
      </c>
      <c r="C18" t="n">
        <v>5779.524</v>
      </c>
    </row>
    <row r="19">
      <c r="A19" s="9" t="n">
        <v>46211</v>
      </c>
      <c r="B19" s="1" t="inlineStr">
        <is>
          <t>DOLF28</t>
        </is>
      </c>
      <c r="C19" t="n">
        <v>5768.35</v>
      </c>
    </row>
    <row r="20">
      <c r="A20" s="9" t="n">
        <v>46212</v>
      </c>
      <c r="B20" s="1" t="inlineStr">
        <is>
          <t>DOLF28</t>
        </is>
      </c>
      <c r="C20" t="n">
        <v>5730.109</v>
      </c>
    </row>
    <row r="21">
      <c r="A21" s="9" t="n">
        <v>46213</v>
      </c>
      <c r="B21" s="1" t="inlineStr">
        <is>
          <t>DOLF28</t>
        </is>
      </c>
      <c r="C21" t="n">
        <v>5701.006</v>
      </c>
    </row>
    <row r="22">
      <c r="A22" s="9" t="n">
        <v>46216</v>
      </c>
      <c r="B22" s="1" t="inlineStr">
        <is>
          <t>DOLF28</t>
        </is>
      </c>
      <c r="C22" t="n">
        <v>5733.721</v>
      </c>
    </row>
    <row r="23">
      <c r="A23" s="9" t="n">
        <v>46217</v>
      </c>
      <c r="B23" s="1" t="inlineStr">
        <is>
          <t>DOLF28</t>
        </is>
      </c>
      <c r="C23" t="n">
        <v>5665.068</v>
      </c>
    </row>
    <row r="24">
      <c r="A24" s="9" t="n"/>
      <c r="B24" s="1" t="inlineStr">
        <is>
          <t>DOLF28</t>
        </is>
      </c>
    </row>
    <row r="25">
      <c r="A25" s="9" t="n"/>
      <c r="B25" s="1" t="inlineStr">
        <is>
          <t>DOLF28</t>
        </is>
      </c>
    </row>
    <row r="26">
      <c r="A26" s="9" t="n"/>
      <c r="B26" s="1" t="inlineStr">
        <is>
          <t>DOLF28</t>
        </is>
      </c>
    </row>
    <row r="27">
      <c r="A27" s="9" t="n"/>
      <c r="B27" s="1" t="inlineStr">
        <is>
          <t>DOLF28</t>
        </is>
      </c>
    </row>
    <row r="28">
      <c r="A28" s="9" t="n"/>
      <c r="B28" s="1" t="inlineStr">
        <is>
          <t>DOLF28</t>
        </is>
      </c>
    </row>
    <row r="29">
      <c r="A29" s="9" t="n"/>
      <c r="B29" s="1" t="inlineStr">
        <is>
          <t>DOLF28</t>
        </is>
      </c>
    </row>
    <row r="30">
      <c r="A30" s="9" t="n"/>
      <c r="B30" s="1" t="inlineStr">
        <is>
          <t>DOLF28</t>
        </is>
      </c>
    </row>
    <row r="31">
      <c r="A31" s="9" t="n"/>
      <c r="B31" s="1" t="inlineStr">
        <is>
          <t>DOLF28</t>
        </is>
      </c>
    </row>
    <row r="32">
      <c r="A32" s="9" t="n"/>
      <c r="B32" s="1" t="inlineStr">
        <is>
          <t>DOLF28</t>
        </is>
      </c>
    </row>
    <row r="33">
      <c r="A33" s="9" t="n"/>
      <c r="B33" s="1" t="inlineStr">
        <is>
          <t>DOLF28</t>
        </is>
      </c>
    </row>
    <row r="34">
      <c r="A34" s="9" t="n"/>
      <c r="B34" s="1" t="inlineStr">
        <is>
          <t>DOLF28</t>
        </is>
      </c>
    </row>
    <row r="35">
      <c r="A35" s="9" t="n"/>
      <c r="B35" s="1" t="inlineStr">
        <is>
          <t>DOLF28</t>
        </is>
      </c>
    </row>
    <row r="36">
      <c r="A36" s="9" t="n"/>
      <c r="B36" s="1" t="inlineStr">
        <is>
          <t>DOLF28</t>
        </is>
      </c>
    </row>
    <row r="37">
      <c r="A37" s="9" t="n"/>
      <c r="B37" s="1" t="inlineStr">
        <is>
          <t>DOLF28</t>
        </is>
      </c>
    </row>
    <row r="38">
      <c r="A38" s="9" t="n"/>
      <c r="B38" s="1" t="inlineStr">
        <is>
          <t>DOLF28</t>
        </is>
      </c>
    </row>
    <row r="39">
      <c r="A39" s="9" t="n"/>
      <c r="B39" s="1" t="inlineStr">
        <is>
          <t>DOLF28</t>
        </is>
      </c>
    </row>
    <row r="40">
      <c r="A40" s="9" t="n"/>
      <c r="B40" s="1" t="inlineStr">
        <is>
          <t>DOLF28</t>
        </is>
      </c>
    </row>
    <row r="41">
      <c r="A41" s="9" t="n"/>
      <c r="B41" s="1" t="inlineStr">
        <is>
          <t>DOLF28</t>
        </is>
      </c>
    </row>
    <row r="42">
      <c r="A42" s="9" t="n"/>
      <c r="B42" s="1" t="inlineStr">
        <is>
          <t>DOLF28</t>
        </is>
      </c>
    </row>
    <row r="43">
      <c r="A43" s="9" t="n"/>
      <c r="B43" s="1" t="inlineStr">
        <is>
          <t>DOLF28</t>
        </is>
      </c>
    </row>
    <row r="44">
      <c r="A44" s="9" t="n"/>
      <c r="B44" s="1" t="inlineStr">
        <is>
          <t>DOLF28</t>
        </is>
      </c>
    </row>
    <row r="45">
      <c r="A45" s="9" t="n"/>
      <c r="B45" s="1" t="inlineStr">
        <is>
          <t>DOLF28</t>
        </is>
      </c>
    </row>
    <row r="46">
      <c r="A46" s="9" t="n"/>
      <c r="B46" s="1" t="inlineStr">
        <is>
          <t>DOLF28</t>
        </is>
      </c>
    </row>
    <row r="47">
      <c r="A47" s="9" t="n"/>
      <c r="B47" s="1" t="inlineStr">
        <is>
          <t>DOLF28</t>
        </is>
      </c>
    </row>
    <row r="48">
      <c r="A48" s="9" t="n"/>
      <c r="B48" s="1" t="inlineStr">
        <is>
          <t>DOLF28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7.xml><?xml version="1.0" encoding="utf-8"?>
<worksheet xmlns="http://schemas.openxmlformats.org/spreadsheetml/2006/main">
  <sheetPr codeName="Planilha77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DOLJ28</t>
        </is>
      </c>
      <c r="C2" t="n">
        <v>5865.264</v>
      </c>
    </row>
    <row r="3">
      <c r="A3" s="9" t="n">
        <v>46189</v>
      </c>
      <c r="B3" s="1" t="inlineStr">
        <is>
          <t>DOLJ28</t>
        </is>
      </c>
      <c r="C3" t="n">
        <v>5902.292</v>
      </c>
    </row>
    <row r="4">
      <c r="A4" s="9" t="n">
        <v>46190</v>
      </c>
      <c r="B4" s="1" t="inlineStr">
        <is>
          <t>DOLJ28</t>
        </is>
      </c>
      <c r="C4" t="n">
        <v>5887.017</v>
      </c>
    </row>
    <row r="5">
      <c r="A5" s="9" t="n">
        <v>46191</v>
      </c>
      <c r="B5" s="1" t="inlineStr">
        <is>
          <t>DOLJ28</t>
        </is>
      </c>
      <c r="C5" t="n">
        <v>6002.159</v>
      </c>
    </row>
    <row r="6">
      <c r="A6" s="9" t="n">
        <v>46192</v>
      </c>
      <c r="B6" s="1" t="inlineStr">
        <is>
          <t>DOLJ28</t>
        </is>
      </c>
      <c r="C6" t="n">
        <v>5973.716</v>
      </c>
    </row>
    <row r="7">
      <c r="A7" s="9" t="n">
        <v>46195</v>
      </c>
      <c r="B7" s="1" t="inlineStr">
        <is>
          <t>DOLJ28</t>
        </is>
      </c>
      <c r="C7" t="n">
        <v>5956.3</v>
      </c>
    </row>
    <row r="8">
      <c r="A8" s="9" t="n">
        <v>46196</v>
      </c>
      <c r="B8" s="1" t="inlineStr">
        <is>
          <t>DOLJ28</t>
        </is>
      </c>
      <c r="C8" t="n">
        <v>5998.782</v>
      </c>
    </row>
    <row r="9">
      <c r="A9" s="9" t="n">
        <v>46197</v>
      </c>
      <c r="B9" s="1" t="inlineStr">
        <is>
          <t>DOLJ28</t>
        </is>
      </c>
      <c r="C9" t="n">
        <v>5985.705</v>
      </c>
    </row>
    <row r="10">
      <c r="A10" s="9" t="n">
        <v>46198</v>
      </c>
      <c r="B10" s="1" t="inlineStr">
        <is>
          <t>DOLJ28</t>
        </is>
      </c>
      <c r="C10" t="n">
        <v>5957.776</v>
      </c>
    </row>
    <row r="11">
      <c r="A11" s="9" t="n">
        <v>46199</v>
      </c>
      <c r="B11" s="1" t="inlineStr">
        <is>
          <t>DOLJ28</t>
        </is>
      </c>
      <c r="C11" t="n">
        <v>5937.415</v>
      </c>
    </row>
    <row r="12">
      <c r="A12" s="9" t="n">
        <v>46202</v>
      </c>
      <c r="B12" s="1" t="inlineStr">
        <is>
          <t>DOLJ28</t>
        </is>
      </c>
      <c r="C12" t="n">
        <v>5924.032</v>
      </c>
    </row>
    <row r="13">
      <c r="A13" s="9" t="n">
        <v>46203</v>
      </c>
      <c r="B13" s="1" t="inlineStr">
        <is>
          <t>DOLJ28</t>
        </is>
      </c>
      <c r="C13" t="n">
        <v>5911.661</v>
      </c>
    </row>
    <row r="14">
      <c r="A14" s="9" t="n">
        <v>46204</v>
      </c>
      <c r="B14" s="1" t="inlineStr">
        <is>
          <t>DOLJ28</t>
        </is>
      </c>
      <c r="C14" t="n">
        <v>5965.027</v>
      </c>
    </row>
    <row r="15">
      <c r="A15" s="9" t="n">
        <v>46205</v>
      </c>
      <c r="B15" s="1" t="inlineStr">
        <is>
          <t>DOLJ28</t>
        </is>
      </c>
      <c r="C15" t="n">
        <v>5973.496</v>
      </c>
    </row>
    <row r="16">
      <c r="A16" s="9" t="n">
        <v>46206</v>
      </c>
      <c r="B16" s="1" t="inlineStr">
        <is>
          <t>DOLJ28</t>
        </is>
      </c>
      <c r="C16" t="n">
        <v>5918.057</v>
      </c>
    </row>
    <row r="17">
      <c r="A17" s="9" t="n">
        <v>46209</v>
      </c>
      <c r="B17" s="1" t="inlineStr">
        <is>
          <t>DOLJ28</t>
        </is>
      </c>
      <c r="C17" t="n">
        <v>5866.268</v>
      </c>
    </row>
    <row r="18">
      <c r="A18" s="9" t="n">
        <v>46210</v>
      </c>
      <c r="B18" s="1" t="inlineStr">
        <is>
          <t>DOLJ28</t>
        </is>
      </c>
      <c r="C18" t="n">
        <v>5896.4</v>
      </c>
    </row>
    <row r="19">
      <c r="A19" s="9" t="n">
        <v>46211</v>
      </c>
      <c r="B19" s="1" t="inlineStr">
        <is>
          <t>DOLJ28</t>
        </is>
      </c>
      <c r="C19" t="n">
        <v>5886.776</v>
      </c>
    </row>
    <row r="20">
      <c r="A20" s="9" t="n">
        <v>46212</v>
      </c>
      <c r="B20" s="1" t="inlineStr">
        <is>
          <t>DOLJ28</t>
        </is>
      </c>
      <c r="C20" t="n">
        <v>5846.445</v>
      </c>
    </row>
    <row r="21">
      <c r="A21" s="9" t="n">
        <v>46213</v>
      </c>
      <c r="B21" s="1" t="inlineStr">
        <is>
          <t>DOLJ28</t>
        </is>
      </c>
      <c r="C21" t="n">
        <v>5812.36</v>
      </c>
    </row>
    <row r="22">
      <c r="A22" s="9" t="n">
        <v>46216</v>
      </c>
      <c r="B22" s="1" t="inlineStr">
        <is>
          <t>DOLJ28</t>
        </is>
      </c>
      <c r="C22" t="n">
        <v>5848.481</v>
      </c>
    </row>
    <row r="23">
      <c r="A23" s="9" t="n">
        <v>46217</v>
      </c>
      <c r="B23" s="1" t="inlineStr">
        <is>
          <t>DOLJ28</t>
        </is>
      </c>
      <c r="C23" t="n">
        <v>5775.924</v>
      </c>
    </row>
    <row r="24">
      <c r="A24" s="9" t="n"/>
      <c r="B24" s="1" t="inlineStr">
        <is>
          <t>DOLJ28</t>
        </is>
      </c>
    </row>
    <row r="25">
      <c r="A25" s="9" t="n"/>
      <c r="B25" s="1" t="inlineStr">
        <is>
          <t>DOLJ28</t>
        </is>
      </c>
    </row>
    <row r="26">
      <c r="A26" s="9" t="n"/>
      <c r="B26" s="1" t="inlineStr">
        <is>
          <t>DOLJ28</t>
        </is>
      </c>
    </row>
    <row r="27">
      <c r="A27" s="9" t="n"/>
      <c r="B27" s="1" t="inlineStr">
        <is>
          <t>DOLJ28</t>
        </is>
      </c>
    </row>
    <row r="28">
      <c r="A28" s="9" t="n"/>
      <c r="B28" s="1" t="inlineStr">
        <is>
          <t>DOLJ28</t>
        </is>
      </c>
    </row>
    <row r="29">
      <c r="A29" s="9" t="n"/>
      <c r="B29" s="1" t="inlineStr">
        <is>
          <t>DOLJ28</t>
        </is>
      </c>
    </row>
    <row r="30">
      <c r="A30" s="9" t="n"/>
      <c r="B30" s="1" t="inlineStr">
        <is>
          <t>DOLJ28</t>
        </is>
      </c>
    </row>
    <row r="31">
      <c r="A31" s="9" t="n"/>
      <c r="B31" s="1" t="inlineStr">
        <is>
          <t>DOLJ28</t>
        </is>
      </c>
    </row>
    <row r="32">
      <c r="A32" s="9" t="n"/>
      <c r="B32" s="1" t="inlineStr">
        <is>
          <t>DOLJ28</t>
        </is>
      </c>
    </row>
    <row r="33">
      <c r="A33" s="9" t="n"/>
      <c r="B33" s="1" t="inlineStr">
        <is>
          <t>DOLJ28</t>
        </is>
      </c>
    </row>
    <row r="34">
      <c r="A34" s="9" t="n"/>
      <c r="B34" s="1" t="inlineStr">
        <is>
          <t>DOLJ28</t>
        </is>
      </c>
    </row>
    <row r="35">
      <c r="A35" s="9" t="n"/>
      <c r="B35" s="1" t="inlineStr">
        <is>
          <t>DOLJ28</t>
        </is>
      </c>
    </row>
    <row r="36">
      <c r="A36" s="9" t="n"/>
      <c r="B36" s="1" t="inlineStr">
        <is>
          <t>DOLJ28</t>
        </is>
      </c>
    </row>
    <row r="37">
      <c r="A37" s="9" t="n"/>
      <c r="B37" s="1" t="inlineStr">
        <is>
          <t>DOLJ28</t>
        </is>
      </c>
    </row>
    <row r="38">
      <c r="A38" s="9" t="n"/>
      <c r="B38" s="1" t="inlineStr">
        <is>
          <t>DOLJ28</t>
        </is>
      </c>
    </row>
    <row r="39">
      <c r="A39" s="9" t="n"/>
      <c r="B39" s="1" t="inlineStr">
        <is>
          <t>DOLJ28</t>
        </is>
      </c>
    </row>
    <row r="40">
      <c r="A40" s="9" t="n"/>
      <c r="B40" s="1" t="inlineStr">
        <is>
          <t>DOLJ28</t>
        </is>
      </c>
    </row>
    <row r="41">
      <c r="A41" s="9" t="n"/>
      <c r="B41" s="1" t="inlineStr">
        <is>
          <t>DOLJ28</t>
        </is>
      </c>
    </row>
    <row r="42">
      <c r="A42" s="9" t="n"/>
      <c r="B42" s="1" t="inlineStr">
        <is>
          <t>DOLJ28</t>
        </is>
      </c>
    </row>
    <row r="43">
      <c r="A43" s="9" t="n"/>
      <c r="B43" s="1" t="inlineStr">
        <is>
          <t>DOLJ28</t>
        </is>
      </c>
    </row>
    <row r="44">
      <c r="A44" s="9" t="n"/>
      <c r="B44" s="1" t="inlineStr">
        <is>
          <t>DOLJ28</t>
        </is>
      </c>
    </row>
    <row r="45">
      <c r="A45" s="9" t="n"/>
      <c r="B45" s="1" t="inlineStr">
        <is>
          <t>DOLJ28</t>
        </is>
      </c>
    </row>
    <row r="46">
      <c r="A46" s="9" t="n"/>
      <c r="B46" s="1" t="inlineStr">
        <is>
          <t>DOLJ28</t>
        </is>
      </c>
    </row>
    <row r="47">
      <c r="A47" s="9" t="n"/>
      <c r="B47" s="1" t="inlineStr">
        <is>
          <t>DOLJ28</t>
        </is>
      </c>
    </row>
    <row r="48">
      <c r="A48" s="9" t="n"/>
      <c r="B48" s="1" t="inlineStr">
        <is>
          <t>DOLJ28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8.xml><?xml version="1.0" encoding="utf-8"?>
<worksheet xmlns="http://schemas.openxmlformats.org/spreadsheetml/2006/main">
  <sheetPr codeName="Planilha78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DOLN28</t>
        </is>
      </c>
      <c r="C2" t="n">
        <v>5981.992</v>
      </c>
    </row>
    <row r="3">
      <c r="A3" s="9" t="n">
        <v>46189</v>
      </c>
      <c r="B3" s="1" t="inlineStr">
        <is>
          <t>DOLN28</t>
        </is>
      </c>
      <c r="C3" t="n">
        <v>6019.153</v>
      </c>
    </row>
    <row r="4">
      <c r="A4" s="9" t="n">
        <v>46190</v>
      </c>
      <c r="B4" s="1" t="inlineStr">
        <is>
          <t>DOLN28</t>
        </is>
      </c>
      <c r="C4" t="n">
        <v>6004.632</v>
      </c>
    </row>
    <row r="5">
      <c r="A5" s="9" t="n">
        <v>46191</v>
      </c>
      <c r="B5" s="1" t="inlineStr">
        <is>
          <t>DOLN28</t>
        </is>
      </c>
      <c r="C5" t="n">
        <v>6129.248</v>
      </c>
    </row>
    <row r="6">
      <c r="A6" s="9" t="n">
        <v>46192</v>
      </c>
      <c r="B6" s="1" t="inlineStr">
        <is>
          <t>DOLN28</t>
        </is>
      </c>
      <c r="C6" t="n">
        <v>6100.163</v>
      </c>
    </row>
    <row r="7">
      <c r="A7" s="9" t="n">
        <v>46195</v>
      </c>
      <c r="B7" s="1" t="inlineStr">
        <is>
          <t>DOLN28</t>
        </is>
      </c>
      <c r="C7" t="n">
        <v>6079.169</v>
      </c>
    </row>
    <row r="8">
      <c r="A8" s="9" t="n">
        <v>46196</v>
      </c>
      <c r="B8" s="1" t="inlineStr">
        <is>
          <t>DOLN28</t>
        </is>
      </c>
      <c r="C8" t="n">
        <v>6120.992</v>
      </c>
    </row>
    <row r="9">
      <c r="A9" s="9" t="n">
        <v>46197</v>
      </c>
      <c r="B9" s="1" t="inlineStr">
        <is>
          <t>DOLN28</t>
        </is>
      </c>
      <c r="C9" t="n">
        <v>6102.291</v>
      </c>
    </row>
    <row r="10">
      <c r="A10" s="9" t="n">
        <v>46198</v>
      </c>
      <c r="B10" s="1" t="inlineStr">
        <is>
          <t>DOLN28</t>
        </is>
      </c>
      <c r="C10" t="n">
        <v>6076.389</v>
      </c>
    </row>
    <row r="11">
      <c r="A11" s="9" t="n">
        <v>46199</v>
      </c>
      <c r="B11" s="1" t="inlineStr">
        <is>
          <t>DOLN28</t>
        </is>
      </c>
      <c r="C11" t="n">
        <v>6053.388</v>
      </c>
    </row>
    <row r="12">
      <c r="A12" s="9" t="n">
        <v>46202</v>
      </c>
      <c r="B12" s="1" t="inlineStr">
        <is>
          <t>DOLN28</t>
        </is>
      </c>
      <c r="C12" t="n">
        <v>6038.843</v>
      </c>
    </row>
    <row r="13">
      <c r="A13" s="9" t="n">
        <v>46203</v>
      </c>
      <c r="B13" s="1" t="inlineStr">
        <is>
          <t>DOLN28</t>
        </is>
      </c>
      <c r="C13" t="n">
        <v>6023.504</v>
      </c>
    </row>
    <row r="14">
      <c r="A14" s="9" t="n">
        <v>46204</v>
      </c>
      <c r="B14" s="1" t="inlineStr">
        <is>
          <t>DOLN28</t>
        </is>
      </c>
      <c r="C14" t="n">
        <v>6081.812</v>
      </c>
    </row>
    <row r="15">
      <c r="A15" s="9" t="n">
        <v>46205</v>
      </c>
      <c r="B15" s="1" t="inlineStr">
        <is>
          <t>DOLN28</t>
        </is>
      </c>
      <c r="C15" t="n">
        <v>6092.155</v>
      </c>
    </row>
    <row r="16">
      <c r="A16" s="9" t="n">
        <v>46206</v>
      </c>
      <c r="B16" s="1" t="inlineStr">
        <is>
          <t>DOLN28</t>
        </is>
      </c>
      <c r="C16" t="n">
        <v>6034.873</v>
      </c>
    </row>
    <row r="17">
      <c r="A17" s="9" t="n">
        <v>46209</v>
      </c>
      <c r="B17" s="1" t="inlineStr">
        <is>
          <t>DOLN28</t>
        </is>
      </c>
      <c r="C17" t="n">
        <v>5980.578</v>
      </c>
    </row>
    <row r="18">
      <c r="A18" s="9" t="n">
        <v>46210</v>
      </c>
      <c r="B18" s="1" t="inlineStr">
        <is>
          <t>DOLN28</t>
        </is>
      </c>
      <c r="C18" t="n">
        <v>6012.532</v>
      </c>
    </row>
    <row r="19">
      <c r="A19" s="9" t="n">
        <v>46211</v>
      </c>
      <c r="B19" s="1" t="inlineStr">
        <is>
          <t>DOLN28</t>
        </is>
      </c>
      <c r="C19" t="n">
        <v>6005.263</v>
      </c>
    </row>
    <row r="20">
      <c r="A20" s="9" t="n">
        <v>46212</v>
      </c>
      <c r="B20" s="1" t="inlineStr">
        <is>
          <t>DOLN28</t>
        </is>
      </c>
      <c r="C20" t="n">
        <v>5962.553</v>
      </c>
    </row>
    <row r="21">
      <c r="A21" s="9" t="n">
        <v>46213</v>
      </c>
      <c r="B21" s="1" t="inlineStr">
        <is>
          <t>DOLN28</t>
        </is>
      </c>
      <c r="C21" t="n">
        <v>5925.85</v>
      </c>
    </row>
    <row r="22">
      <c r="A22" s="9" t="n">
        <v>46216</v>
      </c>
      <c r="B22" s="1" t="inlineStr">
        <is>
          <t>DOLN28</t>
        </is>
      </c>
      <c r="C22" t="n">
        <v>5964.805</v>
      </c>
    </row>
    <row r="23">
      <c r="A23" s="9" t="n">
        <v>46217</v>
      </c>
      <c r="B23" s="1" t="inlineStr">
        <is>
          <t>DOLN28</t>
        </is>
      </c>
      <c r="C23" t="n">
        <v>5889.294</v>
      </c>
    </row>
    <row r="24">
      <c r="A24" s="9" t="n"/>
      <c r="B24" s="1" t="inlineStr">
        <is>
          <t>DOLN28</t>
        </is>
      </c>
    </row>
    <row r="25">
      <c r="A25" s="9" t="n"/>
      <c r="B25" s="1" t="inlineStr">
        <is>
          <t>DOLN28</t>
        </is>
      </c>
    </row>
    <row r="26">
      <c r="A26" s="9" t="n"/>
      <c r="B26" s="1" t="inlineStr">
        <is>
          <t>DOLN28</t>
        </is>
      </c>
    </row>
    <row r="27">
      <c r="A27" s="9" t="n"/>
      <c r="B27" s="1" t="inlineStr">
        <is>
          <t>DOLN28</t>
        </is>
      </c>
    </row>
    <row r="28">
      <c r="A28" s="9" t="n"/>
      <c r="B28" s="1" t="inlineStr">
        <is>
          <t>DOLN28</t>
        </is>
      </c>
    </row>
    <row r="29">
      <c r="A29" s="9" t="n"/>
      <c r="B29" s="1" t="inlineStr">
        <is>
          <t>DOLN28</t>
        </is>
      </c>
    </row>
    <row r="30">
      <c r="A30" s="9" t="n"/>
      <c r="B30" s="1" t="inlineStr">
        <is>
          <t>DOLN28</t>
        </is>
      </c>
    </row>
    <row r="31">
      <c r="A31" s="9" t="n"/>
      <c r="B31" s="1" t="inlineStr">
        <is>
          <t>DOLN28</t>
        </is>
      </c>
    </row>
    <row r="32">
      <c r="A32" s="9" t="n"/>
      <c r="B32" s="1" t="inlineStr">
        <is>
          <t>DOLN28</t>
        </is>
      </c>
    </row>
    <row r="33">
      <c r="A33" s="9" t="n"/>
      <c r="B33" s="1" t="inlineStr">
        <is>
          <t>DOLN28</t>
        </is>
      </c>
    </row>
    <row r="34">
      <c r="A34" s="9" t="n"/>
      <c r="B34" s="1" t="inlineStr">
        <is>
          <t>DOLN28</t>
        </is>
      </c>
    </row>
    <row r="35">
      <c r="A35" s="9" t="n"/>
      <c r="B35" s="1" t="inlineStr">
        <is>
          <t>DOLN28</t>
        </is>
      </c>
    </row>
    <row r="36">
      <c r="A36" s="9" t="n"/>
      <c r="B36" s="1" t="inlineStr">
        <is>
          <t>DOLN28</t>
        </is>
      </c>
    </row>
    <row r="37">
      <c r="A37" s="9" t="n"/>
      <c r="B37" s="1" t="inlineStr">
        <is>
          <t>DOLN28</t>
        </is>
      </c>
    </row>
    <row r="38">
      <c r="A38" s="9" t="n"/>
      <c r="B38" s="1" t="inlineStr">
        <is>
          <t>DOLN28</t>
        </is>
      </c>
    </row>
    <row r="39">
      <c r="A39" s="9" t="n"/>
      <c r="B39" s="1" t="inlineStr">
        <is>
          <t>DOLN28</t>
        </is>
      </c>
    </row>
    <row r="40">
      <c r="A40" s="9" t="n"/>
      <c r="B40" s="1" t="inlineStr">
        <is>
          <t>DOLN28</t>
        </is>
      </c>
    </row>
    <row r="41">
      <c r="A41" s="9" t="n"/>
      <c r="B41" s="1" t="inlineStr">
        <is>
          <t>DOLN28</t>
        </is>
      </c>
    </row>
    <row r="42">
      <c r="A42" s="9" t="n"/>
      <c r="B42" s="1" t="inlineStr">
        <is>
          <t>DOLN28</t>
        </is>
      </c>
    </row>
    <row r="43">
      <c r="A43" s="9" t="n"/>
      <c r="B43" s="1" t="inlineStr">
        <is>
          <t>DOLN28</t>
        </is>
      </c>
    </row>
    <row r="44">
      <c r="A44" s="9" t="n"/>
      <c r="B44" s="1" t="inlineStr">
        <is>
          <t>DOLN28</t>
        </is>
      </c>
    </row>
    <row r="45">
      <c r="A45" s="9" t="n"/>
      <c r="B45" s="1" t="inlineStr">
        <is>
          <t>DOLN28</t>
        </is>
      </c>
    </row>
    <row r="46">
      <c r="A46" s="9" t="n"/>
      <c r="B46" s="1" t="inlineStr">
        <is>
          <t>DOLN28</t>
        </is>
      </c>
    </row>
    <row r="47">
      <c r="A47" s="9" t="n"/>
      <c r="B47" s="1" t="inlineStr">
        <is>
          <t>DOLN28</t>
        </is>
      </c>
    </row>
    <row r="48">
      <c r="A48" s="9" t="n"/>
      <c r="B48" s="1" t="inlineStr">
        <is>
          <t>DOLN28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79.xml><?xml version="1.0" encoding="utf-8"?>
<worksheet xmlns="http://schemas.openxmlformats.org/spreadsheetml/2006/main">
  <sheetPr codeName="Planilha79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DOLV28</t>
        </is>
      </c>
      <c r="C2" t="n">
        <v>6106.186</v>
      </c>
    </row>
    <row r="3">
      <c r="A3" s="9" t="n">
        <v>46189</v>
      </c>
      <c r="B3" s="1" t="inlineStr">
        <is>
          <t>DOLV28</t>
        </is>
      </c>
      <c r="C3" t="n">
        <v>6144.94</v>
      </c>
    </row>
    <row r="4">
      <c r="A4" s="9" t="n">
        <v>46190</v>
      </c>
      <c r="B4" s="1" t="inlineStr">
        <is>
          <t>DOLV28</t>
        </is>
      </c>
      <c r="C4" t="n">
        <v>6133.445</v>
      </c>
    </row>
    <row r="5">
      <c r="A5" s="9" t="n">
        <v>46191</v>
      </c>
      <c r="B5" s="1" t="inlineStr">
        <is>
          <t>DOLV28</t>
        </is>
      </c>
      <c r="C5" t="n">
        <v>6264.988</v>
      </c>
    </row>
    <row r="6">
      <c r="A6" s="9" t="n">
        <v>46192</v>
      </c>
      <c r="B6" s="1" t="inlineStr">
        <is>
          <t>DOLV28</t>
        </is>
      </c>
      <c r="C6" t="n">
        <v>6235.49</v>
      </c>
    </row>
    <row r="7">
      <c r="A7" s="9" t="n">
        <v>46195</v>
      </c>
      <c r="B7" s="1" t="inlineStr">
        <is>
          <t>DOLV28</t>
        </is>
      </c>
      <c r="C7" t="n">
        <v>6212.094</v>
      </c>
    </row>
    <row r="8">
      <c r="A8" s="9" t="n">
        <v>46196</v>
      </c>
      <c r="B8" s="1" t="inlineStr">
        <is>
          <t>DOLV28</t>
        </is>
      </c>
      <c r="C8" t="n">
        <v>6253.256</v>
      </c>
    </row>
    <row r="9">
      <c r="A9" s="9" t="n">
        <v>46197</v>
      </c>
      <c r="B9" s="1" t="inlineStr">
        <is>
          <t>DOLV28</t>
        </is>
      </c>
      <c r="C9" t="n">
        <v>6230.133</v>
      </c>
    </row>
    <row r="10">
      <c r="A10" s="9" t="n">
        <v>46198</v>
      </c>
      <c r="B10" s="1" t="inlineStr">
        <is>
          <t>DOLV28</t>
        </is>
      </c>
      <c r="C10" t="n">
        <v>6205.198</v>
      </c>
    </row>
    <row r="11">
      <c r="A11" s="9" t="n">
        <v>46199</v>
      </c>
      <c r="B11" s="1" t="inlineStr">
        <is>
          <t>DOLV28</t>
        </is>
      </c>
      <c r="C11" t="n">
        <v>6178.865</v>
      </c>
    </row>
    <row r="12">
      <c r="A12" s="9" t="n">
        <v>46202</v>
      </c>
      <c r="B12" s="1" t="inlineStr">
        <is>
          <t>DOLV28</t>
        </is>
      </c>
      <c r="C12" t="n">
        <v>6163.794</v>
      </c>
    </row>
    <row r="13">
      <c r="A13" s="9" t="n">
        <v>46203</v>
      </c>
      <c r="B13" s="1" t="inlineStr">
        <is>
          <t>DOLV28</t>
        </is>
      </c>
      <c r="C13" t="n">
        <v>6147.867</v>
      </c>
    </row>
    <row r="14">
      <c r="A14" s="9" t="n">
        <v>46204</v>
      </c>
      <c r="B14" s="1" t="inlineStr">
        <is>
          <t>DOLV28</t>
        </is>
      </c>
      <c r="C14" t="n">
        <v>6211.775</v>
      </c>
    </row>
    <row r="15">
      <c r="A15" s="9" t="n">
        <v>46205</v>
      </c>
      <c r="B15" s="1" t="inlineStr">
        <is>
          <t>DOLV28</t>
        </is>
      </c>
      <c r="C15" t="n">
        <v>6220.839</v>
      </c>
    </row>
    <row r="16">
      <c r="A16" s="9" t="n">
        <v>46206</v>
      </c>
      <c r="B16" s="1" t="inlineStr">
        <is>
          <t>DOLV28</t>
        </is>
      </c>
      <c r="C16" t="n">
        <v>6161.36</v>
      </c>
    </row>
    <row r="17">
      <c r="A17" s="9" t="n">
        <v>46209</v>
      </c>
      <c r="B17" s="1" t="inlineStr">
        <is>
          <t>DOLV28</t>
        </is>
      </c>
      <c r="C17" t="n">
        <v>6102.724</v>
      </c>
    </row>
    <row r="18">
      <c r="A18" s="9" t="n">
        <v>46210</v>
      </c>
      <c r="B18" s="1" t="inlineStr">
        <is>
          <t>DOLV28</t>
        </is>
      </c>
      <c r="C18" t="n">
        <v>6135.82</v>
      </c>
    </row>
    <row r="19">
      <c r="A19" s="9" t="n">
        <v>46211</v>
      </c>
      <c r="B19" s="1" t="inlineStr">
        <is>
          <t>DOLV28</t>
        </is>
      </c>
      <c r="C19" t="n">
        <v>6130.764</v>
      </c>
    </row>
    <row r="20">
      <c r="A20" s="9" t="n">
        <v>46212</v>
      </c>
      <c r="B20" s="1" t="inlineStr">
        <is>
          <t>DOLV28</t>
        </is>
      </c>
      <c r="C20" t="n">
        <v>6087.319</v>
      </c>
    </row>
    <row r="21">
      <c r="A21" s="9" t="n">
        <v>46213</v>
      </c>
      <c r="B21" s="1" t="inlineStr">
        <is>
          <t>DOLV28</t>
        </is>
      </c>
      <c r="C21" t="n">
        <v>6046.414</v>
      </c>
    </row>
    <row r="22">
      <c r="A22" s="9" t="n">
        <v>46216</v>
      </c>
      <c r="B22" s="1" t="inlineStr">
        <is>
          <t>DOLV28</t>
        </is>
      </c>
      <c r="C22" t="n">
        <v>6088.322</v>
      </c>
    </row>
    <row r="23">
      <c r="A23" s="9" t="n">
        <v>46217</v>
      </c>
      <c r="B23" s="1" t="inlineStr">
        <is>
          <t>DOLV28</t>
        </is>
      </c>
      <c r="C23" t="n">
        <v>6008.86</v>
      </c>
    </row>
    <row r="24">
      <c r="A24" s="9" t="n"/>
      <c r="B24" s="1" t="inlineStr">
        <is>
          <t>DOLV28</t>
        </is>
      </c>
    </row>
    <row r="25">
      <c r="A25" s="9" t="n"/>
      <c r="B25" s="1" t="inlineStr">
        <is>
          <t>DOLV28</t>
        </is>
      </c>
    </row>
    <row r="26">
      <c r="A26" s="9" t="n"/>
      <c r="B26" s="1" t="inlineStr">
        <is>
          <t>DOLV28</t>
        </is>
      </c>
    </row>
    <row r="27">
      <c r="A27" s="9" t="n"/>
      <c r="B27" s="1" t="inlineStr">
        <is>
          <t>DOLV28</t>
        </is>
      </c>
    </row>
    <row r="28">
      <c r="A28" s="9" t="n"/>
      <c r="B28" s="1" t="inlineStr">
        <is>
          <t>DOLV28</t>
        </is>
      </c>
    </row>
    <row r="29">
      <c r="A29" s="9" t="n"/>
      <c r="B29" s="1" t="inlineStr">
        <is>
          <t>DOLV28</t>
        </is>
      </c>
    </row>
    <row r="30">
      <c r="A30" s="9" t="n"/>
      <c r="B30" s="1" t="inlineStr">
        <is>
          <t>DOLV28</t>
        </is>
      </c>
    </row>
    <row r="31">
      <c r="A31" s="9" t="n"/>
      <c r="B31" s="1" t="inlineStr">
        <is>
          <t>DOLV28</t>
        </is>
      </c>
    </row>
    <row r="32">
      <c r="A32" s="9" t="n"/>
      <c r="B32" s="1" t="inlineStr">
        <is>
          <t>DOLV28</t>
        </is>
      </c>
    </row>
    <row r="33">
      <c r="A33" s="9" t="n"/>
      <c r="B33" s="1" t="inlineStr">
        <is>
          <t>DOLV28</t>
        </is>
      </c>
    </row>
    <row r="34">
      <c r="A34" s="9" t="n"/>
      <c r="B34" s="1" t="inlineStr">
        <is>
          <t>DOLV28</t>
        </is>
      </c>
    </row>
    <row r="35">
      <c r="A35" s="9" t="n"/>
      <c r="B35" s="1" t="inlineStr">
        <is>
          <t>DOLV28</t>
        </is>
      </c>
    </row>
    <row r="36">
      <c r="A36" s="9" t="n"/>
      <c r="B36" s="1" t="inlineStr">
        <is>
          <t>DOLV28</t>
        </is>
      </c>
    </row>
    <row r="37">
      <c r="A37" s="9" t="n"/>
      <c r="B37" s="1" t="inlineStr">
        <is>
          <t>DOLV28</t>
        </is>
      </c>
    </row>
    <row r="38">
      <c r="A38" s="9" t="n"/>
      <c r="B38" s="1" t="inlineStr">
        <is>
          <t>DOLV28</t>
        </is>
      </c>
    </row>
    <row r="39">
      <c r="A39" s="9" t="n"/>
      <c r="B39" s="1" t="inlineStr">
        <is>
          <t>DOLV28</t>
        </is>
      </c>
    </row>
    <row r="40">
      <c r="A40" s="9" t="n"/>
      <c r="B40" s="1" t="inlineStr">
        <is>
          <t>DOLV28</t>
        </is>
      </c>
    </row>
    <row r="41">
      <c r="A41" s="9" t="n"/>
      <c r="B41" s="1" t="inlineStr">
        <is>
          <t>DOLV28</t>
        </is>
      </c>
    </row>
    <row r="42">
      <c r="A42" s="9" t="n"/>
      <c r="B42" s="1" t="inlineStr">
        <is>
          <t>DOLV28</t>
        </is>
      </c>
    </row>
    <row r="43">
      <c r="A43" s="9" t="n"/>
      <c r="B43" s="1" t="inlineStr">
        <is>
          <t>DOLV28</t>
        </is>
      </c>
    </row>
    <row r="44">
      <c r="A44" s="9" t="n"/>
      <c r="B44" s="1" t="inlineStr">
        <is>
          <t>DOLV28</t>
        </is>
      </c>
    </row>
    <row r="45">
      <c r="A45" s="9" t="n"/>
      <c r="B45" s="1" t="inlineStr">
        <is>
          <t>DOLV28</t>
        </is>
      </c>
    </row>
    <row r="46">
      <c r="A46" s="9" t="n"/>
      <c r="B46" s="1" t="inlineStr">
        <is>
          <t>DOLV28</t>
        </is>
      </c>
    </row>
    <row r="47">
      <c r="A47" s="9" t="n"/>
      <c r="B47" s="1" t="inlineStr">
        <is>
          <t>DOLV28</t>
        </is>
      </c>
    </row>
    <row r="48">
      <c r="A48" s="9" t="n"/>
      <c r="B48" s="1" t="inlineStr">
        <is>
          <t>DOLV28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0.xml><?xml version="1.0" encoding="utf-8"?>
<worksheet xmlns="http://schemas.openxmlformats.org/spreadsheetml/2006/main">
  <sheetPr codeName="Planilha80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DOLF29</t>
        </is>
      </c>
      <c r="C2" t="n">
        <v>6213.389</v>
      </c>
    </row>
    <row r="3">
      <c r="A3" s="9" t="n">
        <v>46189</v>
      </c>
      <c r="B3" s="1" t="inlineStr">
        <is>
          <t>DOLF29</t>
        </is>
      </c>
      <c r="C3" t="n">
        <v>6254.381</v>
      </c>
    </row>
    <row r="4">
      <c r="A4" s="9" t="n">
        <v>46190</v>
      </c>
      <c r="B4" s="1" t="inlineStr">
        <is>
          <t>DOLF29</t>
        </is>
      </c>
      <c r="C4" t="n">
        <v>6247.834</v>
      </c>
    </row>
    <row r="5">
      <c r="A5" s="9" t="n">
        <v>46191</v>
      </c>
      <c r="B5" s="1" t="inlineStr">
        <is>
          <t>DOLF29</t>
        </is>
      </c>
      <c r="C5" t="n">
        <v>6387.363</v>
      </c>
    </row>
    <row r="6">
      <c r="A6" s="9" t="n">
        <v>46192</v>
      </c>
      <c r="B6" s="1" t="inlineStr">
        <is>
          <t>DOLF29</t>
        </is>
      </c>
      <c r="C6" t="n">
        <v>6356.767</v>
      </c>
    </row>
    <row r="7">
      <c r="A7" s="9" t="n">
        <v>46195</v>
      </c>
      <c r="B7" s="1" t="inlineStr">
        <is>
          <t>DOLF29</t>
        </is>
      </c>
      <c r="C7" t="n">
        <v>6325.366</v>
      </c>
    </row>
    <row r="8">
      <c r="A8" s="9" t="n">
        <v>46196</v>
      </c>
      <c r="B8" s="1" t="inlineStr">
        <is>
          <t>DOLF29</t>
        </is>
      </c>
      <c r="C8" t="n">
        <v>6368.563</v>
      </c>
    </row>
    <row r="9">
      <c r="A9" s="9" t="n">
        <v>46197</v>
      </c>
      <c r="B9" s="1" t="inlineStr">
        <is>
          <t>DOLF29</t>
        </is>
      </c>
      <c r="C9" t="n">
        <v>6341.613</v>
      </c>
    </row>
    <row r="10">
      <c r="A10" s="9" t="n">
        <v>46198</v>
      </c>
      <c r="B10" s="1" t="inlineStr">
        <is>
          <t>DOLF29</t>
        </is>
      </c>
      <c r="C10" t="n">
        <v>6315.391</v>
      </c>
    </row>
    <row r="11">
      <c r="A11" s="9" t="n">
        <v>46199</v>
      </c>
      <c r="B11" s="1" t="inlineStr">
        <is>
          <t>DOLF29</t>
        </is>
      </c>
      <c r="C11" t="n">
        <v>6285.989</v>
      </c>
    </row>
    <row r="12">
      <c r="A12" s="9" t="n">
        <v>46202</v>
      </c>
      <c r="B12" s="1" t="inlineStr">
        <is>
          <t>DOLF29</t>
        </is>
      </c>
      <c r="C12" t="n">
        <v>6272.011</v>
      </c>
    </row>
    <row r="13">
      <c r="A13" s="9" t="n">
        <v>46203</v>
      </c>
      <c r="B13" s="1" t="inlineStr">
        <is>
          <t>DOLF29</t>
        </is>
      </c>
      <c r="C13" t="n">
        <v>6252.275</v>
      </c>
    </row>
    <row r="14">
      <c r="A14" s="9" t="n">
        <v>46204</v>
      </c>
      <c r="B14" s="1" t="inlineStr">
        <is>
          <t>DOLF29</t>
        </is>
      </c>
      <c r="C14" t="n">
        <v>6323.368</v>
      </c>
    </row>
    <row r="15">
      <c r="A15" s="9" t="n">
        <v>46205</v>
      </c>
      <c r="B15" s="1" t="inlineStr">
        <is>
          <t>DOLF29</t>
        </is>
      </c>
      <c r="C15" t="n">
        <v>6337.626</v>
      </c>
    </row>
    <row r="16">
      <c r="A16" s="9" t="n">
        <v>46206</v>
      </c>
      <c r="B16" s="1" t="inlineStr">
        <is>
          <t>DOLF29</t>
        </is>
      </c>
      <c r="C16" t="n">
        <v>6272.87</v>
      </c>
    </row>
    <row r="17">
      <c r="A17" s="9" t="n">
        <v>46209</v>
      </c>
      <c r="B17" s="1" t="inlineStr">
        <is>
          <t>DOLF29</t>
        </is>
      </c>
      <c r="C17" t="n">
        <v>6214.391</v>
      </c>
    </row>
    <row r="18">
      <c r="A18" s="9" t="n">
        <v>46210</v>
      </c>
      <c r="B18" s="1" t="inlineStr">
        <is>
          <t>DOLF29</t>
        </is>
      </c>
      <c r="C18" t="n">
        <v>6247.577</v>
      </c>
    </row>
    <row r="19">
      <c r="A19" s="9" t="n">
        <v>46211</v>
      </c>
      <c r="B19" s="1" t="inlineStr">
        <is>
          <t>DOLF29</t>
        </is>
      </c>
      <c r="C19" t="n">
        <v>6244.418</v>
      </c>
    </row>
    <row r="20">
      <c r="A20" s="9" t="n">
        <v>46212</v>
      </c>
      <c r="B20" s="1" t="inlineStr">
        <is>
          <t>DOLF29</t>
        </is>
      </c>
      <c r="C20" t="n">
        <v>6199.217</v>
      </c>
    </row>
    <row r="21">
      <c r="A21" s="9" t="n">
        <v>46213</v>
      </c>
      <c r="B21" s="1" t="inlineStr">
        <is>
          <t>DOLF29</t>
        </is>
      </c>
      <c r="C21" t="n">
        <v>6152.193</v>
      </c>
    </row>
    <row r="22">
      <c r="A22" s="9" t="n">
        <v>46216</v>
      </c>
      <c r="B22" s="1" t="inlineStr">
        <is>
          <t>DOLF29</t>
        </is>
      </c>
      <c r="C22" t="n">
        <v>6197.89</v>
      </c>
    </row>
    <row r="23">
      <c r="A23" s="9" t="n">
        <v>46217</v>
      </c>
      <c r="B23" s="1" t="inlineStr">
        <is>
          <t>DOLF29</t>
        </is>
      </c>
      <c r="C23" t="n">
        <v>6116.616</v>
      </c>
    </row>
    <row r="24">
      <c r="A24" s="9" t="n"/>
      <c r="B24" s="1" t="inlineStr">
        <is>
          <t>DOLF29</t>
        </is>
      </c>
    </row>
    <row r="25">
      <c r="A25" s="9" t="n"/>
      <c r="B25" s="1" t="inlineStr">
        <is>
          <t>DOLF29</t>
        </is>
      </c>
    </row>
    <row r="26">
      <c r="A26" s="9" t="n"/>
      <c r="B26" s="1" t="inlineStr">
        <is>
          <t>DOLF29</t>
        </is>
      </c>
    </row>
    <row r="27">
      <c r="A27" s="9" t="n"/>
      <c r="B27" s="1" t="inlineStr">
        <is>
          <t>DOLF29</t>
        </is>
      </c>
    </row>
    <row r="28">
      <c r="A28" s="9" t="n"/>
      <c r="B28" s="1" t="inlineStr">
        <is>
          <t>DOLF29</t>
        </is>
      </c>
    </row>
    <row r="29">
      <c r="A29" s="9" t="n"/>
      <c r="B29" s="1" t="inlineStr">
        <is>
          <t>DOLF29</t>
        </is>
      </c>
    </row>
    <row r="30">
      <c r="A30" s="9" t="n"/>
      <c r="B30" s="1" t="inlineStr">
        <is>
          <t>DOLF29</t>
        </is>
      </c>
    </row>
    <row r="31">
      <c r="A31" s="9" t="n"/>
      <c r="B31" s="1" t="inlineStr">
        <is>
          <t>DOLF29</t>
        </is>
      </c>
    </row>
    <row r="32">
      <c r="A32" s="9" t="n"/>
      <c r="B32" s="1" t="inlineStr">
        <is>
          <t>DOLF29</t>
        </is>
      </c>
    </row>
    <row r="33">
      <c r="A33" s="9" t="n"/>
      <c r="B33" s="1" t="inlineStr">
        <is>
          <t>DOLF29</t>
        </is>
      </c>
    </row>
    <row r="34">
      <c r="A34" s="9" t="n"/>
      <c r="B34" s="1" t="inlineStr">
        <is>
          <t>DOLF29</t>
        </is>
      </c>
    </row>
    <row r="35">
      <c r="A35" s="9" t="n"/>
      <c r="B35" s="1" t="inlineStr">
        <is>
          <t>DOLF29</t>
        </is>
      </c>
    </row>
    <row r="36">
      <c r="A36" s="9" t="n"/>
      <c r="B36" s="1" t="inlineStr">
        <is>
          <t>DOLF29</t>
        </is>
      </c>
    </row>
    <row r="37">
      <c r="A37" s="9" t="n"/>
      <c r="B37" s="1" t="inlineStr">
        <is>
          <t>DOLF29</t>
        </is>
      </c>
    </row>
    <row r="38">
      <c r="A38" s="9" t="n"/>
      <c r="B38" s="1" t="inlineStr">
        <is>
          <t>DOLF29</t>
        </is>
      </c>
    </row>
    <row r="39">
      <c r="A39" s="9" t="n"/>
      <c r="B39" s="1" t="inlineStr">
        <is>
          <t>DOLF29</t>
        </is>
      </c>
    </row>
    <row r="40">
      <c r="A40" s="9" t="n"/>
      <c r="B40" s="1" t="inlineStr">
        <is>
          <t>DOLF29</t>
        </is>
      </c>
    </row>
    <row r="41">
      <c r="A41" s="9" t="n"/>
      <c r="B41" s="1" t="inlineStr">
        <is>
          <t>DOLF29</t>
        </is>
      </c>
    </row>
    <row r="42">
      <c r="A42" s="9" t="n"/>
      <c r="B42" s="1" t="inlineStr">
        <is>
          <t>DOLF29</t>
        </is>
      </c>
    </row>
    <row r="43">
      <c r="A43" s="9" t="n"/>
      <c r="B43" s="1" t="inlineStr">
        <is>
          <t>DOLF29</t>
        </is>
      </c>
    </row>
    <row r="44">
      <c r="A44" s="9" t="n"/>
      <c r="B44" s="1" t="inlineStr">
        <is>
          <t>DOLF29</t>
        </is>
      </c>
    </row>
    <row r="45">
      <c r="A45" s="9" t="n"/>
      <c r="B45" s="1" t="inlineStr">
        <is>
          <t>DOLF29</t>
        </is>
      </c>
    </row>
    <row r="46">
      <c r="A46" s="9" t="n"/>
      <c r="B46" s="1" t="inlineStr">
        <is>
          <t>DOLF29</t>
        </is>
      </c>
    </row>
    <row r="47">
      <c r="A47" s="9" t="n"/>
      <c r="B47" s="1" t="inlineStr">
        <is>
          <t>DOLF29</t>
        </is>
      </c>
    </row>
    <row r="48">
      <c r="A48" s="9" t="n"/>
      <c r="B48" s="1" t="inlineStr">
        <is>
          <t>DOLF29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1.xml><?xml version="1.0" encoding="utf-8"?>
<worksheet xmlns="http://schemas.openxmlformats.org/spreadsheetml/2006/main">
  <sheetPr codeName="Planilha81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DOLJ29</t>
        </is>
      </c>
      <c r="C2" t="n">
        <v>6334.47</v>
      </c>
    </row>
    <row r="3">
      <c r="A3" s="9" t="n">
        <v>46189</v>
      </c>
      <c r="B3" s="1" t="inlineStr">
        <is>
          <t>DOLJ29</t>
        </is>
      </c>
      <c r="C3" t="n">
        <v>6378.895</v>
      </c>
    </row>
    <row r="4">
      <c r="A4" s="9" t="n">
        <v>46190</v>
      </c>
      <c r="B4" s="1" t="inlineStr">
        <is>
          <t>DOLJ29</t>
        </is>
      </c>
      <c r="C4" t="n">
        <v>6373.731</v>
      </c>
    </row>
    <row r="5">
      <c r="A5" s="9" t="n">
        <v>46191</v>
      </c>
      <c r="B5" s="1" t="inlineStr">
        <is>
          <t>DOLJ29</t>
        </is>
      </c>
      <c r="C5" t="n">
        <v>6521.295</v>
      </c>
    </row>
    <row r="6">
      <c r="A6" s="9" t="n">
        <v>46192</v>
      </c>
      <c r="B6" s="1" t="inlineStr">
        <is>
          <t>DOLJ29</t>
        </is>
      </c>
      <c r="C6" t="n">
        <v>6491.178</v>
      </c>
    </row>
    <row r="7">
      <c r="A7" s="9" t="n">
        <v>46195</v>
      </c>
      <c r="B7" s="1" t="inlineStr">
        <is>
          <t>DOLJ29</t>
        </is>
      </c>
      <c r="C7" t="n">
        <v>6458.719</v>
      </c>
    </row>
    <row r="8">
      <c r="A8" s="9" t="n">
        <v>46196</v>
      </c>
      <c r="B8" s="1" t="inlineStr">
        <is>
          <t>DOLJ29</t>
        </is>
      </c>
      <c r="C8" t="n">
        <v>6498.005</v>
      </c>
    </row>
    <row r="9">
      <c r="A9" s="9" t="n">
        <v>46197</v>
      </c>
      <c r="B9" s="1" t="inlineStr">
        <is>
          <t>DOLJ29</t>
        </is>
      </c>
      <c r="C9" t="n">
        <v>6467.433</v>
      </c>
    </row>
    <row r="10">
      <c r="A10" s="9" t="n">
        <v>46198</v>
      </c>
      <c r="B10" s="1" t="inlineStr">
        <is>
          <t>DOLJ29</t>
        </is>
      </c>
      <c r="C10" t="n">
        <v>6442.854</v>
      </c>
    </row>
    <row r="11">
      <c r="A11" s="9" t="n">
        <v>46199</v>
      </c>
      <c r="B11" s="1" t="inlineStr">
        <is>
          <t>DOLJ29</t>
        </is>
      </c>
      <c r="C11" t="n">
        <v>6414.633</v>
      </c>
    </row>
    <row r="12">
      <c r="A12" s="9" t="n">
        <v>46202</v>
      </c>
      <c r="B12" s="1" t="inlineStr">
        <is>
          <t>DOLJ29</t>
        </is>
      </c>
      <c r="C12" t="n">
        <v>6396.091</v>
      </c>
    </row>
    <row r="13">
      <c r="A13" s="9" t="n">
        <v>46203</v>
      </c>
      <c r="B13" s="1" t="inlineStr">
        <is>
          <t>DOLJ29</t>
        </is>
      </c>
      <c r="C13" t="n">
        <v>6376.31</v>
      </c>
    </row>
    <row r="14">
      <c r="A14" s="9" t="n">
        <v>46204</v>
      </c>
      <c r="B14" s="1" t="inlineStr">
        <is>
          <t>DOLJ29</t>
        </is>
      </c>
      <c r="C14" t="n">
        <v>6449.981</v>
      </c>
    </row>
    <row r="15">
      <c r="A15" s="9" t="n">
        <v>46205</v>
      </c>
      <c r="B15" s="1" t="inlineStr">
        <is>
          <t>DOLJ29</t>
        </is>
      </c>
      <c r="C15" t="n">
        <v>6467.544</v>
      </c>
    </row>
    <row r="16">
      <c r="A16" s="9" t="n">
        <v>46206</v>
      </c>
      <c r="B16" s="1" t="inlineStr">
        <is>
          <t>DOLJ29</t>
        </is>
      </c>
      <c r="C16" t="n">
        <v>6399.92</v>
      </c>
    </row>
    <row r="17">
      <c r="A17" s="9" t="n">
        <v>46209</v>
      </c>
      <c r="B17" s="1" t="inlineStr">
        <is>
          <t>DOLJ29</t>
        </is>
      </c>
      <c r="C17" t="n">
        <v>6339.143</v>
      </c>
    </row>
    <row r="18">
      <c r="A18" s="9" t="n">
        <v>46210</v>
      </c>
      <c r="B18" s="1" t="inlineStr">
        <is>
          <t>DOLJ29</t>
        </is>
      </c>
      <c r="C18" t="n">
        <v>6371.259</v>
      </c>
    </row>
    <row r="19">
      <c r="A19" s="9" t="n">
        <v>46211</v>
      </c>
      <c r="B19" s="1" t="inlineStr">
        <is>
          <t>DOLJ29</t>
        </is>
      </c>
      <c r="C19" t="n">
        <v>6370.748</v>
      </c>
    </row>
    <row r="20">
      <c r="A20" s="9" t="n">
        <v>46212</v>
      </c>
      <c r="B20" s="1" t="inlineStr">
        <is>
          <t>DOLJ29</t>
        </is>
      </c>
      <c r="C20" t="n">
        <v>6325.288</v>
      </c>
    </row>
    <row r="21">
      <c r="A21" s="9" t="n">
        <v>46213</v>
      </c>
      <c r="B21" s="1" t="inlineStr">
        <is>
          <t>DOLJ29</t>
        </is>
      </c>
      <c r="C21" t="n">
        <v>6275.791</v>
      </c>
    </row>
    <row r="22">
      <c r="A22" s="9" t="n">
        <v>46216</v>
      </c>
      <c r="B22" s="1" t="inlineStr">
        <is>
          <t>DOLJ29</t>
        </is>
      </c>
      <c r="C22" t="n">
        <v>6324.002</v>
      </c>
    </row>
    <row r="23">
      <c r="A23" s="9" t="n">
        <v>46217</v>
      </c>
      <c r="B23" s="1" t="inlineStr">
        <is>
          <t>DOLJ29</t>
        </is>
      </c>
      <c r="C23" t="n">
        <v>6240.812</v>
      </c>
    </row>
    <row r="24">
      <c r="A24" s="9" t="n"/>
      <c r="B24" s="1" t="inlineStr">
        <is>
          <t>DOLJ29</t>
        </is>
      </c>
    </row>
    <row r="25">
      <c r="A25" s="9" t="n"/>
      <c r="B25" s="1" t="inlineStr">
        <is>
          <t>DOLJ29</t>
        </is>
      </c>
    </row>
    <row r="26">
      <c r="A26" s="9" t="n"/>
      <c r="B26" s="1" t="inlineStr">
        <is>
          <t>DOLJ29</t>
        </is>
      </c>
    </row>
    <row r="27">
      <c r="A27" s="9" t="n"/>
      <c r="B27" s="1" t="inlineStr">
        <is>
          <t>DOLJ29</t>
        </is>
      </c>
    </row>
    <row r="28">
      <c r="A28" s="9" t="n"/>
      <c r="B28" s="1" t="inlineStr">
        <is>
          <t>DOLJ29</t>
        </is>
      </c>
    </row>
    <row r="29">
      <c r="A29" s="9" t="n"/>
      <c r="B29" s="1" t="inlineStr">
        <is>
          <t>DOLJ29</t>
        </is>
      </c>
    </row>
    <row r="30">
      <c r="A30" s="9" t="n"/>
      <c r="B30" s="1" t="inlineStr">
        <is>
          <t>DOLJ29</t>
        </is>
      </c>
    </row>
    <row r="31">
      <c r="A31" s="9" t="n"/>
      <c r="B31" s="1" t="inlineStr">
        <is>
          <t>DOLJ29</t>
        </is>
      </c>
    </row>
    <row r="32">
      <c r="A32" s="9" t="n"/>
      <c r="B32" s="1" t="inlineStr">
        <is>
          <t>DOLJ29</t>
        </is>
      </c>
    </row>
    <row r="33">
      <c r="A33" s="9" t="n"/>
      <c r="B33" s="1" t="inlineStr">
        <is>
          <t>DOLJ29</t>
        </is>
      </c>
    </row>
    <row r="34">
      <c r="A34" s="9" t="n"/>
      <c r="B34" s="1" t="inlineStr">
        <is>
          <t>DOLJ29</t>
        </is>
      </c>
    </row>
    <row r="35">
      <c r="A35" s="9" t="n"/>
      <c r="B35" s="1" t="inlineStr">
        <is>
          <t>DOLJ29</t>
        </is>
      </c>
    </row>
    <row r="36">
      <c r="A36" s="9" t="n"/>
      <c r="B36" s="1" t="inlineStr">
        <is>
          <t>DOLJ29</t>
        </is>
      </c>
    </row>
    <row r="37">
      <c r="A37" s="9" t="n"/>
      <c r="B37" s="1" t="inlineStr">
        <is>
          <t>DOLJ29</t>
        </is>
      </c>
    </row>
    <row r="38">
      <c r="A38" s="9" t="n"/>
      <c r="B38" s="1" t="inlineStr">
        <is>
          <t>DOLJ29</t>
        </is>
      </c>
    </row>
    <row r="39">
      <c r="A39" s="9" t="n"/>
      <c r="B39" s="1" t="inlineStr">
        <is>
          <t>DOLJ29</t>
        </is>
      </c>
    </row>
    <row r="40">
      <c r="A40" s="9" t="n"/>
      <c r="B40" s="1" t="inlineStr">
        <is>
          <t>DOLJ29</t>
        </is>
      </c>
    </row>
    <row r="41">
      <c r="A41" s="9" t="n"/>
      <c r="B41" s="1" t="inlineStr">
        <is>
          <t>DOLJ29</t>
        </is>
      </c>
    </row>
    <row r="42">
      <c r="A42" s="9" t="n"/>
      <c r="B42" s="1" t="inlineStr">
        <is>
          <t>DOLJ29</t>
        </is>
      </c>
    </row>
    <row r="43">
      <c r="A43" s="9" t="n"/>
      <c r="B43" s="1" t="inlineStr">
        <is>
          <t>DOLJ29</t>
        </is>
      </c>
    </row>
    <row r="44">
      <c r="A44" s="9" t="n"/>
      <c r="B44" s="1" t="inlineStr">
        <is>
          <t>DOLJ29</t>
        </is>
      </c>
    </row>
    <row r="45">
      <c r="A45" s="9" t="n"/>
      <c r="B45" s="1" t="inlineStr">
        <is>
          <t>DOLJ29</t>
        </is>
      </c>
    </row>
    <row r="46">
      <c r="A46" s="9" t="n"/>
      <c r="B46" s="1" t="inlineStr">
        <is>
          <t>DOLJ29</t>
        </is>
      </c>
    </row>
    <row r="47">
      <c r="A47" s="9" t="n"/>
      <c r="B47" s="1" t="inlineStr">
        <is>
          <t>DOLJ29</t>
        </is>
      </c>
    </row>
    <row r="48">
      <c r="A48" s="9" t="n"/>
      <c r="B48" s="1" t="inlineStr">
        <is>
          <t>DOLJ29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2.xml><?xml version="1.0" encoding="utf-8"?>
<worksheet xmlns="http://schemas.openxmlformats.org/spreadsheetml/2006/main">
  <sheetPr codeName="Planilha82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DOLN29</t>
        </is>
      </c>
      <c r="C2" t="n">
        <v>6463.807</v>
      </c>
    </row>
    <row r="3">
      <c r="A3" s="9" t="n">
        <v>46189</v>
      </c>
      <c r="B3" s="1" t="inlineStr">
        <is>
          <t>DOLN29</t>
        </is>
      </c>
      <c r="C3" t="n">
        <v>6509.145</v>
      </c>
    </row>
    <row r="4">
      <c r="A4" s="9" t="n">
        <v>46190</v>
      </c>
      <c r="B4" s="1" t="inlineStr">
        <is>
          <t>DOLN29</t>
        </is>
      </c>
      <c r="C4" t="n">
        <v>6505.95</v>
      </c>
    </row>
    <row r="5">
      <c r="A5" s="9" t="n">
        <v>46191</v>
      </c>
      <c r="B5" s="1" t="inlineStr">
        <is>
          <t>DOLN29</t>
        </is>
      </c>
      <c r="C5" t="n">
        <v>6662.774</v>
      </c>
    </row>
    <row r="6">
      <c r="A6" s="9" t="n">
        <v>46192</v>
      </c>
      <c r="B6" s="1" t="inlineStr">
        <is>
          <t>DOLN29</t>
        </is>
      </c>
      <c r="C6" t="n">
        <v>6635.742</v>
      </c>
    </row>
    <row r="7">
      <c r="A7" s="9" t="n">
        <v>46195</v>
      </c>
      <c r="B7" s="1" t="inlineStr">
        <is>
          <t>DOLN29</t>
        </is>
      </c>
      <c r="C7" t="n">
        <v>6596.731</v>
      </c>
    </row>
    <row r="8">
      <c r="A8" s="9" t="n">
        <v>46196</v>
      </c>
      <c r="B8" s="1" t="inlineStr">
        <is>
          <t>DOLN29</t>
        </is>
      </c>
      <c r="C8" t="n">
        <v>6636.413</v>
      </c>
    </row>
    <row r="9">
      <c r="A9" s="9" t="n">
        <v>46197</v>
      </c>
      <c r="B9" s="1" t="inlineStr">
        <is>
          <t>DOLN29</t>
        </is>
      </c>
      <c r="C9" t="n">
        <v>6600.557</v>
      </c>
    </row>
    <row r="10">
      <c r="A10" s="9" t="n">
        <v>46198</v>
      </c>
      <c r="B10" s="1" t="inlineStr">
        <is>
          <t>DOLN29</t>
        </is>
      </c>
      <c r="C10" t="n">
        <v>6575.483</v>
      </c>
    </row>
    <row r="11">
      <c r="A11" s="9" t="n">
        <v>46199</v>
      </c>
      <c r="B11" s="1" t="inlineStr">
        <is>
          <t>DOLN29</t>
        </is>
      </c>
      <c r="C11" t="n">
        <v>6549.308</v>
      </c>
    </row>
    <row r="12">
      <c r="A12" s="9" t="n">
        <v>46202</v>
      </c>
      <c r="B12" s="1" t="inlineStr">
        <is>
          <t>DOLN29</t>
        </is>
      </c>
      <c r="C12" t="n">
        <v>6529.041</v>
      </c>
    </row>
    <row r="13">
      <c r="A13" s="9" t="n">
        <v>46203</v>
      </c>
      <c r="B13" s="1" t="inlineStr">
        <is>
          <t>DOLN29</t>
        </is>
      </c>
      <c r="C13" t="n">
        <v>6505.808</v>
      </c>
    </row>
    <row r="14">
      <c r="A14" s="9" t="n">
        <v>46204</v>
      </c>
      <c r="B14" s="1" t="inlineStr">
        <is>
          <t>DOLN29</t>
        </is>
      </c>
      <c r="C14" t="n">
        <v>6582.964</v>
      </c>
    </row>
    <row r="15">
      <c r="A15" s="9" t="n">
        <v>46205</v>
      </c>
      <c r="B15" s="1" t="inlineStr">
        <is>
          <t>DOLN29</t>
        </is>
      </c>
      <c r="C15" t="n">
        <v>6606.165</v>
      </c>
    </row>
    <row r="16">
      <c r="A16" s="9" t="n">
        <v>46206</v>
      </c>
      <c r="B16" s="1" t="inlineStr">
        <is>
          <t>DOLN29</t>
        </is>
      </c>
      <c r="C16" t="n">
        <v>6534.304</v>
      </c>
    </row>
    <row r="17">
      <c r="A17" s="9" t="n">
        <v>46209</v>
      </c>
      <c r="B17" s="1" t="inlineStr">
        <is>
          <t>DOLN29</t>
        </is>
      </c>
      <c r="C17" t="n">
        <v>6468.717</v>
      </c>
    </row>
    <row r="18">
      <c r="A18" s="9" t="n">
        <v>46210</v>
      </c>
      <c r="B18" s="1" t="inlineStr">
        <is>
          <t>DOLN29</t>
        </is>
      </c>
      <c r="C18" t="n">
        <v>6502.653</v>
      </c>
    </row>
    <row r="19">
      <c r="A19" s="9" t="n">
        <v>46211</v>
      </c>
      <c r="B19" s="1" t="inlineStr">
        <is>
          <t>DOLN29</t>
        </is>
      </c>
      <c r="C19" t="n">
        <v>6502.167</v>
      </c>
    </row>
    <row r="20">
      <c r="A20" s="9" t="n">
        <v>46212</v>
      </c>
      <c r="B20" s="1" t="inlineStr">
        <is>
          <t>DOLN29</t>
        </is>
      </c>
      <c r="C20" t="n">
        <v>6457.057</v>
      </c>
    </row>
    <row r="21">
      <c r="A21" s="9" t="n">
        <v>46213</v>
      </c>
      <c r="B21" s="1" t="inlineStr">
        <is>
          <t>DOLN29</t>
        </is>
      </c>
      <c r="C21" t="n">
        <v>6403.793</v>
      </c>
    </row>
    <row r="22">
      <c r="A22" s="9" t="n">
        <v>46216</v>
      </c>
      <c r="B22" s="1" t="inlineStr">
        <is>
          <t>DOLN29</t>
        </is>
      </c>
      <c r="C22" t="n">
        <v>6454.088</v>
      </c>
    </row>
    <row r="23">
      <c r="A23" s="9" t="n">
        <v>46217</v>
      </c>
      <c r="B23" s="1" t="inlineStr">
        <is>
          <t>DOLN29</t>
        </is>
      </c>
      <c r="C23" t="n">
        <v>6367.026</v>
      </c>
    </row>
    <row r="24">
      <c r="A24" s="9" t="n"/>
      <c r="B24" s="1" t="inlineStr">
        <is>
          <t>DOLN29</t>
        </is>
      </c>
    </row>
    <row r="25">
      <c r="A25" s="9" t="n"/>
      <c r="B25" s="1" t="inlineStr">
        <is>
          <t>DOLN29</t>
        </is>
      </c>
    </row>
    <row r="26">
      <c r="A26" s="9" t="n"/>
      <c r="B26" s="1" t="inlineStr">
        <is>
          <t>DOLN29</t>
        </is>
      </c>
    </row>
    <row r="27">
      <c r="A27" s="9" t="n"/>
      <c r="B27" s="1" t="inlineStr">
        <is>
          <t>DOLN29</t>
        </is>
      </c>
    </row>
    <row r="28">
      <c r="A28" s="9" t="n"/>
      <c r="B28" s="1" t="inlineStr">
        <is>
          <t>DOLN29</t>
        </is>
      </c>
    </row>
    <row r="29">
      <c r="A29" s="9" t="n"/>
      <c r="B29" s="1" t="inlineStr">
        <is>
          <t>DOLN29</t>
        </is>
      </c>
    </row>
    <row r="30">
      <c r="A30" s="9" t="n"/>
      <c r="B30" s="1" t="inlineStr">
        <is>
          <t>DOLN29</t>
        </is>
      </c>
    </row>
    <row r="31">
      <c r="A31" s="9" t="n"/>
      <c r="B31" s="1" t="inlineStr">
        <is>
          <t>DOLN29</t>
        </is>
      </c>
    </row>
    <row r="32">
      <c r="A32" s="9" t="n"/>
      <c r="B32" s="1" t="inlineStr">
        <is>
          <t>DOLN29</t>
        </is>
      </c>
    </row>
    <row r="33">
      <c r="A33" s="9" t="n"/>
      <c r="B33" s="1" t="inlineStr">
        <is>
          <t>DOLN29</t>
        </is>
      </c>
    </row>
    <row r="34">
      <c r="A34" s="9" t="n"/>
      <c r="B34" s="1" t="inlineStr">
        <is>
          <t>DOLN29</t>
        </is>
      </c>
    </row>
    <row r="35">
      <c r="A35" s="9" t="n"/>
      <c r="B35" s="1" t="inlineStr">
        <is>
          <t>DOLN29</t>
        </is>
      </c>
    </row>
    <row r="36">
      <c r="A36" s="9" t="n"/>
      <c r="B36" s="1" t="inlineStr">
        <is>
          <t>DOLN29</t>
        </is>
      </c>
    </row>
    <row r="37">
      <c r="A37" s="9" t="n"/>
      <c r="B37" s="1" t="inlineStr">
        <is>
          <t>DOLN29</t>
        </is>
      </c>
    </row>
    <row r="38">
      <c r="A38" s="9" t="n"/>
      <c r="B38" s="1" t="inlineStr">
        <is>
          <t>DOLN29</t>
        </is>
      </c>
    </row>
    <row r="39">
      <c r="A39" s="9" t="n"/>
      <c r="B39" s="1" t="inlineStr">
        <is>
          <t>DOLN29</t>
        </is>
      </c>
    </row>
    <row r="40">
      <c r="A40" s="9" t="n"/>
      <c r="B40" s="1" t="inlineStr">
        <is>
          <t>DOLN29</t>
        </is>
      </c>
    </row>
    <row r="41">
      <c r="A41" s="9" t="n"/>
      <c r="B41" s="1" t="inlineStr">
        <is>
          <t>DOLN29</t>
        </is>
      </c>
    </row>
    <row r="42">
      <c r="A42" s="9" t="n"/>
      <c r="B42" s="1" t="inlineStr">
        <is>
          <t>DOLN29</t>
        </is>
      </c>
    </row>
    <row r="43">
      <c r="A43" s="9" t="n"/>
      <c r="B43" s="1" t="inlineStr">
        <is>
          <t>DOLN29</t>
        </is>
      </c>
    </row>
    <row r="44">
      <c r="A44" s="9" t="n"/>
      <c r="B44" s="1" t="inlineStr">
        <is>
          <t>DOLN29</t>
        </is>
      </c>
    </row>
    <row r="45">
      <c r="A45" s="9" t="n"/>
      <c r="B45" s="1" t="inlineStr">
        <is>
          <t>DOLN29</t>
        </is>
      </c>
    </row>
    <row r="46">
      <c r="A46" s="9" t="n"/>
      <c r="B46" s="1" t="inlineStr">
        <is>
          <t>DOLN29</t>
        </is>
      </c>
    </row>
    <row r="47">
      <c r="A47" s="9" t="n"/>
      <c r="B47" s="1" t="inlineStr">
        <is>
          <t>DOLN29</t>
        </is>
      </c>
    </row>
    <row r="48">
      <c r="A48" s="9" t="n"/>
      <c r="B48" s="1" t="inlineStr">
        <is>
          <t>DOLN29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3.xml><?xml version="1.0" encoding="utf-8"?>
<worksheet xmlns="http://schemas.openxmlformats.org/spreadsheetml/2006/main">
  <sheetPr codeName="Planilha83">
    <outlinePr summaryBelow="1" summaryRight="1"/>
    <pageSetUpPr/>
  </sheetPr>
  <dimension ref="A3:M31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/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7">
      <c r="A27" s="24" t="n">
        <v>46211</v>
      </c>
      <c r="B27">
        <f>B26</f>
        <v/>
      </c>
      <c r="C27" t="n">
        <v>6637.18</v>
      </c>
    </row>
    <row r="28">
      <c r="A28" s="24" t="n">
        <v>46212</v>
      </c>
      <c r="B28">
        <f>B27</f>
        <v/>
      </c>
      <c r="C28" t="n">
        <v>6590.654</v>
      </c>
    </row>
    <row r="29">
      <c r="A29" s="24" t="n">
        <v>46213</v>
      </c>
      <c r="B29">
        <f>B28</f>
        <v/>
      </c>
      <c r="C29" t="n">
        <v>6534.794</v>
      </c>
    </row>
    <row r="30">
      <c r="A30" s="24" t="n">
        <v>46216</v>
      </c>
      <c r="B30">
        <f>B29</f>
        <v/>
      </c>
      <c r="C30" t="n">
        <v>6587.089</v>
      </c>
    </row>
    <row r="31">
      <c r="A31" s="67" t="n">
        <v>46217</v>
      </c>
      <c r="B31">
        <f>B30</f>
        <v/>
      </c>
      <c r="C31" t="n">
        <v>6493.931</v>
      </c>
    </row>
  </sheetData>
  <pageMargins left="0.511811024" right="0.511811024" top="0.787401575" bottom="0.787401575" header="0.31496062" footer="0.31496062"/>
</worksheet>
</file>

<file path=xl/worksheets/sheet84.xml><?xml version="1.0" encoding="utf-8"?>
<worksheet xmlns="http://schemas.openxmlformats.org/spreadsheetml/2006/main">
  <sheetPr codeName="Planilha84">
    <outlinePr summaryBelow="1" summaryRight="1"/>
    <pageSetUpPr/>
  </sheetPr>
  <dimension ref="A2:C7"/>
  <sheetViews>
    <sheetView workbookViewId="0">
      <selection activeCell="A1" sqref="A1"/>
    </sheetView>
  </sheetViews>
  <sheetFormatPr baseColWidth="8" defaultRowHeight="15"/>
  <sheetData>
    <row r="2">
      <c r="A2" s="24" t="n">
        <v>46195</v>
      </c>
      <c r="B2" t="n">
        <v>4645</v>
      </c>
      <c r="C2" t="n">
        <v>13.46</v>
      </c>
    </row>
    <row r="3">
      <c r="A3" s="24" t="n">
        <v>46211</v>
      </c>
      <c r="B3">
        <f>B2</f>
        <v/>
      </c>
      <c r="C3" t="n">
        <v>6764.431</v>
      </c>
    </row>
    <row r="4">
      <c r="A4" s="24" t="n">
        <v>46212</v>
      </c>
      <c r="B4">
        <f>B3</f>
        <v/>
      </c>
      <c r="C4" t="n">
        <v>6716.364</v>
      </c>
    </row>
    <row r="5">
      <c r="A5" s="24" t="n">
        <v>46213</v>
      </c>
      <c r="B5">
        <f>B4</f>
        <v/>
      </c>
      <c r="C5" t="n">
        <v>6655.263</v>
      </c>
    </row>
    <row r="6">
      <c r="A6" s="24" t="n">
        <v>46216</v>
      </c>
      <c r="B6">
        <f>B5</f>
        <v/>
      </c>
      <c r="C6" t="n">
        <v>6709.209</v>
      </c>
    </row>
    <row r="7">
      <c r="A7" s="67" t="n">
        <v>46217</v>
      </c>
      <c r="B7">
        <f>B6</f>
        <v/>
      </c>
      <c r="C7" t="n">
        <v>6619.691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 codeName="Planilha85">
    <outlinePr summaryBelow="1" summaryRight="1"/>
    <pageSetUpPr/>
  </sheetPr>
  <dimension ref="A1:C168"/>
  <sheetViews>
    <sheetView workbookViewId="0">
      <selection activeCell="A3" sqref="A3:A52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DOLN30</t>
        </is>
      </c>
      <c r="C2" t="n">
        <v>6975.061</v>
      </c>
    </row>
    <row r="3">
      <c r="A3" s="9" t="n">
        <v>46189</v>
      </c>
      <c r="B3" s="1" t="inlineStr">
        <is>
          <t>DOLN30</t>
        </is>
      </c>
      <c r="C3" t="n">
        <v>7025.572</v>
      </c>
    </row>
    <row r="4">
      <c r="A4" s="9" t="n">
        <v>46190</v>
      </c>
      <c r="B4" s="1" t="inlineStr">
        <is>
          <t>DOLN30</t>
        </is>
      </c>
      <c r="C4" t="n">
        <v>7028.283</v>
      </c>
    </row>
    <row r="5">
      <c r="A5" s="9" t="n">
        <v>46191</v>
      </c>
      <c r="B5" s="1" t="inlineStr">
        <is>
          <t>DOLN30</t>
        </is>
      </c>
      <c r="C5" t="n">
        <v>7210.677</v>
      </c>
    </row>
    <row r="6">
      <c r="A6" s="9" t="n">
        <v>46192</v>
      </c>
      <c r="B6" s="1" t="inlineStr">
        <is>
          <t>DOLN30</t>
        </is>
      </c>
      <c r="C6" t="n">
        <v>7195.236</v>
      </c>
    </row>
    <row r="7">
      <c r="A7" s="9" t="n">
        <v>46195</v>
      </c>
      <c r="B7" s="1" t="inlineStr">
        <is>
          <t>DOLN30</t>
        </is>
      </c>
      <c r="C7" t="n">
        <v>7137.897</v>
      </c>
    </row>
    <row r="8">
      <c r="A8" s="9" t="n">
        <v>46196</v>
      </c>
      <c r="B8" s="1" t="inlineStr">
        <is>
          <t>DOLN30</t>
        </is>
      </c>
      <c r="C8" t="n">
        <v>7174.824</v>
      </c>
    </row>
    <row r="9">
      <c r="A9" s="9" t="n">
        <v>46197</v>
      </c>
      <c r="B9" s="1" t="inlineStr">
        <is>
          <t>DOLN30</t>
        </is>
      </c>
      <c r="C9" t="n">
        <v>7127.769</v>
      </c>
    </row>
    <row r="10">
      <c r="A10" s="9" t="n">
        <v>46198</v>
      </c>
      <c r="B10" s="1" t="inlineStr">
        <is>
          <t>DOLN30</t>
        </is>
      </c>
      <c r="C10" t="n">
        <v>7106.453</v>
      </c>
    </row>
    <row r="11">
      <c r="A11" s="9" t="n">
        <v>46199</v>
      </c>
      <c r="B11" s="1" t="inlineStr">
        <is>
          <t>DOLN30</t>
        </is>
      </c>
      <c r="C11" t="n">
        <v>7081.789</v>
      </c>
    </row>
    <row r="12">
      <c r="A12" s="9" t="n">
        <v>46202</v>
      </c>
      <c r="B12" s="1" t="inlineStr">
        <is>
          <t>DOLN30</t>
        </is>
      </c>
      <c r="C12" t="n">
        <v>7051.261</v>
      </c>
    </row>
    <row r="13">
      <c r="A13" s="9" t="n">
        <v>46203</v>
      </c>
      <c r="B13" s="1" t="inlineStr">
        <is>
          <t>DOLN30</t>
        </is>
      </c>
      <c r="C13" t="n">
        <v>7018.687</v>
      </c>
    </row>
    <row r="14">
      <c r="A14" s="9" t="n">
        <v>46204</v>
      </c>
      <c r="B14" s="1" t="inlineStr">
        <is>
          <t>DOLN30</t>
        </is>
      </c>
      <c r="C14" t="n">
        <v>7114.533</v>
      </c>
    </row>
    <row r="15">
      <c r="A15" s="9" t="n">
        <v>46205</v>
      </c>
      <c r="B15" s="1" t="inlineStr">
        <is>
          <t>DOLN30</t>
        </is>
      </c>
      <c r="C15" t="n">
        <v>7148.625</v>
      </c>
    </row>
    <row r="16">
      <c r="A16" s="9" t="n">
        <v>46206</v>
      </c>
      <c r="B16" s="1" t="inlineStr">
        <is>
          <t>DOLN30</t>
        </is>
      </c>
      <c r="C16" t="n">
        <v>7065.715</v>
      </c>
    </row>
    <row r="17">
      <c r="A17" s="9" t="n">
        <v>46209</v>
      </c>
      <c r="B17" s="1" t="inlineStr">
        <is>
          <t>DOLN30</t>
        </is>
      </c>
      <c r="C17" t="n">
        <v>6993.496</v>
      </c>
    </row>
    <row r="18">
      <c r="A18" s="9" t="n">
        <v>46210</v>
      </c>
      <c r="B18" s="1" t="inlineStr">
        <is>
          <t>DOLN30</t>
        </is>
      </c>
      <c r="C18" t="n">
        <v>7029.526</v>
      </c>
    </row>
    <row r="19">
      <c r="A19" s="9" t="n">
        <v>46211</v>
      </c>
      <c r="B19" s="1" t="inlineStr">
        <is>
          <t>DOLN30</t>
        </is>
      </c>
      <c r="C19" t="n">
        <v>7030.796</v>
      </c>
    </row>
    <row r="20">
      <c r="A20" s="9" t="n">
        <v>46212</v>
      </c>
      <c r="B20" s="1" t="inlineStr">
        <is>
          <t>DOLN30</t>
        </is>
      </c>
      <c r="C20" t="n">
        <v>6983.621</v>
      </c>
    </row>
    <row r="21">
      <c r="A21" s="9" t="n">
        <v>46213</v>
      </c>
      <c r="B21" s="1" t="inlineStr">
        <is>
          <t>DOLN30</t>
        </is>
      </c>
      <c r="C21" t="n">
        <v>6913.953</v>
      </c>
    </row>
    <row r="22">
      <c r="A22" s="9" t="n">
        <v>46216</v>
      </c>
      <c r="B22" s="1" t="inlineStr">
        <is>
          <t>DOLN30</t>
        </is>
      </c>
      <c r="C22" t="n">
        <v>6975.278</v>
      </c>
    </row>
    <row r="23">
      <c r="A23" s="9" t="n">
        <v>46217</v>
      </c>
      <c r="B23" s="1" t="inlineStr">
        <is>
          <t>DOLN30</t>
        </is>
      </c>
      <c r="C23" t="n">
        <v>6871.572</v>
      </c>
    </row>
    <row r="24">
      <c r="A24" s="9" t="n"/>
      <c r="B24" s="1" t="inlineStr">
        <is>
          <t>DOLN30</t>
        </is>
      </c>
    </row>
    <row r="25">
      <c r="A25" s="9" t="n"/>
      <c r="B25" s="1" t="inlineStr">
        <is>
          <t>DOLN30</t>
        </is>
      </c>
    </row>
    <row r="26">
      <c r="A26" s="9" t="n"/>
      <c r="B26" s="1" t="inlineStr">
        <is>
          <t>DOLN30</t>
        </is>
      </c>
    </row>
    <row r="27">
      <c r="A27" s="9" t="n"/>
      <c r="B27" s="1" t="inlineStr">
        <is>
          <t>DOLN30</t>
        </is>
      </c>
    </row>
    <row r="28">
      <c r="A28" s="9" t="n"/>
      <c r="B28" s="1" t="inlineStr">
        <is>
          <t>DOLN30</t>
        </is>
      </c>
    </row>
    <row r="29">
      <c r="A29" s="9" t="n"/>
      <c r="B29" s="1" t="inlineStr">
        <is>
          <t>DOLN30</t>
        </is>
      </c>
    </row>
    <row r="30">
      <c r="A30" s="9" t="n"/>
      <c r="B30" s="1" t="inlineStr">
        <is>
          <t>DOLN30</t>
        </is>
      </c>
    </row>
    <row r="31">
      <c r="A31" s="9" t="n"/>
      <c r="B31" s="1" t="inlineStr">
        <is>
          <t>DOLN30</t>
        </is>
      </c>
    </row>
    <row r="32">
      <c r="A32" s="9" t="n"/>
      <c r="B32" s="1" t="inlineStr">
        <is>
          <t>DOLN30</t>
        </is>
      </c>
    </row>
    <row r="33">
      <c r="A33" s="9" t="n"/>
      <c r="B33" s="1" t="inlineStr">
        <is>
          <t>DOLN30</t>
        </is>
      </c>
    </row>
    <row r="34">
      <c r="A34" s="9" t="n"/>
      <c r="B34" s="1" t="inlineStr">
        <is>
          <t>DOLN30</t>
        </is>
      </c>
    </row>
    <row r="35">
      <c r="A35" s="9" t="n"/>
      <c r="B35" s="1" t="inlineStr">
        <is>
          <t>DOLN30</t>
        </is>
      </c>
    </row>
    <row r="36">
      <c r="A36" s="9" t="n"/>
      <c r="B36" s="1" t="inlineStr">
        <is>
          <t>DOLN30</t>
        </is>
      </c>
    </row>
    <row r="37">
      <c r="A37" s="9" t="n"/>
      <c r="B37" s="1" t="inlineStr">
        <is>
          <t>DOLN30</t>
        </is>
      </c>
    </row>
    <row r="38">
      <c r="A38" s="9" t="n"/>
      <c r="B38" s="1" t="inlineStr">
        <is>
          <t>DOLN30</t>
        </is>
      </c>
    </row>
    <row r="39">
      <c r="A39" s="9" t="n"/>
      <c r="B39" s="1" t="inlineStr">
        <is>
          <t>DOLN30</t>
        </is>
      </c>
    </row>
    <row r="40">
      <c r="A40" s="9" t="n"/>
      <c r="B40" s="1" t="inlineStr">
        <is>
          <t>DOLN30</t>
        </is>
      </c>
    </row>
    <row r="41">
      <c r="A41" s="9" t="n"/>
      <c r="B41" s="1" t="inlineStr">
        <is>
          <t>DOLN30</t>
        </is>
      </c>
    </row>
    <row r="42">
      <c r="A42" s="9" t="n"/>
      <c r="B42" s="1" t="inlineStr">
        <is>
          <t>DOLN30</t>
        </is>
      </c>
    </row>
    <row r="43">
      <c r="A43" s="9" t="n"/>
      <c r="B43" s="1" t="inlineStr">
        <is>
          <t>DOLN30</t>
        </is>
      </c>
    </row>
    <row r="44">
      <c r="A44" s="9" t="n"/>
      <c r="B44" s="1" t="inlineStr">
        <is>
          <t>DOLN30</t>
        </is>
      </c>
    </row>
    <row r="45">
      <c r="A45" s="9" t="n"/>
      <c r="B45" s="1" t="inlineStr">
        <is>
          <t>DOLN30</t>
        </is>
      </c>
    </row>
    <row r="46">
      <c r="A46" s="9" t="n"/>
      <c r="B46" s="1" t="inlineStr">
        <is>
          <t>DOLN30</t>
        </is>
      </c>
    </row>
    <row r="47">
      <c r="A47" s="9" t="n"/>
      <c r="B47" s="1" t="inlineStr">
        <is>
          <t>DOLN30</t>
        </is>
      </c>
    </row>
    <row r="48">
      <c r="A48" s="9" t="n"/>
      <c r="B48" s="1" t="inlineStr">
        <is>
          <t>DOLN30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6.xml><?xml version="1.0" encoding="utf-8"?>
<worksheet xmlns="http://schemas.openxmlformats.org/spreadsheetml/2006/main">
  <sheetPr codeName="Planilha86">
    <outlinePr summaryBelow="1" summaryRight="1"/>
    <pageSetUpPr/>
  </sheetPr>
  <dimension ref="A1:C168"/>
  <sheetViews>
    <sheetView topLeftCell="A10" workbookViewId="0">
      <selection activeCell="C18" sqref="C18"/>
    </sheetView>
  </sheetViews>
  <sheetFormatPr baseColWidth="8" defaultRowHeight="15" outlineLevelCol="0"/>
  <cols>
    <col width="12.5703125" bestFit="1" customWidth="1" style="2" min="1" max="1"/>
    <col width="9.140625" customWidth="1" style="1" min="2" max="38"/>
    <col width="9.140625" customWidth="1" style="1" min="39" max="16384"/>
  </cols>
  <sheetData>
    <row r="1">
      <c r="A1" s="2" t="inlineStr">
        <is>
          <t>Data</t>
        </is>
      </c>
      <c r="B1" s="1" t="inlineStr">
        <is>
          <t>Ativo</t>
        </is>
      </c>
      <c r="C1" s="1" t="inlineStr">
        <is>
          <t>Preço</t>
        </is>
      </c>
    </row>
    <row r="2">
      <c r="A2" s="9" t="n">
        <v>46188</v>
      </c>
      <c r="B2" s="1" t="inlineStr">
        <is>
          <t>DOLF31</t>
        </is>
      </c>
      <c r="C2" t="n">
        <v>7246.107</v>
      </c>
    </row>
    <row r="3">
      <c r="A3" s="9" t="n">
        <v>46189</v>
      </c>
      <c r="B3" s="1" t="inlineStr">
        <is>
          <t>DOLF31</t>
        </is>
      </c>
      <c r="C3" t="n">
        <v>7299.644</v>
      </c>
    </row>
    <row r="4">
      <c r="A4" s="9" t="n">
        <v>46190</v>
      </c>
      <c r="B4" s="1" t="inlineStr">
        <is>
          <t>DOLF31</t>
        </is>
      </c>
      <c r="C4" t="n">
        <v>7304.985</v>
      </c>
    </row>
    <row r="5">
      <c r="A5" s="9" t="n">
        <v>46191</v>
      </c>
      <c r="B5" s="1" t="inlineStr">
        <is>
          <t>DOLF31</t>
        </is>
      </c>
      <c r="C5" t="n">
        <v>7510.52</v>
      </c>
    </row>
    <row r="6">
      <c r="A6" s="9" t="n">
        <v>46192</v>
      </c>
      <c r="B6" s="1" t="inlineStr">
        <is>
          <t>DOLF31</t>
        </is>
      </c>
      <c r="C6" t="n">
        <v>7497.953</v>
      </c>
    </row>
    <row r="7">
      <c r="A7" s="9" t="n">
        <v>46195</v>
      </c>
      <c r="B7" s="1" t="inlineStr">
        <is>
          <t>DOLF31</t>
        </is>
      </c>
      <c r="C7" t="n">
        <v>7436.145</v>
      </c>
    </row>
    <row r="8">
      <c r="A8" s="9" t="n">
        <v>46196</v>
      </c>
      <c r="B8" s="1" t="inlineStr">
        <is>
          <t>DOLF31</t>
        </is>
      </c>
      <c r="C8" t="n">
        <v>7477.031</v>
      </c>
    </row>
    <row r="9">
      <c r="A9" s="9" t="n">
        <v>46197</v>
      </c>
      <c r="B9" s="1" t="inlineStr">
        <is>
          <t>DOLF31</t>
        </is>
      </c>
      <c r="C9" t="n">
        <v>7420.714</v>
      </c>
    </row>
    <row r="10">
      <c r="A10" s="9" t="n">
        <v>46198</v>
      </c>
      <c r="B10" s="1" t="inlineStr">
        <is>
          <t>DOLF31</t>
        </is>
      </c>
      <c r="C10" t="n">
        <v>7405.501</v>
      </c>
    </row>
    <row r="11">
      <c r="A11" s="9" t="n">
        <v>46199</v>
      </c>
      <c r="B11" s="1" t="inlineStr">
        <is>
          <t>DOLF31</t>
        </is>
      </c>
      <c r="C11" t="n">
        <v>7373.906</v>
      </c>
    </row>
    <row r="12">
      <c r="A12" s="9" t="n">
        <v>46202</v>
      </c>
      <c r="B12" s="1" t="inlineStr">
        <is>
          <t>DOLF31</t>
        </is>
      </c>
      <c r="C12" t="n">
        <v>7340.325</v>
      </c>
    </row>
    <row r="13">
      <c r="A13" s="9" t="n">
        <v>46203</v>
      </c>
      <c r="B13" s="1" t="inlineStr">
        <is>
          <t>DOLF31</t>
        </is>
      </c>
      <c r="C13" t="n">
        <v>7298.954</v>
      </c>
    </row>
    <row r="14">
      <c r="A14" s="9" t="n">
        <v>46204</v>
      </c>
      <c r="B14" s="1" t="inlineStr">
        <is>
          <t>DOLF31</t>
        </is>
      </c>
      <c r="C14" t="n">
        <v>7403.534</v>
      </c>
    </row>
    <row r="15">
      <c r="A15" s="9" t="n">
        <v>46205</v>
      </c>
      <c r="B15" s="1" t="inlineStr">
        <is>
          <t>DOLF31</t>
        </is>
      </c>
      <c r="C15" t="n">
        <v>7440.332</v>
      </c>
    </row>
    <row r="16">
      <c r="A16" s="9" t="n">
        <v>46206</v>
      </c>
      <c r="B16" s="1" t="inlineStr">
        <is>
          <t>DOLF31</t>
        </is>
      </c>
      <c r="C16" t="n">
        <v>7359.201</v>
      </c>
    </row>
    <row r="17">
      <c r="A17" s="9" t="n">
        <v>46209</v>
      </c>
      <c r="B17" s="1" t="inlineStr">
        <is>
          <t>DOLF31</t>
        </is>
      </c>
      <c r="C17" t="n">
        <v>7278.774</v>
      </c>
    </row>
    <row r="18">
      <c r="A18" s="9" t="n">
        <v>46210</v>
      </c>
      <c r="B18" s="1" t="inlineStr">
        <is>
          <t>DOLF31</t>
        </is>
      </c>
      <c r="C18" t="n">
        <v>7317.152</v>
      </c>
    </row>
    <row r="19">
      <c r="A19" s="9" t="n">
        <v>46211</v>
      </c>
      <c r="B19" s="1" t="inlineStr">
        <is>
          <t>DOLF31</t>
        </is>
      </c>
      <c r="C19" t="n">
        <v>7318.568</v>
      </c>
    </row>
    <row r="20">
      <c r="A20" s="9" t="n">
        <v>46212</v>
      </c>
      <c r="B20" s="1" t="inlineStr">
        <is>
          <t>DOLF31</t>
        </is>
      </c>
      <c r="C20" t="n">
        <v>7271.182</v>
      </c>
    </row>
    <row r="21">
      <c r="A21" s="9" t="n">
        <v>46213</v>
      </c>
      <c r="B21" s="1" t="inlineStr">
        <is>
          <t>DOLF31</t>
        </is>
      </c>
      <c r="C21" t="n">
        <v>7192.597</v>
      </c>
    </row>
    <row r="22">
      <c r="A22" s="9" t="n">
        <v>46216</v>
      </c>
      <c r="B22" s="1" t="inlineStr">
        <is>
          <t>DOLF31</t>
        </is>
      </c>
      <c r="C22" t="n">
        <v>7259.036</v>
      </c>
    </row>
    <row r="23">
      <c r="A23" s="9" t="n">
        <v>46217</v>
      </c>
      <c r="B23" s="1" t="inlineStr">
        <is>
          <t>DOLF31</t>
        </is>
      </c>
      <c r="C23" t="n">
        <v>7157.078</v>
      </c>
    </row>
    <row r="24">
      <c r="A24" s="9" t="n"/>
      <c r="B24" s="1" t="inlineStr">
        <is>
          <t>DOLF31</t>
        </is>
      </c>
    </row>
    <row r="25">
      <c r="A25" s="9" t="n"/>
      <c r="B25" s="1" t="inlineStr">
        <is>
          <t>DOLF31</t>
        </is>
      </c>
    </row>
    <row r="26">
      <c r="A26" s="9" t="n"/>
      <c r="B26" s="1" t="inlineStr">
        <is>
          <t>DOLF31</t>
        </is>
      </c>
    </row>
    <row r="27">
      <c r="A27" s="9" t="n"/>
      <c r="B27" s="1" t="inlineStr">
        <is>
          <t>DOLF31</t>
        </is>
      </c>
    </row>
    <row r="28">
      <c r="A28" s="9" t="n"/>
      <c r="B28" s="1" t="inlineStr">
        <is>
          <t>DOLF31</t>
        </is>
      </c>
    </row>
    <row r="29">
      <c r="A29" s="9" t="n"/>
      <c r="B29" s="1" t="inlineStr">
        <is>
          <t>DOLF31</t>
        </is>
      </c>
    </row>
    <row r="30">
      <c r="A30" s="9" t="n"/>
      <c r="B30" s="1" t="inlineStr">
        <is>
          <t>DOLF31</t>
        </is>
      </c>
    </row>
    <row r="31">
      <c r="A31" s="9" t="n"/>
      <c r="B31" s="1" t="inlineStr">
        <is>
          <t>DOLF31</t>
        </is>
      </c>
    </row>
    <row r="32">
      <c r="A32" s="9" t="n"/>
      <c r="B32" s="1" t="inlineStr">
        <is>
          <t>DOLF31</t>
        </is>
      </c>
    </row>
    <row r="33">
      <c r="A33" s="9" t="n"/>
      <c r="B33" s="1" t="inlineStr">
        <is>
          <t>DOLF31</t>
        </is>
      </c>
    </row>
    <row r="34">
      <c r="A34" s="9" t="n"/>
      <c r="B34" s="1" t="inlineStr">
        <is>
          <t>DOLF31</t>
        </is>
      </c>
    </row>
    <row r="35">
      <c r="A35" s="9" t="n"/>
      <c r="B35" s="1" t="inlineStr">
        <is>
          <t>DOLF31</t>
        </is>
      </c>
    </row>
    <row r="36">
      <c r="A36" s="9" t="n"/>
      <c r="B36" s="1" t="inlineStr">
        <is>
          <t>DOLF31</t>
        </is>
      </c>
    </row>
    <row r="37">
      <c r="A37" s="9" t="n"/>
      <c r="B37" s="1" t="inlineStr">
        <is>
          <t>DOLF31</t>
        </is>
      </c>
    </row>
    <row r="38">
      <c r="A38" s="9" t="n"/>
      <c r="B38" s="1" t="inlineStr">
        <is>
          <t>DOLF31</t>
        </is>
      </c>
    </row>
    <row r="39">
      <c r="A39" s="9" t="n"/>
      <c r="B39" s="1" t="inlineStr">
        <is>
          <t>DOLF31</t>
        </is>
      </c>
    </row>
    <row r="40">
      <c r="A40" s="9" t="n"/>
      <c r="B40" s="1" t="inlineStr">
        <is>
          <t>DOLF31</t>
        </is>
      </c>
    </row>
    <row r="41">
      <c r="A41" s="9" t="n"/>
      <c r="B41" s="1" t="inlineStr">
        <is>
          <t>DOLF31</t>
        </is>
      </c>
    </row>
    <row r="42">
      <c r="A42" s="9" t="n"/>
      <c r="B42" s="1" t="inlineStr">
        <is>
          <t>DOLF31</t>
        </is>
      </c>
    </row>
    <row r="43">
      <c r="A43" s="9" t="n"/>
      <c r="B43" s="1" t="inlineStr">
        <is>
          <t>DOLF31</t>
        </is>
      </c>
    </row>
    <row r="44">
      <c r="A44" s="9" t="n"/>
      <c r="B44" s="1" t="inlineStr">
        <is>
          <t>DOLF31</t>
        </is>
      </c>
    </row>
    <row r="45">
      <c r="A45" s="9" t="n"/>
      <c r="B45" s="1" t="inlineStr">
        <is>
          <t>DOLF31</t>
        </is>
      </c>
    </row>
    <row r="46">
      <c r="A46" s="9" t="n"/>
      <c r="B46" s="1" t="inlineStr">
        <is>
          <t>DOLF31</t>
        </is>
      </c>
    </row>
    <row r="47">
      <c r="A47" s="9" t="n"/>
      <c r="B47" s="1" t="inlineStr">
        <is>
          <t>DOLF31</t>
        </is>
      </c>
    </row>
    <row r="48">
      <c r="A48" s="9" t="n"/>
      <c r="B48" s="1" t="inlineStr">
        <is>
          <t>DOLF31</t>
        </is>
      </c>
    </row>
    <row r="49">
      <c r="A49" s="9" t="n"/>
      <c r="B49" s="1">
        <f>B48</f>
        <v/>
      </c>
    </row>
    <row r="50">
      <c r="A50" s="9" t="n"/>
      <c r="B50" s="1">
        <f>B49</f>
        <v/>
      </c>
    </row>
    <row r="51">
      <c r="A51" s="9" t="n"/>
      <c r="B51" s="1">
        <f>B50</f>
        <v/>
      </c>
    </row>
    <row r="52">
      <c r="A52" s="9" t="n"/>
      <c r="B52" s="1">
        <f>B51</f>
        <v/>
      </c>
    </row>
    <row r="53">
      <c r="A53" s="9" t="n"/>
      <c r="B53" s="1">
        <f>B62</f>
        <v/>
      </c>
    </row>
    <row r="54">
      <c r="A54" s="9" t="n"/>
      <c r="B54" s="1">
        <f>B63</f>
        <v/>
      </c>
    </row>
    <row r="55">
      <c r="A55" s="9" t="n"/>
      <c r="B55" s="1">
        <f>B64</f>
        <v/>
      </c>
    </row>
    <row r="56">
      <c r="A56" s="9" t="n"/>
      <c r="B56" s="1">
        <f>B65</f>
        <v/>
      </c>
    </row>
    <row r="57">
      <c r="A57" s="9" t="n"/>
      <c r="B57" s="1">
        <f>B66</f>
        <v/>
      </c>
    </row>
    <row r="58">
      <c r="A58" s="9">
        <f>IF('S.H BOI GORDO'!A7191=""," ",'S.H BOI GORDO'!A7191)</f>
        <v/>
      </c>
      <c r="B58" s="1">
        <f>B67</f>
        <v/>
      </c>
    </row>
    <row r="59">
      <c r="A59" s="9">
        <f>IF('S.H BOI GORDO'!A7192=""," ",'S.H BOI GORDO'!A7192)</f>
        <v/>
      </c>
      <c r="B59" s="1">
        <f>B68</f>
        <v/>
      </c>
    </row>
    <row r="60">
      <c r="A60" s="9">
        <f>IF('S.H BOI GORDO'!A7193=""," ",'S.H BOI GORDO'!A7193)</f>
        <v/>
      </c>
      <c r="B60" s="1">
        <f>B69</f>
        <v/>
      </c>
    </row>
    <row r="61">
      <c r="A61" s="9">
        <f>IF('S.H BOI GORDO'!A7194=""," ",'S.H BOI GORDO'!A7194)</f>
        <v/>
      </c>
      <c r="B61" s="1">
        <f>B70</f>
        <v/>
      </c>
    </row>
    <row r="62">
      <c r="A62" s="9">
        <f>IF('S.H BOI GORDO'!A7195=""," ",'S.H BOI GORDO'!A7195)</f>
        <v/>
      </c>
      <c r="B62" s="1">
        <f>B71</f>
        <v/>
      </c>
    </row>
    <row r="63">
      <c r="A63" s="9">
        <f>IF('S.H BOI GORDO'!A7196=""," ",'S.H BOI GORDO'!A7196)</f>
        <v/>
      </c>
      <c r="B63" s="1">
        <f>B72</f>
        <v/>
      </c>
    </row>
    <row r="64">
      <c r="A64" s="9">
        <f>IF('S.H BOI GORDO'!A7197=""," ",'S.H BOI GORDO'!A7197)</f>
        <v/>
      </c>
      <c r="B64" s="1">
        <f>B73</f>
        <v/>
      </c>
    </row>
    <row r="65">
      <c r="A65" s="9">
        <f>IF('S.H BOI GORDO'!A7198=""," ",'S.H BOI GORDO'!A7198)</f>
        <v/>
      </c>
      <c r="B65" s="1">
        <f>B74</f>
        <v/>
      </c>
    </row>
    <row r="66">
      <c r="A66" s="9">
        <f>IF('S.H BOI GORDO'!A7199=""," ",'S.H BOI GORDO'!A7199)</f>
        <v/>
      </c>
      <c r="B66" s="1">
        <f>B75</f>
        <v/>
      </c>
    </row>
    <row r="67">
      <c r="A67" s="9">
        <f>IF('S.H BOI GORDO'!A7200=""," ",'S.H BOI GORDO'!A7200)</f>
        <v/>
      </c>
      <c r="B67" s="1">
        <f>B76</f>
        <v/>
      </c>
    </row>
    <row r="68">
      <c r="A68" s="9">
        <f>IF('S.H BOI GORDO'!A7201=""," ",'S.H BOI GORDO'!A7201)</f>
        <v/>
      </c>
      <c r="B68" s="1">
        <f>B77</f>
        <v/>
      </c>
    </row>
    <row r="69">
      <c r="A69" s="9">
        <f>IF('S.H BOI GORDO'!A7202=""," ",'S.H BOI GORDO'!A7202)</f>
        <v/>
      </c>
      <c r="B69" s="1">
        <f>B78</f>
        <v/>
      </c>
    </row>
    <row r="70">
      <c r="A70" s="9">
        <f>IF('S.H BOI GORDO'!A7203=""," ",'S.H BOI GORDO'!A7203)</f>
        <v/>
      </c>
      <c r="B70" s="1">
        <f>B79</f>
        <v/>
      </c>
    </row>
    <row r="71">
      <c r="A71" s="9">
        <f>IF('S.H BOI GORDO'!A7204=""," ",'S.H BOI GORDO'!A7204)</f>
        <v/>
      </c>
      <c r="B71" s="1">
        <f>B80</f>
        <v/>
      </c>
    </row>
    <row r="72">
      <c r="A72" s="9">
        <f>IF('S.H BOI GORDO'!A7205=""," ",'S.H BOI GORDO'!A7205)</f>
        <v/>
      </c>
      <c r="B72" s="1">
        <f>B81</f>
        <v/>
      </c>
    </row>
    <row r="73">
      <c r="A73" s="9">
        <f>IF('S.H BOI GORDO'!A7206=""," ",'S.H BOI GORDO'!A7206)</f>
        <v/>
      </c>
      <c r="B73" s="1">
        <f>B82</f>
        <v/>
      </c>
    </row>
    <row r="74">
      <c r="A74" s="9">
        <f>IF('S.H BOI GORDO'!A7207=""," ",'S.H BOI GORDO'!A7207)</f>
        <v/>
      </c>
      <c r="B74" s="1">
        <f>B83</f>
        <v/>
      </c>
    </row>
    <row r="75">
      <c r="A75" s="9">
        <f>IF('S.H BOI GORDO'!A7208=""," ",'S.H BOI GORDO'!A7208)</f>
        <v/>
      </c>
      <c r="B75" s="1">
        <f>B84</f>
        <v/>
      </c>
    </row>
    <row r="76">
      <c r="A76" s="9">
        <f>IF('S.H BOI GORDO'!A7209=""," ",'S.H BOI GORDO'!A7209)</f>
        <v/>
      </c>
      <c r="B76" s="1">
        <f>B85</f>
        <v/>
      </c>
    </row>
    <row r="77">
      <c r="A77" s="9">
        <f>IF('S.H BOI GORDO'!A7210=""," ",'S.H BOI GORDO'!A7210)</f>
        <v/>
      </c>
      <c r="B77" s="1">
        <f>B86</f>
        <v/>
      </c>
    </row>
    <row r="78">
      <c r="A78" s="9">
        <f>IF('S.H BOI GORDO'!A7211=""," ",'S.H BOI GORDO'!A7211)</f>
        <v/>
      </c>
      <c r="B78" s="1">
        <f>B87</f>
        <v/>
      </c>
    </row>
    <row r="79">
      <c r="A79" s="9">
        <f>IF('S.H BOI GORDO'!A7212=""," ",'S.H BOI GORDO'!A7212)</f>
        <v/>
      </c>
      <c r="B79" s="1">
        <f>B88</f>
        <v/>
      </c>
    </row>
    <row r="80">
      <c r="A80" s="9">
        <f>IF('S.H BOI GORDO'!A7213=""," ",'S.H BOI GORDO'!A7213)</f>
        <v/>
      </c>
      <c r="B80" s="1">
        <f>B89</f>
        <v/>
      </c>
    </row>
    <row r="81">
      <c r="A81" s="9">
        <f>IF('S.H BOI GORDO'!A7214=""," ",'S.H BOI GORDO'!A7214)</f>
        <v/>
      </c>
      <c r="B81" s="1">
        <f>B90</f>
        <v/>
      </c>
    </row>
    <row r="82">
      <c r="A82" s="9">
        <f>IF('S.H BOI GORDO'!A7215=""," ",'S.H BOI GORDO'!A7215)</f>
        <v/>
      </c>
      <c r="B82" s="1">
        <f>B91</f>
        <v/>
      </c>
    </row>
    <row r="83">
      <c r="A83" s="9">
        <f>IF('S.H BOI GORDO'!A7216=""," ",'S.H BOI GORDO'!A7216)</f>
        <v/>
      </c>
      <c r="B83" s="1">
        <f>B92</f>
        <v/>
      </c>
    </row>
    <row r="84">
      <c r="A84" s="9">
        <f>IF('S.H BOI GORDO'!A7217=""," ",'S.H BOI GORDO'!A7217)</f>
        <v/>
      </c>
      <c r="B84" s="1">
        <f>B93</f>
        <v/>
      </c>
    </row>
    <row r="85">
      <c r="A85" s="9">
        <f>IF('S.H BOI GORDO'!A7218=""," ",'S.H BOI GORDO'!A7218)</f>
        <v/>
      </c>
      <c r="B85" s="1">
        <f>B94</f>
        <v/>
      </c>
    </row>
    <row r="86">
      <c r="A86" s="9">
        <f>IF('S.H BOI GORDO'!A7219=""," ",'S.H BOI GORDO'!A7219)</f>
        <v/>
      </c>
      <c r="B86" s="1">
        <f>B95</f>
        <v/>
      </c>
    </row>
    <row r="87">
      <c r="A87" s="9">
        <f>IF('S.H BOI GORDO'!A7220=""," ",'S.H BOI GORDO'!A7220)</f>
        <v/>
      </c>
      <c r="B87" s="1">
        <f>B96</f>
        <v/>
      </c>
    </row>
    <row r="88">
      <c r="A88" s="9">
        <f>IF('S.H BOI GORDO'!A7221=""," ",'S.H BOI GORDO'!A7221)</f>
        <v/>
      </c>
      <c r="B88" s="1">
        <f>B97</f>
        <v/>
      </c>
    </row>
    <row r="89">
      <c r="A89" s="9">
        <f>IF('S.H BOI GORDO'!A7222=""," ",'S.H BOI GORDO'!A7222)</f>
        <v/>
      </c>
      <c r="B89" s="1">
        <f>B98</f>
        <v/>
      </c>
    </row>
    <row r="90">
      <c r="A90" s="9">
        <f>IF('S.H BOI GORDO'!A7223=""," ",'S.H BOI GORDO'!A7223)</f>
        <v/>
      </c>
      <c r="B90" s="1">
        <f>B99</f>
        <v/>
      </c>
    </row>
    <row r="91">
      <c r="B91" s="1">
        <f>B100</f>
        <v/>
      </c>
    </row>
    <row r="92">
      <c r="B92" s="1">
        <f>B101</f>
        <v/>
      </c>
    </row>
    <row r="93">
      <c r="B93" s="1">
        <f>B102</f>
        <v/>
      </c>
    </row>
    <row r="94">
      <c r="B94" s="1">
        <f>B103</f>
        <v/>
      </c>
    </row>
    <row r="95">
      <c r="B95" s="1">
        <f>B104</f>
        <v/>
      </c>
    </row>
    <row r="96">
      <c r="B96" s="1">
        <f>B105</f>
        <v/>
      </c>
    </row>
    <row r="97">
      <c r="B97" s="1">
        <f>B106</f>
        <v/>
      </c>
    </row>
    <row r="98">
      <c r="B98" s="1">
        <f>B107</f>
        <v/>
      </c>
    </row>
    <row r="99">
      <c r="B99" s="1">
        <f>B108</f>
        <v/>
      </c>
    </row>
    <row r="100">
      <c r="B100" s="1">
        <f>B109</f>
        <v/>
      </c>
    </row>
    <row r="101">
      <c r="B101" s="1">
        <f>B110</f>
        <v/>
      </c>
    </row>
    <row r="102">
      <c r="B102" s="1">
        <f>B111</f>
        <v/>
      </c>
    </row>
    <row r="103">
      <c r="B103" s="1">
        <f>B112</f>
        <v/>
      </c>
    </row>
    <row r="104">
      <c r="B104" s="1">
        <f>B113</f>
        <v/>
      </c>
    </row>
    <row r="105">
      <c r="B105" s="1">
        <f>B114</f>
        <v/>
      </c>
    </row>
    <row r="106">
      <c r="B106" s="1">
        <f>B115</f>
        <v/>
      </c>
    </row>
    <row r="107">
      <c r="B107" s="1">
        <f>B116</f>
        <v/>
      </c>
    </row>
    <row r="108">
      <c r="B108" s="1">
        <f>B117</f>
        <v/>
      </c>
    </row>
    <row r="109">
      <c r="B109" s="1">
        <f>B118</f>
        <v/>
      </c>
    </row>
    <row r="110">
      <c r="B110" s="1">
        <f>B119</f>
        <v/>
      </c>
    </row>
    <row r="111">
      <c r="B111" s="1">
        <f>B120</f>
        <v/>
      </c>
    </row>
    <row r="112">
      <c r="B112" s="1">
        <f>B121</f>
        <v/>
      </c>
    </row>
    <row r="113">
      <c r="B113" s="1">
        <f>B122</f>
        <v/>
      </c>
    </row>
    <row r="114">
      <c r="B114" s="1">
        <f>B123</f>
        <v/>
      </c>
    </row>
    <row r="115">
      <c r="B115" s="1">
        <f>B124</f>
        <v/>
      </c>
    </row>
    <row r="116">
      <c r="B116" s="1">
        <f>B125</f>
        <v/>
      </c>
    </row>
    <row r="117">
      <c r="B117" s="1">
        <f>B126</f>
        <v/>
      </c>
    </row>
    <row r="118">
      <c r="B118" s="1">
        <f>B127</f>
        <v/>
      </c>
    </row>
    <row r="119">
      <c r="B119" s="1">
        <f>B128</f>
        <v/>
      </c>
    </row>
    <row r="120">
      <c r="B120" s="1">
        <f>B129</f>
        <v/>
      </c>
    </row>
    <row r="121">
      <c r="B121" s="1">
        <f>B130</f>
        <v/>
      </c>
    </row>
    <row r="122">
      <c r="B122" s="1">
        <f>B131</f>
        <v/>
      </c>
    </row>
    <row r="123">
      <c r="B123" s="1">
        <f>B132</f>
        <v/>
      </c>
    </row>
    <row r="124">
      <c r="B124" s="1">
        <f>B133</f>
        <v/>
      </c>
    </row>
    <row r="125">
      <c r="B125" s="1">
        <f>B134</f>
        <v/>
      </c>
    </row>
    <row r="126">
      <c r="B126" s="1">
        <f>B135</f>
        <v/>
      </c>
    </row>
    <row r="127">
      <c r="B127" s="1">
        <f>B136</f>
        <v/>
      </c>
    </row>
    <row r="128">
      <c r="B128" s="1">
        <f>B137</f>
        <v/>
      </c>
    </row>
    <row r="129">
      <c r="B129" s="1">
        <f>B138</f>
        <v/>
      </c>
    </row>
    <row r="130">
      <c r="B130" s="1">
        <f>B139</f>
        <v/>
      </c>
    </row>
    <row r="131">
      <c r="B131" s="1">
        <f>B140</f>
        <v/>
      </c>
    </row>
    <row r="132">
      <c r="B132" s="1">
        <f>B141</f>
        <v/>
      </c>
    </row>
    <row r="133">
      <c r="B133" s="1">
        <f>B142</f>
        <v/>
      </c>
    </row>
    <row r="134">
      <c r="B134" s="1">
        <f>B143</f>
        <v/>
      </c>
    </row>
    <row r="135">
      <c r="B135" s="1">
        <f>B144</f>
        <v/>
      </c>
    </row>
    <row r="136">
      <c r="B136" s="1">
        <f>B145</f>
        <v/>
      </c>
    </row>
    <row r="137">
      <c r="B137" s="1">
        <f>B146</f>
        <v/>
      </c>
    </row>
    <row r="138">
      <c r="B138" s="1">
        <f>B147</f>
        <v/>
      </c>
    </row>
    <row r="139">
      <c r="B139" s="1">
        <f>B148</f>
        <v/>
      </c>
    </row>
    <row r="140">
      <c r="B140" s="1">
        <f>B149</f>
        <v/>
      </c>
    </row>
    <row r="141">
      <c r="B141" s="1">
        <f>B150</f>
        <v/>
      </c>
    </row>
    <row r="142">
      <c r="B142" s="1">
        <f>B151</f>
        <v/>
      </c>
    </row>
    <row r="143">
      <c r="B143" s="1">
        <f>B152</f>
        <v/>
      </c>
    </row>
    <row r="144">
      <c r="B144" s="1">
        <f>B153</f>
        <v/>
      </c>
    </row>
    <row r="145">
      <c r="B145" s="1">
        <f>B154</f>
        <v/>
      </c>
    </row>
    <row r="146">
      <c r="B146" s="1">
        <f>B155</f>
        <v/>
      </c>
    </row>
    <row r="147">
      <c r="B147" s="1">
        <f>B156</f>
        <v/>
      </c>
    </row>
    <row r="148">
      <c r="B148" s="1">
        <f>B157</f>
        <v/>
      </c>
    </row>
    <row r="149">
      <c r="B149" s="1">
        <f>B158</f>
        <v/>
      </c>
    </row>
    <row r="150">
      <c r="B150" s="1">
        <f>B159</f>
        <v/>
      </c>
    </row>
    <row r="151">
      <c r="B151" s="1">
        <f>B160</f>
        <v/>
      </c>
    </row>
    <row r="152">
      <c r="B152" s="1">
        <f>B161</f>
        <v/>
      </c>
    </row>
    <row r="153">
      <c r="B153" s="1">
        <f>B162</f>
        <v/>
      </c>
    </row>
    <row r="154">
      <c r="B154" s="1">
        <f>B163</f>
        <v/>
      </c>
    </row>
    <row r="155">
      <c r="B155" s="1">
        <f>B164</f>
        <v/>
      </c>
    </row>
    <row r="156">
      <c r="B156" s="1">
        <f>B165</f>
        <v/>
      </c>
    </row>
    <row r="157">
      <c r="B157" s="1">
        <f>B166</f>
        <v/>
      </c>
    </row>
    <row r="158">
      <c r="B158" s="1">
        <f>B167</f>
        <v/>
      </c>
    </row>
    <row r="159">
      <c r="B159" s="1">
        <f>B168</f>
        <v/>
      </c>
    </row>
    <row r="160">
      <c r="B160" s="1">
        <f>B169</f>
        <v/>
      </c>
    </row>
    <row r="161">
      <c r="B161" s="1">
        <f>B170</f>
        <v/>
      </c>
    </row>
    <row r="162">
      <c r="B162" s="1">
        <f>B171</f>
        <v/>
      </c>
    </row>
    <row r="163">
      <c r="B163" s="1">
        <f>B172</f>
        <v/>
      </c>
    </row>
    <row r="164">
      <c r="B164" s="1">
        <f>B173</f>
        <v/>
      </c>
    </row>
    <row r="165">
      <c r="B165" s="1">
        <f>B174</f>
        <v/>
      </c>
    </row>
    <row r="166">
      <c r="B166" s="1">
        <f>B175</f>
        <v/>
      </c>
    </row>
    <row r="167">
      <c r="B167" s="1">
        <f>B176</f>
        <v/>
      </c>
    </row>
    <row r="168">
      <c r="B168" s="1">
        <f>B177</f>
        <v/>
      </c>
    </row>
  </sheetData>
  <pageMargins left="0.511811024" right="0.511811024" top="0.787401575" bottom="0.787401575" header="0.31496062" footer="0.31496062"/>
  <pageSetup orientation="portrait" paperSize="9"/>
</worksheet>
</file>

<file path=xl/worksheets/sheet87.xml><?xml version="1.0" encoding="utf-8"?>
<worksheet xmlns="http://schemas.openxmlformats.org/spreadsheetml/2006/main">
  <sheetPr codeName="Planilha87">
    <outlinePr summaryBelow="1" summaryRight="1"/>
    <pageSetUpPr/>
  </sheetPr>
  <dimension ref="A1:M28"/>
  <sheetViews>
    <sheetView workbookViewId="0">
      <selection activeCell="A1" sqref="A1"/>
    </sheetView>
  </sheetViews>
  <sheetFormatPr baseColWidth="8" defaultRowHeight="15" outlineLevelCol="0"/>
  <cols>
    <col width="111.42578125" bestFit="1" customWidth="1" min="1" max="1"/>
    <col width="6.85546875" bestFit="1" customWidth="1" min="2" max="13"/>
  </cols>
  <sheetData>
    <row r="1" ht="15.75" customHeight="1">
      <c r="A1" s="29" t="inlineStr">
        <is>
          <t>Tabela IGP-M Mensal (%) - FGV  |  Base para correção: Dezembro de 2025  |  Fonte: FGV via dadosdemercado.com.br</t>
        </is>
      </c>
    </row>
    <row r="2">
      <c r="A2" s="30" t="inlineStr">
        <is>
          <t>Ano</t>
        </is>
      </c>
      <c r="B2" s="30" t="inlineStr">
        <is>
          <t>Jan</t>
        </is>
      </c>
      <c r="C2" s="30" t="inlineStr">
        <is>
          <t>Fev</t>
        </is>
      </c>
      <c r="D2" s="30" t="inlineStr">
        <is>
          <t>Mar</t>
        </is>
      </c>
      <c r="E2" s="30" t="inlineStr">
        <is>
          <t>Abr</t>
        </is>
      </c>
      <c r="F2" s="30" t="inlineStr">
        <is>
          <t>Mai</t>
        </is>
      </c>
      <c r="G2" s="30" t="inlineStr">
        <is>
          <t>Jun</t>
        </is>
      </c>
      <c r="H2" s="30" t="inlineStr">
        <is>
          <t>Jul</t>
        </is>
      </c>
      <c r="I2" s="30" t="inlineStr">
        <is>
          <t>Ago</t>
        </is>
      </c>
      <c r="J2" s="30" t="inlineStr">
        <is>
          <t>Set</t>
        </is>
      </c>
      <c r="K2" s="30" t="inlineStr">
        <is>
          <t>Out</t>
        </is>
      </c>
      <c r="L2" s="30" t="inlineStr">
        <is>
          <t>Nov</t>
        </is>
      </c>
      <c r="M2" s="30" t="inlineStr">
        <is>
          <t>Dez</t>
        </is>
      </c>
    </row>
    <row r="3">
      <c r="A3" s="30" t="n">
        <v>2003</v>
      </c>
      <c r="B3" s="36" t="n">
        <v>0.0233</v>
      </c>
      <c r="C3" s="36" t="n">
        <v>0.0228</v>
      </c>
      <c r="D3" s="36" t="n">
        <v>0.0153</v>
      </c>
      <c r="E3" s="36" t="n">
        <v>0.0092</v>
      </c>
      <c r="F3" s="36" t="n">
        <v>-0.0026</v>
      </c>
      <c r="G3" s="36" t="n">
        <v>-0.01</v>
      </c>
      <c r="H3" s="36" t="n">
        <v>-0.0042</v>
      </c>
      <c r="I3" s="36" t="n">
        <v>0.0038</v>
      </c>
      <c r="J3" s="36" t="n">
        <v>0.0118</v>
      </c>
      <c r="K3" s="36" t="n">
        <v>0.0038</v>
      </c>
      <c r="L3" s="36" t="n">
        <v>0.0049</v>
      </c>
      <c r="M3" s="36" t="n">
        <v>0.0061</v>
      </c>
    </row>
    <row r="4">
      <c r="A4" s="37" t="n">
        <v>2004</v>
      </c>
      <c r="B4" s="32" t="n">
        <v>0.008800000000000001</v>
      </c>
      <c r="C4" s="32" t="n">
        <v>0.0069</v>
      </c>
      <c r="D4" s="31" t="n">
        <v>0.0113</v>
      </c>
      <c r="E4" s="31" t="n">
        <v>0.0121</v>
      </c>
      <c r="F4" s="31" t="n">
        <v>0.0131</v>
      </c>
      <c r="G4" s="31" t="n">
        <v>0.0138</v>
      </c>
      <c r="H4" s="31" t="n">
        <v>0.0131</v>
      </c>
      <c r="I4" s="31" t="n">
        <v>0.0122</v>
      </c>
      <c r="J4" s="31" t="n">
        <v>0.0069</v>
      </c>
      <c r="K4" s="31" t="n">
        <v>0.0039</v>
      </c>
      <c r="L4" s="31" t="n">
        <v>0.008200000000000001</v>
      </c>
      <c r="M4" s="31" t="n">
        <v>0.0074</v>
      </c>
    </row>
    <row r="5">
      <c r="A5" s="38" t="n">
        <v>2005</v>
      </c>
      <c r="B5" s="31" t="n">
        <v>0.0039</v>
      </c>
      <c r="C5" s="31" t="n">
        <v>0.003</v>
      </c>
      <c r="D5" s="31" t="n">
        <v>0.008500000000000001</v>
      </c>
      <c r="E5" s="31" t="n">
        <v>0.0086</v>
      </c>
      <c r="F5" s="31" t="n">
        <v>-0.0022</v>
      </c>
      <c r="G5" s="31" t="n">
        <v>-0.0044</v>
      </c>
      <c r="H5" s="31" t="n">
        <v>-0.0034</v>
      </c>
      <c r="I5" s="31" t="n">
        <v>-0.0065</v>
      </c>
      <c r="J5" s="31" t="n">
        <v>-0.0053</v>
      </c>
      <c r="K5" s="31" t="n">
        <v>0.006</v>
      </c>
      <c r="L5" s="31" t="n">
        <v>0.004</v>
      </c>
      <c r="M5" s="31" t="n">
        <v>-0.0001</v>
      </c>
    </row>
    <row r="6">
      <c r="A6" s="37" t="n">
        <v>2006</v>
      </c>
      <c r="B6" s="32" t="n">
        <v>0.0092</v>
      </c>
      <c r="C6" s="32" t="n">
        <v>0.0001</v>
      </c>
      <c r="D6" s="31" t="n">
        <v>-0.0023</v>
      </c>
      <c r="E6" s="31" t="n">
        <v>-0.0042</v>
      </c>
      <c r="F6" s="31" t="n">
        <v>0.0038</v>
      </c>
      <c r="G6" s="31" t="n">
        <v>0.0075</v>
      </c>
      <c r="H6" s="31" t="n">
        <v>0.0018</v>
      </c>
      <c r="I6" s="31" t="n">
        <v>0.0037</v>
      </c>
      <c r="J6" s="31" t="n">
        <v>0.0029</v>
      </c>
      <c r="K6" s="31" t="n">
        <v>0.0047</v>
      </c>
      <c r="L6" s="31" t="n">
        <v>0.0075</v>
      </c>
      <c r="M6" s="31" t="n">
        <v>0.0032</v>
      </c>
    </row>
    <row r="7">
      <c r="A7" s="38" t="n">
        <v>2007</v>
      </c>
      <c r="B7" s="31" t="n">
        <v>0.005</v>
      </c>
      <c r="C7" s="31" t="n">
        <v>0.0027</v>
      </c>
      <c r="D7" s="31" t="n">
        <v>0.0034</v>
      </c>
      <c r="E7" s="31" t="n">
        <v>0.0004</v>
      </c>
      <c r="F7" s="31" t="n">
        <v>0.0004</v>
      </c>
      <c r="G7" s="31" t="n">
        <v>0.0026</v>
      </c>
      <c r="H7" s="31" t="n">
        <v>0.0028</v>
      </c>
      <c r="I7" s="31" t="n">
        <v>0.0098</v>
      </c>
      <c r="J7" s="31" t="n">
        <v>0.0129</v>
      </c>
      <c r="K7" s="31" t="n">
        <v>0.0105</v>
      </c>
      <c r="L7" s="31" t="n">
        <v>0.0069</v>
      </c>
      <c r="M7" s="31" t="n">
        <v>0.0176</v>
      </c>
    </row>
    <row r="8">
      <c r="A8" s="37" t="n">
        <v>2008</v>
      </c>
      <c r="B8" s="32" t="n">
        <v>0.0109</v>
      </c>
      <c r="C8" s="32" t="n">
        <v>0.0053</v>
      </c>
      <c r="D8" s="31" t="n">
        <v>0.0074</v>
      </c>
      <c r="E8" s="31" t="n">
        <v>0.0069</v>
      </c>
      <c r="F8" s="31" t="n">
        <v>0.0161</v>
      </c>
      <c r="G8" s="31" t="n">
        <v>0.0198</v>
      </c>
      <c r="H8" s="31" t="n">
        <v>0.0176</v>
      </c>
      <c r="I8" s="31" t="n">
        <v>-0.0032</v>
      </c>
      <c r="J8" s="31" t="n">
        <v>0.0011</v>
      </c>
      <c r="K8" s="31" t="n">
        <v>0.0098</v>
      </c>
      <c r="L8" s="31" t="n">
        <v>0.0038</v>
      </c>
      <c r="M8" s="31" t="n">
        <v>-0.0013</v>
      </c>
    </row>
    <row r="9">
      <c r="A9" s="38" t="n">
        <v>2009</v>
      </c>
      <c r="B9" s="31" t="n">
        <v>-0.0044</v>
      </c>
      <c r="C9" s="31" t="n">
        <v>0.0026</v>
      </c>
      <c r="D9" s="31" t="n">
        <v>-0.0074</v>
      </c>
      <c r="E9" s="31" t="n">
        <v>-0.0015</v>
      </c>
      <c r="F9" s="31" t="n">
        <v>-0.0007</v>
      </c>
      <c r="G9" s="31" t="n">
        <v>-0.001</v>
      </c>
      <c r="H9" s="31" t="n">
        <v>-0.0043</v>
      </c>
      <c r="I9" s="31" t="n">
        <v>-0.0036</v>
      </c>
      <c r="J9" s="31" t="n">
        <v>0.0042</v>
      </c>
      <c r="K9" s="31" t="n">
        <v>0.0005</v>
      </c>
      <c r="L9" s="31" t="n">
        <v>0.001</v>
      </c>
      <c r="M9" s="31" t="n">
        <v>-0.0026</v>
      </c>
    </row>
    <row r="10">
      <c r="A10" s="37" t="n">
        <v>2010</v>
      </c>
      <c r="B10" s="32" t="n">
        <v>0.0063</v>
      </c>
      <c r="C10" s="32" t="n">
        <v>0.0118</v>
      </c>
      <c r="D10" s="31" t="n">
        <v>0.0094</v>
      </c>
      <c r="E10" s="31" t="n">
        <v>0.0077</v>
      </c>
      <c r="F10" s="31" t="n">
        <v>0.0119</v>
      </c>
      <c r="G10" s="31" t="n">
        <v>0.008500000000000001</v>
      </c>
      <c r="H10" s="31" t="n">
        <v>0.0015</v>
      </c>
      <c r="I10" s="31" t="n">
        <v>0.0077</v>
      </c>
      <c r="J10" s="31" t="n">
        <v>0.0115</v>
      </c>
      <c r="K10" s="31" t="n">
        <v>0.0101</v>
      </c>
      <c r="L10" s="31" t="n">
        <v>0.0145</v>
      </c>
      <c r="M10" s="31" t="n">
        <v>0.0069</v>
      </c>
    </row>
    <row r="11">
      <c r="A11" s="38" t="n">
        <v>2011</v>
      </c>
      <c r="B11" s="31" t="n">
        <v>0.007900000000000001</v>
      </c>
      <c r="C11" s="31" t="n">
        <v>0.01</v>
      </c>
      <c r="D11" s="31" t="n">
        <v>0.0062</v>
      </c>
      <c r="E11" s="31" t="n">
        <v>0.0045</v>
      </c>
      <c r="F11" s="31" t="n">
        <v>0.0043</v>
      </c>
      <c r="G11" s="31" t="n">
        <v>-0.0018</v>
      </c>
      <c r="H11" s="31" t="n">
        <v>-0.0012</v>
      </c>
      <c r="I11" s="31" t="n">
        <v>0.0044</v>
      </c>
      <c r="J11" s="31" t="n">
        <v>0.0065</v>
      </c>
      <c r="K11" s="31" t="n">
        <v>0.0053</v>
      </c>
      <c r="L11" s="31" t="n">
        <v>0.005</v>
      </c>
      <c r="M11" s="31" t="n">
        <v>-0.0012</v>
      </c>
    </row>
    <row r="12">
      <c r="A12" s="37" t="n">
        <v>2012</v>
      </c>
      <c r="B12" s="32" t="n">
        <v>0.0025</v>
      </c>
      <c r="C12" s="32" t="n">
        <v>-0.0005999999999999999</v>
      </c>
      <c r="D12" s="31" t="n">
        <v>0.0043</v>
      </c>
      <c r="E12" s="31" t="n">
        <v>0.008500000000000001</v>
      </c>
      <c r="F12" s="31" t="n">
        <v>0.0102</v>
      </c>
      <c r="G12" s="31" t="n">
        <v>0.0066</v>
      </c>
      <c r="H12" s="31" t="n">
        <v>0.0134</v>
      </c>
      <c r="I12" s="31" t="n">
        <v>0.0143</v>
      </c>
      <c r="J12" s="31" t="n">
        <v>0.0097</v>
      </c>
      <c r="K12" s="31" t="n">
        <v>0.0002</v>
      </c>
      <c r="L12" s="31" t="n">
        <v>-0.0003</v>
      </c>
      <c r="M12" s="31" t="n">
        <v>0.0068</v>
      </c>
    </row>
    <row r="13">
      <c r="A13" s="38" t="n">
        <v>2013</v>
      </c>
      <c r="B13" s="31" t="n">
        <v>0.0034</v>
      </c>
      <c r="C13" s="31" t="n">
        <v>0.0029</v>
      </c>
      <c r="D13" s="31" t="n">
        <v>0.0021</v>
      </c>
      <c r="E13" s="31" t="n">
        <v>0.0015</v>
      </c>
      <c r="F13" s="31" t="n">
        <v>0</v>
      </c>
      <c r="G13" s="31" t="n">
        <v>0.0075</v>
      </c>
      <c r="H13" s="31" t="n">
        <v>0.0026</v>
      </c>
      <c r="I13" s="31" t="n">
        <v>0.0015</v>
      </c>
      <c r="J13" s="31" t="n">
        <v>0.015</v>
      </c>
      <c r="K13" s="31" t="n">
        <v>0.0086</v>
      </c>
      <c r="L13" s="31" t="n">
        <v>0.0029</v>
      </c>
      <c r="M13" s="31" t="n">
        <v>0.006</v>
      </c>
    </row>
    <row r="14">
      <c r="A14" s="37" t="n">
        <v>2014</v>
      </c>
      <c r="B14" s="32" t="n">
        <v>0.0048</v>
      </c>
      <c r="C14" s="32" t="n">
        <v>0.0038</v>
      </c>
      <c r="D14" s="31" t="n">
        <v>0.0167</v>
      </c>
      <c r="E14" s="31" t="n">
        <v>0.0078</v>
      </c>
      <c r="F14" s="31" t="n">
        <v>-0.0013</v>
      </c>
      <c r="G14" s="31" t="n">
        <v>-0.0074</v>
      </c>
      <c r="H14" s="31" t="n">
        <v>-0.0061</v>
      </c>
      <c r="I14" s="31" t="n">
        <v>-0.0027</v>
      </c>
      <c r="J14" s="31" t="n">
        <v>0.002</v>
      </c>
      <c r="K14" s="31" t="n">
        <v>0.0028</v>
      </c>
      <c r="L14" s="31" t="n">
        <v>0.0098</v>
      </c>
      <c r="M14" s="31" t="n">
        <v>0.0062</v>
      </c>
    </row>
    <row r="15">
      <c r="A15" s="38" t="n">
        <v>2015</v>
      </c>
      <c r="B15" s="31" t="n">
        <v>0.0076</v>
      </c>
      <c r="C15" s="31" t="n">
        <v>0.0027</v>
      </c>
      <c r="D15" s="31" t="n">
        <v>0.0098</v>
      </c>
      <c r="E15" s="31" t="n">
        <v>0.0117</v>
      </c>
      <c r="F15" s="31" t="n">
        <v>0.0041</v>
      </c>
      <c r="G15" s="31" t="n">
        <v>0.0067</v>
      </c>
      <c r="H15" s="31" t="n">
        <v>0.0069</v>
      </c>
      <c r="I15" s="31" t="n">
        <v>0.0028</v>
      </c>
      <c r="J15" s="31" t="n">
        <v>0.0095</v>
      </c>
      <c r="K15" s="31" t="n">
        <v>0.0189</v>
      </c>
      <c r="L15" s="31" t="n">
        <v>0.0152</v>
      </c>
      <c r="M15" s="31" t="n">
        <v>0.0049</v>
      </c>
    </row>
    <row r="16">
      <c r="A16" s="37" t="n">
        <v>2016</v>
      </c>
      <c r="B16" s="32" t="n">
        <v>0.0114</v>
      </c>
      <c r="C16" s="32" t="n">
        <v>0.0129</v>
      </c>
      <c r="D16" s="31" t="n">
        <v>0.0051</v>
      </c>
      <c r="E16" s="31" t="n">
        <v>0.0033</v>
      </c>
      <c r="F16" s="31" t="n">
        <v>0.008200000000000001</v>
      </c>
      <c r="G16" s="31" t="n">
        <v>0.0169</v>
      </c>
      <c r="H16" s="31" t="n">
        <v>0.0018</v>
      </c>
      <c r="I16" s="31" t="n">
        <v>0.0015</v>
      </c>
      <c r="J16" s="31" t="n">
        <v>0.002</v>
      </c>
      <c r="K16" s="31" t="n">
        <v>0.0016</v>
      </c>
      <c r="L16" s="31" t="n">
        <v>-0.0003</v>
      </c>
      <c r="M16" s="31" t="n">
        <v>0.0054</v>
      </c>
    </row>
    <row r="17">
      <c r="A17" s="38" t="n">
        <v>2017</v>
      </c>
      <c r="B17" s="31" t="n">
        <v>0.0064</v>
      </c>
      <c r="C17" s="31" t="n">
        <v>0.0008</v>
      </c>
      <c r="D17" s="31" t="n">
        <v>0.0001</v>
      </c>
      <c r="E17" s="31" t="n">
        <v>-0.011</v>
      </c>
      <c r="F17" s="31" t="n">
        <v>-0.009299999999999999</v>
      </c>
      <c r="G17" s="31" t="n">
        <v>-0.0067</v>
      </c>
      <c r="H17" s="31" t="n">
        <v>-0.0072</v>
      </c>
      <c r="I17" s="31" t="n">
        <v>0.001</v>
      </c>
      <c r="J17" s="31" t="n">
        <v>0.0047</v>
      </c>
      <c r="K17" s="31" t="n">
        <v>0.002</v>
      </c>
      <c r="L17" s="31" t="n">
        <v>0.0052</v>
      </c>
      <c r="M17" s="31" t="n">
        <v>0.0089</v>
      </c>
    </row>
    <row r="18">
      <c r="A18" s="37" t="n">
        <v>2018</v>
      </c>
      <c r="B18" s="32" t="n">
        <v>0.0076</v>
      </c>
      <c r="C18" s="32" t="n">
        <v>0.0007000000000000001</v>
      </c>
      <c r="D18" s="31" t="n">
        <v>0.0064</v>
      </c>
      <c r="E18" s="31" t="n">
        <v>0.0057</v>
      </c>
      <c r="F18" s="31" t="n">
        <v>0.0138</v>
      </c>
      <c r="G18" s="31" t="n">
        <v>0.0187</v>
      </c>
      <c r="H18" s="31" t="n">
        <v>0.0051</v>
      </c>
      <c r="I18" s="31" t="n">
        <v>0.007</v>
      </c>
      <c r="J18" s="31" t="n">
        <v>0.0152</v>
      </c>
      <c r="K18" s="31" t="n">
        <v>0.0089</v>
      </c>
      <c r="L18" s="31" t="n">
        <v>-0.0049</v>
      </c>
      <c r="M18" s="31" t="n">
        <v>-0.0108</v>
      </c>
    </row>
    <row r="19">
      <c r="A19" s="38" t="n">
        <v>2019</v>
      </c>
      <c r="B19" s="31" t="n">
        <v>0.0001</v>
      </c>
      <c r="C19" s="31" t="n">
        <v>0.008800000000000001</v>
      </c>
      <c r="D19" s="31" t="n">
        <v>0.0126</v>
      </c>
      <c r="E19" s="31" t="n">
        <v>0.0092</v>
      </c>
      <c r="F19" s="31" t="n">
        <v>0.0045</v>
      </c>
      <c r="G19" s="31" t="n">
        <v>0.008</v>
      </c>
      <c r="H19" s="31" t="n">
        <v>0.004</v>
      </c>
      <c r="I19" s="31" t="n">
        <v>-0.0067</v>
      </c>
      <c r="J19" s="31" t="n">
        <v>-0.0001</v>
      </c>
      <c r="K19" s="31" t="n">
        <v>0.0068</v>
      </c>
      <c r="L19" s="31" t="n">
        <v>0.003</v>
      </c>
      <c r="M19" s="31" t="n">
        <v>0.0209</v>
      </c>
    </row>
    <row r="20">
      <c r="A20" s="37" t="n">
        <v>2020</v>
      </c>
      <c r="B20" s="32" t="n">
        <v>0.0048</v>
      </c>
      <c r="C20" s="32" t="n">
        <v>-0.0004</v>
      </c>
      <c r="D20" s="31" t="n">
        <v>0.0124</v>
      </c>
      <c r="E20" s="31" t="n">
        <v>0.008</v>
      </c>
      <c r="F20" s="31" t="n">
        <v>0.0028</v>
      </c>
      <c r="G20" s="31" t="n">
        <v>0.0156</v>
      </c>
      <c r="H20" s="31" t="n">
        <v>0.0223</v>
      </c>
      <c r="I20" s="31" t="n">
        <v>0.0274</v>
      </c>
      <c r="J20" s="31" t="n">
        <v>0.0434</v>
      </c>
      <c r="K20" s="31" t="n">
        <v>0.0323</v>
      </c>
      <c r="L20" s="31" t="n">
        <v>0.0328</v>
      </c>
      <c r="M20" s="31" t="n">
        <v>0.009599999999999999</v>
      </c>
    </row>
    <row r="21">
      <c r="A21" s="38" t="n">
        <v>2021</v>
      </c>
      <c r="B21" s="31" t="n">
        <v>0.0258</v>
      </c>
      <c r="C21" s="31" t="n">
        <v>0.0253</v>
      </c>
      <c r="D21" s="31" t="n">
        <v>0.0294</v>
      </c>
      <c r="E21" s="31" t="n">
        <v>0.0151</v>
      </c>
      <c r="F21" s="31" t="n">
        <v>0.041</v>
      </c>
      <c r="G21" s="31" t="n">
        <v>0.006</v>
      </c>
      <c r="H21" s="31" t="n">
        <v>0.0078</v>
      </c>
      <c r="I21" s="31" t="n">
        <v>0.0066</v>
      </c>
      <c r="J21" s="31" t="n">
        <v>-0.0064</v>
      </c>
      <c r="K21" s="31" t="n">
        <v>0.0064</v>
      </c>
      <c r="L21" s="31" t="n">
        <v>0.0002</v>
      </c>
      <c r="M21" s="31" t="n">
        <v>0.008699999999999999</v>
      </c>
    </row>
    <row r="22">
      <c r="A22" s="37" t="n">
        <v>2022</v>
      </c>
      <c r="B22" s="32" t="n">
        <v>0.0182</v>
      </c>
      <c r="C22" s="32" t="n">
        <v>0.0183</v>
      </c>
      <c r="D22" s="31" t="n">
        <v>0.0174</v>
      </c>
      <c r="E22" s="31" t="n">
        <v>0.0141</v>
      </c>
      <c r="F22" s="31" t="n">
        <v>0.0052</v>
      </c>
      <c r="G22" s="31" t="n">
        <v>0.0059</v>
      </c>
      <c r="H22" s="31" t="n">
        <v>0.0021</v>
      </c>
      <c r="I22" s="31" t="n">
        <v>-0.007</v>
      </c>
      <c r="J22" s="31" t="n">
        <v>-0.0095</v>
      </c>
      <c r="K22" s="31" t="n">
        <v>-0.0097</v>
      </c>
      <c r="L22" s="31" t="n">
        <v>-0.0056</v>
      </c>
      <c r="M22" s="31" t="n">
        <v>0.0045</v>
      </c>
    </row>
    <row r="23">
      <c r="A23" s="38" t="n">
        <v>2023</v>
      </c>
      <c r="B23" s="31" t="n">
        <v>0.0021</v>
      </c>
      <c r="C23" s="31" t="n">
        <v>-0.0005999999999999999</v>
      </c>
      <c r="D23" s="31" t="n">
        <v>0.0005</v>
      </c>
      <c r="E23" s="31" t="n">
        <v>-0.0095</v>
      </c>
      <c r="F23" s="31" t="n">
        <v>-0.0184</v>
      </c>
      <c r="G23" s="31" t="n">
        <v>-0.0193</v>
      </c>
      <c r="H23" s="31" t="n">
        <v>-0.0072</v>
      </c>
      <c r="I23" s="31" t="n">
        <v>-0.0014</v>
      </c>
      <c r="J23" s="31" t="n">
        <v>0.0037</v>
      </c>
      <c r="K23" s="31" t="n">
        <v>0.005</v>
      </c>
      <c r="L23" s="31" t="n">
        <v>0.0059</v>
      </c>
      <c r="M23" s="31" t="n">
        <v>0.0074</v>
      </c>
    </row>
    <row r="24">
      <c r="A24" s="37" t="n">
        <v>2024</v>
      </c>
      <c r="B24" s="32" t="n">
        <v>0.0007000000000000001</v>
      </c>
      <c r="C24" s="32" t="n">
        <v>-0.0052</v>
      </c>
      <c r="D24" s="31" t="n">
        <v>-0.0047</v>
      </c>
      <c r="E24" s="31" t="n">
        <v>0.0031</v>
      </c>
      <c r="F24" s="31" t="n">
        <v>0.0089</v>
      </c>
      <c r="G24" s="31" t="n">
        <v>0.0081</v>
      </c>
      <c r="H24" s="31" t="n">
        <v>0.0061</v>
      </c>
      <c r="I24" s="31" t="n">
        <v>0.0029</v>
      </c>
      <c r="J24" s="31" t="n">
        <v>0.0062</v>
      </c>
      <c r="K24" s="31" t="n">
        <v>0.0152</v>
      </c>
      <c r="L24" s="31" t="n">
        <v>0.013</v>
      </c>
      <c r="M24" s="31" t="n">
        <v>0.0094</v>
      </c>
    </row>
    <row r="25">
      <c r="A25" s="38" t="n">
        <v>2025</v>
      </c>
      <c r="B25" s="31" t="n">
        <v>0.0027</v>
      </c>
      <c r="C25" s="31" t="n">
        <v>0.0106</v>
      </c>
      <c r="D25" s="31" t="n">
        <v>-0.0034</v>
      </c>
      <c r="E25" s="31" t="n">
        <v>0.0024</v>
      </c>
      <c r="F25" s="31" t="n">
        <v>-0.0049</v>
      </c>
      <c r="G25" s="31" t="n">
        <v>-0.0167</v>
      </c>
      <c r="H25" s="31" t="n">
        <v>-0.0077</v>
      </c>
      <c r="I25" s="31" t="n">
        <v>0.0036</v>
      </c>
      <c r="J25" s="31" t="n">
        <v>0.0042</v>
      </c>
      <c r="K25" s="31" t="n">
        <v>-0.0036</v>
      </c>
      <c r="L25" s="31" t="n">
        <v>0.0027</v>
      </c>
      <c r="M25" s="31" t="n">
        <v>-0.0001</v>
      </c>
    </row>
    <row r="26">
      <c r="A26" s="37" t="n">
        <v>2026</v>
      </c>
      <c r="B26" s="32" t="n">
        <v>0.004099999999999999</v>
      </c>
      <c r="C26" s="32" t="n">
        <v>-0.0073</v>
      </c>
      <c r="D26" s="31" t="n">
        <v>0.0052</v>
      </c>
      <c r="E26" s="31" t="n">
        <v>0.0273</v>
      </c>
      <c r="F26" s="31" t="n">
        <v>0.008399999999999999</v>
      </c>
      <c r="G26" s="31" t="n"/>
      <c r="H26" s="31" t="n"/>
      <c r="I26" s="31" t="n"/>
      <c r="J26" s="31" t="n"/>
      <c r="K26" s="31" t="n"/>
      <c r="L26" s="31" t="n"/>
      <c r="M26" s="31" t="n"/>
    </row>
    <row r="28">
      <c r="A28" s="33" t="inlineStr">
        <is>
          <t>* Fator de correção = Índice IGP-M dez/25 / Índice IGP-M do mês da cotação. Preço corrigido = Preço nominal × Fator.</t>
        </is>
      </c>
    </row>
  </sheetData>
  <pageMargins left="0.511811024" right="0.511811024" top="0.787401575" bottom="0.787401575" header="0.31496062" footer="0.31496062"/>
</worksheet>
</file>

<file path=xl/worksheets/sheet88.xml><?xml version="1.0" encoding="utf-8"?>
<worksheet xmlns="http://schemas.openxmlformats.org/spreadsheetml/2006/main">
  <sheetPr codeName="Planilha88">
    <outlinePr summaryBelow="1" summaryRight="1"/>
    <pageSetUpPr/>
  </sheetPr>
  <dimension ref="A1:C2"/>
  <sheetViews>
    <sheetView workbookViewId="0">
      <selection activeCell="E19" sqref="E19"/>
    </sheetView>
  </sheetViews>
  <sheetFormatPr baseColWidth="8" defaultRowHeight="15" outlineLevelCol="0"/>
  <cols>
    <col width="17.28515625" bestFit="1" customWidth="1" min="1" max="1"/>
  </cols>
  <sheetData>
    <row r="1">
      <c r="A1" s="35" t="inlineStr">
        <is>
          <t>Data</t>
        </is>
      </c>
      <c r="B1" s="35" t="inlineStr">
        <is>
          <t>Boi Magro R$/cab</t>
        </is>
      </c>
      <c r="C1" s="35" t="inlineStr">
        <is>
          <t>Boi Magro Troca(@)</t>
        </is>
      </c>
    </row>
    <row r="2">
      <c r="A2" s="24" t="n">
        <v>46195</v>
      </c>
      <c r="B2" t="n">
        <v>4645</v>
      </c>
      <c r="C2" t="n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Heitor Pirani Salmazi</dc:creator>
  <dcterms:created xmlns:dcterms="http://purl.org/dc/terms/" xmlns:xsi="http://www.w3.org/2001/XMLSchema-instance" xsi:type="dcterms:W3CDTF">2025-10-30T11:14:58Z</dcterms:created>
  <dcterms:modified xmlns:dcterms="http://purl.org/dc/terms/" xmlns:xsi="http://www.w3.org/2001/XMLSchema-instance" xsi:type="dcterms:W3CDTF">2026-07-15T10:09:47Z</dcterms:modified>
  <cp:lastModifiedBy>Heitor Salmazi</cp:lastModifiedBy>
  <cp:lastPrinted>2025-12-30T10:56:51Z</cp:lastPrinted>
</cp:coreProperties>
</file>